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OAN 2026\Thẻ kho 2026\"/>
    </mc:Choice>
  </mc:AlternateContent>
  <bookViews>
    <workbookView xWindow="0" yWindow="0" windowWidth="2370" windowHeight="0" tabRatio="672" firstSheet="1" activeTab="1"/>
  </bookViews>
  <sheets>
    <sheet name="TK 14 NHÃN" sheetId="1" state="hidden" r:id="rId1"/>
    <sheet name="H.HÀ" sheetId="2" r:id="rId2"/>
    <sheet name="NISE" sheetId="3" state="hidden" r:id="rId3"/>
    <sheet name="NICE" sheetId="16" r:id="rId4"/>
    <sheet name="RA+AD" sheetId="4" state="hidden" r:id="rId5"/>
    <sheet name="TAKAO" sheetId="5" r:id="rId6"/>
    <sheet name="TOKO" sheetId="6" state="hidden" r:id="rId7"/>
    <sheet name="VĨNH THẮNG" sheetId="7" r:id="rId8"/>
    <sheet name="DMAX+MIRA" sheetId="8" r:id="rId9"/>
    <sheet name="TK TỔNG 6.4.2026" sheetId="11" state="hidden" r:id="rId10"/>
    <sheet name="TỔNG HỢP TK" sheetId="14" r:id="rId11"/>
    <sheet name="ROYAL+ẤN" sheetId="17" r:id="rId12"/>
    <sheet name="TOKO," sheetId="19" r:id="rId13"/>
    <sheet name="Á Mỹ" sheetId="20" r:id="rId14"/>
    <sheet name="Sheet1" sheetId="21" r:id="rId15"/>
    <sheet name="Sheet2" sheetId="22" r:id="rId16"/>
  </sheets>
  <definedNames>
    <definedName name="_xlnm._FilterDatabase" localSheetId="0" hidden="1">'TK 14 NHÃN'!$A$1:$K$1</definedName>
    <definedName name="A">H.HÀ!$1:$1048576</definedName>
    <definedName name="_xlnm.Print_Area" localSheetId="8">'DMAX+MIRA'!$A$1:$BT$26</definedName>
    <definedName name="_xlnm.Print_Area" localSheetId="2">NISE!$A$1:$BU$129</definedName>
    <definedName name="_xlnm.Print_Area" localSheetId="4">'RA+AD'!$A$1:$BT$30</definedName>
    <definedName name="_xlnm.Print_Area" localSheetId="5">TAKAO!$A$1:$BT$103</definedName>
    <definedName name="_xlnm.Print_Area" localSheetId="6">TOKO!$A$1:$BT$80</definedName>
    <definedName name="_xlnm.Print_Area" localSheetId="7">'VĨNH THẮNG'!$A$1:$BT$41</definedName>
    <definedName name="_xlnm.Print_Titles" localSheetId="1">H.HÀ!$1:$1</definedName>
    <definedName name="_xlnm.Print_Titles" localSheetId="2">NISE!$1:$1</definedName>
    <definedName name="_xlnm.Print_Titles" localSheetId="4">'RA+AD'!$1:$1</definedName>
    <definedName name="_xlnm.Print_Titles" localSheetId="5">TAKAO!$1:$1</definedName>
    <definedName name="_xlnm.Print_Titles" localSheetId="6">TOKO!$1:$1</definedName>
    <definedName name="_xlnm.Print_Titles" localSheetId="7">'VĨNH THẮNG'!$1:$1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22" l="1"/>
  <c r="P125" i="2" l="1"/>
  <c r="P75" i="5"/>
  <c r="L199" i="2" l="1"/>
  <c r="J33" i="5" l="1"/>
  <c r="H15" i="2" l="1"/>
  <c r="H197" i="2"/>
  <c r="H9" i="7"/>
  <c r="H10" i="7"/>
  <c r="H42" i="2"/>
  <c r="H102" i="16"/>
  <c r="F43" i="7"/>
  <c r="BR76" i="5" l="1"/>
  <c r="BR77" i="5"/>
  <c r="BR78" i="5"/>
  <c r="BQ76" i="5"/>
  <c r="BQ77" i="5"/>
  <c r="BQ78" i="5"/>
  <c r="BR42" i="2" l="1"/>
  <c r="BR43" i="2"/>
  <c r="BR44" i="2"/>
  <c r="BR45" i="2"/>
  <c r="BQ42" i="2"/>
  <c r="BQ43" i="2"/>
  <c r="BQ44" i="2"/>
  <c r="BQ45" i="2"/>
  <c r="D44" i="2" l="1"/>
  <c r="BT44" i="2" s="1"/>
  <c r="D43" i="2"/>
  <c r="BT43" i="2" s="1"/>
  <c r="BV43" i="2" s="1"/>
  <c r="C3" i="7"/>
  <c r="AJ20" i="20" l="1"/>
  <c r="D77" i="5"/>
  <c r="BT77" i="5" s="1"/>
  <c r="BV77" i="5" s="1"/>
  <c r="BR205" i="2" l="1"/>
  <c r="BR206" i="2"/>
  <c r="BQ204" i="2"/>
  <c r="BQ205" i="2"/>
  <c r="BQ206" i="2"/>
  <c r="BQ207" i="2"/>
  <c r="BQ208" i="2"/>
  <c r="BR204" i="2"/>
  <c r="D204" i="2" s="1"/>
  <c r="BT204" i="2" s="1"/>
  <c r="BV204" i="2" s="1"/>
  <c r="BR207" i="2"/>
  <c r="D45" i="2"/>
  <c r="D248" i="2"/>
  <c r="D249" i="2"/>
  <c r="D250" i="2"/>
  <c r="D251" i="2"/>
  <c r="D252" i="2"/>
  <c r="D253" i="2"/>
  <c r="D206" i="2" l="1"/>
  <c r="BT206" i="2" s="1"/>
  <c r="BV206" i="2" s="1"/>
  <c r="D205" i="2"/>
  <c r="BT205" i="2" s="1"/>
  <c r="BV205" i="2" s="1"/>
  <c r="D207" i="2"/>
  <c r="BT207" i="2" s="1"/>
  <c r="BR104" i="5"/>
  <c r="BR105" i="5"/>
  <c r="BR106" i="5"/>
  <c r="BR107" i="5"/>
  <c r="BQ104" i="5"/>
  <c r="BQ105" i="5"/>
  <c r="BQ106" i="5"/>
  <c r="BQ107" i="5"/>
  <c r="D105" i="5" l="1"/>
  <c r="D104" i="5"/>
  <c r="BT104" i="5" s="1"/>
  <c r="BV104" i="5" s="1"/>
  <c r="C2" i="2" l="1"/>
  <c r="C2" i="16"/>
  <c r="BR12" i="2" l="1"/>
  <c r="BR13" i="2"/>
  <c r="BR14" i="2"/>
  <c r="BR15" i="2"/>
  <c r="D15" i="2" s="1"/>
  <c r="BR16" i="2"/>
  <c r="BR18" i="2"/>
  <c r="BQ12" i="2"/>
  <c r="BQ13" i="2"/>
  <c r="D13" i="2" s="1"/>
  <c r="BQ14" i="2"/>
  <c r="BQ15" i="2"/>
  <c r="BQ16" i="2"/>
  <c r="D16" i="2" l="1"/>
  <c r="BT16" i="2" s="1"/>
  <c r="BV16" i="2" s="1"/>
  <c r="D14" i="2"/>
  <c r="BT14" i="2" s="1"/>
  <c r="BV14" i="2" s="1"/>
  <c r="D12" i="2"/>
  <c r="BT12" i="2" s="1"/>
  <c r="BV12" i="2" s="1"/>
  <c r="BT15" i="2"/>
  <c r="BV15" i="2" s="1"/>
  <c r="BT13" i="2"/>
  <c r="BV13" i="2" s="1"/>
  <c r="V3" i="2" l="1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R241" i="2"/>
  <c r="BR243" i="2"/>
  <c r="BR244" i="2"/>
  <c r="BR245" i="2"/>
  <c r="BR246" i="2"/>
  <c r="BR247" i="2"/>
  <c r="BQ240" i="2"/>
  <c r="BQ241" i="2"/>
  <c r="BQ243" i="2"/>
  <c r="BQ244" i="2"/>
  <c r="BQ245" i="2"/>
  <c r="BQ246" i="2"/>
  <c r="D246" i="2" s="1"/>
  <c r="BQ247" i="2"/>
  <c r="D245" i="2" l="1"/>
  <c r="BT245" i="2" s="1"/>
  <c r="BV245" i="2" s="1"/>
  <c r="D241" i="2"/>
  <c r="D247" i="2"/>
  <c r="D244" i="2"/>
  <c r="BT244" i="2" s="1"/>
  <c r="BV244" i="2" s="1"/>
  <c r="D243" i="2"/>
  <c r="BT243" i="2" s="1"/>
  <c r="BV243" i="2" s="1"/>
  <c r="BT247" i="2"/>
  <c r="BV247" i="2" s="1"/>
  <c r="BT246" i="2"/>
  <c r="BV246" i="2" s="1"/>
  <c r="BR213" i="2" l="1"/>
  <c r="BR214" i="2"/>
  <c r="BR215" i="2"/>
  <c r="BQ213" i="2"/>
  <c r="D213" i="2" s="1"/>
  <c r="BQ214" i="2"/>
  <c r="BR80" i="2"/>
  <c r="BR81" i="2"/>
  <c r="BR82" i="2"/>
  <c r="BR83" i="2"/>
  <c r="BR84" i="2"/>
  <c r="BR85" i="2"/>
  <c r="BR86" i="2"/>
  <c r="BQ79" i="2"/>
  <c r="BQ80" i="2"/>
  <c r="D80" i="2" s="1"/>
  <c r="BQ81" i="2"/>
  <c r="D81" i="2" s="1"/>
  <c r="BQ82" i="2"/>
  <c r="BQ83" i="2"/>
  <c r="D83" i="2" s="1"/>
  <c r="BQ84" i="2"/>
  <c r="D84" i="2" l="1"/>
  <c r="D82" i="2"/>
  <c r="D214" i="2"/>
  <c r="BT81" i="2"/>
  <c r="BV81" i="2" s="1"/>
  <c r="BT213" i="2"/>
  <c r="BV213" i="2" s="1"/>
  <c r="BT82" i="2"/>
  <c r="BV82" i="2" s="1"/>
  <c r="E9" i="21"/>
  <c r="E3" i="21"/>
  <c r="E45" i="21" s="1"/>
  <c r="D45" i="21"/>
  <c r="BU3" i="20" l="1"/>
  <c r="BR6" i="20"/>
  <c r="BR7" i="20"/>
  <c r="BR8" i="20"/>
  <c r="BR9" i="20"/>
  <c r="BR10" i="20"/>
  <c r="BR11" i="20"/>
  <c r="BR12" i="20"/>
  <c r="BR13" i="20"/>
  <c r="BR14" i="20"/>
  <c r="BR15" i="20"/>
  <c r="BR16" i="20"/>
  <c r="BR17" i="20"/>
  <c r="BR18" i="20"/>
  <c r="BR19" i="20"/>
  <c r="BR20" i="20"/>
  <c r="BR21" i="20"/>
  <c r="BR22" i="20"/>
  <c r="BR23" i="20"/>
  <c r="BR24" i="20"/>
  <c r="BR25" i="20"/>
  <c r="BR26" i="20"/>
  <c r="BR27" i="20"/>
  <c r="BR28" i="20"/>
  <c r="BR29" i="20"/>
  <c r="BR30" i="20"/>
  <c r="BR31" i="20"/>
  <c r="BR32" i="20"/>
  <c r="BR33" i="20"/>
  <c r="BR34" i="20"/>
  <c r="BR35" i="20"/>
  <c r="BR36" i="20"/>
  <c r="BR37" i="20"/>
  <c r="BR38" i="20"/>
  <c r="BR39" i="20"/>
  <c r="BR40" i="20"/>
  <c r="BR41" i="20"/>
  <c r="BR42" i="20"/>
  <c r="BR43" i="20"/>
  <c r="BR44" i="20"/>
  <c r="BR45" i="20"/>
  <c r="BR46" i="20"/>
  <c r="BR47" i="20"/>
  <c r="BR48" i="20"/>
  <c r="BR49" i="20"/>
  <c r="BR50" i="20"/>
  <c r="BR51" i="20"/>
  <c r="BR52" i="20"/>
  <c r="BR53" i="20"/>
  <c r="BR54" i="20"/>
  <c r="BR55" i="20"/>
  <c r="BR56" i="20"/>
  <c r="BR57" i="20"/>
  <c r="BR58" i="20"/>
  <c r="BR59" i="20"/>
  <c r="BR60" i="20"/>
  <c r="BR61" i="20"/>
  <c r="BR62" i="20"/>
  <c r="BR63" i="20"/>
  <c r="BR64" i="20"/>
  <c r="BR65" i="20"/>
  <c r="BR66" i="20"/>
  <c r="BR67" i="20"/>
  <c r="BR68" i="20"/>
  <c r="BR69" i="20"/>
  <c r="BR70" i="20"/>
  <c r="BR71" i="20"/>
  <c r="BR72" i="20"/>
  <c r="BQ6" i="20"/>
  <c r="BQ7" i="20"/>
  <c r="BQ8" i="20"/>
  <c r="BQ9" i="20"/>
  <c r="BQ10" i="20"/>
  <c r="BQ11" i="20"/>
  <c r="BQ12" i="20"/>
  <c r="BQ13" i="20"/>
  <c r="D13" i="20" s="1"/>
  <c r="BT13" i="20" s="1"/>
  <c r="BV13" i="20" s="1"/>
  <c r="BQ14" i="20"/>
  <c r="BQ15" i="20"/>
  <c r="BQ16" i="20"/>
  <c r="D16" i="20" s="1"/>
  <c r="BT16" i="20" s="1"/>
  <c r="BV16" i="20" s="1"/>
  <c r="BQ17" i="20"/>
  <c r="BQ18" i="20"/>
  <c r="BQ19" i="20"/>
  <c r="BQ20" i="20"/>
  <c r="BQ21" i="20"/>
  <c r="D21" i="20" s="1"/>
  <c r="BT21" i="20" s="1"/>
  <c r="BV21" i="20" s="1"/>
  <c r="BQ22" i="20"/>
  <c r="BQ23" i="20"/>
  <c r="BQ24" i="20"/>
  <c r="D24" i="20" s="1"/>
  <c r="BT24" i="20" s="1"/>
  <c r="BV24" i="20" s="1"/>
  <c r="BQ25" i="20"/>
  <c r="BQ26" i="20"/>
  <c r="BQ27" i="20"/>
  <c r="BQ28" i="20"/>
  <c r="BQ29" i="20"/>
  <c r="D29" i="20" s="1"/>
  <c r="BT29" i="20" s="1"/>
  <c r="BV29" i="20" s="1"/>
  <c r="BQ30" i="20"/>
  <c r="BQ31" i="20"/>
  <c r="BQ32" i="20"/>
  <c r="D32" i="20" s="1"/>
  <c r="BT32" i="20" s="1"/>
  <c r="BV32" i="20" s="1"/>
  <c r="BQ33" i="20"/>
  <c r="BQ34" i="20"/>
  <c r="BQ35" i="20"/>
  <c r="BQ36" i="20"/>
  <c r="BQ37" i="20"/>
  <c r="BQ38" i="20"/>
  <c r="BQ39" i="20"/>
  <c r="BQ40" i="20"/>
  <c r="D40" i="20" s="1"/>
  <c r="BT40" i="20" s="1"/>
  <c r="BV40" i="20" s="1"/>
  <c r="BQ41" i="20"/>
  <c r="BQ42" i="20"/>
  <c r="BQ43" i="20"/>
  <c r="BQ44" i="20"/>
  <c r="BQ45" i="20"/>
  <c r="BQ46" i="20"/>
  <c r="BQ47" i="20"/>
  <c r="BQ48" i="20"/>
  <c r="D48" i="20" s="1"/>
  <c r="BT48" i="20" s="1"/>
  <c r="BV48" i="20" s="1"/>
  <c r="BQ49" i="20"/>
  <c r="BQ50" i="20"/>
  <c r="BQ51" i="20"/>
  <c r="BQ52" i="20"/>
  <c r="BQ53" i="20"/>
  <c r="D53" i="20" s="1"/>
  <c r="BT53" i="20" s="1"/>
  <c r="BV53" i="20" s="1"/>
  <c r="BQ54" i="20"/>
  <c r="BQ55" i="20"/>
  <c r="BQ56" i="20"/>
  <c r="D56" i="20" s="1"/>
  <c r="BT56" i="20" s="1"/>
  <c r="BV56" i="20" s="1"/>
  <c r="BQ57" i="20"/>
  <c r="BQ58" i="20"/>
  <c r="BQ59" i="20"/>
  <c r="BQ60" i="20"/>
  <c r="BQ61" i="20"/>
  <c r="D61" i="20" s="1"/>
  <c r="BT61" i="20" s="1"/>
  <c r="BV61" i="20" s="1"/>
  <c r="BQ62" i="20"/>
  <c r="BQ63" i="20"/>
  <c r="BQ64" i="20"/>
  <c r="BQ65" i="20"/>
  <c r="BQ66" i="20"/>
  <c r="BQ67" i="20"/>
  <c r="BQ68" i="20"/>
  <c r="BQ69" i="20"/>
  <c r="BQ70" i="20"/>
  <c r="BQ71" i="20"/>
  <c r="BQ72" i="20"/>
  <c r="D72" i="20" s="1"/>
  <c r="BT72" i="20" s="1"/>
  <c r="BV72" i="20" s="1"/>
  <c r="D7" i="20"/>
  <c r="BT7" i="20" s="1"/>
  <c r="BV7" i="20" s="1"/>
  <c r="D35" i="20"/>
  <c r="BT35" i="20" s="1"/>
  <c r="BV35" i="20" s="1"/>
  <c r="D37" i="20"/>
  <c r="BT37" i="20" s="1"/>
  <c r="BV37" i="20" s="1"/>
  <c r="D43" i="20"/>
  <c r="BT43" i="20" s="1"/>
  <c r="BV43" i="20" s="1"/>
  <c r="D45" i="20"/>
  <c r="BT45" i="20" s="1"/>
  <c r="BV45" i="20" s="1"/>
  <c r="D51" i="20"/>
  <c r="BT51" i="20" s="1"/>
  <c r="BV51" i="20" s="1"/>
  <c r="D67" i="20"/>
  <c r="BT67" i="20" s="1"/>
  <c r="BV67" i="20" s="1"/>
  <c r="D69" i="20"/>
  <c r="BT69" i="20" s="1"/>
  <c r="BV69" i="20" s="1"/>
  <c r="D5" i="20"/>
  <c r="BR5" i="20"/>
  <c r="BQ5" i="20"/>
  <c r="BR4" i="20"/>
  <c r="BQ4" i="20"/>
  <c r="BP3" i="20"/>
  <c r="BO3" i="20"/>
  <c r="BN3" i="20"/>
  <c r="BM3" i="20"/>
  <c r="BL3" i="20"/>
  <c r="BK3" i="20"/>
  <c r="BJ3" i="20"/>
  <c r="BI3" i="20"/>
  <c r="BH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C3" i="20"/>
  <c r="G1" i="20"/>
  <c r="I1" i="20" s="1"/>
  <c r="K1" i="20" s="1"/>
  <c r="M1" i="20" s="1"/>
  <c r="O1" i="20" s="1"/>
  <c r="Q1" i="20" s="1"/>
  <c r="S1" i="20" s="1"/>
  <c r="U1" i="20" s="1"/>
  <c r="W1" i="20" s="1"/>
  <c r="Y1" i="20" s="1"/>
  <c r="AA1" i="20" s="1"/>
  <c r="AC1" i="20" s="1"/>
  <c r="AE1" i="20" s="1"/>
  <c r="AG1" i="20" s="1"/>
  <c r="AI1" i="20" s="1"/>
  <c r="AK1" i="20" s="1"/>
  <c r="AM1" i="20" s="1"/>
  <c r="AO1" i="20" s="1"/>
  <c r="AQ1" i="20" s="1"/>
  <c r="AS1" i="20" s="1"/>
  <c r="AU1" i="20" s="1"/>
  <c r="AW1" i="20" s="1"/>
  <c r="AY1" i="20" s="1"/>
  <c r="BA1" i="20" s="1"/>
  <c r="BC1" i="20" s="1"/>
  <c r="BE1" i="20" s="1"/>
  <c r="BG1" i="20" s="1"/>
  <c r="BI1" i="20" s="1"/>
  <c r="BK1" i="20" s="1"/>
  <c r="BM1" i="20" s="1"/>
  <c r="D65" i="20" l="1"/>
  <c r="BT65" i="20" s="1"/>
  <c r="BV65" i="20" s="1"/>
  <c r="D49" i="20"/>
  <c r="BT49" i="20" s="1"/>
  <c r="BV49" i="20" s="1"/>
  <c r="D41" i="20"/>
  <c r="BT41" i="20" s="1"/>
  <c r="BV41" i="20" s="1"/>
  <c r="D33" i="20"/>
  <c r="BT33" i="20" s="1"/>
  <c r="BV33" i="20" s="1"/>
  <c r="D64" i="20"/>
  <c r="BT64" i="20" s="1"/>
  <c r="BV64" i="20" s="1"/>
  <c r="D57" i="20"/>
  <c r="BT57" i="20" s="1"/>
  <c r="BV57" i="20" s="1"/>
  <c r="D25" i="20"/>
  <c r="BT25" i="20" s="1"/>
  <c r="BV25" i="20" s="1"/>
  <c r="D17" i="20"/>
  <c r="BT17" i="20" s="1"/>
  <c r="BV17" i="20" s="1"/>
  <c r="D9" i="20"/>
  <c r="BT9" i="20" s="1"/>
  <c r="BV9" i="20" s="1"/>
  <c r="D27" i="20"/>
  <c r="BT27" i="20" s="1"/>
  <c r="BV27" i="20" s="1"/>
  <c r="D19" i="20"/>
  <c r="BT19" i="20" s="1"/>
  <c r="BV19" i="20" s="1"/>
  <c r="D11" i="20"/>
  <c r="BT11" i="20" s="1"/>
  <c r="BV11" i="20" s="1"/>
  <c r="D71" i="20"/>
  <c r="BT71" i="20" s="1"/>
  <c r="BV71" i="20" s="1"/>
  <c r="D59" i="20"/>
  <c r="BT59" i="20" s="1"/>
  <c r="BV59" i="20" s="1"/>
  <c r="D55" i="20"/>
  <c r="BT55" i="20" s="1"/>
  <c r="BV55" i="20" s="1"/>
  <c r="D47" i="20"/>
  <c r="BT47" i="20" s="1"/>
  <c r="BV47" i="20" s="1"/>
  <c r="D39" i="20"/>
  <c r="BT39" i="20" s="1"/>
  <c r="BV39" i="20" s="1"/>
  <c r="D31" i="20"/>
  <c r="BT31" i="20" s="1"/>
  <c r="BV31" i="20" s="1"/>
  <c r="D8" i="20"/>
  <c r="BT8" i="20" s="1"/>
  <c r="BV8" i="20" s="1"/>
  <c r="D15" i="20"/>
  <c r="BT15" i="20" s="1"/>
  <c r="BV15" i="20" s="1"/>
  <c r="D63" i="20"/>
  <c r="BT63" i="20" s="1"/>
  <c r="BV63" i="20" s="1"/>
  <c r="D23" i="20"/>
  <c r="BT23" i="20" s="1"/>
  <c r="BV23" i="20" s="1"/>
  <c r="D60" i="20"/>
  <c r="BT60" i="20" s="1"/>
  <c r="BV60" i="20" s="1"/>
  <c r="D36" i="20"/>
  <c r="BT36" i="20" s="1"/>
  <c r="BV36" i="20" s="1"/>
  <c r="D28" i="20"/>
  <c r="BT28" i="20" s="1"/>
  <c r="BV28" i="20" s="1"/>
  <c r="D12" i="20"/>
  <c r="BT12" i="20" s="1"/>
  <c r="BV12" i="20" s="1"/>
  <c r="D66" i="20"/>
  <c r="BT66" i="20" s="1"/>
  <c r="BV66" i="20" s="1"/>
  <c r="D58" i="20"/>
  <c r="BT58" i="20" s="1"/>
  <c r="BV58" i="20" s="1"/>
  <c r="D50" i="20"/>
  <c r="BT50" i="20" s="1"/>
  <c r="BV50" i="20" s="1"/>
  <c r="D42" i="20"/>
  <c r="BT42" i="20" s="1"/>
  <c r="BV42" i="20" s="1"/>
  <c r="D34" i="20"/>
  <c r="BT34" i="20" s="1"/>
  <c r="BV34" i="20" s="1"/>
  <c r="D26" i="20"/>
  <c r="BT26" i="20" s="1"/>
  <c r="BV26" i="20" s="1"/>
  <c r="D18" i="20"/>
  <c r="BT18" i="20" s="1"/>
  <c r="BV18" i="20" s="1"/>
  <c r="D10" i="20"/>
  <c r="BT10" i="20" s="1"/>
  <c r="BV10" i="20" s="1"/>
  <c r="D70" i="20"/>
  <c r="BT70" i="20" s="1"/>
  <c r="BV70" i="20" s="1"/>
  <c r="D62" i="20"/>
  <c r="BT62" i="20" s="1"/>
  <c r="BV62" i="20" s="1"/>
  <c r="D54" i="20"/>
  <c r="BT54" i="20" s="1"/>
  <c r="BV54" i="20" s="1"/>
  <c r="D46" i="20"/>
  <c r="BT46" i="20" s="1"/>
  <c r="BV46" i="20" s="1"/>
  <c r="D38" i="20"/>
  <c r="BT38" i="20" s="1"/>
  <c r="BV38" i="20" s="1"/>
  <c r="D30" i="20"/>
  <c r="BT30" i="20" s="1"/>
  <c r="BV30" i="20" s="1"/>
  <c r="D22" i="20"/>
  <c r="BT22" i="20" s="1"/>
  <c r="BV22" i="20" s="1"/>
  <c r="D14" i="20"/>
  <c r="BT14" i="20" s="1"/>
  <c r="BV14" i="20" s="1"/>
  <c r="D6" i="20"/>
  <c r="BT6" i="20" s="1"/>
  <c r="BV6" i="20" s="1"/>
  <c r="D52" i="20"/>
  <c r="BT52" i="20" s="1"/>
  <c r="BV52" i="20" s="1"/>
  <c r="D68" i="20"/>
  <c r="BT68" i="20" s="1"/>
  <c r="BV68" i="20" s="1"/>
  <c r="D44" i="20"/>
  <c r="BT44" i="20" s="1"/>
  <c r="BV44" i="20" s="1"/>
  <c r="D20" i="20"/>
  <c r="BT20" i="20" s="1"/>
  <c r="BV20" i="20" s="1"/>
  <c r="BQ3" i="20"/>
  <c r="BR3" i="20"/>
  <c r="BT5" i="20"/>
  <c r="D3" i="20" l="1"/>
  <c r="BV5" i="20"/>
  <c r="BV3" i="20" s="1"/>
  <c r="BT3" i="20"/>
  <c r="BR5" i="19" l="1"/>
  <c r="BR6" i="19"/>
  <c r="BR7" i="19"/>
  <c r="BR8" i="19"/>
  <c r="BR9" i="19"/>
  <c r="BR10" i="19"/>
  <c r="BR11" i="19"/>
  <c r="BR12" i="19"/>
  <c r="BR13" i="19"/>
  <c r="BR14" i="19"/>
  <c r="BR15" i="19"/>
  <c r="BR16" i="19"/>
  <c r="BR17" i="19"/>
  <c r="BR18" i="19"/>
  <c r="BR19" i="19"/>
  <c r="BR20" i="19"/>
  <c r="BR21" i="19"/>
  <c r="BR22" i="19"/>
  <c r="BR23" i="19"/>
  <c r="BR24" i="19"/>
  <c r="BR25" i="19"/>
  <c r="BR26" i="19"/>
  <c r="BR27" i="19"/>
  <c r="BR28" i="19"/>
  <c r="BR29" i="19"/>
  <c r="BR30" i="19"/>
  <c r="BR31" i="19"/>
  <c r="BR32" i="19"/>
  <c r="BR33" i="19"/>
  <c r="BR34" i="19"/>
  <c r="BR35" i="19"/>
  <c r="BR36" i="19"/>
  <c r="BR37" i="19"/>
  <c r="BR38" i="19"/>
  <c r="BR39" i="19"/>
  <c r="BR40" i="19"/>
  <c r="BR41" i="19"/>
  <c r="BR42" i="19"/>
  <c r="BR43" i="19"/>
  <c r="BR44" i="19"/>
  <c r="BR45" i="19"/>
  <c r="BR46" i="19"/>
  <c r="BR47" i="19"/>
  <c r="BR48" i="19"/>
  <c r="BQ5" i="19"/>
  <c r="BQ6" i="19"/>
  <c r="BQ7" i="19"/>
  <c r="BQ8" i="19"/>
  <c r="BQ9" i="19"/>
  <c r="BQ10" i="19"/>
  <c r="BQ11" i="19"/>
  <c r="BQ12" i="19"/>
  <c r="BQ13" i="19"/>
  <c r="BQ14" i="19"/>
  <c r="BQ15" i="19"/>
  <c r="BQ16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Q36" i="19"/>
  <c r="BQ37" i="19"/>
  <c r="BQ38" i="19"/>
  <c r="BQ39" i="19"/>
  <c r="BQ40" i="19"/>
  <c r="BQ41" i="19"/>
  <c r="BQ42" i="19"/>
  <c r="BQ43" i="19"/>
  <c r="BQ44" i="19"/>
  <c r="BQ45" i="19"/>
  <c r="BQ46" i="19"/>
  <c r="BQ47" i="19"/>
  <c r="BQ48" i="19"/>
  <c r="BQ49" i="19"/>
  <c r="BP3" i="17"/>
  <c r="BR4" i="17"/>
  <c r="BR5" i="17"/>
  <c r="BR6" i="17"/>
  <c r="BR7" i="17"/>
  <c r="BR8" i="17"/>
  <c r="BR9" i="17"/>
  <c r="BR10" i="17"/>
  <c r="BR11" i="17"/>
  <c r="BR12" i="17"/>
  <c r="BR13" i="17"/>
  <c r="BR14" i="17"/>
  <c r="BR15" i="17"/>
  <c r="BR16" i="17"/>
  <c r="BR17" i="17"/>
  <c r="BR18" i="17"/>
  <c r="BR19" i="17"/>
  <c r="BR20" i="17"/>
  <c r="BR21" i="17"/>
  <c r="BR22" i="17"/>
  <c r="BR23" i="17"/>
  <c r="BR24" i="17"/>
  <c r="BR25" i="17"/>
  <c r="BQ24" i="17"/>
  <c r="BQ25" i="17"/>
  <c r="BQ5" i="17"/>
  <c r="BQ6" i="17"/>
  <c r="BQ7" i="17"/>
  <c r="BQ8" i="17"/>
  <c r="BQ9" i="17"/>
  <c r="BQ10" i="17"/>
  <c r="BQ11" i="17"/>
  <c r="BQ12" i="17"/>
  <c r="BQ13" i="17"/>
  <c r="BQ14" i="17"/>
  <c r="BQ15" i="17"/>
  <c r="BQ16" i="17"/>
  <c r="BQ17" i="17"/>
  <c r="BQ18" i="17"/>
  <c r="BQ19" i="17"/>
  <c r="BQ20" i="17"/>
  <c r="BQ21" i="17"/>
  <c r="BQ22" i="17"/>
  <c r="BQ23" i="17"/>
  <c r="BR5" i="8"/>
  <c r="BR6" i="8"/>
  <c r="BR7" i="8"/>
  <c r="BR8" i="8"/>
  <c r="BR9" i="8"/>
  <c r="BR10" i="8"/>
  <c r="BR11" i="8"/>
  <c r="BR12" i="8"/>
  <c r="BR13" i="8"/>
  <c r="BR14" i="8"/>
  <c r="BR15" i="8"/>
  <c r="BR16" i="8"/>
  <c r="BR17" i="8"/>
  <c r="BR18" i="8"/>
  <c r="BR19" i="8"/>
  <c r="BR20" i="8"/>
  <c r="BR21" i="8"/>
  <c r="BR22" i="8"/>
  <c r="BR23" i="8"/>
  <c r="BR24" i="8"/>
  <c r="BR25" i="8"/>
  <c r="BR26" i="8"/>
  <c r="BQ5" i="8"/>
  <c r="BQ6" i="8"/>
  <c r="BQ7" i="8"/>
  <c r="BQ8" i="8"/>
  <c r="BQ9" i="8"/>
  <c r="BQ10" i="8"/>
  <c r="BQ11" i="8"/>
  <c r="BQ12" i="8"/>
  <c r="BQ13" i="8"/>
  <c r="BQ14" i="8"/>
  <c r="BQ15" i="8"/>
  <c r="BQ16" i="8"/>
  <c r="BQ17" i="8"/>
  <c r="BQ18" i="8"/>
  <c r="BQ19" i="8"/>
  <c r="BQ20" i="8"/>
  <c r="BQ21" i="8"/>
  <c r="BQ22" i="8"/>
  <c r="BQ23" i="8"/>
  <c r="BQ24" i="8"/>
  <c r="BQ25" i="8"/>
  <c r="BQ26" i="8"/>
  <c r="BR5" i="7"/>
  <c r="BR6" i="7"/>
  <c r="BR7" i="7"/>
  <c r="BR8" i="7"/>
  <c r="BR9" i="7"/>
  <c r="BR10" i="7"/>
  <c r="D10" i="7" s="1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R35" i="7"/>
  <c r="BR36" i="7"/>
  <c r="BR37" i="7"/>
  <c r="BR38" i="7"/>
  <c r="BR39" i="7"/>
  <c r="BR40" i="7"/>
  <c r="BR41" i="7"/>
  <c r="BR42" i="7"/>
  <c r="BR43" i="7"/>
  <c r="BR44" i="7"/>
  <c r="BR45" i="7"/>
  <c r="BR46" i="7"/>
  <c r="BQ5" i="7"/>
  <c r="BQ6" i="7"/>
  <c r="D6" i="7" s="1"/>
  <c r="BQ7" i="7"/>
  <c r="BQ8" i="7"/>
  <c r="BQ9" i="7"/>
  <c r="BQ10" i="7"/>
  <c r="BQ11" i="7"/>
  <c r="BQ12" i="7"/>
  <c r="BQ13" i="7"/>
  <c r="BQ14" i="7"/>
  <c r="BQ15" i="7"/>
  <c r="D15" i="7" s="1"/>
  <c r="BQ16" i="7"/>
  <c r="D16" i="7" s="1"/>
  <c r="BQ17" i="7"/>
  <c r="BQ18" i="7"/>
  <c r="BQ19" i="7"/>
  <c r="BQ20" i="7"/>
  <c r="BQ21" i="7"/>
  <c r="BQ22" i="7"/>
  <c r="D22" i="7" s="1"/>
  <c r="BQ23" i="7"/>
  <c r="D23" i="7" s="1"/>
  <c r="BQ24" i="7"/>
  <c r="D24" i="7" s="1"/>
  <c r="BQ25" i="7"/>
  <c r="BQ26" i="7"/>
  <c r="BQ27" i="7"/>
  <c r="BQ28" i="7"/>
  <c r="BQ29" i="7"/>
  <c r="D29" i="7" s="1"/>
  <c r="BQ30" i="7"/>
  <c r="BQ31" i="7"/>
  <c r="BQ32" i="7"/>
  <c r="BQ33" i="7"/>
  <c r="D33" i="7" s="1"/>
  <c r="BQ34" i="7"/>
  <c r="BQ35" i="7"/>
  <c r="BQ36" i="7"/>
  <c r="D36" i="7" s="1"/>
  <c r="BQ37" i="7"/>
  <c r="BQ38" i="7"/>
  <c r="D38" i="7" s="1"/>
  <c r="BQ39" i="7"/>
  <c r="BQ40" i="7"/>
  <c r="BQ41" i="7"/>
  <c r="D41" i="7" s="1"/>
  <c r="BQ42" i="7"/>
  <c r="BQ43" i="7"/>
  <c r="BQ44" i="7"/>
  <c r="BQ45" i="7"/>
  <c r="BQ46" i="7"/>
  <c r="BR6" i="5"/>
  <c r="BR7" i="5"/>
  <c r="BR8" i="5"/>
  <c r="BR9" i="5"/>
  <c r="BR10" i="5"/>
  <c r="BR11" i="5"/>
  <c r="BR12" i="5"/>
  <c r="BR13" i="5"/>
  <c r="BR14" i="5"/>
  <c r="BR15" i="5"/>
  <c r="BR16" i="5"/>
  <c r="BR17" i="5"/>
  <c r="BR18" i="5"/>
  <c r="BR19" i="5"/>
  <c r="BR20" i="5"/>
  <c r="BR21" i="5"/>
  <c r="BR22" i="5"/>
  <c r="BR23" i="5"/>
  <c r="BR24" i="5"/>
  <c r="BR25" i="5"/>
  <c r="BR26" i="5"/>
  <c r="BR27" i="5"/>
  <c r="BR28" i="5"/>
  <c r="BR29" i="5"/>
  <c r="BR30" i="5"/>
  <c r="BR31" i="5"/>
  <c r="BR32" i="5"/>
  <c r="BR33" i="5"/>
  <c r="BR34" i="5"/>
  <c r="BR35" i="5"/>
  <c r="BR36" i="5"/>
  <c r="BR37" i="5"/>
  <c r="BR38" i="5"/>
  <c r="BR39" i="5"/>
  <c r="BR40" i="5"/>
  <c r="BR41" i="5"/>
  <c r="BR42" i="5"/>
  <c r="BR43" i="5"/>
  <c r="BR44" i="5"/>
  <c r="BR45" i="5"/>
  <c r="BR46" i="5"/>
  <c r="BR47" i="5"/>
  <c r="BR48" i="5"/>
  <c r="BR49" i="5"/>
  <c r="BR50" i="5"/>
  <c r="BR51" i="5"/>
  <c r="BR52" i="5"/>
  <c r="BR53" i="5"/>
  <c r="BR54" i="5"/>
  <c r="BR55" i="5"/>
  <c r="BR56" i="5"/>
  <c r="BR57" i="5"/>
  <c r="BR58" i="5"/>
  <c r="BR59" i="5"/>
  <c r="BR60" i="5"/>
  <c r="BR61" i="5"/>
  <c r="BR62" i="5"/>
  <c r="BR63" i="5"/>
  <c r="BR64" i="5"/>
  <c r="BR65" i="5"/>
  <c r="BR66" i="5"/>
  <c r="BR67" i="5"/>
  <c r="BR68" i="5"/>
  <c r="BR69" i="5"/>
  <c r="BR70" i="5"/>
  <c r="BR71" i="5"/>
  <c r="BR72" i="5"/>
  <c r="BR73" i="5"/>
  <c r="BR74" i="5"/>
  <c r="BR75" i="5"/>
  <c r="BR79" i="5"/>
  <c r="BR80" i="5"/>
  <c r="BR81" i="5"/>
  <c r="BR82" i="5"/>
  <c r="BR83" i="5"/>
  <c r="BR84" i="5"/>
  <c r="BR85" i="5"/>
  <c r="BR86" i="5"/>
  <c r="BR87" i="5"/>
  <c r="BR88" i="5"/>
  <c r="BR89" i="5"/>
  <c r="BR90" i="5"/>
  <c r="BR91" i="5"/>
  <c r="BR92" i="5"/>
  <c r="BR93" i="5"/>
  <c r="BR94" i="5"/>
  <c r="BR95" i="5"/>
  <c r="BR96" i="5"/>
  <c r="BR97" i="5"/>
  <c r="BR98" i="5"/>
  <c r="BR99" i="5"/>
  <c r="BR100" i="5"/>
  <c r="BR101" i="5"/>
  <c r="BR102" i="5"/>
  <c r="BR103" i="5"/>
  <c r="BR108" i="5"/>
  <c r="BR109" i="5"/>
  <c r="BR110" i="5"/>
  <c r="BR111" i="5"/>
  <c r="BQ6" i="5"/>
  <c r="BQ7" i="5"/>
  <c r="BQ8" i="5"/>
  <c r="BQ9" i="5"/>
  <c r="BQ10" i="5"/>
  <c r="BQ11" i="5"/>
  <c r="BQ12" i="5"/>
  <c r="BQ13" i="5"/>
  <c r="BQ14" i="5"/>
  <c r="BQ15" i="5"/>
  <c r="BQ16" i="5"/>
  <c r="BQ17" i="5"/>
  <c r="BQ18" i="5"/>
  <c r="BQ19" i="5"/>
  <c r="BQ20" i="5"/>
  <c r="BQ21" i="5"/>
  <c r="BQ22" i="5"/>
  <c r="BQ23" i="5"/>
  <c r="BQ24" i="5"/>
  <c r="BQ25" i="5"/>
  <c r="BQ26" i="5"/>
  <c r="BQ27" i="5"/>
  <c r="BQ28" i="5"/>
  <c r="BQ29" i="5"/>
  <c r="BQ30" i="5"/>
  <c r="BQ31" i="5"/>
  <c r="BQ32" i="5"/>
  <c r="BQ33" i="5"/>
  <c r="BQ34" i="5"/>
  <c r="BQ35" i="5"/>
  <c r="BQ36" i="5"/>
  <c r="BQ37" i="5"/>
  <c r="BQ38" i="5"/>
  <c r="BQ39" i="5"/>
  <c r="BQ40" i="5"/>
  <c r="BQ41" i="5"/>
  <c r="BQ42" i="5"/>
  <c r="BQ43" i="5"/>
  <c r="BQ44" i="5"/>
  <c r="BQ45" i="5"/>
  <c r="BQ46" i="5"/>
  <c r="BQ47" i="5"/>
  <c r="BQ48" i="5"/>
  <c r="BQ49" i="5"/>
  <c r="BQ50" i="5"/>
  <c r="BQ51" i="5"/>
  <c r="BQ52" i="5"/>
  <c r="BQ53" i="5"/>
  <c r="BQ54" i="5"/>
  <c r="BQ55" i="5"/>
  <c r="BQ56" i="5"/>
  <c r="BQ57" i="5"/>
  <c r="BQ58" i="5"/>
  <c r="BQ59" i="5"/>
  <c r="BQ60" i="5"/>
  <c r="BQ61" i="5"/>
  <c r="BQ62" i="5"/>
  <c r="BQ63" i="5"/>
  <c r="BQ64" i="5"/>
  <c r="BQ65" i="5"/>
  <c r="BQ66" i="5"/>
  <c r="BQ67" i="5"/>
  <c r="BQ68" i="5"/>
  <c r="BQ69" i="5"/>
  <c r="BQ70" i="5"/>
  <c r="BQ71" i="5"/>
  <c r="BQ72" i="5"/>
  <c r="BQ73" i="5"/>
  <c r="BQ74" i="5"/>
  <c r="BQ75" i="5"/>
  <c r="BQ79" i="5"/>
  <c r="BQ80" i="5"/>
  <c r="BQ81" i="5"/>
  <c r="BQ82" i="5"/>
  <c r="BQ83" i="5"/>
  <c r="BQ84" i="5"/>
  <c r="BQ85" i="5"/>
  <c r="BQ86" i="5"/>
  <c r="BQ87" i="5"/>
  <c r="BQ88" i="5"/>
  <c r="BQ89" i="5"/>
  <c r="BQ90" i="5"/>
  <c r="BQ91" i="5"/>
  <c r="BQ92" i="5"/>
  <c r="BQ93" i="5"/>
  <c r="BQ94" i="5"/>
  <c r="BQ95" i="5"/>
  <c r="BQ96" i="5"/>
  <c r="BQ97" i="5"/>
  <c r="BQ98" i="5"/>
  <c r="BQ99" i="5"/>
  <c r="BQ100" i="5"/>
  <c r="BQ101" i="5"/>
  <c r="BQ102" i="5"/>
  <c r="BQ103" i="5"/>
  <c r="BQ108" i="5"/>
  <c r="BQ109" i="5"/>
  <c r="BQ110" i="5"/>
  <c r="BQ111" i="5"/>
  <c r="BR5" i="16"/>
  <c r="BR6" i="16"/>
  <c r="BR7" i="16"/>
  <c r="BR8" i="16"/>
  <c r="BR9" i="16"/>
  <c r="BR10" i="16"/>
  <c r="BR11" i="16"/>
  <c r="BR12" i="16"/>
  <c r="BR13" i="16"/>
  <c r="BR14" i="16"/>
  <c r="BR15" i="16"/>
  <c r="BR16" i="16"/>
  <c r="BR17" i="16"/>
  <c r="BR18" i="16"/>
  <c r="BR19" i="16"/>
  <c r="BR20" i="16"/>
  <c r="BR21" i="16"/>
  <c r="BR22" i="16"/>
  <c r="BR23" i="16"/>
  <c r="BR24" i="16"/>
  <c r="BR25" i="16"/>
  <c r="BR26" i="16"/>
  <c r="BR27" i="16"/>
  <c r="BR28" i="16"/>
  <c r="BR29" i="16"/>
  <c r="BR30" i="16"/>
  <c r="BR31" i="16"/>
  <c r="BR32" i="16"/>
  <c r="BR33" i="16"/>
  <c r="BR34" i="16"/>
  <c r="BR35" i="16"/>
  <c r="BR36" i="16"/>
  <c r="BR37" i="16"/>
  <c r="BR38" i="16"/>
  <c r="BR39" i="16"/>
  <c r="BR40" i="16"/>
  <c r="BR41" i="16"/>
  <c r="BR42" i="16"/>
  <c r="BR43" i="16"/>
  <c r="BR44" i="16"/>
  <c r="BR45" i="16"/>
  <c r="BR46" i="16"/>
  <c r="BR47" i="16"/>
  <c r="BR48" i="16"/>
  <c r="BR49" i="16"/>
  <c r="BR50" i="16"/>
  <c r="BR51" i="16"/>
  <c r="BR52" i="16"/>
  <c r="BR53" i="16"/>
  <c r="BR54" i="16"/>
  <c r="BR55" i="16"/>
  <c r="BR56" i="16"/>
  <c r="BR57" i="16"/>
  <c r="BR58" i="16"/>
  <c r="BR59" i="16"/>
  <c r="BR60" i="16"/>
  <c r="BR61" i="16"/>
  <c r="BR62" i="16"/>
  <c r="BR63" i="16"/>
  <c r="BR64" i="16"/>
  <c r="BR65" i="16"/>
  <c r="BR66" i="16"/>
  <c r="BR67" i="16"/>
  <c r="BR68" i="16"/>
  <c r="BR69" i="16"/>
  <c r="BR70" i="16"/>
  <c r="BR71" i="16"/>
  <c r="BR72" i="16"/>
  <c r="BR73" i="16"/>
  <c r="BR74" i="16"/>
  <c r="BR75" i="16"/>
  <c r="BR76" i="16"/>
  <c r="BR77" i="16"/>
  <c r="BR78" i="16"/>
  <c r="BR79" i="16"/>
  <c r="BR80" i="16"/>
  <c r="BR81" i="16"/>
  <c r="BR82" i="16"/>
  <c r="BR83" i="16"/>
  <c r="BR84" i="16"/>
  <c r="BR85" i="16"/>
  <c r="BR86" i="16"/>
  <c r="BR87" i="16"/>
  <c r="BR88" i="16"/>
  <c r="BR89" i="16"/>
  <c r="BR90" i="16"/>
  <c r="BR91" i="16"/>
  <c r="BR92" i="16"/>
  <c r="BR93" i="16"/>
  <c r="BR94" i="16"/>
  <c r="BR95" i="16"/>
  <c r="BR96" i="16"/>
  <c r="BR97" i="16"/>
  <c r="BR98" i="16"/>
  <c r="BR99" i="16"/>
  <c r="BR100" i="16"/>
  <c r="BR101" i="16"/>
  <c r="BR102" i="16"/>
  <c r="BR103" i="16"/>
  <c r="BR104" i="16"/>
  <c r="BR105" i="16"/>
  <c r="BR106" i="16"/>
  <c r="BR107" i="16"/>
  <c r="BR108" i="16"/>
  <c r="BR109" i="16"/>
  <c r="BR110" i="16"/>
  <c r="BR111" i="16"/>
  <c r="BR112" i="16"/>
  <c r="BR113" i="16"/>
  <c r="BR114" i="16"/>
  <c r="BR115" i="16"/>
  <c r="BR116" i="16"/>
  <c r="BR117" i="16"/>
  <c r="BR118" i="16"/>
  <c r="BR119" i="16"/>
  <c r="BR120" i="16"/>
  <c r="BR121" i="16"/>
  <c r="BQ5" i="16"/>
  <c r="BQ6" i="16"/>
  <c r="BQ7" i="16"/>
  <c r="BQ8" i="16"/>
  <c r="BQ9" i="16"/>
  <c r="BQ10" i="16"/>
  <c r="BQ11" i="16"/>
  <c r="BQ12" i="16"/>
  <c r="BQ13" i="16"/>
  <c r="BQ14" i="16"/>
  <c r="BQ15" i="16"/>
  <c r="BQ16" i="16"/>
  <c r="BQ17" i="16"/>
  <c r="BQ18" i="16"/>
  <c r="BQ19" i="16"/>
  <c r="BQ20" i="16"/>
  <c r="BQ21" i="16"/>
  <c r="BQ22" i="16"/>
  <c r="BQ23" i="16"/>
  <c r="BQ24" i="16"/>
  <c r="BQ25" i="16"/>
  <c r="BQ26" i="16"/>
  <c r="BQ27" i="16"/>
  <c r="BQ28" i="16"/>
  <c r="BQ29" i="16"/>
  <c r="BQ30" i="16"/>
  <c r="BQ31" i="16"/>
  <c r="BQ32" i="16"/>
  <c r="BQ33" i="16"/>
  <c r="BQ34" i="16"/>
  <c r="BQ35" i="16"/>
  <c r="BQ36" i="16"/>
  <c r="BQ37" i="16"/>
  <c r="BQ38" i="16"/>
  <c r="BQ39" i="16"/>
  <c r="BQ40" i="16"/>
  <c r="BQ41" i="16"/>
  <c r="BQ42" i="16"/>
  <c r="BQ43" i="16"/>
  <c r="BQ44" i="16"/>
  <c r="BQ45" i="16"/>
  <c r="BQ46" i="16"/>
  <c r="BQ47" i="16"/>
  <c r="BQ48" i="16"/>
  <c r="BQ49" i="16"/>
  <c r="BQ50" i="16"/>
  <c r="BQ51" i="16"/>
  <c r="BQ52" i="16"/>
  <c r="BQ53" i="16"/>
  <c r="BQ54" i="16"/>
  <c r="BQ55" i="16"/>
  <c r="BQ56" i="16"/>
  <c r="BQ57" i="16"/>
  <c r="BQ58" i="16"/>
  <c r="BQ59" i="16"/>
  <c r="BQ60" i="16"/>
  <c r="BQ61" i="16"/>
  <c r="BQ62" i="16"/>
  <c r="BQ63" i="16"/>
  <c r="BQ64" i="16"/>
  <c r="BQ65" i="16"/>
  <c r="BQ66" i="16"/>
  <c r="BQ67" i="16"/>
  <c r="BQ68" i="16"/>
  <c r="BQ69" i="16"/>
  <c r="BQ70" i="16"/>
  <c r="BQ71" i="16"/>
  <c r="BQ72" i="16"/>
  <c r="BQ73" i="16"/>
  <c r="BQ74" i="16"/>
  <c r="BQ75" i="16"/>
  <c r="BQ76" i="16"/>
  <c r="BQ77" i="16"/>
  <c r="BQ78" i="16"/>
  <c r="BQ79" i="16"/>
  <c r="BQ80" i="16"/>
  <c r="BQ81" i="16"/>
  <c r="BQ82" i="16"/>
  <c r="BQ83" i="16"/>
  <c r="BQ84" i="16"/>
  <c r="BQ85" i="16"/>
  <c r="BQ86" i="16"/>
  <c r="BQ87" i="16"/>
  <c r="BQ88" i="16"/>
  <c r="BQ89" i="16"/>
  <c r="BQ90" i="16"/>
  <c r="BQ91" i="16"/>
  <c r="BQ92" i="16"/>
  <c r="BQ93" i="16"/>
  <c r="BQ94" i="16"/>
  <c r="BQ95" i="16"/>
  <c r="BQ96" i="16"/>
  <c r="BQ97" i="16"/>
  <c r="BQ98" i="16"/>
  <c r="BQ99" i="16"/>
  <c r="BQ100" i="16"/>
  <c r="BQ101" i="16"/>
  <c r="BQ102" i="16"/>
  <c r="BQ103" i="16"/>
  <c r="BQ104" i="16"/>
  <c r="BQ105" i="16"/>
  <c r="BQ106" i="16"/>
  <c r="BQ107" i="16"/>
  <c r="BQ108" i="16"/>
  <c r="BQ109" i="16"/>
  <c r="BQ110" i="16"/>
  <c r="BQ111" i="16"/>
  <c r="BQ112" i="16"/>
  <c r="BQ113" i="16"/>
  <c r="BQ114" i="16"/>
  <c r="BQ115" i="16"/>
  <c r="BQ116" i="16"/>
  <c r="BQ117" i="16"/>
  <c r="BQ118" i="16"/>
  <c r="BQ119" i="16"/>
  <c r="BQ120" i="16"/>
  <c r="BQ121" i="16"/>
  <c r="BQ4" i="16"/>
  <c r="BR6" i="2"/>
  <c r="BR7" i="2"/>
  <c r="BR8" i="2"/>
  <c r="BR9" i="2"/>
  <c r="BR10" i="2"/>
  <c r="BR11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D42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D79" i="2" s="1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R183" i="2"/>
  <c r="BR184" i="2"/>
  <c r="BR185" i="2"/>
  <c r="BR186" i="2"/>
  <c r="BR187" i="2"/>
  <c r="BR188" i="2"/>
  <c r="BR189" i="2"/>
  <c r="BR190" i="2"/>
  <c r="BR191" i="2"/>
  <c r="BR192" i="2"/>
  <c r="BR193" i="2"/>
  <c r="BR194" i="2"/>
  <c r="BR195" i="2"/>
  <c r="BR196" i="2"/>
  <c r="BR197" i="2"/>
  <c r="BR198" i="2"/>
  <c r="BR199" i="2"/>
  <c r="BR200" i="2"/>
  <c r="BR201" i="2"/>
  <c r="BR202" i="2"/>
  <c r="BR203" i="2"/>
  <c r="BR208" i="2"/>
  <c r="D208" i="2" s="1"/>
  <c r="BR209" i="2"/>
  <c r="BR210" i="2"/>
  <c r="BR211" i="2"/>
  <c r="BR212" i="2"/>
  <c r="BR216" i="2"/>
  <c r="BR217" i="2"/>
  <c r="BR218" i="2"/>
  <c r="BR219" i="2"/>
  <c r="BR220" i="2"/>
  <c r="BR221" i="2"/>
  <c r="BR222" i="2"/>
  <c r="BR223" i="2"/>
  <c r="BR224" i="2"/>
  <c r="BR225" i="2"/>
  <c r="BR226" i="2"/>
  <c r="BR227" i="2"/>
  <c r="BR228" i="2"/>
  <c r="BR229" i="2"/>
  <c r="BR230" i="2"/>
  <c r="BR231" i="2"/>
  <c r="BR232" i="2"/>
  <c r="BR233" i="2"/>
  <c r="BR234" i="2"/>
  <c r="BR235" i="2"/>
  <c r="BR236" i="2"/>
  <c r="BR237" i="2"/>
  <c r="BR238" i="2"/>
  <c r="BR239" i="2"/>
  <c r="BR240" i="2"/>
  <c r="D240" i="2" s="1"/>
  <c r="BQ6" i="2"/>
  <c r="BQ7" i="2"/>
  <c r="BQ8" i="2"/>
  <c r="BQ9" i="2"/>
  <c r="D9" i="2" s="1"/>
  <c r="BQ10" i="2"/>
  <c r="D10" i="2" s="1"/>
  <c r="BQ11" i="2"/>
  <c r="D11" i="2" s="1"/>
  <c r="BQ18" i="2"/>
  <c r="BQ19" i="2"/>
  <c r="BQ20" i="2"/>
  <c r="BQ21" i="2"/>
  <c r="BQ22" i="2"/>
  <c r="BQ23" i="2"/>
  <c r="D23" i="2" s="1"/>
  <c r="BQ24" i="2"/>
  <c r="D24" i="2" s="1"/>
  <c r="BQ25" i="2"/>
  <c r="D25" i="2" s="1"/>
  <c r="BQ26" i="2"/>
  <c r="D26" i="2" s="1"/>
  <c r="BQ27" i="2"/>
  <c r="D27" i="2" s="1"/>
  <c r="BQ28" i="2"/>
  <c r="D28" i="2" s="1"/>
  <c r="BQ29" i="2"/>
  <c r="BQ30" i="2"/>
  <c r="BQ31" i="2"/>
  <c r="D31" i="2" s="1"/>
  <c r="BQ32" i="2"/>
  <c r="D32" i="2" s="1"/>
  <c r="BQ33" i="2"/>
  <c r="D33" i="2" s="1"/>
  <c r="BQ34" i="2"/>
  <c r="D34" i="2" s="1"/>
  <c r="BQ35" i="2"/>
  <c r="D35" i="2" s="1"/>
  <c r="BQ36" i="2"/>
  <c r="D36" i="2" s="1"/>
  <c r="BQ37" i="2"/>
  <c r="BQ38" i="2"/>
  <c r="BQ39" i="2"/>
  <c r="D39" i="2" s="1"/>
  <c r="BQ40" i="2"/>
  <c r="D40" i="2" s="1"/>
  <c r="BQ41" i="2"/>
  <c r="BQ46" i="2"/>
  <c r="D46" i="2" s="1"/>
  <c r="BQ47" i="2"/>
  <c r="D47" i="2" s="1"/>
  <c r="BQ48" i="2"/>
  <c r="BQ49" i="2"/>
  <c r="BQ50" i="2"/>
  <c r="D50" i="2" s="1"/>
  <c r="BQ51" i="2"/>
  <c r="D51" i="2" s="1"/>
  <c r="BQ52" i="2"/>
  <c r="D52" i="2" s="1"/>
  <c r="BQ53" i="2"/>
  <c r="D53" i="2" s="1"/>
  <c r="BQ54" i="2"/>
  <c r="D54" i="2" s="1"/>
  <c r="BQ55" i="2"/>
  <c r="D55" i="2" s="1"/>
  <c r="BQ56" i="2"/>
  <c r="BQ57" i="2"/>
  <c r="BQ58" i="2"/>
  <c r="D58" i="2" s="1"/>
  <c r="BQ59" i="2"/>
  <c r="D59" i="2" s="1"/>
  <c r="BQ60" i="2"/>
  <c r="D60" i="2" s="1"/>
  <c r="BQ61" i="2"/>
  <c r="D61" i="2" s="1"/>
  <c r="BQ62" i="2"/>
  <c r="D62" i="2" s="1"/>
  <c r="BQ63" i="2"/>
  <c r="D63" i="2" s="1"/>
  <c r="BQ64" i="2"/>
  <c r="BQ65" i="2"/>
  <c r="BQ66" i="2"/>
  <c r="BQ67" i="2"/>
  <c r="D67" i="2" s="1"/>
  <c r="BQ68" i="2"/>
  <c r="D68" i="2" s="1"/>
  <c r="BQ69" i="2"/>
  <c r="BQ70" i="2"/>
  <c r="BQ71" i="2"/>
  <c r="D71" i="2" s="1"/>
  <c r="BQ72" i="2"/>
  <c r="BQ73" i="2"/>
  <c r="BQ74" i="2"/>
  <c r="D74" i="2" s="1"/>
  <c r="BQ75" i="2"/>
  <c r="D75" i="2" s="1"/>
  <c r="BQ76" i="2"/>
  <c r="D76" i="2" s="1"/>
  <c r="BQ77" i="2"/>
  <c r="D77" i="2" s="1"/>
  <c r="BQ78" i="2"/>
  <c r="D78" i="2" s="1"/>
  <c r="BQ85" i="2"/>
  <c r="D85" i="2" s="1"/>
  <c r="BQ86" i="2"/>
  <c r="D86" i="2" s="1"/>
  <c r="BQ87" i="2"/>
  <c r="BQ88" i="2"/>
  <c r="BQ89" i="2"/>
  <c r="D89" i="2" s="1"/>
  <c r="BQ90" i="2"/>
  <c r="D90" i="2" s="1"/>
  <c r="BQ91" i="2"/>
  <c r="BQ92" i="2"/>
  <c r="D92" i="2" s="1"/>
  <c r="BQ93" i="2"/>
  <c r="D93" i="2" s="1"/>
  <c r="BQ94" i="2"/>
  <c r="BQ95" i="2"/>
  <c r="BQ96" i="2"/>
  <c r="BQ97" i="2"/>
  <c r="D97" i="2" s="1"/>
  <c r="BQ98" i="2"/>
  <c r="BQ99" i="2"/>
  <c r="BQ100" i="2"/>
  <c r="D100" i="2" s="1"/>
  <c r="BQ101" i="2"/>
  <c r="D101" i="2" s="1"/>
  <c r="BQ102" i="2"/>
  <c r="D102" i="2" s="1"/>
  <c r="BQ103" i="2"/>
  <c r="BQ104" i="2"/>
  <c r="BQ105" i="2"/>
  <c r="D105" i="2" s="1"/>
  <c r="BQ106" i="2"/>
  <c r="D106" i="2" s="1"/>
  <c r="BQ107" i="2"/>
  <c r="D107" i="2" s="1"/>
  <c r="BQ108" i="2"/>
  <c r="D108" i="2" s="1"/>
  <c r="BQ109" i="2"/>
  <c r="D109" i="2" s="1"/>
  <c r="BQ110" i="2"/>
  <c r="D110" i="2" s="1"/>
  <c r="BQ111" i="2"/>
  <c r="BQ112" i="2"/>
  <c r="BQ113" i="2"/>
  <c r="D113" i="2" s="1"/>
  <c r="BQ114" i="2"/>
  <c r="D114" i="2" s="1"/>
  <c r="BQ115" i="2"/>
  <c r="BQ116" i="2"/>
  <c r="D116" i="2" s="1"/>
  <c r="BQ117" i="2"/>
  <c r="BQ118" i="2"/>
  <c r="D118" i="2" s="1"/>
  <c r="BQ119" i="2"/>
  <c r="BQ120" i="2"/>
  <c r="BQ121" i="2"/>
  <c r="D121" i="2" s="1"/>
  <c r="BQ122" i="2"/>
  <c r="D122" i="2" s="1"/>
  <c r="BQ123" i="2"/>
  <c r="D123" i="2" s="1"/>
  <c r="BQ124" i="2"/>
  <c r="BQ125" i="2"/>
  <c r="BQ126" i="2"/>
  <c r="BQ127" i="2"/>
  <c r="BQ128" i="2"/>
  <c r="BQ129" i="2"/>
  <c r="D129" i="2" s="1"/>
  <c r="BQ130" i="2"/>
  <c r="D130" i="2" s="1"/>
  <c r="BQ131" i="2"/>
  <c r="D131" i="2" s="1"/>
  <c r="BQ132" i="2"/>
  <c r="D132" i="2" s="1"/>
  <c r="BQ133" i="2"/>
  <c r="D133" i="2" s="1"/>
  <c r="BQ134" i="2"/>
  <c r="BQ135" i="2"/>
  <c r="BQ136" i="2"/>
  <c r="BQ137" i="2"/>
  <c r="D137" i="2" s="1"/>
  <c r="BQ138" i="2"/>
  <c r="D138" i="2" s="1"/>
  <c r="BQ139" i="2"/>
  <c r="BQ140" i="2"/>
  <c r="BQ141" i="2"/>
  <c r="BQ142" i="2"/>
  <c r="D142" i="2" s="1"/>
  <c r="BQ143" i="2"/>
  <c r="BQ144" i="2"/>
  <c r="BQ145" i="2"/>
  <c r="D145" i="2" s="1"/>
  <c r="BQ146" i="2"/>
  <c r="D146" i="2" s="1"/>
  <c r="BQ147" i="2"/>
  <c r="D147" i="2" s="1"/>
  <c r="BQ148" i="2"/>
  <c r="D148" i="2" s="1"/>
  <c r="BQ149" i="2"/>
  <c r="D149" i="2" s="1"/>
  <c r="BQ150" i="2"/>
  <c r="D150" i="2" s="1"/>
  <c r="BQ151" i="2"/>
  <c r="BQ152" i="2"/>
  <c r="BQ153" i="2"/>
  <c r="BQ154" i="2"/>
  <c r="D154" i="2" s="1"/>
  <c r="BQ155" i="2"/>
  <c r="D155" i="2" s="1"/>
  <c r="BQ156" i="2"/>
  <c r="D156" i="2" s="1"/>
  <c r="BQ157" i="2"/>
  <c r="D157" i="2" s="1"/>
  <c r="BQ158" i="2"/>
  <c r="D158" i="2" s="1"/>
  <c r="BQ159" i="2"/>
  <c r="BQ160" i="2"/>
  <c r="BQ161" i="2"/>
  <c r="D161" i="2" s="1"/>
  <c r="BQ162" i="2"/>
  <c r="D162" i="2" s="1"/>
  <c r="BQ163" i="2"/>
  <c r="BQ164" i="2"/>
  <c r="BQ165" i="2"/>
  <c r="BQ166" i="2"/>
  <c r="D166" i="2" s="1"/>
  <c r="BQ167" i="2"/>
  <c r="BQ168" i="2"/>
  <c r="BQ169" i="2"/>
  <c r="D169" i="2" s="1"/>
  <c r="BQ170" i="2"/>
  <c r="D170" i="2" s="1"/>
  <c r="BQ171" i="2"/>
  <c r="D171" i="2" s="1"/>
  <c r="BQ172" i="2"/>
  <c r="D172" i="2" s="1"/>
  <c r="BQ173" i="2"/>
  <c r="D173" i="2" s="1"/>
  <c r="BQ174" i="2"/>
  <c r="D174" i="2" s="1"/>
  <c r="BQ175" i="2"/>
  <c r="BQ176" i="2"/>
  <c r="BQ177" i="2"/>
  <c r="BQ178" i="2"/>
  <c r="D178" i="2" s="1"/>
  <c r="BQ179" i="2"/>
  <c r="D179" i="2" s="1"/>
  <c r="BQ180" i="2"/>
  <c r="D180" i="2" s="1"/>
  <c r="BQ181" i="2"/>
  <c r="D181" i="2" s="1"/>
  <c r="BQ182" i="2"/>
  <c r="D182" i="2" s="1"/>
  <c r="BQ183" i="2"/>
  <c r="BQ184" i="2"/>
  <c r="BQ185" i="2"/>
  <c r="D185" i="2" s="1"/>
  <c r="BQ186" i="2"/>
  <c r="D186" i="2" s="1"/>
  <c r="BQ187" i="2"/>
  <c r="BQ188" i="2"/>
  <c r="BQ189" i="2"/>
  <c r="BQ190" i="2"/>
  <c r="D190" i="2" s="1"/>
  <c r="BQ191" i="2"/>
  <c r="BQ192" i="2"/>
  <c r="BQ193" i="2"/>
  <c r="D193" i="2" s="1"/>
  <c r="BQ194" i="2"/>
  <c r="D194" i="2" s="1"/>
  <c r="BQ195" i="2"/>
  <c r="BQ196" i="2"/>
  <c r="BQ197" i="2"/>
  <c r="BQ198" i="2"/>
  <c r="D198" i="2" s="1"/>
  <c r="BQ199" i="2"/>
  <c r="BQ200" i="2"/>
  <c r="BQ201" i="2"/>
  <c r="BQ202" i="2"/>
  <c r="BQ203" i="2"/>
  <c r="BQ209" i="2"/>
  <c r="BQ210" i="2"/>
  <c r="BQ211" i="2"/>
  <c r="BQ212" i="2"/>
  <c r="BQ215" i="2"/>
  <c r="D215" i="2" s="1"/>
  <c r="BQ216" i="2"/>
  <c r="D216" i="2" s="1"/>
  <c r="BQ217" i="2"/>
  <c r="BQ218" i="2"/>
  <c r="D218" i="2" s="1"/>
  <c r="BQ219" i="2"/>
  <c r="D219" i="2" s="1"/>
  <c r="BQ220" i="2"/>
  <c r="D220" i="2" s="1"/>
  <c r="BQ221" i="2"/>
  <c r="D221" i="2" s="1"/>
  <c r="BQ222" i="2"/>
  <c r="BQ223" i="2"/>
  <c r="BQ224" i="2"/>
  <c r="D224" i="2" s="1"/>
  <c r="BQ225" i="2"/>
  <c r="BQ226" i="2"/>
  <c r="D226" i="2" s="1"/>
  <c r="BQ227" i="2"/>
  <c r="BQ228" i="2"/>
  <c r="D228" i="2" s="1"/>
  <c r="BQ229" i="2"/>
  <c r="BQ230" i="2"/>
  <c r="BQ231" i="2"/>
  <c r="BQ232" i="2"/>
  <c r="BQ233" i="2"/>
  <c r="D233" i="2" s="1"/>
  <c r="BQ234" i="2"/>
  <c r="D234" i="2" s="1"/>
  <c r="BQ235" i="2"/>
  <c r="D235" i="2" s="1"/>
  <c r="BQ236" i="2"/>
  <c r="BQ237" i="2"/>
  <c r="D237" i="2" s="1"/>
  <c r="BQ238" i="2"/>
  <c r="BQ239" i="2"/>
  <c r="BQ4" i="2"/>
  <c r="E7" i="14"/>
  <c r="D7" i="14"/>
  <c r="E5" i="14"/>
  <c r="D5" i="14"/>
  <c r="D189" i="2" l="1"/>
  <c r="D188" i="2"/>
  <c r="D187" i="2"/>
  <c r="D7" i="7"/>
  <c r="D201" i="2"/>
  <c r="D14" i="7"/>
  <c r="D117" i="2"/>
  <c r="D8" i="7"/>
  <c r="D37" i="7"/>
  <c r="D99" i="2"/>
  <c r="D30" i="7"/>
  <c r="D20" i="7"/>
  <c r="D21" i="7"/>
  <c r="D5" i="7"/>
  <c r="D238" i="2"/>
  <c r="D222" i="2"/>
  <c r="D191" i="2"/>
  <c r="D183" i="2"/>
  <c r="D167" i="2"/>
  <c r="D143" i="2"/>
  <c r="D135" i="2"/>
  <c r="D119" i="2"/>
  <c r="D111" i="2"/>
  <c r="D103" i="2"/>
  <c r="D95" i="2"/>
  <c r="D87" i="2"/>
  <c r="D37" i="2"/>
  <c r="D29" i="2"/>
  <c r="D21" i="2"/>
  <c r="D72" i="2"/>
  <c r="D64" i="2"/>
  <c r="D56" i="2"/>
  <c r="D48" i="2"/>
  <c r="D231" i="2"/>
  <c r="D223" i="2"/>
  <c r="D200" i="2"/>
  <c r="D192" i="2"/>
  <c r="D184" i="2"/>
  <c r="D160" i="2"/>
  <c r="D144" i="2"/>
  <c r="D120" i="2"/>
  <c r="D112" i="2"/>
  <c r="D104" i="2"/>
  <c r="D88" i="2"/>
  <c r="D30" i="2"/>
  <c r="D22" i="2"/>
  <c r="D73" i="2"/>
  <c r="D49" i="2"/>
  <c r="D35" i="7"/>
  <c r="D19" i="7"/>
  <c r="D34" i="7"/>
  <c r="D39" i="7"/>
  <c r="D18" i="7"/>
  <c r="D40" i="7"/>
  <c r="D26" i="7"/>
  <c r="D11" i="7"/>
  <c r="D32" i="7"/>
  <c r="D9" i="7"/>
  <c r="D45" i="7"/>
  <c r="D31" i="7"/>
  <c r="D25" i="7"/>
  <c r="D17" i="7"/>
  <c r="D44" i="7"/>
  <c r="D43" i="7"/>
  <c r="D13" i="7"/>
  <c r="D28" i="7"/>
  <c r="D27" i="7"/>
  <c r="D195" i="2"/>
  <c r="D163" i="2"/>
  <c r="D139" i="2"/>
  <c r="D115" i="2"/>
  <c r="D91" i="2"/>
  <c r="D41" i="2"/>
  <c r="D225" i="2"/>
  <c r="D202" i="2"/>
  <c r="D98" i="2"/>
  <c r="D177" i="2"/>
  <c r="D153" i="2"/>
  <c r="D66" i="2"/>
  <c r="D18" i="2"/>
  <c r="BT18" i="2" s="1"/>
  <c r="BV18" i="2" s="1"/>
  <c r="D212" i="2"/>
  <c r="D176" i="2"/>
  <c r="D168" i="2"/>
  <c r="D152" i="2"/>
  <c r="D136" i="2"/>
  <c r="D128" i="2"/>
  <c r="D96" i="2"/>
  <c r="D65" i="2"/>
  <c r="D57" i="2"/>
  <c r="D8" i="2"/>
  <c r="D211" i="2"/>
  <c r="D199" i="2"/>
  <c r="D175" i="2"/>
  <c r="D151" i="2"/>
  <c r="D127" i="2"/>
  <c r="D7" i="2"/>
  <c r="D210" i="2"/>
  <c r="D126" i="2"/>
  <c r="D94" i="2"/>
  <c r="D6" i="2"/>
  <c r="D209" i="2"/>
  <c r="D197" i="2"/>
  <c r="D165" i="2"/>
  <c r="D141" i="2"/>
  <c r="D125" i="2"/>
  <c r="D70" i="2"/>
  <c r="D20" i="2"/>
  <c r="D196" i="2"/>
  <c r="D164" i="2"/>
  <c r="D140" i="2"/>
  <c r="D124" i="2"/>
  <c r="D69" i="2"/>
  <c r="D19" i="2"/>
  <c r="D232" i="2"/>
  <c r="D229" i="2"/>
  <c r="D38" i="2"/>
  <c r="D5" i="16"/>
  <c r="D230" i="2"/>
  <c r="D217" i="2"/>
  <c r="D203" i="2"/>
  <c r="D134" i="2"/>
  <c r="D236" i="2"/>
  <c r="D159" i="2"/>
  <c r="D239" i="2"/>
  <c r="D227" i="2"/>
  <c r="D80" i="16"/>
  <c r="BQ3" i="17"/>
  <c r="BR3" i="17"/>
  <c r="BR49" i="19"/>
  <c r="AP3" i="19"/>
  <c r="BR4" i="19"/>
  <c r="BQ4" i="19"/>
  <c r="BP3" i="19"/>
  <c r="BO3" i="19"/>
  <c r="BN3" i="19"/>
  <c r="BM3" i="19"/>
  <c r="BL3" i="19"/>
  <c r="BK3" i="19"/>
  <c r="BJ3" i="19"/>
  <c r="BI3" i="19"/>
  <c r="BH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C3" i="19"/>
  <c r="G1" i="19"/>
  <c r="I1" i="19" s="1"/>
  <c r="K1" i="19" s="1"/>
  <c r="M1" i="19" s="1"/>
  <c r="O1" i="19" s="1"/>
  <c r="Q1" i="19" s="1"/>
  <c r="S1" i="19" s="1"/>
  <c r="U1" i="19" s="1"/>
  <c r="W1" i="19" s="1"/>
  <c r="Y1" i="19" s="1"/>
  <c r="AA1" i="19" s="1"/>
  <c r="AC1" i="19" s="1"/>
  <c r="AE1" i="19" s="1"/>
  <c r="AG1" i="19" s="1"/>
  <c r="AI1" i="19" s="1"/>
  <c r="AK1" i="19" s="1"/>
  <c r="AM1" i="19" s="1"/>
  <c r="AO1" i="19" s="1"/>
  <c r="AQ1" i="19" s="1"/>
  <c r="AS1" i="19" s="1"/>
  <c r="AU1" i="19" s="1"/>
  <c r="AW1" i="19" s="1"/>
  <c r="AY1" i="19" s="1"/>
  <c r="BA1" i="19" s="1"/>
  <c r="BC1" i="19" s="1"/>
  <c r="BE1" i="19" s="1"/>
  <c r="BG1" i="19" s="1"/>
  <c r="BI1" i="19" s="1"/>
  <c r="BK1" i="19" s="1"/>
  <c r="BM1" i="19" s="1"/>
  <c r="D21" i="17"/>
  <c r="BT21" i="17" s="1"/>
  <c r="BV21" i="17" s="1"/>
  <c r="BQ4" i="17"/>
  <c r="BO3" i="17"/>
  <c r="BN3" i="17"/>
  <c r="BM3" i="17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C3" i="17"/>
  <c r="G1" i="17"/>
  <c r="I1" i="17" s="1"/>
  <c r="K1" i="17" s="1"/>
  <c r="M1" i="17" s="1"/>
  <c r="O1" i="17" s="1"/>
  <c r="Q1" i="17" s="1"/>
  <c r="S1" i="17" s="1"/>
  <c r="U1" i="17" s="1"/>
  <c r="W1" i="17" s="1"/>
  <c r="Y1" i="17" s="1"/>
  <c r="AA1" i="17" s="1"/>
  <c r="AC1" i="17" s="1"/>
  <c r="AE1" i="17" s="1"/>
  <c r="AG1" i="17" s="1"/>
  <c r="AI1" i="17" s="1"/>
  <c r="AK1" i="17" s="1"/>
  <c r="AM1" i="17" s="1"/>
  <c r="AO1" i="17" s="1"/>
  <c r="AQ1" i="17" s="1"/>
  <c r="AS1" i="17" s="1"/>
  <c r="AU1" i="17" s="1"/>
  <c r="AW1" i="17" s="1"/>
  <c r="AY1" i="17" s="1"/>
  <c r="BA1" i="17" s="1"/>
  <c r="BC1" i="17" s="1"/>
  <c r="BE1" i="17" s="1"/>
  <c r="BG1" i="17" s="1"/>
  <c r="BI1" i="17" s="1"/>
  <c r="BK1" i="17" s="1"/>
  <c r="BM1" i="17" s="1"/>
  <c r="D3" i="7" l="1"/>
  <c r="D9" i="17"/>
  <c r="BT9" i="17" s="1"/>
  <c r="BV9" i="17" s="1"/>
  <c r="D25" i="17"/>
  <c r="BT25" i="17" s="1"/>
  <c r="BV25" i="17" s="1"/>
  <c r="D10" i="17"/>
  <c r="BT10" i="17" s="1"/>
  <c r="BV10" i="17" s="1"/>
  <c r="D43" i="19"/>
  <c r="BT43" i="19" s="1"/>
  <c r="BV43" i="19" s="1"/>
  <c r="D16" i="19"/>
  <c r="BT16" i="19" s="1"/>
  <c r="BV16" i="19" s="1"/>
  <c r="D7" i="19"/>
  <c r="BT7" i="19" s="1"/>
  <c r="BV7" i="19" s="1"/>
  <c r="D46" i="19"/>
  <c r="BT46" i="19" s="1"/>
  <c r="BV46" i="19" s="1"/>
  <c r="D28" i="19"/>
  <c r="BT28" i="19" s="1"/>
  <c r="BV28" i="19" s="1"/>
  <c r="D20" i="19"/>
  <c r="BT20" i="19" s="1"/>
  <c r="BV20" i="19" s="1"/>
  <c r="D29" i="19"/>
  <c r="BT29" i="19" s="1"/>
  <c r="BV29" i="19" s="1"/>
  <c r="D33" i="19"/>
  <c r="BT33" i="19" s="1"/>
  <c r="BV33" i="19" s="1"/>
  <c r="D44" i="19"/>
  <c r="BT44" i="19" s="1"/>
  <c r="BV44" i="19" s="1"/>
  <c r="D24" i="19"/>
  <c r="BT24" i="19" s="1"/>
  <c r="BV24" i="19" s="1"/>
  <c r="D15" i="19"/>
  <c r="BT15" i="19" s="1"/>
  <c r="BV15" i="19" s="1"/>
  <c r="D5" i="19"/>
  <c r="BT5" i="19" s="1"/>
  <c r="BV5" i="19" s="1"/>
  <c r="D11" i="19"/>
  <c r="BT11" i="19" s="1"/>
  <c r="BV11" i="19" s="1"/>
  <c r="D19" i="19"/>
  <c r="BT19" i="19" s="1"/>
  <c r="BV19" i="19" s="1"/>
  <c r="D23" i="19"/>
  <c r="BT23" i="19" s="1"/>
  <c r="BV23" i="19" s="1"/>
  <c r="D38" i="19"/>
  <c r="BT38" i="19" s="1"/>
  <c r="BV38" i="19" s="1"/>
  <c r="D18" i="19"/>
  <c r="BT18" i="19" s="1"/>
  <c r="BV18" i="19" s="1"/>
  <c r="D25" i="19"/>
  <c r="BT25" i="19" s="1"/>
  <c r="BV25" i="19" s="1"/>
  <c r="D27" i="19"/>
  <c r="BT27" i="19" s="1"/>
  <c r="BV27" i="19" s="1"/>
  <c r="D30" i="19"/>
  <c r="BT30" i="19" s="1"/>
  <c r="BV30" i="19" s="1"/>
  <c r="D8" i="19"/>
  <c r="BT8" i="19" s="1"/>
  <c r="BV8" i="19" s="1"/>
  <c r="D13" i="19"/>
  <c r="BT13" i="19" s="1"/>
  <c r="BV13" i="19" s="1"/>
  <c r="D32" i="19"/>
  <c r="BT32" i="19" s="1"/>
  <c r="BV32" i="19" s="1"/>
  <c r="D45" i="19"/>
  <c r="BT45" i="19" s="1"/>
  <c r="BV45" i="19" s="1"/>
  <c r="D39" i="19"/>
  <c r="BT39" i="19" s="1"/>
  <c r="BV39" i="19" s="1"/>
  <c r="D48" i="19"/>
  <c r="BT48" i="19" s="1"/>
  <c r="BV48" i="19" s="1"/>
  <c r="D14" i="19"/>
  <c r="BT14" i="19" s="1"/>
  <c r="BV14" i="19" s="1"/>
  <c r="D17" i="19"/>
  <c r="BT17" i="19" s="1"/>
  <c r="BV17" i="19" s="1"/>
  <c r="D21" i="19"/>
  <c r="BT21" i="19" s="1"/>
  <c r="BV21" i="19" s="1"/>
  <c r="D6" i="19"/>
  <c r="BT6" i="19" s="1"/>
  <c r="BV6" i="19" s="1"/>
  <c r="D37" i="19"/>
  <c r="BT37" i="19" s="1"/>
  <c r="BV37" i="19" s="1"/>
  <c r="D40" i="19"/>
  <c r="BT40" i="19" s="1"/>
  <c r="BV40" i="19" s="1"/>
  <c r="D12" i="19"/>
  <c r="BT12" i="19" s="1"/>
  <c r="BV12" i="19" s="1"/>
  <c r="D34" i="19"/>
  <c r="BT34" i="19" s="1"/>
  <c r="BV34" i="19" s="1"/>
  <c r="BQ3" i="19"/>
  <c r="D42" i="19"/>
  <c r="BT42" i="19" s="1"/>
  <c r="BV42" i="19" s="1"/>
  <c r="BR3" i="19"/>
  <c r="D9" i="19"/>
  <c r="BT9" i="19" s="1"/>
  <c r="BV9" i="19" s="1"/>
  <c r="D26" i="19"/>
  <c r="BT26" i="19" s="1"/>
  <c r="BV26" i="19" s="1"/>
  <c r="D31" i="19"/>
  <c r="BT31" i="19" s="1"/>
  <c r="BV31" i="19" s="1"/>
  <c r="D35" i="19"/>
  <c r="BT35" i="19" s="1"/>
  <c r="BV35" i="19" s="1"/>
  <c r="D41" i="19"/>
  <c r="BT41" i="19" s="1"/>
  <c r="BV41" i="19" s="1"/>
  <c r="D49" i="19"/>
  <c r="BT49" i="19" s="1"/>
  <c r="BV49" i="19" s="1"/>
  <c r="D10" i="19"/>
  <c r="BT10" i="19" s="1"/>
  <c r="BV10" i="19" s="1"/>
  <c r="D36" i="19"/>
  <c r="BT36" i="19" s="1"/>
  <c r="BV36" i="19" s="1"/>
  <c r="D47" i="19"/>
  <c r="BT47" i="19" s="1"/>
  <c r="BV47" i="19" s="1"/>
  <c r="D22" i="19"/>
  <c r="D6" i="17"/>
  <c r="BT6" i="17" s="1"/>
  <c r="BV6" i="17" s="1"/>
  <c r="D13" i="17"/>
  <c r="BT13" i="17" s="1"/>
  <c r="BV13" i="17" s="1"/>
  <c r="D23" i="17"/>
  <c r="BT23" i="17" s="1"/>
  <c r="BV23" i="17" s="1"/>
  <c r="D14" i="17"/>
  <c r="BT14" i="17" s="1"/>
  <c r="BV14" i="17" s="1"/>
  <c r="D8" i="17"/>
  <c r="BT8" i="17" s="1"/>
  <c r="BV8" i="17" s="1"/>
  <c r="D24" i="17"/>
  <c r="BT24" i="17" s="1"/>
  <c r="BV24" i="17" s="1"/>
  <c r="D19" i="17"/>
  <c r="BT19" i="17" s="1"/>
  <c r="BV19" i="17" s="1"/>
  <c r="D20" i="17"/>
  <c r="BT20" i="17" s="1"/>
  <c r="BV20" i="17" s="1"/>
  <c r="D22" i="17"/>
  <c r="BT22" i="17" s="1"/>
  <c r="BV22" i="17" s="1"/>
  <c r="D7" i="17"/>
  <c r="BT7" i="17" s="1"/>
  <c r="BV7" i="17" s="1"/>
  <c r="D12" i="17"/>
  <c r="BT12" i="17" s="1"/>
  <c r="BV12" i="17" s="1"/>
  <c r="D18" i="17"/>
  <c r="BT18" i="17" s="1"/>
  <c r="BV18" i="17" s="1"/>
  <c r="D16" i="17"/>
  <c r="BT16" i="17" s="1"/>
  <c r="BV16" i="17" s="1"/>
  <c r="D11" i="17"/>
  <c r="BT11" i="17" s="1"/>
  <c r="BV11" i="17" s="1"/>
  <c r="D15" i="17"/>
  <c r="BT15" i="17" s="1"/>
  <c r="BV15" i="17" s="1"/>
  <c r="D17" i="17"/>
  <c r="BT17" i="17" s="1"/>
  <c r="BV17" i="17" s="1"/>
  <c r="BT22" i="19" l="1"/>
  <c r="BV22" i="19" s="1"/>
  <c r="D3" i="19"/>
  <c r="C7" i="14" s="1"/>
  <c r="D3" i="17"/>
  <c r="C5" i="14" s="1"/>
  <c r="BT28" i="16" l="1"/>
  <c r="BV28" i="16" s="1"/>
  <c r="BT80" i="16"/>
  <c r="BV80" i="16" s="1"/>
  <c r="BR4" i="16"/>
  <c r="BP3" i="16"/>
  <c r="BO3" i="16"/>
  <c r="BN3" i="16"/>
  <c r="BM3" i="16"/>
  <c r="BL3" i="16"/>
  <c r="BK3" i="16"/>
  <c r="BJ3" i="16"/>
  <c r="BI3" i="16"/>
  <c r="BH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T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O1" i="16"/>
  <c r="Q1" i="16" s="1"/>
  <c r="S1" i="16" s="1"/>
  <c r="U1" i="16" s="1"/>
  <c r="W1" i="16" s="1"/>
  <c r="Y1" i="16" s="1"/>
  <c r="AA1" i="16" s="1"/>
  <c r="AC1" i="16" s="1"/>
  <c r="AE1" i="16" s="1"/>
  <c r="AG1" i="16" s="1"/>
  <c r="AI1" i="16" s="1"/>
  <c r="AK1" i="16" s="1"/>
  <c r="AM1" i="16" s="1"/>
  <c r="AO1" i="16" s="1"/>
  <c r="AQ1" i="16" s="1"/>
  <c r="AS1" i="16" s="1"/>
  <c r="AU1" i="16" s="1"/>
  <c r="AW1" i="16" s="1"/>
  <c r="AY1" i="16" s="1"/>
  <c r="BA1" i="16" s="1"/>
  <c r="BC1" i="16" s="1"/>
  <c r="BE1" i="16" s="1"/>
  <c r="BG1" i="16" s="1"/>
  <c r="BI1" i="16" s="1"/>
  <c r="BK1" i="16" s="1"/>
  <c r="BM1" i="16" s="1"/>
  <c r="G1" i="16"/>
  <c r="I1" i="16" s="1"/>
  <c r="K1" i="16" s="1"/>
  <c r="D79" i="16" l="1"/>
  <c r="BT79" i="16" s="1"/>
  <c r="BV79" i="16" s="1"/>
  <c r="D88" i="16"/>
  <c r="BT88" i="16" s="1"/>
  <c r="BV88" i="16" s="1"/>
  <c r="D96" i="16"/>
  <c r="BT96" i="16" s="1"/>
  <c r="BV96" i="16" s="1"/>
  <c r="D117" i="16"/>
  <c r="BT117" i="16" s="1"/>
  <c r="BV117" i="16" s="1"/>
  <c r="D44" i="16"/>
  <c r="BT44" i="16" s="1"/>
  <c r="BV44" i="16" s="1"/>
  <c r="D68" i="16"/>
  <c r="BT68" i="16" s="1"/>
  <c r="BV68" i="16" s="1"/>
  <c r="D72" i="16"/>
  <c r="BT72" i="16" s="1"/>
  <c r="BV72" i="16" s="1"/>
  <c r="D83" i="16"/>
  <c r="BT83" i="16" s="1"/>
  <c r="BV83" i="16" s="1"/>
  <c r="D91" i="16"/>
  <c r="BT91" i="16" s="1"/>
  <c r="BV91" i="16" s="1"/>
  <c r="D99" i="16"/>
  <c r="BT99" i="16" s="1"/>
  <c r="BV99" i="16" s="1"/>
  <c r="D105" i="16"/>
  <c r="BT105" i="16" s="1"/>
  <c r="BV105" i="16" s="1"/>
  <c r="D108" i="16"/>
  <c r="BT108" i="16" s="1"/>
  <c r="BV108" i="16" s="1"/>
  <c r="D112" i="16"/>
  <c r="BT112" i="16" s="1"/>
  <c r="BV112" i="16" s="1"/>
  <c r="D71" i="16"/>
  <c r="BT71" i="16" s="1"/>
  <c r="BV71" i="16" s="1"/>
  <c r="D121" i="16"/>
  <c r="BT121" i="16" s="1"/>
  <c r="BV121" i="16" s="1"/>
  <c r="D76" i="16"/>
  <c r="BT76" i="16" s="1"/>
  <c r="BV76" i="16" s="1"/>
  <c r="D81" i="16"/>
  <c r="BT81" i="16" s="1"/>
  <c r="BV81" i="16" s="1"/>
  <c r="D89" i="16"/>
  <c r="BT89" i="16" s="1"/>
  <c r="BV89" i="16" s="1"/>
  <c r="D97" i="16"/>
  <c r="BT97" i="16" s="1"/>
  <c r="BV97" i="16" s="1"/>
  <c r="D101" i="16"/>
  <c r="BT101" i="16" s="1"/>
  <c r="BV101" i="16" s="1"/>
  <c r="D110" i="16"/>
  <c r="BT110" i="16" s="1"/>
  <c r="BV110" i="16" s="1"/>
  <c r="D114" i="16"/>
  <c r="BT114" i="16" s="1"/>
  <c r="BV114" i="16" s="1"/>
  <c r="D45" i="16"/>
  <c r="BT45" i="16" s="1"/>
  <c r="BV45" i="16" s="1"/>
  <c r="D51" i="16"/>
  <c r="BT51" i="16" s="1"/>
  <c r="BV51" i="16" s="1"/>
  <c r="D55" i="16"/>
  <c r="BT55" i="16" s="1"/>
  <c r="BV55" i="16" s="1"/>
  <c r="D58" i="16"/>
  <c r="BT58" i="16" s="1"/>
  <c r="BV58" i="16" s="1"/>
  <c r="D60" i="16"/>
  <c r="BT60" i="16" s="1"/>
  <c r="BV60" i="16" s="1"/>
  <c r="D64" i="16"/>
  <c r="BT64" i="16" s="1"/>
  <c r="BV64" i="16" s="1"/>
  <c r="D30" i="16"/>
  <c r="BT30" i="16" s="1"/>
  <c r="BV30" i="16" s="1"/>
  <c r="D34" i="16"/>
  <c r="BT34" i="16" s="1"/>
  <c r="BV34" i="16" s="1"/>
  <c r="D41" i="16"/>
  <c r="BT41" i="16" s="1"/>
  <c r="BV41" i="16" s="1"/>
  <c r="D48" i="16"/>
  <c r="BT48" i="16" s="1"/>
  <c r="BV48" i="16" s="1"/>
  <c r="D56" i="16"/>
  <c r="BT56" i="16" s="1"/>
  <c r="BV56" i="16" s="1"/>
  <c r="D61" i="16"/>
  <c r="BT61" i="16" s="1"/>
  <c r="BV61" i="16" s="1"/>
  <c r="D65" i="16"/>
  <c r="BT65" i="16" s="1"/>
  <c r="BV65" i="16" s="1"/>
  <c r="D13" i="16"/>
  <c r="BT13" i="16" s="1"/>
  <c r="BV13" i="16" s="1"/>
  <c r="D31" i="16"/>
  <c r="BT31" i="16" s="1"/>
  <c r="BV31" i="16" s="1"/>
  <c r="D63" i="16"/>
  <c r="BT63" i="16" s="1"/>
  <c r="BV63" i="16" s="1"/>
  <c r="D27" i="16"/>
  <c r="BT27" i="16" s="1"/>
  <c r="BV27" i="16" s="1"/>
  <c r="D10" i="16"/>
  <c r="BT10" i="16" s="1"/>
  <c r="BV10" i="16" s="1"/>
  <c r="D18" i="16"/>
  <c r="BT18" i="16" s="1"/>
  <c r="BV18" i="16" s="1"/>
  <c r="D77" i="16"/>
  <c r="BT77" i="16" s="1"/>
  <c r="BV77" i="16" s="1"/>
  <c r="D86" i="16"/>
  <c r="BT86" i="16" s="1"/>
  <c r="BV86" i="16" s="1"/>
  <c r="D11" i="16"/>
  <c r="BT11" i="16" s="1"/>
  <c r="BV11" i="16" s="1"/>
  <c r="D39" i="16"/>
  <c r="BT39" i="16" s="1"/>
  <c r="BV39" i="16" s="1"/>
  <c r="D12" i="16"/>
  <c r="BT12" i="16" s="1"/>
  <c r="BV12" i="16" s="1"/>
  <c r="D20" i="16"/>
  <c r="BT20" i="16" s="1"/>
  <c r="BV20" i="16" s="1"/>
  <c r="D70" i="16"/>
  <c r="BT70" i="16" s="1"/>
  <c r="BV70" i="16" s="1"/>
  <c r="D43" i="16"/>
  <c r="BT43" i="16" s="1"/>
  <c r="BV43" i="16" s="1"/>
  <c r="D47" i="16"/>
  <c r="BT47" i="16" s="1"/>
  <c r="BV47" i="16" s="1"/>
  <c r="D50" i="16"/>
  <c r="BT50" i="16" s="1"/>
  <c r="BV50" i="16" s="1"/>
  <c r="D54" i="16"/>
  <c r="BT54" i="16" s="1"/>
  <c r="BV54" i="16" s="1"/>
  <c r="D84" i="16"/>
  <c r="BT84" i="16" s="1"/>
  <c r="BV84" i="16" s="1"/>
  <c r="D92" i="16"/>
  <c r="BT92" i="16" s="1"/>
  <c r="BV92" i="16" s="1"/>
  <c r="D100" i="16"/>
  <c r="BT100" i="16" s="1"/>
  <c r="BV100" i="16" s="1"/>
  <c r="D119" i="16"/>
  <c r="BT119" i="16" s="1"/>
  <c r="BV119" i="16" s="1"/>
  <c r="D85" i="16"/>
  <c r="BT85" i="16" s="1"/>
  <c r="BV85" i="16" s="1"/>
  <c r="D93" i="16"/>
  <c r="BT93" i="16" s="1"/>
  <c r="BV93" i="16" s="1"/>
  <c r="D6" i="16"/>
  <c r="D19" i="16"/>
  <c r="BT19" i="16" s="1"/>
  <c r="BV19" i="16" s="1"/>
  <c r="D23" i="16"/>
  <c r="BT23" i="16" s="1"/>
  <c r="BV23" i="16" s="1"/>
  <c r="D32" i="16"/>
  <c r="BT32" i="16" s="1"/>
  <c r="BV32" i="16" s="1"/>
  <c r="D36" i="16"/>
  <c r="BT36" i="16" s="1"/>
  <c r="BV36" i="16" s="1"/>
  <c r="D66" i="16"/>
  <c r="BT66" i="16" s="1"/>
  <c r="BV66" i="16" s="1"/>
  <c r="D94" i="16"/>
  <c r="BT94" i="16" s="1"/>
  <c r="BV94" i="16" s="1"/>
  <c r="D98" i="16"/>
  <c r="BT98" i="16" s="1"/>
  <c r="BV98" i="16" s="1"/>
  <c r="D102" i="16"/>
  <c r="BT102" i="16" s="1"/>
  <c r="BV102" i="16" s="1"/>
  <c r="D104" i="16"/>
  <c r="D107" i="16"/>
  <c r="BT107" i="16" s="1"/>
  <c r="BV107" i="16" s="1"/>
  <c r="D111" i="16"/>
  <c r="BT111" i="16" s="1"/>
  <c r="BV111" i="16" s="1"/>
  <c r="D120" i="16"/>
  <c r="BT120" i="16" s="1"/>
  <c r="BV120" i="16" s="1"/>
  <c r="D52" i="16"/>
  <c r="BT52" i="16" s="1"/>
  <c r="BV52" i="16" s="1"/>
  <c r="D7" i="16"/>
  <c r="BT7" i="16" s="1"/>
  <c r="BV7" i="16" s="1"/>
  <c r="D75" i="16"/>
  <c r="BT75" i="16" s="1"/>
  <c r="BV75" i="16" s="1"/>
  <c r="D115" i="16"/>
  <c r="BT115" i="16" s="1"/>
  <c r="BV115" i="16" s="1"/>
  <c r="D8" i="16"/>
  <c r="BT8" i="16" s="1"/>
  <c r="BV8" i="16" s="1"/>
  <c r="D9" i="16"/>
  <c r="BT9" i="16" s="1"/>
  <c r="BV9" i="16" s="1"/>
  <c r="D17" i="16"/>
  <c r="BT17" i="16" s="1"/>
  <c r="BV17" i="16" s="1"/>
  <c r="D42" i="16"/>
  <c r="BT42" i="16" s="1"/>
  <c r="BV42" i="16" s="1"/>
  <c r="D73" i="16"/>
  <c r="BT73" i="16" s="1"/>
  <c r="BV73" i="16" s="1"/>
  <c r="D118" i="16"/>
  <c r="BT118" i="16" s="1"/>
  <c r="BV118" i="16" s="1"/>
  <c r="D15" i="16"/>
  <c r="BT15" i="16" s="1"/>
  <c r="BV15" i="16" s="1"/>
  <c r="D26" i="16"/>
  <c r="BT26" i="16" s="1"/>
  <c r="BV26" i="16" s="1"/>
  <c r="D35" i="16"/>
  <c r="BT35" i="16" s="1"/>
  <c r="BV35" i="16" s="1"/>
  <c r="D46" i="16"/>
  <c r="BT46" i="16" s="1"/>
  <c r="BV46" i="16" s="1"/>
  <c r="D62" i="16"/>
  <c r="BT62" i="16" s="1"/>
  <c r="BV62" i="16" s="1"/>
  <c r="D87" i="16"/>
  <c r="BT87" i="16" s="1"/>
  <c r="BV87" i="16" s="1"/>
  <c r="BR3" i="16"/>
  <c r="D40" i="16"/>
  <c r="BT40" i="16" s="1"/>
  <c r="BV40" i="16" s="1"/>
  <c r="D49" i="16"/>
  <c r="BT49" i="16" s="1"/>
  <c r="BV49" i="16" s="1"/>
  <c r="D106" i="16"/>
  <c r="BT106" i="16" s="1"/>
  <c r="BV106" i="16" s="1"/>
  <c r="BT5" i="16"/>
  <c r="D16" i="16"/>
  <c r="BT16" i="16" s="1"/>
  <c r="BV16" i="16" s="1"/>
  <c r="D24" i="16"/>
  <c r="BT24" i="16" s="1"/>
  <c r="BV24" i="16" s="1"/>
  <c r="D29" i="16"/>
  <c r="BT29" i="16" s="1"/>
  <c r="BV29" i="16" s="1"/>
  <c r="D33" i="16"/>
  <c r="BT33" i="16" s="1"/>
  <c r="BV33" i="16" s="1"/>
  <c r="D53" i="16"/>
  <c r="BT53" i="16" s="1"/>
  <c r="BV53" i="16" s="1"/>
  <c r="D69" i="16"/>
  <c r="BT69" i="16" s="1"/>
  <c r="BV69" i="16" s="1"/>
  <c r="D82" i="16"/>
  <c r="BT82" i="16" s="1"/>
  <c r="BV82" i="16" s="1"/>
  <c r="D95" i="16"/>
  <c r="BT95" i="16" s="1"/>
  <c r="BV95" i="16" s="1"/>
  <c r="D109" i="16"/>
  <c r="BT109" i="16" s="1"/>
  <c r="BV109" i="16" s="1"/>
  <c r="BQ3" i="16"/>
  <c r="D25" i="16"/>
  <c r="BT25" i="16" s="1"/>
  <c r="BV25" i="16" s="1"/>
  <c r="D57" i="16"/>
  <c r="BT57" i="16" s="1"/>
  <c r="BV57" i="16" s="1"/>
  <c r="D67" i="16"/>
  <c r="BT67" i="16" s="1"/>
  <c r="BV67" i="16" s="1"/>
  <c r="D78" i="16"/>
  <c r="BT78" i="16" s="1"/>
  <c r="BV78" i="16" s="1"/>
  <c r="D113" i="16"/>
  <c r="BT113" i="16" s="1"/>
  <c r="BV113" i="16" s="1"/>
  <c r="D116" i="16"/>
  <c r="BT116" i="16" s="1"/>
  <c r="BV116" i="16" s="1"/>
  <c r="BT14" i="16"/>
  <c r="BV14" i="16" s="1"/>
  <c r="D59" i="16"/>
  <c r="BT59" i="16" s="1"/>
  <c r="BV59" i="16" s="1"/>
  <c r="D74" i="16"/>
  <c r="BT74" i="16" s="1"/>
  <c r="BV74" i="16" s="1"/>
  <c r="D90" i="16"/>
  <c r="BT90" i="16" s="1"/>
  <c r="BV90" i="16" s="1"/>
  <c r="D103" i="16"/>
  <c r="BT103" i="16" s="1"/>
  <c r="BV103" i="16" s="1"/>
  <c r="D22" i="16"/>
  <c r="BT22" i="16" s="1"/>
  <c r="BV22" i="16" s="1"/>
  <c r="D38" i="16"/>
  <c r="BT38" i="16" s="1"/>
  <c r="BV38" i="16" s="1"/>
  <c r="D21" i="16"/>
  <c r="BT21" i="16" s="1"/>
  <c r="BV21" i="16" s="1"/>
  <c r="D37" i="16"/>
  <c r="BT37" i="16" s="1"/>
  <c r="BV37" i="16" s="1"/>
  <c r="BT6" i="16" l="1"/>
  <c r="BV6" i="16" s="1"/>
  <c r="D2" i="16"/>
  <c r="C4" i="14" s="1"/>
  <c r="BT104" i="16"/>
  <c r="BV104" i="16" s="1"/>
  <c r="BV5" i="16"/>
  <c r="BL66" i="3"/>
  <c r="BL60" i="3"/>
  <c r="BJ120" i="3"/>
  <c r="BJ37" i="3"/>
  <c r="BT2" i="16" l="1"/>
  <c r="D4" i="14" s="1"/>
  <c r="BV2" i="16"/>
  <c r="E4" i="14" s="1"/>
  <c r="BH43" i="3"/>
  <c r="BT9" i="2" l="1"/>
  <c r="BV9" i="2" s="1"/>
  <c r="BT10" i="2"/>
  <c r="BV10" i="2" s="1"/>
  <c r="BT11" i="2"/>
  <c r="BV11" i="2" s="1"/>
  <c r="BT8" i="2" l="1"/>
  <c r="BV8" i="2" s="1"/>
  <c r="BT7" i="2"/>
  <c r="BV7" i="2" s="1"/>
  <c r="BT6" i="2"/>
  <c r="BV6" i="2" s="1"/>
  <c r="AP37" i="6"/>
  <c r="AX82" i="3" l="1"/>
  <c r="AV68" i="3"/>
  <c r="BT215" i="2" l="1"/>
  <c r="BV215" i="2" s="1"/>
  <c r="BT216" i="2" l="1"/>
  <c r="BV216" i="2" s="1"/>
  <c r="AF67" i="3" l="1"/>
  <c r="AF31" i="4"/>
  <c r="Z139" i="3" l="1"/>
  <c r="R60" i="3" l="1"/>
  <c r="H97" i="3" l="1"/>
  <c r="BR5" i="6" l="1"/>
  <c r="BR6" i="6"/>
  <c r="BR7" i="6"/>
  <c r="BR8" i="6"/>
  <c r="BR9" i="6"/>
  <c r="BR10" i="6"/>
  <c r="BR11" i="6"/>
  <c r="BR12" i="6"/>
  <c r="BR13" i="6"/>
  <c r="BR14" i="6"/>
  <c r="BR15" i="6"/>
  <c r="BR16" i="6"/>
  <c r="BR17" i="6"/>
  <c r="BR18" i="6"/>
  <c r="BR19" i="6"/>
  <c r="BR20" i="6"/>
  <c r="BR21" i="6"/>
  <c r="BR22" i="6"/>
  <c r="BR23" i="6"/>
  <c r="BR24" i="6"/>
  <c r="BR25" i="6"/>
  <c r="BR26" i="6"/>
  <c r="BR27" i="6"/>
  <c r="BR28" i="6"/>
  <c r="BR29" i="6"/>
  <c r="BR30" i="6"/>
  <c r="BR31" i="6"/>
  <c r="BR32" i="6"/>
  <c r="BR33" i="6"/>
  <c r="BR34" i="6"/>
  <c r="BR35" i="6"/>
  <c r="BR36" i="6"/>
  <c r="BR37" i="6"/>
  <c r="BR38" i="6"/>
  <c r="BR39" i="6"/>
  <c r="BR40" i="6"/>
  <c r="BR41" i="6"/>
  <c r="BR42" i="6"/>
  <c r="BR43" i="6"/>
  <c r="BR44" i="6"/>
  <c r="BR45" i="6"/>
  <c r="BR46" i="6"/>
  <c r="BR47" i="6"/>
  <c r="BR48" i="6"/>
  <c r="BR49" i="6"/>
  <c r="BR50" i="6"/>
  <c r="BR51" i="6"/>
  <c r="BR52" i="6"/>
  <c r="BR53" i="6"/>
  <c r="BR54" i="6"/>
  <c r="BR55" i="6"/>
  <c r="BR56" i="6"/>
  <c r="BR57" i="6"/>
  <c r="BR58" i="6"/>
  <c r="BR59" i="6"/>
  <c r="BR60" i="6"/>
  <c r="BR61" i="6"/>
  <c r="BR62" i="6"/>
  <c r="BR63" i="6"/>
  <c r="BR64" i="6"/>
  <c r="BR65" i="6"/>
  <c r="BR66" i="6"/>
  <c r="BR67" i="6"/>
  <c r="BR68" i="6"/>
  <c r="BR69" i="6"/>
  <c r="BR70" i="6"/>
  <c r="BR71" i="6"/>
  <c r="BR72" i="6"/>
  <c r="BR73" i="6"/>
  <c r="BR74" i="6"/>
  <c r="BR75" i="6"/>
  <c r="BR76" i="6"/>
  <c r="BR77" i="6"/>
  <c r="BR78" i="6"/>
  <c r="BR79" i="6"/>
  <c r="BR80" i="6"/>
  <c r="BR81" i="6"/>
  <c r="BR82" i="6"/>
  <c r="BQ5" i="6"/>
  <c r="BQ6" i="6"/>
  <c r="BQ7" i="6"/>
  <c r="BQ8" i="6"/>
  <c r="BQ9" i="6"/>
  <c r="BQ10" i="6"/>
  <c r="BQ11" i="6"/>
  <c r="BQ12" i="6"/>
  <c r="BQ13" i="6"/>
  <c r="BQ14" i="6"/>
  <c r="BQ15" i="6"/>
  <c r="BQ16" i="6"/>
  <c r="BQ17" i="6"/>
  <c r="BQ18" i="6"/>
  <c r="BQ19" i="6"/>
  <c r="BQ20" i="6"/>
  <c r="BQ21" i="6"/>
  <c r="BQ22" i="6"/>
  <c r="BQ23" i="6"/>
  <c r="BQ24" i="6"/>
  <c r="BQ25" i="6"/>
  <c r="BQ26" i="6"/>
  <c r="BQ27" i="6"/>
  <c r="BQ28" i="6"/>
  <c r="BQ29" i="6"/>
  <c r="BQ30" i="6"/>
  <c r="BQ31" i="6"/>
  <c r="BQ32" i="6"/>
  <c r="BQ33" i="6"/>
  <c r="BQ34" i="6"/>
  <c r="BQ35" i="6"/>
  <c r="BQ36" i="6"/>
  <c r="BQ37" i="6"/>
  <c r="BQ38" i="6"/>
  <c r="BQ39" i="6"/>
  <c r="BQ40" i="6"/>
  <c r="BQ41" i="6"/>
  <c r="BQ42" i="6"/>
  <c r="BQ43" i="6"/>
  <c r="BQ44" i="6"/>
  <c r="BQ45" i="6"/>
  <c r="BQ46" i="6"/>
  <c r="BQ47" i="6"/>
  <c r="BQ48" i="6"/>
  <c r="BQ49" i="6"/>
  <c r="BQ50" i="6"/>
  <c r="BQ51" i="6"/>
  <c r="BQ52" i="6"/>
  <c r="BQ53" i="6"/>
  <c r="BQ54" i="6"/>
  <c r="BQ55" i="6"/>
  <c r="BQ56" i="6"/>
  <c r="BQ57" i="6"/>
  <c r="BQ58" i="6"/>
  <c r="BQ59" i="6"/>
  <c r="BQ60" i="6"/>
  <c r="BQ61" i="6"/>
  <c r="BQ62" i="6"/>
  <c r="BQ63" i="6"/>
  <c r="BQ64" i="6"/>
  <c r="BQ65" i="6"/>
  <c r="BQ66" i="6"/>
  <c r="BQ67" i="6"/>
  <c r="BQ68" i="6"/>
  <c r="BQ69" i="6"/>
  <c r="BQ70" i="6"/>
  <c r="BQ71" i="6"/>
  <c r="BQ72" i="6"/>
  <c r="BQ73" i="6"/>
  <c r="BQ74" i="6"/>
  <c r="BQ75" i="6"/>
  <c r="BQ76" i="6"/>
  <c r="BQ77" i="6"/>
  <c r="BQ78" i="6"/>
  <c r="BQ79" i="6"/>
  <c r="BQ80" i="6"/>
  <c r="BQ81" i="6"/>
  <c r="D101" i="5"/>
  <c r="BR112" i="5"/>
  <c r="BR113" i="5"/>
  <c r="D9" i="5"/>
  <c r="D10" i="5"/>
  <c r="D11" i="5"/>
  <c r="D13" i="5"/>
  <c r="D16" i="5"/>
  <c r="D17" i="5"/>
  <c r="D18" i="5"/>
  <c r="D19" i="5"/>
  <c r="D20" i="5"/>
  <c r="D24" i="5"/>
  <c r="D25" i="5"/>
  <c r="D28" i="5"/>
  <c r="D35" i="5"/>
  <c r="D39" i="5"/>
  <c r="D47" i="5"/>
  <c r="BT47" i="5" s="1"/>
  <c r="D48" i="5"/>
  <c r="BT48" i="5" s="1"/>
  <c r="D49" i="5"/>
  <c r="BT49" i="5" s="1"/>
  <c r="D50" i="5"/>
  <c r="BT50" i="5" s="1"/>
  <c r="BV50" i="5" s="1"/>
  <c r="D51" i="5"/>
  <c r="BT51" i="5" s="1"/>
  <c r="BV51" i="5" s="1"/>
  <c r="D58" i="5"/>
  <c r="BT58" i="5" s="1"/>
  <c r="BV58" i="5" s="1"/>
  <c r="D65" i="5"/>
  <c r="D66" i="5"/>
  <c r="D71" i="5"/>
  <c r="D74" i="5"/>
  <c r="BT74" i="5" s="1"/>
  <c r="D80" i="5"/>
  <c r="D88" i="5"/>
  <c r="BT88" i="5" s="1"/>
  <c r="D91" i="5"/>
  <c r="D95" i="5"/>
  <c r="D109" i="5"/>
  <c r="D110" i="5"/>
  <c r="BQ112" i="5"/>
  <c r="BQ113" i="5"/>
  <c r="BR5" i="5"/>
  <c r="BQ5" i="5"/>
  <c r="BR4" i="5"/>
  <c r="BQ4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A3" i="5"/>
  <c r="AZ3" i="5"/>
  <c r="C3" i="5"/>
  <c r="G1" i="5"/>
  <c r="I1" i="5" s="1"/>
  <c r="K1" i="5" s="1"/>
  <c r="M1" i="5" s="1"/>
  <c r="O1" i="5" s="1"/>
  <c r="Q1" i="5" s="1"/>
  <c r="S1" i="5" s="1"/>
  <c r="U1" i="5" s="1"/>
  <c r="W1" i="5" s="1"/>
  <c r="Y1" i="5" s="1"/>
  <c r="AA1" i="5" s="1"/>
  <c r="AC1" i="5" s="1"/>
  <c r="AE1" i="5" s="1"/>
  <c r="AG1" i="5" s="1"/>
  <c r="AI1" i="5" s="1"/>
  <c r="AK1" i="5" s="1"/>
  <c r="AM1" i="5" s="1"/>
  <c r="AO1" i="5" s="1"/>
  <c r="AQ1" i="5" s="1"/>
  <c r="AS1" i="5" s="1"/>
  <c r="AU1" i="5" s="1"/>
  <c r="AW1" i="5" s="1"/>
  <c r="AY1" i="5" s="1"/>
  <c r="BA1" i="5" s="1"/>
  <c r="BC1" i="5" s="1"/>
  <c r="BE1" i="5" s="1"/>
  <c r="BG1" i="5" s="1"/>
  <c r="BI1" i="5" s="1"/>
  <c r="BK1" i="5" s="1"/>
  <c r="BM1" i="5" s="1"/>
  <c r="D96" i="5" l="1"/>
  <c r="BT96" i="5" s="1"/>
  <c r="BV96" i="5" s="1"/>
  <c r="D62" i="5"/>
  <c r="BT62" i="5" s="1"/>
  <c r="BV62" i="5" s="1"/>
  <c r="D46" i="5"/>
  <c r="BT46" i="5" s="1"/>
  <c r="BV46" i="5" s="1"/>
  <c r="D31" i="5"/>
  <c r="D15" i="5"/>
  <c r="D78" i="5"/>
  <c r="D69" i="5"/>
  <c r="BT69" i="5" s="1"/>
  <c r="BV69" i="5" s="1"/>
  <c r="D61" i="5"/>
  <c r="BT61" i="5" s="1"/>
  <c r="BV61" i="5" s="1"/>
  <c r="D45" i="5"/>
  <c r="D22" i="5"/>
  <c r="D14" i="5"/>
  <c r="D7" i="5"/>
  <c r="D103" i="5"/>
  <c r="BT103" i="5" s="1"/>
  <c r="BV103" i="5" s="1"/>
  <c r="D97" i="5"/>
  <c r="BT97" i="5" s="1"/>
  <c r="BV97" i="5" s="1"/>
  <c r="D99" i="5"/>
  <c r="BT99" i="5" s="1"/>
  <c r="BV99" i="5" s="1"/>
  <c r="D12" i="5"/>
  <c r="D68" i="5"/>
  <c r="D60" i="5"/>
  <c r="BT60" i="5" s="1"/>
  <c r="BV60" i="5" s="1"/>
  <c r="D21" i="5"/>
  <c r="BT21" i="5" s="1"/>
  <c r="BV21" i="5" s="1"/>
  <c r="D8" i="5"/>
  <c r="BT8" i="5" s="1"/>
  <c r="BV8" i="5" s="1"/>
  <c r="D100" i="5"/>
  <c r="BT100" i="5" s="1"/>
  <c r="BV100" i="5" s="1"/>
  <c r="D108" i="5"/>
  <c r="BT108" i="5" s="1"/>
  <c r="BV108" i="5" s="1"/>
  <c r="D94" i="5"/>
  <c r="BT94" i="5" s="1"/>
  <c r="BV94" i="5" s="1"/>
  <c r="D86" i="5"/>
  <c r="BT86" i="5" s="1"/>
  <c r="BV86" i="5" s="1"/>
  <c r="D70" i="5"/>
  <c r="D54" i="5"/>
  <c r="BT54" i="5" s="1"/>
  <c r="BV54" i="5" s="1"/>
  <c r="D23" i="5"/>
  <c r="BT23" i="5" s="1"/>
  <c r="BV23" i="5" s="1"/>
  <c r="D67" i="5"/>
  <c r="BT67" i="5" s="1"/>
  <c r="BV67" i="5" s="1"/>
  <c r="D87" i="5"/>
  <c r="BV87" i="5" s="1"/>
  <c r="D63" i="5"/>
  <c r="BT63" i="5" s="1"/>
  <c r="BV63" i="5" s="1"/>
  <c r="D55" i="5"/>
  <c r="BT55" i="5" s="1"/>
  <c r="BV55" i="5" s="1"/>
  <c r="D32" i="5"/>
  <c r="BT32" i="5" s="1"/>
  <c r="BV32" i="5" s="1"/>
  <c r="D107" i="5"/>
  <c r="BT107" i="5" s="1"/>
  <c r="BV107" i="5" s="1"/>
  <c r="D93" i="5"/>
  <c r="BT93" i="5" s="1"/>
  <c r="BV93" i="5" s="1"/>
  <c r="D30" i="5"/>
  <c r="BT30" i="5" s="1"/>
  <c r="BV30" i="5" s="1"/>
  <c r="D106" i="5"/>
  <c r="BT106" i="5" s="1"/>
  <c r="BV106" i="5" s="1"/>
  <c r="D92" i="5"/>
  <c r="BT92" i="5" s="1"/>
  <c r="BV92" i="5" s="1"/>
  <c r="D84" i="5"/>
  <c r="BT84" i="5" s="1"/>
  <c r="BV84" i="5" s="1"/>
  <c r="D76" i="5"/>
  <c r="BT76" i="5" s="1"/>
  <c r="BV76" i="5" s="1"/>
  <c r="D44" i="5"/>
  <c r="BT105" i="5"/>
  <c r="BV105" i="5" s="1"/>
  <c r="D75" i="5"/>
  <c r="BT75" i="5" s="1"/>
  <c r="BV75" i="5" s="1"/>
  <c r="D59" i="5"/>
  <c r="BT59" i="5" s="1"/>
  <c r="BV59" i="5" s="1"/>
  <c r="D43" i="5"/>
  <c r="BT43" i="5" s="1"/>
  <c r="BV43" i="5" s="1"/>
  <c r="D42" i="5"/>
  <c r="BT42" i="5" s="1"/>
  <c r="BV42" i="5" s="1"/>
  <c r="D27" i="5"/>
  <c r="BT27" i="5" s="1"/>
  <c r="BV27" i="5" s="1"/>
  <c r="D111" i="5"/>
  <c r="BT111" i="5" s="1"/>
  <c r="BV111" i="5" s="1"/>
  <c r="D102" i="5"/>
  <c r="BT102" i="5" s="1"/>
  <c r="BV102" i="5" s="1"/>
  <c r="D82" i="5"/>
  <c r="BT82" i="5" s="1"/>
  <c r="BV82" i="5" s="1"/>
  <c r="D73" i="5"/>
  <c r="BT73" i="5" s="1"/>
  <c r="BV73" i="5" s="1"/>
  <c r="D57" i="5"/>
  <c r="BT57" i="5" s="1"/>
  <c r="BV57" i="5" s="1"/>
  <c r="D34" i="5"/>
  <c r="BT34" i="5" s="1"/>
  <c r="BV34" i="5" s="1"/>
  <c r="D26" i="5"/>
  <c r="BT26" i="5" s="1"/>
  <c r="BV26" i="5" s="1"/>
  <c r="BV88" i="5"/>
  <c r="D81" i="5"/>
  <c r="BT81" i="5" s="1"/>
  <c r="BV81" i="5" s="1"/>
  <c r="D72" i="5"/>
  <c r="BT72" i="5" s="1"/>
  <c r="BV72" i="5" s="1"/>
  <c r="D64" i="5"/>
  <c r="BT64" i="5" s="1"/>
  <c r="BV64" i="5" s="1"/>
  <c r="D40" i="5"/>
  <c r="BT40" i="5" s="1"/>
  <c r="BV40" i="5" s="1"/>
  <c r="D41" i="5"/>
  <c r="BT41" i="5" s="1"/>
  <c r="BV41" i="5" s="1"/>
  <c r="D56" i="5"/>
  <c r="BT56" i="5" s="1"/>
  <c r="BV56" i="5" s="1"/>
  <c r="D33" i="5"/>
  <c r="BT33" i="5" s="1"/>
  <c r="BV33" i="5" s="1"/>
  <c r="D38" i="5"/>
  <c r="BT38" i="5" s="1"/>
  <c r="BV38" i="5" s="1"/>
  <c r="D98" i="5"/>
  <c r="BT98" i="5" s="1"/>
  <c r="BV98" i="5" s="1"/>
  <c r="D90" i="5"/>
  <c r="BT90" i="5" s="1"/>
  <c r="BV90" i="5" s="1"/>
  <c r="D53" i="5"/>
  <c r="BT53" i="5" s="1"/>
  <c r="BV53" i="5" s="1"/>
  <c r="D52" i="5"/>
  <c r="BT52" i="5" s="1"/>
  <c r="BV52" i="5" s="1"/>
  <c r="D79" i="5"/>
  <c r="BT79" i="5" s="1"/>
  <c r="BV79" i="5" s="1"/>
  <c r="D89" i="5"/>
  <c r="BT89" i="5" s="1"/>
  <c r="BV89" i="5" s="1"/>
  <c r="D85" i="5"/>
  <c r="BT85" i="5" s="1"/>
  <c r="BV85" i="5" s="1"/>
  <c r="D29" i="5"/>
  <c r="BT29" i="5" s="1"/>
  <c r="BV29" i="5" s="1"/>
  <c r="D37" i="5"/>
  <c r="BT37" i="5" s="1"/>
  <c r="BV37" i="5" s="1"/>
  <c r="D36" i="5"/>
  <c r="BT36" i="5" s="1"/>
  <c r="BV36" i="5" s="1"/>
  <c r="BT17" i="5"/>
  <c r="BV17" i="5" s="1"/>
  <c r="BT25" i="5"/>
  <c r="BV25" i="5" s="1"/>
  <c r="BT68" i="5"/>
  <c r="BV68" i="5" s="1"/>
  <c r="BT7" i="5"/>
  <c r="BV7" i="5" s="1"/>
  <c r="BT11" i="5"/>
  <c r="BV11" i="5" s="1"/>
  <c r="BT24" i="5"/>
  <c r="BV24" i="5" s="1"/>
  <c r="BT28" i="5"/>
  <c r="BV28" i="5" s="1"/>
  <c r="BT39" i="5"/>
  <c r="BV39" i="5" s="1"/>
  <c r="BT9" i="5"/>
  <c r="BV9" i="5" s="1"/>
  <c r="BT14" i="5"/>
  <c r="BV14" i="5" s="1"/>
  <c r="BT18" i="5"/>
  <c r="BV18" i="5" s="1"/>
  <c r="BT22" i="5"/>
  <c r="BV22" i="5" s="1"/>
  <c r="BT45" i="5"/>
  <c r="BV45" i="5" s="1"/>
  <c r="BT66" i="5"/>
  <c r="BV66" i="5" s="1"/>
  <c r="BT70" i="5"/>
  <c r="BV70" i="5" s="1"/>
  <c r="BT10" i="5"/>
  <c r="BV10" i="5" s="1"/>
  <c r="BT15" i="5"/>
  <c r="BV15" i="5" s="1"/>
  <c r="BT19" i="5"/>
  <c r="BV19" i="5" s="1"/>
  <c r="BT31" i="5"/>
  <c r="BV31" i="5" s="1"/>
  <c r="BT35" i="5"/>
  <c r="BV35" i="5" s="1"/>
  <c r="BV47" i="5"/>
  <c r="BT16" i="5"/>
  <c r="BV16" i="5" s="1"/>
  <c r="BT109" i="5"/>
  <c r="BV109" i="5" s="1"/>
  <c r="BT44" i="5"/>
  <c r="BV44" i="5" s="1"/>
  <c r="BV74" i="5"/>
  <c r="BT65" i="5"/>
  <c r="BV65" i="5" s="1"/>
  <c r="BT20" i="5"/>
  <c r="BV20" i="5" s="1"/>
  <c r="BT13" i="5"/>
  <c r="BV13" i="5" s="1"/>
  <c r="BT71" i="5"/>
  <c r="BV71" i="5" s="1"/>
  <c r="BT12" i="5"/>
  <c r="BV12" i="5" s="1"/>
  <c r="BV48" i="5"/>
  <c r="BT95" i="5"/>
  <c r="BV95" i="5" s="1"/>
  <c r="BT110" i="5"/>
  <c r="BV110" i="5" s="1"/>
  <c r="BT101" i="5"/>
  <c r="BV101" i="5" s="1"/>
  <c r="BT91" i="5"/>
  <c r="BV91" i="5" s="1"/>
  <c r="BV49" i="5"/>
  <c r="BT80" i="5"/>
  <c r="BV80" i="5" s="1"/>
  <c r="BB3" i="5"/>
  <c r="BQ8" i="3" l="1"/>
  <c r="D8" i="3" s="1"/>
  <c r="BT8" i="3" s="1"/>
  <c r="BV8" i="3" s="1"/>
  <c r="BR8" i="3"/>
  <c r="BQ10" i="3"/>
  <c r="BR10" i="3"/>
  <c r="BQ39" i="3"/>
  <c r="BR39" i="3"/>
  <c r="BQ44" i="3"/>
  <c r="BR44" i="3"/>
  <c r="BQ42" i="3"/>
  <c r="BR42" i="3"/>
  <c r="BQ41" i="3"/>
  <c r="BR41" i="3"/>
  <c r="BQ62" i="3"/>
  <c r="BR62" i="3"/>
  <c r="BQ66" i="3"/>
  <c r="BR66" i="3"/>
  <c r="BQ73" i="3"/>
  <c r="BR73" i="3"/>
  <c r="BQ94" i="3"/>
  <c r="BR94" i="3"/>
  <c r="D10" i="3" l="1"/>
  <c r="BT10" i="3" s="1"/>
  <c r="BV10" i="3" s="1"/>
  <c r="D39" i="3"/>
  <c r="BT39" i="3" s="1"/>
  <c r="BV39" i="3" s="1"/>
  <c r="D44" i="3"/>
  <c r="BT44" i="3" s="1"/>
  <c r="BV44" i="3" s="1"/>
  <c r="D42" i="3"/>
  <c r="BT42" i="3" s="1"/>
  <c r="BV42" i="3" s="1"/>
  <c r="D62" i="3"/>
  <c r="BT62" i="3" s="1"/>
  <c r="BV62" i="3" s="1"/>
  <c r="D41" i="3"/>
  <c r="BT41" i="3" s="1"/>
  <c r="BV41" i="3" s="1"/>
  <c r="D66" i="3"/>
  <c r="BT66" i="3" s="1"/>
  <c r="BV66" i="3" s="1"/>
  <c r="D73" i="3"/>
  <c r="BT73" i="3" s="1"/>
  <c r="BV73" i="3" s="1"/>
  <c r="D94" i="3"/>
  <c r="BT94" i="3" s="1"/>
  <c r="BV94" i="3" s="1"/>
  <c r="BR119" i="3" l="1"/>
  <c r="BR120" i="3"/>
  <c r="BR121" i="3"/>
  <c r="BR122" i="3"/>
  <c r="BR123" i="3"/>
  <c r="BR124" i="3"/>
  <c r="BQ118" i="3"/>
  <c r="BQ119" i="3"/>
  <c r="BQ120" i="3"/>
  <c r="BQ121" i="3"/>
  <c r="BQ122" i="3"/>
  <c r="BQ123" i="3"/>
  <c r="D121" i="3" l="1"/>
  <c r="BT121" i="3" s="1"/>
  <c r="D120" i="3"/>
  <c r="BT120" i="3" s="1"/>
  <c r="BV120" i="3" s="1"/>
  <c r="D119" i="3"/>
  <c r="BT119" i="3" s="1"/>
  <c r="BR29" i="4" l="1"/>
  <c r="BR30" i="4"/>
  <c r="BR31" i="4"/>
  <c r="BQ30" i="4"/>
  <c r="BQ31" i="4"/>
  <c r="D30" i="4" l="1"/>
  <c r="BT30" i="4" s="1"/>
  <c r="BV30" i="4" s="1"/>
  <c r="D31" i="4"/>
  <c r="BT31" i="4" s="1"/>
  <c r="BV31" i="4" s="1"/>
  <c r="BV11" i="6" l="1"/>
  <c r="BV18" i="6"/>
  <c r="BV25" i="6"/>
  <c r="BV33" i="6"/>
  <c r="BV39" i="6"/>
  <c r="BV42" i="6"/>
  <c r="BV47" i="6"/>
  <c r="BV51" i="6"/>
  <c r="BV64" i="6"/>
  <c r="BV67" i="6"/>
  <c r="BV75" i="6"/>
  <c r="BV80" i="6"/>
  <c r="BV81" i="6"/>
  <c r="BT25" i="6"/>
  <c r="BT33" i="6"/>
  <c r="BT39" i="6"/>
  <c r="BT42" i="6"/>
  <c r="BT47" i="6"/>
  <c r="BT51" i="6"/>
  <c r="BT55" i="6"/>
  <c r="BV55" i="6" s="1"/>
  <c r="BT64" i="6"/>
  <c r="BT67" i="6"/>
  <c r="BT75" i="6"/>
  <c r="BT80" i="6"/>
  <c r="BT81" i="6"/>
  <c r="BT11" i="6"/>
  <c r="BT18" i="6"/>
  <c r="BT8" i="7" l="1"/>
  <c r="BT10" i="7"/>
  <c r="BV10" i="7" s="1"/>
  <c r="BT11" i="7"/>
  <c r="BT9" i="7"/>
  <c r="BV9" i="7" s="1"/>
  <c r="BR132" i="3" l="1"/>
  <c r="BR133" i="3"/>
  <c r="BR134" i="3"/>
  <c r="BR135" i="3"/>
  <c r="BR136" i="3"/>
  <c r="BR137" i="3"/>
  <c r="BR138" i="3"/>
  <c r="BR139" i="3"/>
  <c r="BR140" i="3"/>
  <c r="BR141" i="3"/>
  <c r="BR142" i="3"/>
  <c r="BR143" i="3"/>
  <c r="BR144" i="3"/>
  <c r="BR145" i="3"/>
  <c r="BR146" i="3"/>
  <c r="BR147" i="3"/>
  <c r="BQ130" i="3"/>
  <c r="BQ132" i="3"/>
  <c r="BQ133" i="3"/>
  <c r="BQ134" i="3"/>
  <c r="BQ135" i="3"/>
  <c r="BQ136" i="3"/>
  <c r="BQ137" i="3"/>
  <c r="BQ138" i="3"/>
  <c r="BQ139" i="3"/>
  <c r="BQ140" i="3"/>
  <c r="BQ141" i="3"/>
  <c r="BQ142" i="3"/>
  <c r="BQ143" i="3"/>
  <c r="BQ144" i="3"/>
  <c r="BQ145" i="3"/>
  <c r="D145" i="3" s="1"/>
  <c r="BQ146" i="3"/>
  <c r="BQ147" i="3"/>
  <c r="D146" i="3" l="1"/>
  <c r="D139" i="3"/>
  <c r="BT139" i="3" s="1"/>
  <c r="D142" i="3"/>
  <c r="D137" i="3"/>
  <c r="BT137" i="3" s="1"/>
  <c r="D143" i="3"/>
  <c r="D141" i="3"/>
  <c r="BT141" i="3" s="1"/>
  <c r="D147" i="3"/>
  <c r="D140" i="3"/>
  <c r="BT140" i="3" s="1"/>
  <c r="BV140" i="3" s="1"/>
  <c r="D144" i="3"/>
  <c r="D134" i="3"/>
  <c r="BT134" i="3" s="1"/>
  <c r="D138" i="3"/>
  <c r="BT138" i="3" s="1"/>
  <c r="BV138" i="3" s="1"/>
  <c r="D136" i="3"/>
  <c r="BT136" i="3" s="1"/>
  <c r="BV136" i="3" s="1"/>
  <c r="BR57" i="3" l="1"/>
  <c r="BR4" i="8"/>
  <c r="BQ4" i="8"/>
  <c r="BO3" i="8"/>
  <c r="BP3" i="8"/>
  <c r="BR4" i="7"/>
  <c r="BQ4" i="7"/>
  <c r="BO3" i="7"/>
  <c r="BP3" i="7"/>
  <c r="BR4" i="6"/>
  <c r="BQ4" i="6"/>
  <c r="D61" i="6"/>
  <c r="BT61" i="6" s="1"/>
  <c r="BV61" i="6" s="1"/>
  <c r="BO3" i="6"/>
  <c r="BP3" i="6"/>
  <c r="BR4" i="4"/>
  <c r="BR5" i="4"/>
  <c r="BR6" i="4"/>
  <c r="BR7" i="4"/>
  <c r="BR8" i="4"/>
  <c r="BR9" i="4"/>
  <c r="BR10" i="4"/>
  <c r="BR11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Q4" i="4"/>
  <c r="BQ5" i="4"/>
  <c r="BQ6" i="4"/>
  <c r="BQ7" i="4"/>
  <c r="BQ8" i="4"/>
  <c r="BQ9" i="4"/>
  <c r="BQ10" i="4"/>
  <c r="BQ11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O3" i="4"/>
  <c r="BP3" i="4"/>
  <c r="BR4" i="3"/>
  <c r="BR5" i="3"/>
  <c r="BR6" i="3"/>
  <c r="BR7" i="3"/>
  <c r="BR9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R23" i="3"/>
  <c r="BR24" i="3"/>
  <c r="BR25" i="3"/>
  <c r="BR26" i="3"/>
  <c r="BR27" i="3"/>
  <c r="BR28" i="3"/>
  <c r="BR29" i="3"/>
  <c r="BR30" i="3"/>
  <c r="BR31" i="3"/>
  <c r="BR32" i="3"/>
  <c r="BR33" i="3"/>
  <c r="BR34" i="3"/>
  <c r="BR35" i="3"/>
  <c r="BR36" i="3"/>
  <c r="BR37" i="3"/>
  <c r="BR38" i="3"/>
  <c r="BR40" i="3"/>
  <c r="BR43" i="3"/>
  <c r="BR45" i="3"/>
  <c r="BR46" i="3"/>
  <c r="BR47" i="3"/>
  <c r="BR48" i="3"/>
  <c r="BR49" i="3"/>
  <c r="BR50" i="3"/>
  <c r="BR51" i="3"/>
  <c r="BR52" i="3"/>
  <c r="BR53" i="3"/>
  <c r="BR54" i="3"/>
  <c r="BR55" i="3"/>
  <c r="BR56" i="3"/>
  <c r="BR58" i="3"/>
  <c r="BR59" i="3"/>
  <c r="BR60" i="3"/>
  <c r="BR61" i="3"/>
  <c r="BR63" i="3"/>
  <c r="BR64" i="3"/>
  <c r="BR65" i="3"/>
  <c r="BR67" i="3"/>
  <c r="BR68" i="3"/>
  <c r="BR69" i="3"/>
  <c r="BR70" i="3"/>
  <c r="BR71" i="3"/>
  <c r="BR72" i="3"/>
  <c r="BR74" i="3"/>
  <c r="BR75" i="3"/>
  <c r="BR76" i="3"/>
  <c r="BR77" i="3"/>
  <c r="BR78" i="3"/>
  <c r="BR79" i="3"/>
  <c r="BR80" i="3"/>
  <c r="BR81" i="3"/>
  <c r="BR82" i="3"/>
  <c r="BR83" i="3"/>
  <c r="BR84" i="3"/>
  <c r="BR85" i="3"/>
  <c r="BR86" i="3"/>
  <c r="BR87" i="3"/>
  <c r="BR88" i="3"/>
  <c r="BR89" i="3"/>
  <c r="BR90" i="3"/>
  <c r="BR91" i="3"/>
  <c r="BR92" i="3"/>
  <c r="BR93" i="3"/>
  <c r="BR95" i="3"/>
  <c r="BR96" i="3"/>
  <c r="BR97" i="3"/>
  <c r="BR98" i="3"/>
  <c r="BR99" i="3"/>
  <c r="BR100" i="3"/>
  <c r="BR101" i="3"/>
  <c r="BR102" i="3"/>
  <c r="BR103" i="3"/>
  <c r="BR104" i="3"/>
  <c r="BR105" i="3"/>
  <c r="BR106" i="3"/>
  <c r="BR107" i="3"/>
  <c r="BR108" i="3"/>
  <c r="BR109" i="3"/>
  <c r="BR110" i="3"/>
  <c r="BR111" i="3"/>
  <c r="BR112" i="3"/>
  <c r="BR113" i="3"/>
  <c r="BR114" i="3"/>
  <c r="BR115" i="3"/>
  <c r="BR116" i="3"/>
  <c r="BR117" i="3"/>
  <c r="BR118" i="3"/>
  <c r="BR125" i="3"/>
  <c r="BR126" i="3"/>
  <c r="BR127" i="3"/>
  <c r="BR128" i="3"/>
  <c r="BR129" i="3"/>
  <c r="BR130" i="3"/>
  <c r="BQ4" i="3"/>
  <c r="BQ5" i="3"/>
  <c r="BQ6" i="3"/>
  <c r="BQ7" i="3"/>
  <c r="BQ9" i="3"/>
  <c r="BQ11" i="3"/>
  <c r="BQ12" i="3"/>
  <c r="BQ13" i="3"/>
  <c r="BQ14" i="3"/>
  <c r="BQ15" i="3"/>
  <c r="BQ16" i="3"/>
  <c r="BQ17" i="3"/>
  <c r="BQ18" i="3"/>
  <c r="BQ19" i="3"/>
  <c r="BQ20" i="3"/>
  <c r="BQ21" i="3"/>
  <c r="BQ22" i="3"/>
  <c r="BQ23" i="3"/>
  <c r="BQ24" i="3"/>
  <c r="BQ25" i="3"/>
  <c r="BQ26" i="3"/>
  <c r="BQ27" i="3"/>
  <c r="BQ28" i="3"/>
  <c r="BQ29" i="3"/>
  <c r="BQ30" i="3"/>
  <c r="BQ31" i="3"/>
  <c r="BQ32" i="3"/>
  <c r="BQ33" i="3"/>
  <c r="BQ34" i="3"/>
  <c r="BQ35" i="3"/>
  <c r="BQ36" i="3"/>
  <c r="BQ37" i="3"/>
  <c r="BQ38" i="3"/>
  <c r="BQ40" i="3"/>
  <c r="BQ43" i="3"/>
  <c r="BQ45" i="3"/>
  <c r="BQ46" i="3"/>
  <c r="BQ47" i="3"/>
  <c r="BQ48" i="3"/>
  <c r="BQ49" i="3"/>
  <c r="BQ50" i="3"/>
  <c r="BQ51" i="3"/>
  <c r="BQ52" i="3"/>
  <c r="BQ53" i="3"/>
  <c r="BQ54" i="3"/>
  <c r="BQ55" i="3"/>
  <c r="BQ56" i="3"/>
  <c r="BQ57" i="3"/>
  <c r="BQ58" i="3"/>
  <c r="BQ59" i="3"/>
  <c r="BQ60" i="3"/>
  <c r="BQ61" i="3"/>
  <c r="BQ63" i="3"/>
  <c r="BQ64" i="3"/>
  <c r="BQ65" i="3"/>
  <c r="BQ67" i="3"/>
  <c r="BQ68" i="3"/>
  <c r="BQ69" i="3"/>
  <c r="BQ70" i="3"/>
  <c r="BQ71" i="3"/>
  <c r="BQ72" i="3"/>
  <c r="BQ74" i="3"/>
  <c r="BQ75" i="3"/>
  <c r="BQ76" i="3"/>
  <c r="BQ77" i="3"/>
  <c r="BQ78" i="3"/>
  <c r="BQ79" i="3"/>
  <c r="BQ80" i="3"/>
  <c r="BQ81" i="3"/>
  <c r="BQ82" i="3"/>
  <c r="BQ83" i="3"/>
  <c r="BQ84" i="3"/>
  <c r="BQ85" i="3"/>
  <c r="BQ86" i="3"/>
  <c r="BQ87" i="3"/>
  <c r="BQ88" i="3"/>
  <c r="BQ89" i="3"/>
  <c r="BQ90" i="3"/>
  <c r="BQ91" i="3"/>
  <c r="BQ92" i="3"/>
  <c r="BQ93" i="3"/>
  <c r="BQ95" i="3"/>
  <c r="BQ96" i="3"/>
  <c r="BQ97" i="3"/>
  <c r="BQ98" i="3"/>
  <c r="BQ99" i="3"/>
  <c r="BQ100" i="3"/>
  <c r="BQ101" i="3"/>
  <c r="BQ102" i="3"/>
  <c r="BQ103" i="3"/>
  <c r="BQ104" i="3"/>
  <c r="BQ105" i="3"/>
  <c r="BQ106" i="3"/>
  <c r="BQ107" i="3"/>
  <c r="BQ108" i="3"/>
  <c r="BQ109" i="3"/>
  <c r="BQ110" i="3"/>
  <c r="BQ111" i="3"/>
  <c r="BQ112" i="3"/>
  <c r="BQ113" i="3"/>
  <c r="BQ114" i="3"/>
  <c r="BQ115" i="3"/>
  <c r="BQ116" i="3"/>
  <c r="BQ117" i="3"/>
  <c r="BQ124" i="3"/>
  <c r="BQ125" i="3"/>
  <c r="BQ126" i="3"/>
  <c r="BQ127" i="3"/>
  <c r="BQ128" i="3"/>
  <c r="BQ129" i="3"/>
  <c r="D135" i="3"/>
  <c r="BT135" i="3" s="1"/>
  <c r="BV135" i="3" s="1"/>
  <c r="BO3" i="3"/>
  <c r="BP3" i="3"/>
  <c r="BR4" i="2"/>
  <c r="D61" i="3" l="1"/>
  <c r="D63" i="3"/>
  <c r="D64" i="3"/>
  <c r="C3" i="6" l="1"/>
  <c r="C3" i="4"/>
  <c r="C2" i="3" l="1"/>
  <c r="C3" i="8"/>
  <c r="BT12" i="7"/>
  <c r="BV12" i="7" l="1"/>
  <c r="BT146" i="3"/>
  <c r="BV146" i="3" s="1"/>
  <c r="BT147" i="3"/>
  <c r="BV147" i="3" s="1"/>
  <c r="O1" i="3" l="1"/>
  <c r="Q1" i="3" s="1"/>
  <c r="S1" i="3" s="1"/>
  <c r="U1" i="3" s="1"/>
  <c r="W1" i="3" s="1"/>
  <c r="Y1" i="3" s="1"/>
  <c r="AA1" i="3" s="1"/>
  <c r="AC1" i="3" s="1"/>
  <c r="AE1" i="3" s="1"/>
  <c r="AG1" i="3" s="1"/>
  <c r="AI1" i="3" s="1"/>
  <c r="AK1" i="3" s="1"/>
  <c r="AM1" i="3" s="1"/>
  <c r="AO1" i="3" s="1"/>
  <c r="AQ1" i="3" s="1"/>
  <c r="AS1" i="3" s="1"/>
  <c r="AU1" i="3" s="1"/>
  <c r="AW1" i="3" s="1"/>
  <c r="AY1" i="3" s="1"/>
  <c r="BA1" i="3" s="1"/>
  <c r="BC1" i="3" s="1"/>
  <c r="BE1" i="3" s="1"/>
  <c r="BG1" i="3" s="1"/>
  <c r="G1" i="3"/>
  <c r="I1" i="3" s="1"/>
  <c r="K1" i="3" s="1"/>
  <c r="D58" i="3"/>
  <c r="BT58" i="3" s="1"/>
  <c r="BV58" i="3" s="1"/>
  <c r="D130" i="3"/>
  <c r="D132" i="3"/>
  <c r="D133" i="3"/>
  <c r="BI1" i="3" l="1"/>
  <c r="BK1" i="3" s="1"/>
  <c r="BM1" i="3" s="1"/>
  <c r="BT133" i="3"/>
  <c r="BV133" i="3" s="1"/>
  <c r="D69" i="3"/>
  <c r="BT69" i="3" s="1"/>
  <c r="BV69" i="3" s="1"/>
  <c r="D68" i="3"/>
  <c r="BT68" i="3" s="1"/>
  <c r="BV68" i="3" s="1"/>
  <c r="D75" i="3"/>
  <c r="BT75" i="3" s="1"/>
  <c r="BV75" i="3" s="1"/>
  <c r="D74" i="3"/>
  <c r="BT74" i="3" s="1"/>
  <c r="BV74" i="3" s="1"/>
  <c r="D59" i="3"/>
  <c r="BT59" i="3" s="1"/>
  <c r="BV59" i="3" s="1"/>
  <c r="D6" i="6"/>
  <c r="BT6" i="6" s="1"/>
  <c r="BV6" i="6" s="1"/>
  <c r="D8" i="6"/>
  <c r="BT8" i="6" s="1"/>
  <c r="BV8" i="6" s="1"/>
  <c r="D9" i="6"/>
  <c r="BT9" i="6" s="1"/>
  <c r="BV9" i="6" s="1"/>
  <c r="D12" i="6"/>
  <c r="BT12" i="6" s="1"/>
  <c r="BV12" i="6" s="1"/>
  <c r="D16" i="6"/>
  <c r="BT16" i="6" s="1"/>
  <c r="BV16" i="6" s="1"/>
  <c r="D17" i="6"/>
  <c r="BT17" i="6" s="1"/>
  <c r="BV17" i="6" s="1"/>
  <c r="D21" i="6"/>
  <c r="BT21" i="6" s="1"/>
  <c r="BV21" i="6" s="1"/>
  <c r="D41" i="6"/>
  <c r="BT41" i="6" s="1"/>
  <c r="BV41" i="6" s="1"/>
  <c r="D57" i="6"/>
  <c r="BT57" i="6" s="1"/>
  <c r="BV57" i="6" s="1"/>
  <c r="D65" i="6"/>
  <c r="BT65" i="6" s="1"/>
  <c r="BV65" i="6" s="1"/>
  <c r="D71" i="6"/>
  <c r="BT71" i="6" s="1"/>
  <c r="BV71" i="6" s="1"/>
  <c r="D74" i="6"/>
  <c r="BT74" i="6" s="1"/>
  <c r="BV74" i="6" s="1"/>
  <c r="D43" i="6"/>
  <c r="BT43" i="6" s="1"/>
  <c r="BV43" i="6" s="1"/>
  <c r="D59" i="6"/>
  <c r="BT59" i="6" s="1"/>
  <c r="BV59" i="6" s="1"/>
  <c r="D66" i="6"/>
  <c r="BT66" i="6" s="1"/>
  <c r="BV66" i="6" s="1"/>
  <c r="D7" i="6"/>
  <c r="BT7" i="6" s="1"/>
  <c r="BV7" i="6" s="1"/>
  <c r="D10" i="6"/>
  <c r="BT10" i="6" s="1"/>
  <c r="BV10" i="6" s="1"/>
  <c r="D14" i="6"/>
  <c r="BT14" i="6" s="1"/>
  <c r="BV14" i="6" s="1"/>
  <c r="D15" i="6"/>
  <c r="BT15" i="6" s="1"/>
  <c r="BV15" i="6" s="1"/>
  <c r="D19" i="6"/>
  <c r="BT19" i="6" s="1"/>
  <c r="BV19" i="6" s="1"/>
  <c r="D22" i="6"/>
  <c r="BT22" i="6" s="1"/>
  <c r="BV22" i="6" s="1"/>
  <c r="D23" i="6"/>
  <c r="BT23" i="6" s="1"/>
  <c r="BV23" i="6" s="1"/>
  <c r="D24" i="6"/>
  <c r="BT24" i="6" s="1"/>
  <c r="BV24" i="6" s="1"/>
  <c r="D26" i="6"/>
  <c r="BT26" i="6" s="1"/>
  <c r="BV26" i="6" s="1"/>
  <c r="D27" i="6"/>
  <c r="BT27" i="6" s="1"/>
  <c r="BV27" i="6" s="1"/>
  <c r="D29" i="6"/>
  <c r="BT29" i="6" s="1"/>
  <c r="BV29" i="6" s="1"/>
  <c r="D30" i="6"/>
  <c r="BT30" i="6" s="1"/>
  <c r="BV30" i="6" s="1"/>
  <c r="D31" i="6"/>
  <c r="BT31" i="6" s="1"/>
  <c r="BV31" i="6" s="1"/>
  <c r="D32" i="6"/>
  <c r="BT32" i="6" s="1"/>
  <c r="BV32" i="6" s="1"/>
  <c r="D34" i="6"/>
  <c r="BT34" i="6" s="1"/>
  <c r="BV34" i="6" s="1"/>
  <c r="D35" i="6"/>
  <c r="BT35" i="6" s="1"/>
  <c r="BV35" i="6" s="1"/>
  <c r="D37" i="6"/>
  <c r="BT37" i="6" s="1"/>
  <c r="BV37" i="6" s="1"/>
  <c r="D38" i="6"/>
  <c r="BT38" i="6" s="1"/>
  <c r="BV38" i="6" s="1"/>
  <c r="D40" i="6"/>
  <c r="BT40" i="6" s="1"/>
  <c r="BV40" i="6" s="1"/>
  <c r="D46" i="6"/>
  <c r="BT46" i="6" s="1"/>
  <c r="BV46" i="6" s="1"/>
  <c r="D48" i="6"/>
  <c r="BT48" i="6" s="1"/>
  <c r="BV48" i="6" s="1"/>
  <c r="D49" i="6"/>
  <c r="BT49" i="6" s="1"/>
  <c r="BV49" i="6" s="1"/>
  <c r="D50" i="6"/>
  <c r="BT50" i="6" s="1"/>
  <c r="BV50" i="6" s="1"/>
  <c r="D54" i="6"/>
  <c r="BT54" i="6" s="1"/>
  <c r="BV54" i="6" s="1"/>
  <c r="D56" i="6"/>
  <c r="BT56" i="6" s="1"/>
  <c r="BV56" i="6" s="1"/>
  <c r="D58" i="6"/>
  <c r="BT58" i="6" s="1"/>
  <c r="BV58" i="6" s="1"/>
  <c r="D62" i="6"/>
  <c r="BT62" i="6" s="1"/>
  <c r="BV62" i="6" s="1"/>
  <c r="D63" i="6"/>
  <c r="BT63" i="6" s="1"/>
  <c r="BV63" i="6" s="1"/>
  <c r="D70" i="6"/>
  <c r="BT70" i="6" s="1"/>
  <c r="BV70" i="6" s="1"/>
  <c r="D72" i="6"/>
  <c r="BT72" i="6" s="1"/>
  <c r="BV72" i="6" s="1"/>
  <c r="D73" i="6"/>
  <c r="BT73" i="6" s="1"/>
  <c r="BV73" i="6" s="1"/>
  <c r="D78" i="6"/>
  <c r="BT78" i="6" s="1"/>
  <c r="BV78" i="6" s="1"/>
  <c r="D79" i="6"/>
  <c r="BT79" i="6" s="1"/>
  <c r="BV79" i="6" s="1"/>
  <c r="D13" i="6" l="1"/>
  <c r="BT13" i="6" s="1"/>
  <c r="BV13" i="6" s="1"/>
  <c r="D77" i="6"/>
  <c r="BT77" i="6" s="1"/>
  <c r="BV77" i="6" s="1"/>
  <c r="D69" i="6"/>
  <c r="BT69" i="6" s="1"/>
  <c r="BV69" i="6" s="1"/>
  <c r="D53" i="6"/>
  <c r="BT53" i="6" s="1"/>
  <c r="BV53" i="6" s="1"/>
  <c r="D45" i="6"/>
  <c r="BT45" i="6" s="1"/>
  <c r="BV45" i="6" s="1"/>
  <c r="D5" i="6"/>
  <c r="BT5" i="6" s="1"/>
  <c r="BV5" i="6" s="1"/>
  <c r="D76" i="6"/>
  <c r="BT76" i="6" s="1"/>
  <c r="BV76" i="6" s="1"/>
  <c r="D68" i="6"/>
  <c r="BT68" i="6" s="1"/>
  <c r="BV68" i="6" s="1"/>
  <c r="D60" i="6"/>
  <c r="BT60" i="6" s="1"/>
  <c r="BV60" i="6" s="1"/>
  <c r="D52" i="6"/>
  <c r="BT52" i="6" s="1"/>
  <c r="BV52" i="6" s="1"/>
  <c r="D44" i="6"/>
  <c r="BT44" i="6" s="1"/>
  <c r="BV44" i="6" s="1"/>
  <c r="D36" i="6"/>
  <c r="BT36" i="6" s="1"/>
  <c r="BV36" i="6" s="1"/>
  <c r="D28" i="6"/>
  <c r="BT28" i="6" s="1"/>
  <c r="BV28" i="6" s="1"/>
  <c r="D20" i="6"/>
  <c r="BT20" i="6" s="1"/>
  <c r="BV20" i="6" s="1"/>
  <c r="D60" i="3"/>
  <c r="BT60" i="3" s="1"/>
  <c r="BV60" i="3" s="1"/>
  <c r="D3" i="6" l="1"/>
  <c r="D28" i="3"/>
  <c r="BT28" i="3" s="1"/>
  <c r="BV28" i="3" s="1"/>
  <c r="BT61" i="3"/>
  <c r="BV61" i="3" s="1"/>
  <c r="D29" i="3" l="1"/>
  <c r="BT29" i="3" s="1"/>
  <c r="BV29" i="3" s="1"/>
  <c r="S3" i="3" l="1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D7" i="8"/>
  <c r="BT7" i="8" s="1"/>
  <c r="BV7" i="8" s="1"/>
  <c r="D8" i="8"/>
  <c r="BT8" i="8" s="1"/>
  <c r="BV8" i="8" s="1"/>
  <c r="D9" i="8"/>
  <c r="BT9" i="8" s="1"/>
  <c r="BV9" i="8" s="1"/>
  <c r="D10" i="8"/>
  <c r="BT10" i="8" s="1"/>
  <c r="BV10" i="8" s="1"/>
  <c r="D11" i="8"/>
  <c r="BT11" i="8" s="1"/>
  <c r="BV11" i="8" s="1"/>
  <c r="D12" i="8"/>
  <c r="BT12" i="8" s="1"/>
  <c r="BV12" i="8" s="1"/>
  <c r="D13" i="8"/>
  <c r="BT13" i="8" s="1"/>
  <c r="BV13" i="8" s="1"/>
  <c r="D14" i="8"/>
  <c r="BT14" i="8" s="1"/>
  <c r="BV14" i="8" s="1"/>
  <c r="D15" i="8"/>
  <c r="BT15" i="8" s="1"/>
  <c r="BV15" i="8" s="1"/>
  <c r="D17" i="8"/>
  <c r="BT17" i="8" s="1"/>
  <c r="BV17" i="8" s="1"/>
  <c r="D18" i="8"/>
  <c r="BT18" i="8" s="1"/>
  <c r="BV18" i="8" s="1"/>
  <c r="D19" i="8"/>
  <c r="BT19" i="8" s="1"/>
  <c r="BV19" i="8" s="1"/>
  <c r="D20" i="8"/>
  <c r="BT20" i="8" s="1"/>
  <c r="BV20" i="8" s="1"/>
  <c r="D21" i="8"/>
  <c r="BT21" i="8" s="1"/>
  <c r="BV21" i="8" s="1"/>
  <c r="D22" i="8"/>
  <c r="BT22" i="8" s="1"/>
  <c r="BV22" i="8" s="1"/>
  <c r="D23" i="8"/>
  <c r="BT23" i="8" s="1"/>
  <c r="BV23" i="8" s="1"/>
  <c r="D24" i="8"/>
  <c r="BT24" i="8" s="1"/>
  <c r="BV24" i="8" s="1"/>
  <c r="D25" i="8"/>
  <c r="BT25" i="8" s="1"/>
  <c r="BV25" i="8" s="1"/>
  <c r="D26" i="8"/>
  <c r="BT26" i="8" s="1"/>
  <c r="BV26" i="8" s="1"/>
  <c r="D6" i="8"/>
  <c r="D16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G1" i="8"/>
  <c r="I1" i="8" s="1"/>
  <c r="K1" i="8" s="1"/>
  <c r="M1" i="8" s="1"/>
  <c r="O1" i="8" s="1"/>
  <c r="Q1" i="8" s="1"/>
  <c r="S1" i="8" s="1"/>
  <c r="U1" i="8" s="1"/>
  <c r="W1" i="8" s="1"/>
  <c r="Y1" i="8" s="1"/>
  <c r="AA1" i="8" s="1"/>
  <c r="AC1" i="8" s="1"/>
  <c r="AE1" i="8" s="1"/>
  <c r="AG1" i="8" s="1"/>
  <c r="AI1" i="8" s="1"/>
  <c r="AK1" i="8" s="1"/>
  <c r="AM1" i="8" s="1"/>
  <c r="AO1" i="8" s="1"/>
  <c r="AQ1" i="8" s="1"/>
  <c r="AS1" i="8" s="1"/>
  <c r="AU1" i="8" s="1"/>
  <c r="AW1" i="8" s="1"/>
  <c r="AY1" i="8" s="1"/>
  <c r="BA1" i="8" s="1"/>
  <c r="BC1" i="8" s="1"/>
  <c r="BE1" i="8" s="1"/>
  <c r="BG1" i="8" s="1"/>
  <c r="BI1" i="8" s="1"/>
  <c r="BK1" i="8" s="1"/>
  <c r="BM1" i="8" s="1"/>
  <c r="D9" i="3"/>
  <c r="BT9" i="3" s="1"/>
  <c r="BV9" i="3" s="1"/>
  <c r="D17" i="3"/>
  <c r="BT17" i="3" s="1"/>
  <c r="BV17" i="3" s="1"/>
  <c r="D25" i="3"/>
  <c r="BT25" i="3" s="1"/>
  <c r="BV25" i="3" s="1"/>
  <c r="D56" i="3"/>
  <c r="BT56" i="3" s="1"/>
  <c r="BV56" i="3" s="1"/>
  <c r="D6" i="3"/>
  <c r="BT6" i="3" s="1"/>
  <c r="BV6" i="3" s="1"/>
  <c r="D11" i="3"/>
  <c r="BT11" i="3" s="1"/>
  <c r="BV11" i="3" s="1"/>
  <c r="D12" i="3"/>
  <c r="BT12" i="3" s="1"/>
  <c r="BV12" i="3" s="1"/>
  <c r="D14" i="3"/>
  <c r="BT14" i="3" s="1"/>
  <c r="BV14" i="3" s="1"/>
  <c r="D19" i="3"/>
  <c r="BT19" i="3" s="1"/>
  <c r="BV19" i="3" s="1"/>
  <c r="D21" i="3"/>
  <c r="BT21" i="3" s="1"/>
  <c r="BV21" i="3" s="1"/>
  <c r="D30" i="3"/>
  <c r="BT30" i="3" s="1"/>
  <c r="BV30" i="3" s="1"/>
  <c r="D37" i="3"/>
  <c r="BT37" i="3" s="1"/>
  <c r="BV37" i="3" s="1"/>
  <c r="D38" i="3"/>
  <c r="BT38" i="3" s="1"/>
  <c r="BV38" i="3" s="1"/>
  <c r="D46" i="3"/>
  <c r="BT46" i="3" s="1"/>
  <c r="BV46" i="3" s="1"/>
  <c r="D47" i="3"/>
  <c r="BT47" i="3" s="1"/>
  <c r="BV47" i="3" s="1"/>
  <c r="D55" i="3"/>
  <c r="BT55" i="3" s="1"/>
  <c r="BV55" i="3" s="1"/>
  <c r="D65" i="3"/>
  <c r="BT65" i="3" s="1"/>
  <c r="BV65" i="3" s="1"/>
  <c r="D71" i="3"/>
  <c r="BT71" i="3" s="1"/>
  <c r="BV71" i="3" s="1"/>
  <c r="D85" i="3"/>
  <c r="BT85" i="3" s="1"/>
  <c r="BV85" i="3" s="1"/>
  <c r="D89" i="3"/>
  <c r="BT89" i="3" s="1"/>
  <c r="BV89" i="3" s="1"/>
  <c r="D101" i="3"/>
  <c r="BT101" i="3" s="1"/>
  <c r="BV101" i="3" s="1"/>
  <c r="D105" i="3"/>
  <c r="BT105" i="3" s="1"/>
  <c r="BV105" i="3" s="1"/>
  <c r="D117" i="3"/>
  <c r="BT117" i="3" s="1"/>
  <c r="BV117" i="3" s="1"/>
  <c r="D126" i="3"/>
  <c r="BT126" i="3" s="1"/>
  <c r="BV126" i="3" s="1"/>
  <c r="D128" i="3"/>
  <c r="BT128" i="3" s="1"/>
  <c r="BV128" i="3" s="1"/>
  <c r="BT130" i="3"/>
  <c r="BV130" i="3" s="1"/>
  <c r="BV137" i="3"/>
  <c r="D45" i="3"/>
  <c r="BT45" i="3" s="1"/>
  <c r="BV45" i="3" s="1"/>
  <c r="D53" i="3"/>
  <c r="BT53" i="3" s="1"/>
  <c r="BV53" i="3" s="1"/>
  <c r="D70" i="3"/>
  <c r="BT70" i="3" s="1"/>
  <c r="BV70" i="3" s="1"/>
  <c r="D78" i="3"/>
  <c r="BT78" i="3" s="1"/>
  <c r="BV78" i="3" s="1"/>
  <c r="D79" i="3"/>
  <c r="BT79" i="3" s="1"/>
  <c r="BV79" i="3" s="1"/>
  <c r="D87" i="3"/>
  <c r="BT87" i="3" s="1"/>
  <c r="BV87" i="3" s="1"/>
  <c r="D93" i="3"/>
  <c r="BT93" i="3" s="1"/>
  <c r="BV93" i="3" s="1"/>
  <c r="D98" i="3"/>
  <c r="BT98" i="3" s="1"/>
  <c r="BV98" i="3" s="1"/>
  <c r="D103" i="3"/>
  <c r="BT103" i="3" s="1"/>
  <c r="BV103" i="3" s="1"/>
  <c r="D109" i="3"/>
  <c r="BT109" i="3" s="1"/>
  <c r="BV109" i="3" s="1"/>
  <c r="D113" i="3"/>
  <c r="BT113" i="3" s="1"/>
  <c r="BV113" i="3" s="1"/>
  <c r="D123" i="3"/>
  <c r="BT123" i="3" s="1"/>
  <c r="BT44" i="7"/>
  <c r="BV44" i="7" s="1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G1" i="7"/>
  <c r="I1" i="7" s="1"/>
  <c r="K1" i="7" s="1"/>
  <c r="M1" i="7" s="1"/>
  <c r="O1" i="7" s="1"/>
  <c r="Q1" i="7" s="1"/>
  <c r="S1" i="7" s="1"/>
  <c r="U1" i="7" s="1"/>
  <c r="W1" i="7" s="1"/>
  <c r="Y1" i="7" s="1"/>
  <c r="AA1" i="7" s="1"/>
  <c r="AC1" i="7" s="1"/>
  <c r="AE1" i="7" s="1"/>
  <c r="AG1" i="7" s="1"/>
  <c r="AI1" i="7" s="1"/>
  <c r="AK1" i="7" s="1"/>
  <c r="AM1" i="7" s="1"/>
  <c r="AO1" i="7" s="1"/>
  <c r="AQ1" i="7" s="1"/>
  <c r="AS1" i="7" s="1"/>
  <c r="AU1" i="7" s="1"/>
  <c r="AW1" i="7" s="1"/>
  <c r="AY1" i="7" s="1"/>
  <c r="BA1" i="7" s="1"/>
  <c r="BC1" i="7" s="1"/>
  <c r="BE1" i="7" s="1"/>
  <c r="BG1" i="7" s="1"/>
  <c r="BI1" i="7" s="1"/>
  <c r="BK1" i="7" s="1"/>
  <c r="BM1" i="7" s="1"/>
  <c r="BT6" i="8" l="1"/>
  <c r="BV6" i="8" s="1"/>
  <c r="D3" i="8"/>
  <c r="C9" i="14" s="1"/>
  <c r="BQ3" i="8"/>
  <c r="BQ3" i="7"/>
  <c r="BR3" i="8"/>
  <c r="BR3" i="7"/>
  <c r="BT16" i="8"/>
  <c r="D36" i="3"/>
  <c r="BT36" i="3" s="1"/>
  <c r="BV36" i="3" s="1"/>
  <c r="BT142" i="3"/>
  <c r="BV142" i="3" s="1"/>
  <c r="D86" i="3"/>
  <c r="BT86" i="3" s="1"/>
  <c r="BV86" i="3" s="1"/>
  <c r="BT143" i="3"/>
  <c r="BV143" i="3" s="1"/>
  <c r="D122" i="3"/>
  <c r="D97" i="3"/>
  <c r="BT97" i="3" s="1"/>
  <c r="BV97" i="3" s="1"/>
  <c r="D81" i="3"/>
  <c r="BT81" i="3" s="1"/>
  <c r="BV81" i="3" s="1"/>
  <c r="D72" i="3"/>
  <c r="BT72" i="3" s="1"/>
  <c r="BV72" i="3" s="1"/>
  <c r="BT64" i="3"/>
  <c r="BV64" i="3" s="1"/>
  <c r="D43" i="3"/>
  <c r="BT43" i="3" s="1"/>
  <c r="BV43" i="3" s="1"/>
  <c r="D34" i="3"/>
  <c r="BT34" i="3" s="1"/>
  <c r="BV34" i="3" s="1"/>
  <c r="D129" i="3"/>
  <c r="BT129" i="3" s="1"/>
  <c r="BV129" i="3" s="1"/>
  <c r="BV121" i="3"/>
  <c r="D112" i="3"/>
  <c r="BT112" i="3" s="1"/>
  <c r="BV112" i="3" s="1"/>
  <c r="D104" i="3"/>
  <c r="BT104" i="3" s="1"/>
  <c r="BV104" i="3" s="1"/>
  <c r="D96" i="3"/>
  <c r="BT96" i="3" s="1"/>
  <c r="BV96" i="3" s="1"/>
  <c r="D88" i="3"/>
  <c r="BT88" i="3" s="1"/>
  <c r="BV88" i="3" s="1"/>
  <c r="D80" i="3"/>
  <c r="BT80" i="3" s="1"/>
  <c r="BV80" i="3" s="1"/>
  <c r="BT63" i="3"/>
  <c r="BV63" i="3" s="1"/>
  <c r="D13" i="3"/>
  <c r="BT13" i="3" s="1"/>
  <c r="BV13" i="3" s="1"/>
  <c r="BT132" i="3"/>
  <c r="BV132" i="3" s="1"/>
  <c r="D114" i="3"/>
  <c r="BT114" i="3" s="1"/>
  <c r="BV114" i="3" s="1"/>
  <c r="D106" i="3"/>
  <c r="BT106" i="3" s="1"/>
  <c r="BV106" i="3" s="1"/>
  <c r="D90" i="3"/>
  <c r="BT90" i="3" s="1"/>
  <c r="BV90" i="3" s="1"/>
  <c r="D82" i="3"/>
  <c r="BT82" i="3" s="1"/>
  <c r="BV82" i="3" s="1"/>
  <c r="D52" i="3"/>
  <c r="BT52" i="3" s="1"/>
  <c r="BV52" i="3" s="1"/>
  <c r="D35" i="3"/>
  <c r="BT35" i="3" s="1"/>
  <c r="BV35" i="3" s="1"/>
  <c r="D26" i="3"/>
  <c r="BT26" i="3" s="1"/>
  <c r="BV26" i="3" s="1"/>
  <c r="D18" i="3"/>
  <c r="BT18" i="3" s="1"/>
  <c r="BV18" i="3" s="1"/>
  <c r="D5" i="3"/>
  <c r="BT5" i="3" s="1"/>
  <c r="BV5" i="3" s="1"/>
  <c r="BV141" i="3"/>
  <c r="BV119" i="3"/>
  <c r="D111" i="3"/>
  <c r="BT111" i="3" s="1"/>
  <c r="BV111" i="3" s="1"/>
  <c r="D95" i="3"/>
  <c r="BT95" i="3" s="1"/>
  <c r="BV95" i="3" s="1"/>
  <c r="BV139" i="3"/>
  <c r="D127" i="3"/>
  <c r="BT127" i="3" s="1"/>
  <c r="BV127" i="3" s="1"/>
  <c r="D118" i="3"/>
  <c r="D110" i="3"/>
  <c r="BT110" i="3" s="1"/>
  <c r="BV110" i="3" s="1"/>
  <c r="D102" i="3"/>
  <c r="BT102" i="3" s="1"/>
  <c r="BV102" i="3" s="1"/>
  <c r="D77" i="3"/>
  <c r="BT77" i="3" s="1"/>
  <c r="BV77" i="3" s="1"/>
  <c r="BV134" i="3"/>
  <c r="D125" i="3"/>
  <c r="BT125" i="3" s="1"/>
  <c r="BV125" i="3" s="1"/>
  <c r="D116" i="3"/>
  <c r="BT116" i="3" s="1"/>
  <c r="BV116" i="3" s="1"/>
  <c r="D108" i="3"/>
  <c r="BT108" i="3" s="1"/>
  <c r="BV108" i="3" s="1"/>
  <c r="D100" i="3"/>
  <c r="BT100" i="3" s="1"/>
  <c r="BV100" i="3" s="1"/>
  <c r="D92" i="3"/>
  <c r="BT92" i="3" s="1"/>
  <c r="BV92" i="3" s="1"/>
  <c r="D84" i="3"/>
  <c r="BT84" i="3" s="1"/>
  <c r="BV84" i="3" s="1"/>
  <c r="D76" i="3"/>
  <c r="BT76" i="3" s="1"/>
  <c r="BV76" i="3" s="1"/>
  <c r="D50" i="3"/>
  <c r="BT50" i="3" s="1"/>
  <c r="BV50" i="3" s="1"/>
  <c r="D33" i="3"/>
  <c r="BT33" i="3" s="1"/>
  <c r="BV33" i="3" s="1"/>
  <c r="D24" i="3"/>
  <c r="BT24" i="3" s="1"/>
  <c r="BV24" i="3" s="1"/>
  <c r="D16" i="3"/>
  <c r="BT16" i="3" s="1"/>
  <c r="BV16" i="3" s="1"/>
  <c r="D48" i="3"/>
  <c r="BT48" i="3" s="1"/>
  <c r="BV48" i="3" s="1"/>
  <c r="D31" i="3"/>
  <c r="BT31" i="3" s="1"/>
  <c r="BV31" i="3" s="1"/>
  <c r="D22" i="3"/>
  <c r="BT22" i="3" s="1"/>
  <c r="BV22" i="3" s="1"/>
  <c r="D51" i="3"/>
  <c r="BT51" i="3" s="1"/>
  <c r="BV51" i="3" s="1"/>
  <c r="D67" i="3"/>
  <c r="BT67" i="3" s="1"/>
  <c r="BV67" i="3" s="1"/>
  <c r="D54" i="3"/>
  <c r="BT54" i="3" s="1"/>
  <c r="BV54" i="3" s="1"/>
  <c r="D20" i="3"/>
  <c r="BT20" i="3" s="1"/>
  <c r="BV20" i="3" s="1"/>
  <c r="D27" i="3"/>
  <c r="BT27" i="3" s="1"/>
  <c r="BV27" i="3" s="1"/>
  <c r="D124" i="3"/>
  <c r="BT124" i="3" s="1"/>
  <c r="BV124" i="3" s="1"/>
  <c r="D115" i="3"/>
  <c r="BT115" i="3" s="1"/>
  <c r="BV115" i="3" s="1"/>
  <c r="D107" i="3"/>
  <c r="BT107" i="3" s="1"/>
  <c r="BV107" i="3" s="1"/>
  <c r="D99" i="3"/>
  <c r="BT99" i="3" s="1"/>
  <c r="BV99" i="3" s="1"/>
  <c r="D91" i="3"/>
  <c r="BT91" i="3" s="1"/>
  <c r="BV91" i="3" s="1"/>
  <c r="D83" i="3"/>
  <c r="BT83" i="3" s="1"/>
  <c r="BV83" i="3" s="1"/>
  <c r="D57" i="3"/>
  <c r="BT57" i="3" s="1"/>
  <c r="BV57" i="3" s="1"/>
  <c r="D49" i="3"/>
  <c r="BT49" i="3" s="1"/>
  <c r="BV49" i="3" s="1"/>
  <c r="D40" i="3"/>
  <c r="BT40" i="3" s="1"/>
  <c r="BV40" i="3" s="1"/>
  <c r="D32" i="3"/>
  <c r="BT32" i="3" s="1"/>
  <c r="BV32" i="3" s="1"/>
  <c r="D23" i="3"/>
  <c r="BT23" i="3" s="1"/>
  <c r="BV23" i="3" s="1"/>
  <c r="D15" i="3"/>
  <c r="BT15" i="3" s="1"/>
  <c r="BV15" i="3" s="1"/>
  <c r="D7" i="3"/>
  <c r="BT7" i="3" s="1"/>
  <c r="BV7" i="3" s="1"/>
  <c r="BT45" i="7"/>
  <c r="BV45" i="7" s="1"/>
  <c r="BT43" i="7"/>
  <c r="BV43" i="7" s="1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E3" i="6"/>
  <c r="G1" i="6"/>
  <c r="I1" i="6" s="1"/>
  <c r="K1" i="6" s="1"/>
  <c r="M1" i="6" s="1"/>
  <c r="O1" i="6" s="1"/>
  <c r="Q1" i="6" s="1"/>
  <c r="S1" i="6" s="1"/>
  <c r="U1" i="6" s="1"/>
  <c r="W1" i="6" s="1"/>
  <c r="Y1" i="6" s="1"/>
  <c r="AA1" i="6" s="1"/>
  <c r="AC1" i="6" s="1"/>
  <c r="AE1" i="6" s="1"/>
  <c r="AG1" i="6" s="1"/>
  <c r="AI1" i="6" s="1"/>
  <c r="AK1" i="6" s="1"/>
  <c r="AM1" i="6" s="1"/>
  <c r="AO1" i="6" s="1"/>
  <c r="AQ1" i="6" s="1"/>
  <c r="AS1" i="6" s="1"/>
  <c r="AU1" i="6" s="1"/>
  <c r="AW1" i="6" s="1"/>
  <c r="AY1" i="6" s="1"/>
  <c r="BA1" i="6" s="1"/>
  <c r="BC1" i="6" s="1"/>
  <c r="BE1" i="6" s="1"/>
  <c r="BG1" i="6" s="1"/>
  <c r="BI1" i="6" s="1"/>
  <c r="BK1" i="6" s="1"/>
  <c r="BM1" i="6" s="1"/>
  <c r="D9" i="4"/>
  <c r="BT9" i="4" s="1"/>
  <c r="BV9" i="4" s="1"/>
  <c r="D16" i="4"/>
  <c r="BT16" i="4" s="1"/>
  <c r="BV16" i="4" s="1"/>
  <c r="D19" i="4"/>
  <c r="BT19" i="4" s="1"/>
  <c r="BV19" i="4" s="1"/>
  <c r="D24" i="4"/>
  <c r="BT24" i="4" s="1"/>
  <c r="BV24" i="4" s="1"/>
  <c r="D27" i="4"/>
  <c r="BT27" i="4" s="1"/>
  <c r="BV27" i="4" s="1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G1" i="4"/>
  <c r="I1" i="4" s="1"/>
  <c r="K1" i="4" s="1"/>
  <c r="M1" i="4" s="1"/>
  <c r="O1" i="4" s="1"/>
  <c r="Q1" i="4" s="1"/>
  <c r="S1" i="4" s="1"/>
  <c r="U1" i="4" s="1"/>
  <c r="W1" i="4" s="1"/>
  <c r="Y1" i="4" s="1"/>
  <c r="AA1" i="4" s="1"/>
  <c r="AC1" i="4" s="1"/>
  <c r="AE1" i="4" s="1"/>
  <c r="AG1" i="4" s="1"/>
  <c r="AI1" i="4" s="1"/>
  <c r="AK1" i="4" s="1"/>
  <c r="AM1" i="4" s="1"/>
  <c r="AO1" i="4" s="1"/>
  <c r="AQ1" i="4" s="1"/>
  <c r="AS1" i="4" s="1"/>
  <c r="AU1" i="4" s="1"/>
  <c r="AW1" i="4" s="1"/>
  <c r="AY1" i="4" s="1"/>
  <c r="BA1" i="4" s="1"/>
  <c r="BC1" i="4" s="1"/>
  <c r="BE1" i="4" s="1"/>
  <c r="BG1" i="4" s="1"/>
  <c r="BI1" i="4" s="1"/>
  <c r="BK1" i="4" s="1"/>
  <c r="BM1" i="4" s="1"/>
  <c r="BT145" i="3"/>
  <c r="BV145" i="3" s="1"/>
  <c r="BT19" i="2"/>
  <c r="BV19" i="2" s="1"/>
  <c r="BT22" i="2"/>
  <c r="BV22" i="2" s="1"/>
  <c r="BT23" i="2"/>
  <c r="BV23" i="2" s="1"/>
  <c r="BT25" i="2"/>
  <c r="BV25" i="2" s="1"/>
  <c r="BT26" i="2"/>
  <c r="BV26" i="2" s="1"/>
  <c r="BT30" i="2"/>
  <c r="BV30" i="2" s="1"/>
  <c r="BT33" i="2"/>
  <c r="BV33" i="2" s="1"/>
  <c r="BT34" i="2"/>
  <c r="BV34" i="2" s="1"/>
  <c r="BT35" i="2"/>
  <c r="BV35" i="2" s="1"/>
  <c r="BT38" i="2"/>
  <c r="BV38" i="2" s="1"/>
  <c r="BT39" i="2"/>
  <c r="BV39" i="2" s="1"/>
  <c r="BT42" i="2"/>
  <c r="BV42" i="2" s="1"/>
  <c r="BT45" i="2"/>
  <c r="BV45" i="2" s="1"/>
  <c r="BT48" i="2"/>
  <c r="BV48" i="2" s="1"/>
  <c r="BT49" i="2"/>
  <c r="BV49" i="2" s="1"/>
  <c r="BT56" i="2"/>
  <c r="BV56" i="2" s="1"/>
  <c r="BT57" i="2"/>
  <c r="BV57" i="2" s="1"/>
  <c r="BT60" i="2"/>
  <c r="BV60" i="2" s="1"/>
  <c r="BT63" i="2"/>
  <c r="BV63" i="2" s="1"/>
  <c r="BT64" i="2"/>
  <c r="BV64" i="2" s="1"/>
  <c r="BT67" i="2"/>
  <c r="BV67" i="2" s="1"/>
  <c r="BT68" i="2"/>
  <c r="BV68" i="2" s="1"/>
  <c r="BT71" i="2"/>
  <c r="BV71" i="2" s="1"/>
  <c r="BT79" i="2"/>
  <c r="BV79" i="2" s="1"/>
  <c r="BT89" i="2"/>
  <c r="BV89" i="2" s="1"/>
  <c r="BT92" i="2"/>
  <c r="BV92" i="2" s="1"/>
  <c r="BT93" i="2"/>
  <c r="BV93" i="2" s="1"/>
  <c r="BT96" i="2"/>
  <c r="BV96" i="2" s="1"/>
  <c r="BT97" i="2"/>
  <c r="BV97" i="2" s="1"/>
  <c r="BT100" i="2"/>
  <c r="BV100" i="2" s="1"/>
  <c r="BT101" i="2"/>
  <c r="BV101" i="2" s="1"/>
  <c r="BT104" i="2"/>
  <c r="BV104" i="2" s="1"/>
  <c r="BT105" i="2"/>
  <c r="BV105" i="2" s="1"/>
  <c r="BT108" i="2"/>
  <c r="BV108" i="2" s="1"/>
  <c r="BT109" i="2"/>
  <c r="BV109" i="2" s="1"/>
  <c r="BT112" i="2"/>
  <c r="BV112" i="2" s="1"/>
  <c r="BT128" i="2"/>
  <c r="BV128" i="2" s="1"/>
  <c r="BT132" i="2"/>
  <c r="BV132" i="2" s="1"/>
  <c r="BT136" i="2"/>
  <c r="BV136" i="2" s="1"/>
  <c r="BT139" i="2"/>
  <c r="BV139" i="2" s="1"/>
  <c r="BT140" i="2"/>
  <c r="BV140" i="2" s="1"/>
  <c r="BT144" i="2"/>
  <c r="BV144" i="2" s="1"/>
  <c r="BT148" i="2"/>
  <c r="BV148" i="2" s="1"/>
  <c r="BT163" i="2"/>
  <c r="BV163" i="2" s="1"/>
  <c r="BT164" i="2"/>
  <c r="BV164" i="2" s="1"/>
  <c r="BT168" i="2"/>
  <c r="BV168" i="2" s="1"/>
  <c r="BT172" i="2"/>
  <c r="BV172" i="2" s="1"/>
  <c r="BT175" i="2"/>
  <c r="BV175" i="2" s="1"/>
  <c r="BT176" i="2"/>
  <c r="BV176" i="2" s="1"/>
  <c r="BT179" i="2"/>
  <c r="BV179" i="2" s="1"/>
  <c r="BT180" i="2"/>
  <c r="BV180" i="2" s="1"/>
  <c r="BT183" i="2"/>
  <c r="BV183" i="2" s="1"/>
  <c r="BT187" i="2"/>
  <c r="BV187" i="2" s="1"/>
  <c r="BT188" i="2"/>
  <c r="BV188" i="2" s="1"/>
  <c r="BT191" i="2"/>
  <c r="BV191" i="2" s="1"/>
  <c r="BT194" i="2"/>
  <c r="BV194" i="2" s="1"/>
  <c r="BT195" i="2"/>
  <c r="BV195" i="2" s="1"/>
  <c r="BT219" i="2"/>
  <c r="BV219" i="2" s="1"/>
  <c r="BT222" i="2"/>
  <c r="BV222" i="2" s="1"/>
  <c r="BT226" i="2"/>
  <c r="BV226" i="2" s="1"/>
  <c r="BT235" i="2"/>
  <c r="BV235" i="2" s="1"/>
  <c r="BT238" i="2"/>
  <c r="BV238" i="2" s="1"/>
  <c r="A4" i="14"/>
  <c r="A5" i="14" s="1"/>
  <c r="A6" i="14" s="1"/>
  <c r="A7" i="14" s="1"/>
  <c r="A8" i="14" s="1"/>
  <c r="A9" i="14" s="1"/>
  <c r="G1" i="2"/>
  <c r="I1" i="2" s="1"/>
  <c r="K1" i="2" s="1"/>
  <c r="O1" i="2" s="1"/>
  <c r="Q1" i="2" s="1"/>
  <c r="S1" i="2" s="1"/>
  <c r="U1" i="2" s="1"/>
  <c r="W1" i="2" s="1"/>
  <c r="Y1" i="2" s="1"/>
  <c r="AA1" i="2" s="1"/>
  <c r="AC1" i="2" s="1"/>
  <c r="AE1" i="2" s="1"/>
  <c r="AG1" i="2" s="1"/>
  <c r="AI1" i="2" s="1"/>
  <c r="AK1" i="2" l="1"/>
  <c r="AM1" i="2" s="1"/>
  <c r="AO1" i="2" s="1"/>
  <c r="AQ1" i="2" s="1"/>
  <c r="AS1" i="2" s="1"/>
  <c r="AU1" i="2" s="1"/>
  <c r="AW1" i="2" s="1"/>
  <c r="AY1" i="2" s="1"/>
  <c r="BA1" i="2" s="1"/>
  <c r="BC1" i="2" s="1"/>
  <c r="BE1" i="2" s="1"/>
  <c r="BG1" i="2" s="1"/>
  <c r="BI1" i="2" s="1"/>
  <c r="BK1" i="2" s="1"/>
  <c r="BM1" i="2" s="1"/>
  <c r="BT118" i="3"/>
  <c r="BV118" i="3" s="1"/>
  <c r="BT122" i="3"/>
  <c r="BV122" i="3" s="1"/>
  <c r="BQ3" i="6"/>
  <c r="BQ3" i="4"/>
  <c r="BR3" i="4"/>
  <c r="BR3" i="6"/>
  <c r="D29" i="4"/>
  <c r="BT29" i="4" s="1"/>
  <c r="BV29" i="4" s="1"/>
  <c r="D21" i="4"/>
  <c r="BT21" i="4" s="1"/>
  <c r="BV21" i="4" s="1"/>
  <c r="D13" i="4"/>
  <c r="BT13" i="4" s="1"/>
  <c r="BV13" i="4" s="1"/>
  <c r="D6" i="4"/>
  <c r="BT6" i="4" s="1"/>
  <c r="BV6" i="4" s="1"/>
  <c r="D25" i="4"/>
  <c r="BT25" i="4" s="1"/>
  <c r="BV25" i="4" s="1"/>
  <c r="D28" i="4"/>
  <c r="BT28" i="4" s="1"/>
  <c r="BV28" i="4" s="1"/>
  <c r="D20" i="4"/>
  <c r="BT20" i="4" s="1"/>
  <c r="BV20" i="4" s="1"/>
  <c r="D12" i="4"/>
  <c r="BT12" i="4" s="1"/>
  <c r="BV12" i="4" s="1"/>
  <c r="D7" i="4"/>
  <c r="BT7" i="4" s="1"/>
  <c r="BV7" i="4" s="1"/>
  <c r="D26" i="4"/>
  <c r="BT26" i="4" s="1"/>
  <c r="BV26" i="4" s="1"/>
  <c r="D18" i="4"/>
  <c r="BT18" i="4" s="1"/>
  <c r="BV18" i="4" s="1"/>
  <c r="D11" i="4"/>
  <c r="BT11" i="4" s="1"/>
  <c r="BV11" i="4" s="1"/>
  <c r="D17" i="4"/>
  <c r="BT17" i="4" s="1"/>
  <c r="BV17" i="4" s="1"/>
  <c r="D10" i="4"/>
  <c r="BT10" i="4" s="1"/>
  <c r="BV10" i="4" s="1"/>
  <c r="D23" i="4"/>
  <c r="BT23" i="4" s="1"/>
  <c r="BV23" i="4" s="1"/>
  <c r="D8" i="4"/>
  <c r="BT8" i="4" s="1"/>
  <c r="BV8" i="4" s="1"/>
  <c r="D15" i="4"/>
  <c r="BT15" i="4" s="1"/>
  <c r="BV15" i="4" s="1"/>
  <c r="D22" i="4"/>
  <c r="BT22" i="4" s="1"/>
  <c r="BV22" i="4" s="1"/>
  <c r="D14" i="4"/>
  <c r="BT14" i="4" s="1"/>
  <c r="BV14" i="4" s="1"/>
  <c r="BT236" i="2"/>
  <c r="BV236" i="2" s="1"/>
  <c r="BT192" i="2"/>
  <c r="BV192" i="2" s="1"/>
  <c r="BT177" i="2"/>
  <c r="BV177" i="2" s="1"/>
  <c r="BT169" i="2"/>
  <c r="BV169" i="2" s="1"/>
  <c r="BT161" i="2"/>
  <c r="BV161" i="2" s="1"/>
  <c r="BT145" i="2"/>
  <c r="BV145" i="2" s="1"/>
  <c r="BT137" i="2"/>
  <c r="BV137" i="2" s="1"/>
  <c r="BT129" i="2"/>
  <c r="BV129" i="2" s="1"/>
  <c r="BT122" i="2"/>
  <c r="BV122" i="2" s="1"/>
  <c r="BT114" i="2"/>
  <c r="BV114" i="2" s="1"/>
  <c r="BT106" i="2"/>
  <c r="BV106" i="2" s="1"/>
  <c r="BT90" i="2"/>
  <c r="BV90" i="2" s="1"/>
  <c r="BT85" i="2"/>
  <c r="BV85" i="2" s="1"/>
  <c r="BT80" i="2"/>
  <c r="BV80" i="2" s="1"/>
  <c r="BT75" i="2"/>
  <c r="BV75" i="2" s="1"/>
  <c r="BT61" i="2"/>
  <c r="BV61" i="2" s="1"/>
  <c r="BT54" i="2"/>
  <c r="BV54" i="2" s="1"/>
  <c r="BT46" i="2"/>
  <c r="BV46" i="2" s="1"/>
  <c r="BT27" i="2"/>
  <c r="BV27" i="2" s="1"/>
  <c r="BT221" i="2"/>
  <c r="BV221" i="2" s="1"/>
  <c r="BT143" i="2"/>
  <c r="BV143" i="2" s="1"/>
  <c r="BT230" i="2"/>
  <c r="BV230" i="2" s="1"/>
  <c r="BT171" i="2"/>
  <c r="BV171" i="2" s="1"/>
  <c r="BT98" i="2"/>
  <c r="BV98" i="2" s="1"/>
  <c r="BT159" i="2"/>
  <c r="BV159" i="2" s="1"/>
  <c r="BT127" i="2"/>
  <c r="BV127" i="2" s="1"/>
  <c r="BT121" i="2"/>
  <c r="BV121" i="2" s="1"/>
  <c r="BT120" i="2"/>
  <c r="BV120" i="2" s="1"/>
  <c r="BT69" i="2"/>
  <c r="BV69" i="2" s="1"/>
  <c r="BT153" i="2"/>
  <c r="BV153" i="2" s="1"/>
  <c r="BT151" i="2"/>
  <c r="BV151" i="2" s="1"/>
  <c r="BT116" i="2"/>
  <c r="BV116" i="2" s="1"/>
  <c r="BT200" i="2"/>
  <c r="BV200" i="2" s="1"/>
  <c r="BT52" i="2"/>
  <c r="BV52" i="2" s="1"/>
  <c r="BT147" i="2"/>
  <c r="BV147" i="2" s="1"/>
  <c r="BT74" i="2"/>
  <c r="BV74" i="2" s="1"/>
  <c r="BT152" i="2"/>
  <c r="BV152" i="2" s="1"/>
  <c r="BT135" i="2"/>
  <c r="BV135" i="2" s="1"/>
  <c r="BT117" i="2"/>
  <c r="BV117" i="2" s="1"/>
  <c r="BV16" i="8"/>
  <c r="BV3" i="8" s="1"/>
  <c r="E9" i="14" s="1"/>
  <c r="BT3" i="8"/>
  <c r="D9" i="14" s="1"/>
  <c r="BT77" i="2"/>
  <c r="BV77" i="2" s="1"/>
  <c r="BT131" i="2"/>
  <c r="BV131" i="2" s="1"/>
  <c r="BT29" i="2"/>
  <c r="BV29" i="2" s="1"/>
  <c r="BT234" i="2"/>
  <c r="BV234" i="2" s="1"/>
  <c r="BV123" i="3"/>
  <c r="BT41" i="7"/>
  <c r="BT228" i="2"/>
  <c r="BV228" i="2" s="1"/>
  <c r="BT211" i="2"/>
  <c r="BV211" i="2" s="1"/>
  <c r="BT113" i="2"/>
  <c r="BV113" i="2" s="1"/>
  <c r="BT212" i="2"/>
  <c r="BV212" i="2" s="1"/>
  <c r="BT203" i="2"/>
  <c r="BV203" i="2" s="1"/>
  <c r="BT232" i="2"/>
  <c r="BV232" i="2" s="1"/>
  <c r="BT201" i="2"/>
  <c r="BV201" i="2" s="1"/>
  <c r="BT189" i="2"/>
  <c r="BV189" i="2" s="1"/>
  <c r="BT181" i="2"/>
  <c r="BV181" i="2" s="1"/>
  <c r="BT173" i="2"/>
  <c r="BV173" i="2" s="1"/>
  <c r="BT149" i="2"/>
  <c r="BV149" i="2" s="1"/>
  <c r="BT133" i="2"/>
  <c r="BV133" i="2" s="1"/>
  <c r="BT118" i="2"/>
  <c r="BV118" i="2" s="1"/>
  <c r="BT110" i="2"/>
  <c r="BV110" i="2" s="1"/>
  <c r="BT102" i="2"/>
  <c r="BV102" i="2" s="1"/>
  <c r="BT94" i="2"/>
  <c r="BV94" i="2" s="1"/>
  <c r="BT87" i="2"/>
  <c r="BV87" i="2" s="1"/>
  <c r="BT72" i="2"/>
  <c r="BV72" i="2" s="1"/>
  <c r="BT65" i="2"/>
  <c r="BV65" i="2" s="1"/>
  <c r="BT58" i="2"/>
  <c r="BV58" i="2" s="1"/>
  <c r="BT50" i="2"/>
  <c r="BV50" i="2" s="1"/>
  <c r="BV44" i="2"/>
  <c r="BT36" i="2"/>
  <c r="BV36" i="2" s="1"/>
  <c r="BT31" i="2"/>
  <c r="BV31" i="2" s="1"/>
  <c r="BT24" i="2"/>
  <c r="BV24" i="2" s="1"/>
  <c r="BT218" i="2"/>
  <c r="BV218" i="2" s="1"/>
  <c r="BT141" i="2"/>
  <c r="BV141" i="2" s="1"/>
  <c r="BT241" i="2"/>
  <c r="BV241" i="2" s="1"/>
  <c r="BT233" i="2"/>
  <c r="BV233" i="2" s="1"/>
  <c r="BT225" i="2"/>
  <c r="BV225" i="2" s="1"/>
  <c r="BT197" i="2"/>
  <c r="BV197" i="2" s="1"/>
  <c r="BT190" i="2"/>
  <c r="BV190" i="2" s="1"/>
  <c r="BT182" i="2"/>
  <c r="BV182" i="2" s="1"/>
  <c r="BT174" i="2"/>
  <c r="BV174" i="2" s="1"/>
  <c r="BT166" i="2"/>
  <c r="BV166" i="2" s="1"/>
  <c r="BT158" i="2"/>
  <c r="BV158" i="2" s="1"/>
  <c r="BT150" i="2"/>
  <c r="BV150" i="2" s="1"/>
  <c r="BT142" i="2"/>
  <c r="BV142" i="2" s="1"/>
  <c r="BT119" i="2"/>
  <c r="BV119" i="2" s="1"/>
  <c r="BT111" i="2"/>
  <c r="BV111" i="2" s="1"/>
  <c r="BT103" i="2"/>
  <c r="BV103" i="2" s="1"/>
  <c r="BT88" i="2"/>
  <c r="BV88" i="2" s="1"/>
  <c r="BT84" i="2"/>
  <c r="BV84" i="2" s="1"/>
  <c r="BT78" i="2"/>
  <c r="BV78" i="2" s="1"/>
  <c r="BT73" i="2"/>
  <c r="BV73" i="2" s="1"/>
  <c r="BT66" i="2"/>
  <c r="BV66" i="2" s="1"/>
  <c r="BT59" i="2"/>
  <c r="BV59" i="2" s="1"/>
  <c r="BT37" i="2"/>
  <c r="BV37" i="2" s="1"/>
  <c r="BT32" i="2"/>
  <c r="BV32" i="2" s="1"/>
  <c r="BT160" i="2"/>
  <c r="BV160" i="2" s="1"/>
  <c r="BT196" i="2"/>
  <c r="BV196" i="2" s="1"/>
  <c r="BT240" i="2"/>
  <c r="BV240" i="2" s="1"/>
  <c r="BT198" i="2"/>
  <c r="BV198" i="2" s="1"/>
  <c r="BT208" i="2"/>
  <c r="BV208" i="2" s="1"/>
  <c r="BT40" i="2"/>
  <c r="BV40" i="2" s="1"/>
  <c r="BT53" i="2"/>
  <c r="BV53" i="2" s="1"/>
  <c r="BT165" i="2"/>
  <c r="BV165" i="2" s="1"/>
  <c r="BT51" i="2"/>
  <c r="BV51" i="2" s="1"/>
  <c r="BT227" i="2"/>
  <c r="BV227" i="2" s="1"/>
  <c r="BT185" i="2"/>
  <c r="BV185" i="2" s="1"/>
  <c r="BT184" i="2"/>
  <c r="BV184" i="2" s="1"/>
  <c r="BT202" i="2"/>
  <c r="BV202" i="2" s="1"/>
  <c r="BT220" i="2"/>
  <c r="BV220" i="2" s="1"/>
  <c r="BT209" i="2"/>
  <c r="BV209" i="2" s="1"/>
  <c r="BT125" i="2"/>
  <c r="BV125" i="2" s="1"/>
  <c r="BT95" i="2"/>
  <c r="BV95" i="2" s="1"/>
  <c r="BT157" i="2"/>
  <c r="BV157" i="2" s="1"/>
  <c r="BT155" i="2"/>
  <c r="BV155" i="2" s="1"/>
  <c r="BT156" i="2"/>
  <c r="BV156" i="2" s="1"/>
  <c r="BV207" i="2"/>
  <c r="BT237" i="2"/>
  <c r="BV237" i="2" s="1"/>
  <c r="BT229" i="2"/>
  <c r="BV229" i="2" s="1"/>
  <c r="BT210" i="2"/>
  <c r="BV210" i="2" s="1"/>
  <c r="BT199" i="2"/>
  <c r="BV199" i="2" s="1"/>
  <c r="BT193" i="2"/>
  <c r="BV193" i="2" s="1"/>
  <c r="BT186" i="2"/>
  <c r="BV186" i="2" s="1"/>
  <c r="BT178" i="2"/>
  <c r="BV178" i="2" s="1"/>
  <c r="BT170" i="2"/>
  <c r="BV170" i="2" s="1"/>
  <c r="BT162" i="2"/>
  <c r="BV162" i="2" s="1"/>
  <c r="BT154" i="2"/>
  <c r="BV154" i="2" s="1"/>
  <c r="BT146" i="2"/>
  <c r="BV146" i="2" s="1"/>
  <c r="BT138" i="2"/>
  <c r="BV138" i="2" s="1"/>
  <c r="BT130" i="2"/>
  <c r="BV130" i="2" s="1"/>
  <c r="BT123" i="2"/>
  <c r="BV123" i="2" s="1"/>
  <c r="BT115" i="2"/>
  <c r="BV115" i="2" s="1"/>
  <c r="BT107" i="2"/>
  <c r="BV107" i="2" s="1"/>
  <c r="BT99" i="2"/>
  <c r="BV99" i="2" s="1"/>
  <c r="BT91" i="2"/>
  <c r="BV91" i="2" s="1"/>
  <c r="BT86" i="2"/>
  <c r="BV86" i="2" s="1"/>
  <c r="BT83" i="2"/>
  <c r="BV83" i="2" s="1"/>
  <c r="BT76" i="2"/>
  <c r="BV76" i="2" s="1"/>
  <c r="BT70" i="2"/>
  <c r="BT62" i="2"/>
  <c r="BV62" i="2" s="1"/>
  <c r="BT55" i="2"/>
  <c r="BV55" i="2" s="1"/>
  <c r="BT47" i="2"/>
  <c r="BV47" i="2" s="1"/>
  <c r="BT41" i="2"/>
  <c r="BV41" i="2" s="1"/>
  <c r="BT28" i="2"/>
  <c r="BV28" i="2" s="1"/>
  <c r="BT21" i="2"/>
  <c r="BV21" i="2" s="1"/>
  <c r="BT217" i="2"/>
  <c r="BV217" i="2" s="1"/>
  <c r="BT134" i="2"/>
  <c r="BV134" i="2" s="1"/>
  <c r="BT126" i="2"/>
  <c r="BV126" i="2" s="1"/>
  <c r="BT239" i="2"/>
  <c r="BV239" i="2" s="1"/>
  <c r="BT231" i="2"/>
  <c r="BV231" i="2" s="1"/>
  <c r="BT223" i="2"/>
  <c r="BV223" i="2" s="1"/>
  <c r="BT224" i="2"/>
  <c r="BV224" i="2" s="1"/>
  <c r="BT214" i="2"/>
  <c r="BV214" i="2" s="1"/>
  <c r="BT124" i="2"/>
  <c r="BV124" i="2" s="1"/>
  <c r="BT42" i="7"/>
  <c r="BV42" i="7" s="1"/>
  <c r="BT39" i="7"/>
  <c r="BV39" i="7" s="1"/>
  <c r="BT167" i="2" l="1"/>
  <c r="BV167" i="2" s="1"/>
  <c r="BT20" i="2"/>
  <c r="BV20" i="2" s="1"/>
  <c r="D3" i="4"/>
  <c r="BV41" i="7"/>
  <c r="BV70" i="2"/>
  <c r="BT40" i="7"/>
  <c r="BV40" i="7" s="1"/>
  <c r="BT38" i="7" l="1"/>
  <c r="BV38" i="7" s="1"/>
  <c r="BT37" i="7"/>
  <c r="BV37" i="7" s="1"/>
  <c r="BT35" i="7" l="1"/>
  <c r="BV35" i="7" s="1"/>
  <c r="BT36" i="7"/>
  <c r="BV36" i="7" s="1"/>
  <c r="BT34" i="7" l="1"/>
  <c r="BV34" i="7" s="1"/>
  <c r="BT33" i="7"/>
  <c r="BV33" i="7" s="1"/>
  <c r="BT32" i="7" l="1"/>
  <c r="BV32" i="7" s="1"/>
  <c r="BT31" i="7"/>
  <c r="BV31" i="7" s="1"/>
  <c r="BT29" i="7" l="1"/>
  <c r="BV29" i="7" s="1"/>
  <c r="BT30" i="7"/>
  <c r="BV30" i="7" s="1"/>
  <c r="BT27" i="7" l="1"/>
  <c r="BV27" i="7" s="1"/>
  <c r="BT28" i="7"/>
  <c r="BV28" i="7" s="1"/>
  <c r="BT26" i="7" l="1"/>
  <c r="BV26" i="7" s="1"/>
  <c r="BT25" i="7"/>
  <c r="BV25" i="7" s="1"/>
  <c r="BT23" i="7" l="1"/>
  <c r="BV23" i="7" s="1"/>
  <c r="BT24" i="7"/>
  <c r="BV24" i="7" s="1"/>
  <c r="BT21" i="7" l="1"/>
  <c r="BV21" i="7" s="1"/>
  <c r="BT22" i="7"/>
  <c r="BV22" i="7" s="1"/>
  <c r="BT20" i="7" l="1"/>
  <c r="BV20" i="7" s="1"/>
  <c r="BT19" i="7"/>
  <c r="BV19" i="7" s="1"/>
  <c r="BT17" i="7" l="1"/>
  <c r="BV17" i="7" s="1"/>
  <c r="BT18" i="7"/>
  <c r="BV18" i="7" s="1"/>
  <c r="BT16" i="7" l="1"/>
  <c r="BV16" i="7" s="1"/>
  <c r="BT15" i="7"/>
  <c r="BV15" i="7" s="1"/>
  <c r="BT13" i="7" l="1"/>
  <c r="BV13" i="7" s="1"/>
  <c r="BT14" i="7"/>
  <c r="BV14" i="7" s="1"/>
  <c r="BV8" i="7" l="1"/>
  <c r="BV11" i="7"/>
  <c r="BT7" i="7" l="1"/>
  <c r="BV7" i="7" s="1"/>
  <c r="BT6" i="7"/>
  <c r="BV6" i="7" s="1"/>
  <c r="L3" i="3" l="1"/>
  <c r="J3" i="3"/>
  <c r="R3" i="3"/>
  <c r="N3" i="3"/>
  <c r="M3" i="3"/>
  <c r="K3" i="3"/>
  <c r="E3" i="3"/>
  <c r="O3" i="3"/>
  <c r="P3" i="3"/>
  <c r="G3" i="3"/>
  <c r="H3" i="3"/>
  <c r="F3" i="3"/>
  <c r="I3" i="3"/>
  <c r="Q3" i="3"/>
  <c r="BQ3" i="3" l="1"/>
  <c r="BR3" i="3"/>
  <c r="BT144" i="3"/>
  <c r="D2" i="3"/>
  <c r="BT5" i="7"/>
  <c r="C8" i="14"/>
  <c r="BV144" i="3" l="1"/>
  <c r="BV2" i="3" s="1"/>
  <c r="BT2" i="3"/>
  <c r="BV5" i="7"/>
  <c r="BV3" i="7" s="1"/>
  <c r="E8" i="14" s="1"/>
  <c r="BT3" i="7"/>
  <c r="D8" i="14" s="1"/>
  <c r="V3" i="5" l="1"/>
  <c r="AS3" i="5"/>
  <c r="AG3" i="5"/>
  <c r="R3" i="5"/>
  <c r="AY3" i="5"/>
  <c r="AU3" i="5"/>
  <c r="AD3" i="5"/>
  <c r="L3" i="5"/>
  <c r="T3" i="5"/>
  <c r="AB3" i="5"/>
  <c r="AJ3" i="5"/>
  <c r="AR3" i="5"/>
  <c r="X3" i="5"/>
  <c r="AH3" i="5"/>
  <c r="AV3" i="5"/>
  <c r="AA3" i="5"/>
  <c r="AE3" i="5"/>
  <c r="AK3" i="5"/>
  <c r="AO3" i="5"/>
  <c r="Z3" i="5"/>
  <c r="AQ3" i="5"/>
  <c r="G3" i="5"/>
  <c r="AT3" i="5"/>
  <c r="M3" i="5"/>
  <c r="U3" i="5"/>
  <c r="AC3" i="5"/>
  <c r="AF3" i="5"/>
  <c r="AX3" i="5"/>
  <c r="AI3" i="5"/>
  <c r="H3" i="5"/>
  <c r="AW3" i="5"/>
  <c r="W3" i="5"/>
  <c r="N3" i="5"/>
  <c r="AL3" i="5"/>
  <c r="E3" i="5"/>
  <c r="AP3" i="5"/>
  <c r="Y3" i="5"/>
  <c r="P3" i="5"/>
  <c r="AM3" i="5"/>
  <c r="O3" i="5"/>
  <c r="AN3" i="5"/>
  <c r="J3" i="5"/>
  <c r="K3" i="5"/>
  <c r="S3" i="5"/>
  <c r="I3" i="5"/>
  <c r="Q3" i="5"/>
  <c r="F3" i="5"/>
  <c r="D6" i="5" l="1"/>
  <c r="D3" i="5" s="1"/>
  <c r="BQ3" i="5"/>
  <c r="BR3" i="5"/>
  <c r="BT6" i="5" l="1"/>
  <c r="BV6" i="5" s="1"/>
  <c r="BV3" i="5" s="1"/>
  <c r="E6" i="14" s="1"/>
  <c r="C6" i="14"/>
  <c r="BT3" i="5" l="1"/>
  <c r="D6" i="14" s="1"/>
  <c r="G4" i="14"/>
  <c r="F7" i="14"/>
  <c r="G2" i="14"/>
  <c r="G3" i="14" l="1"/>
  <c r="T3" i="2"/>
  <c r="O3" i="2"/>
  <c r="P3" i="2"/>
  <c r="U3" i="2"/>
  <c r="Q3" i="2"/>
  <c r="N3" i="2"/>
  <c r="R3" i="2"/>
  <c r="S3" i="2"/>
  <c r="L3" i="2"/>
  <c r="J3" i="2"/>
  <c r="F3" i="2"/>
  <c r="BR5" i="2"/>
  <c r="I3" i="2"/>
  <c r="E3" i="2"/>
  <c r="K3" i="2"/>
  <c r="M3" i="2"/>
  <c r="H3" i="2"/>
  <c r="G3" i="2"/>
  <c r="BQ5" i="2"/>
  <c r="D5" i="2" l="1"/>
  <c r="BQ3" i="2"/>
  <c r="D2" i="2"/>
  <c r="C3" i="14" s="1"/>
  <c r="BT5" i="2"/>
  <c r="BR3" i="2"/>
  <c r="C12" i="14" l="1"/>
  <c r="F2" i="14"/>
  <c r="BT2" i="2"/>
  <c r="D3" i="14" s="1"/>
  <c r="BV5" i="2"/>
  <c r="BV2" i="2" s="1"/>
  <c r="E3" i="14" s="1"/>
  <c r="F4" i="14" l="1"/>
  <c r="F8" i="14"/>
  <c r="E12" i="14"/>
  <c r="D12" i="14"/>
  <c r="F3" i="14"/>
</calcChain>
</file>

<file path=xl/sharedStrings.xml><?xml version="1.0" encoding="utf-8"?>
<sst xmlns="http://schemas.openxmlformats.org/spreadsheetml/2006/main" count="18077" uniqueCount="12309">
  <si>
    <t>2000200245995</t>
  </si>
  <si>
    <t>2000200196525</t>
  </si>
  <si>
    <t>2000167122933</t>
  </si>
  <si>
    <t>2000166291678</t>
  </si>
  <si>
    <t>2000199504578</t>
  </si>
  <si>
    <t>2000201169184</t>
  </si>
  <si>
    <t>2000177074130</t>
  </si>
  <si>
    <t>2000167123572</t>
  </si>
  <si>
    <t>2000198912534</t>
  </si>
  <si>
    <t>2000171991143</t>
  </si>
  <si>
    <t>2000133153725</t>
  </si>
  <si>
    <t>2000192608440</t>
  </si>
  <si>
    <t>2000110031305</t>
  </si>
  <si>
    <t>2000166290749</t>
  </si>
  <si>
    <t>2000167855763</t>
  </si>
  <si>
    <t>2000190438681</t>
  </si>
  <si>
    <t>2000214247985</t>
  </si>
  <si>
    <t>LV3650</t>
  </si>
  <si>
    <t>2000198486196</t>
  </si>
  <si>
    <t>2000214251203</t>
  </si>
  <si>
    <t>2000166292620</t>
  </si>
  <si>
    <t>2000181064059</t>
  </si>
  <si>
    <t>2000201169245</t>
  </si>
  <si>
    <t>2000159084355</t>
  </si>
  <si>
    <t>2000214250022</t>
  </si>
  <si>
    <t>2000199013148</t>
  </si>
  <si>
    <t>2000214249224</t>
  </si>
  <si>
    <t>2000199013025</t>
  </si>
  <si>
    <t>2000214250039</t>
  </si>
  <si>
    <t>2000166601187</t>
  </si>
  <si>
    <t>2000202128722</t>
  </si>
  <si>
    <t>2000110032562</t>
  </si>
  <si>
    <t>2000214247404</t>
  </si>
  <si>
    <t>2000214247916</t>
  </si>
  <si>
    <t>2000214249071</t>
  </si>
  <si>
    <t>2000159084157</t>
  </si>
  <si>
    <t>2000214247879</t>
  </si>
  <si>
    <t>2000214247794</t>
  </si>
  <si>
    <t>2000214249750</t>
  </si>
  <si>
    <t>2000199013100</t>
  </si>
  <si>
    <t>2000214251579</t>
  </si>
  <si>
    <t>2000150845672</t>
  </si>
  <si>
    <t>2000214247954</t>
  </si>
  <si>
    <t>2000202128746</t>
  </si>
  <si>
    <t>2000197191473</t>
  </si>
  <si>
    <t>2000202202224</t>
  </si>
  <si>
    <t>2000199013063</t>
  </si>
  <si>
    <t>2000214247893</t>
  </si>
  <si>
    <t>2000214252026</t>
  </si>
  <si>
    <t>2000202202217</t>
  </si>
  <si>
    <t>2000139960044</t>
  </si>
  <si>
    <t>2000214247824</t>
  </si>
  <si>
    <t>2000214251562</t>
  </si>
  <si>
    <t>2000214249781</t>
  </si>
  <si>
    <t>2000124052563</t>
  </si>
  <si>
    <t>2000200293156</t>
  </si>
  <si>
    <t>2000201417230</t>
  </si>
  <si>
    <t>2000199808898</t>
  </si>
  <si>
    <t>2000214249767</t>
  </si>
  <si>
    <t>2000202211202</t>
  </si>
  <si>
    <t>2000202211240</t>
  </si>
  <si>
    <t>2000214249774</t>
  </si>
  <si>
    <t>2000192608518</t>
  </si>
  <si>
    <t>2000214251647</t>
  </si>
  <si>
    <t>2000199013162</t>
  </si>
  <si>
    <t>2000214252019</t>
  </si>
  <si>
    <t>2000214252651</t>
  </si>
  <si>
    <t>2000125232988</t>
  </si>
  <si>
    <t>2000214249736</t>
  </si>
  <si>
    <t>2000181031952</t>
  </si>
  <si>
    <t>2000163070696</t>
  </si>
  <si>
    <t>2000200404323</t>
  </si>
  <si>
    <t>2000110032418</t>
  </si>
  <si>
    <t>2000194910640</t>
  </si>
  <si>
    <t>2000214248197</t>
  </si>
  <si>
    <t>2000202698300</t>
  </si>
  <si>
    <t>2000214251289</t>
  </si>
  <si>
    <t>2000202211226</t>
  </si>
  <si>
    <t>2000163071044</t>
  </si>
  <si>
    <t>2000196082772</t>
  </si>
  <si>
    <t>2000199808942</t>
  </si>
  <si>
    <t>2000163071440</t>
  </si>
  <si>
    <t>2000214252033</t>
  </si>
  <si>
    <t>2000214251586</t>
  </si>
  <si>
    <t>2000165453961</t>
  </si>
  <si>
    <t>2000214252682</t>
  </si>
  <si>
    <t>2000214248289</t>
  </si>
  <si>
    <t>2000198578594</t>
  </si>
  <si>
    <t>2000214251296</t>
  </si>
  <si>
    <t>2000141837747</t>
  </si>
  <si>
    <t>2000200909798</t>
  </si>
  <si>
    <t>2000214251593</t>
  </si>
  <si>
    <t>2000214254402</t>
  </si>
  <si>
    <t>2000214252675</t>
  </si>
  <si>
    <t>2000202211189</t>
  </si>
  <si>
    <t>2000198578617</t>
  </si>
  <si>
    <t>2000214251364</t>
  </si>
  <si>
    <t>2000197191305</t>
  </si>
  <si>
    <t>2000214251609</t>
  </si>
  <si>
    <t>2000214252705</t>
  </si>
  <si>
    <t>2000214251623</t>
  </si>
  <si>
    <t>2000214254396</t>
  </si>
  <si>
    <t>2000161835266</t>
  </si>
  <si>
    <t>2000200909200</t>
  </si>
  <si>
    <t>2000200293132</t>
  </si>
  <si>
    <t>2000169868112</t>
  </si>
  <si>
    <t>2000199013049</t>
  </si>
  <si>
    <t>2000196328962</t>
  </si>
  <si>
    <t>2000161061009</t>
  </si>
  <si>
    <t>2000199013124</t>
  </si>
  <si>
    <t>2000214251302</t>
  </si>
  <si>
    <t>2000163070825</t>
  </si>
  <si>
    <t>2000214249828</t>
  </si>
  <si>
    <t>2000202128760</t>
  </si>
  <si>
    <t>2000214254419</t>
  </si>
  <si>
    <t>2000214251340</t>
  </si>
  <si>
    <t>2000214252729</t>
  </si>
  <si>
    <t>2000214247930</t>
  </si>
  <si>
    <t>2000214251555</t>
  </si>
  <si>
    <t>2000214251319</t>
  </si>
  <si>
    <t>2000214254488</t>
  </si>
  <si>
    <t>2000214252392</t>
  </si>
  <si>
    <t>2000214251616</t>
  </si>
  <si>
    <t>2000139666045</t>
  </si>
  <si>
    <t>2000214251371</t>
  </si>
  <si>
    <t>2000214247817</t>
  </si>
  <si>
    <t>2000214252996</t>
  </si>
  <si>
    <t>2000201405602</t>
  </si>
  <si>
    <t>2000214247855</t>
  </si>
  <si>
    <t>2000200909811</t>
  </si>
  <si>
    <t>2000202227593</t>
  </si>
  <si>
    <t>2000164274437</t>
  </si>
  <si>
    <t>2000161838380</t>
  </si>
  <si>
    <t>2000214248753</t>
  </si>
  <si>
    <t>2000201654710</t>
  </si>
  <si>
    <t>2000214251357</t>
  </si>
  <si>
    <t>2000214250503</t>
  </si>
  <si>
    <t>2000214253580</t>
  </si>
  <si>
    <t>2000177014228</t>
  </si>
  <si>
    <t>2000201654703</t>
  </si>
  <si>
    <t>2000163071389</t>
  </si>
  <si>
    <t>2000141837785</t>
  </si>
  <si>
    <t>2000214248746</t>
  </si>
  <si>
    <t>2000214251630</t>
  </si>
  <si>
    <t>2000214249095</t>
  </si>
  <si>
    <t>2000214253016</t>
  </si>
  <si>
    <t>2000214254211</t>
  </si>
  <si>
    <t>2000214254815</t>
  </si>
  <si>
    <t>2000214254839</t>
  </si>
  <si>
    <t>2000214254846</t>
  </si>
  <si>
    <t>2000214254853</t>
  </si>
  <si>
    <t>2000214253023</t>
  </si>
  <si>
    <t>2000214253153</t>
  </si>
  <si>
    <t>2000214253047</t>
  </si>
  <si>
    <t>2000214253573</t>
  </si>
  <si>
    <t>2000214254495</t>
  </si>
  <si>
    <t>2000214253931</t>
  </si>
  <si>
    <t>2000214254389</t>
  </si>
  <si>
    <t>2000214253146</t>
  </si>
  <si>
    <t>2000214254143</t>
  </si>
  <si>
    <t>2000199134256</t>
  </si>
  <si>
    <t>2000214253696</t>
  </si>
  <si>
    <t>2000214253740</t>
  </si>
  <si>
    <t>2000214254747</t>
  </si>
  <si>
    <t>2000214254808</t>
  </si>
  <si>
    <t>2000214255140</t>
  </si>
  <si>
    <t>2000214252668</t>
  </si>
  <si>
    <t>2000214254822</t>
  </si>
  <si>
    <t>2000202044022</t>
  </si>
  <si>
    <t>2000214254549</t>
  </si>
  <si>
    <t>2000214254563</t>
  </si>
  <si>
    <t>2000214254594</t>
  </si>
  <si>
    <t>2000214253702</t>
  </si>
  <si>
    <t>2000214253726</t>
  </si>
  <si>
    <t>2000201405541</t>
  </si>
  <si>
    <t>2000214252699</t>
  </si>
  <si>
    <t>2000200909835</t>
  </si>
  <si>
    <t>2000200909774</t>
  </si>
  <si>
    <t>2000161837086</t>
  </si>
  <si>
    <t>2000214254587</t>
  </si>
  <si>
    <t>2000214254617</t>
  </si>
  <si>
    <t>2000214253009</t>
  </si>
  <si>
    <t>2000214253030</t>
  </si>
  <si>
    <t>2000214253719</t>
  </si>
  <si>
    <t>2000214253733</t>
  </si>
  <si>
    <t>2000214254556</t>
  </si>
  <si>
    <t>2000214254570</t>
  </si>
  <si>
    <t>2000214254600</t>
  </si>
  <si>
    <t>2000214255133</t>
  </si>
  <si>
    <t>KÍCH THƯỚC</t>
  </si>
  <si>
    <t>80*80 ECO</t>
  </si>
  <si>
    <t>LXC6105</t>
  </si>
  <si>
    <t>LXC6114</t>
  </si>
  <si>
    <t>LXC6115</t>
  </si>
  <si>
    <t>LXC6116</t>
  </si>
  <si>
    <t>LXC6117</t>
  </si>
  <si>
    <t>LXC6118</t>
  </si>
  <si>
    <t>LXC6119</t>
  </si>
  <si>
    <t>LX3658</t>
  </si>
  <si>
    <t>LX3659</t>
  </si>
  <si>
    <t>LX3662</t>
  </si>
  <si>
    <t>LX3663</t>
  </si>
  <si>
    <t>LX3664</t>
  </si>
  <si>
    <t>LX3665</t>
  </si>
  <si>
    <t>LX3666</t>
  </si>
  <si>
    <t>LX3667</t>
  </si>
  <si>
    <t>LX3668</t>
  </si>
  <si>
    <t>LX3669</t>
  </si>
  <si>
    <t>LX46001</t>
  </si>
  <si>
    <t>LX46002</t>
  </si>
  <si>
    <t>LXK46050</t>
  </si>
  <si>
    <t>LXK46051</t>
  </si>
  <si>
    <t>LXK46052</t>
  </si>
  <si>
    <t>LXK46054</t>
  </si>
  <si>
    <t>LHK46055</t>
  </si>
  <si>
    <t>LHK46056</t>
  </si>
  <si>
    <t>GẠCH 60*60-BS</t>
  </si>
  <si>
    <t>GẠCH 80*80-BS</t>
  </si>
  <si>
    <t>60*60-ECO</t>
  </si>
  <si>
    <t>60*60 CERAMIC</t>
  </si>
  <si>
    <t>30*60 BÁN SỨ</t>
  </si>
  <si>
    <t>30*60 ĐƠN MẦU</t>
  </si>
  <si>
    <t>30*30 CHỐNG TRƠN</t>
  </si>
  <si>
    <t>50*50 SÂN VƯỜN</t>
  </si>
  <si>
    <t>40*60 SÂN VƯỜN</t>
  </si>
  <si>
    <t>5-1310</t>
  </si>
  <si>
    <t>5-1311</t>
  </si>
  <si>
    <t>5-1312</t>
  </si>
  <si>
    <t>50*50 LÁT NỀN</t>
  </si>
  <si>
    <t>60*60 BÁN SỨ</t>
  </si>
  <si>
    <t>80*80 BÁN SỨ</t>
  </si>
  <si>
    <t>ROYAL</t>
  </si>
  <si>
    <t>DP514</t>
  </si>
  <si>
    <t>DP515</t>
  </si>
  <si>
    <t>DP518</t>
  </si>
  <si>
    <t>TP602</t>
  </si>
  <si>
    <t>ẤN ĐỘ</t>
  </si>
  <si>
    <t>50 SV</t>
  </si>
  <si>
    <t>30*60 SV</t>
  </si>
  <si>
    <t>20*120</t>
  </si>
  <si>
    <t>30*60</t>
  </si>
  <si>
    <t>50*50 SV</t>
  </si>
  <si>
    <t>TỔNG TỒN</t>
  </si>
  <si>
    <t>60*60 SV</t>
  </si>
  <si>
    <t>60*60 BS</t>
  </si>
  <si>
    <t>97-601</t>
  </si>
  <si>
    <t>97-604</t>
  </si>
  <si>
    <t>97-606</t>
  </si>
  <si>
    <t>97-653</t>
  </si>
  <si>
    <t>97-654</t>
  </si>
  <si>
    <t>97-854</t>
  </si>
  <si>
    <t>97-855</t>
  </si>
  <si>
    <t>1M*1M</t>
  </si>
  <si>
    <t>97-101</t>
  </si>
  <si>
    <t>97-104</t>
  </si>
  <si>
    <t>97-105</t>
  </si>
  <si>
    <t>97-106</t>
  </si>
  <si>
    <t>TKG-MỚI</t>
  </si>
  <si>
    <t>60*60</t>
  </si>
  <si>
    <t>80*80</t>
  </si>
  <si>
    <t>40*80</t>
  </si>
  <si>
    <t>5-8012</t>
  </si>
  <si>
    <t>40*60 SV</t>
  </si>
  <si>
    <t>40*80 BỘ</t>
  </si>
  <si>
    <t>FR5001</t>
  </si>
  <si>
    <t>FR5002</t>
  </si>
  <si>
    <t>FR5004</t>
  </si>
  <si>
    <t>FR5005</t>
  </si>
  <si>
    <t>FM4601</t>
  </si>
  <si>
    <t>FM4603</t>
  </si>
  <si>
    <t>FM4604</t>
  </si>
  <si>
    <t>FM4605</t>
  </si>
  <si>
    <t>F3305</t>
  </si>
  <si>
    <t>D-MAX</t>
  </si>
  <si>
    <t>DA6601</t>
  </si>
  <si>
    <t>DA6602</t>
  </si>
  <si>
    <t>DA6603</t>
  </si>
  <si>
    <t>DA6604</t>
  </si>
  <si>
    <t>DA6606</t>
  </si>
  <si>
    <t>DA8801</t>
  </si>
  <si>
    <t>DA8802</t>
  </si>
  <si>
    <t>DA8803</t>
  </si>
  <si>
    <t>DA8804</t>
  </si>
  <si>
    <t>DA8806</t>
  </si>
  <si>
    <t>60*120</t>
  </si>
  <si>
    <t>DA61205</t>
  </si>
  <si>
    <t>DA1001</t>
  </si>
  <si>
    <t>DA1002</t>
  </si>
  <si>
    <t>DA1004</t>
  </si>
  <si>
    <t>MIRA</t>
  </si>
  <si>
    <t>MR11034</t>
  </si>
  <si>
    <t>MR11037</t>
  </si>
  <si>
    <t>MR12902</t>
  </si>
  <si>
    <t>LX8001</t>
  </si>
  <si>
    <t>LX8002</t>
  </si>
  <si>
    <t>LX8003</t>
  </si>
  <si>
    <t>LX8004</t>
  </si>
  <si>
    <t>LX8005</t>
  </si>
  <si>
    <t>LX8005- A2</t>
  </si>
  <si>
    <t>LX8009</t>
  </si>
  <si>
    <t>LX8009 - A2</t>
  </si>
  <si>
    <t>LX8010</t>
  </si>
  <si>
    <t>LX8012</t>
  </si>
  <si>
    <t>LX8014</t>
  </si>
  <si>
    <t>LX8014 -A2</t>
  </si>
  <si>
    <t>LX8016</t>
  </si>
  <si>
    <t>LX8016 - A2</t>
  </si>
  <si>
    <t>LX8017</t>
  </si>
  <si>
    <t>LP18101</t>
  </si>
  <si>
    <t>LP18101 A2</t>
  </si>
  <si>
    <t>LP18102</t>
  </si>
  <si>
    <t>LP18102 A2</t>
  </si>
  <si>
    <t>LP18103</t>
  </si>
  <si>
    <t>LP18103 A2</t>
  </si>
  <si>
    <t>LP18104</t>
  </si>
  <si>
    <t>LX6001</t>
  </si>
  <si>
    <t>LX6007</t>
  </si>
  <si>
    <t>LX6602</t>
  </si>
  <si>
    <t>LX6609</t>
  </si>
  <si>
    <t>LX6610</t>
  </si>
  <si>
    <t>LX6614</t>
  </si>
  <si>
    <t>LX6614 A2</t>
  </si>
  <si>
    <t>LX6616</t>
  </si>
  <si>
    <t>LX6617</t>
  </si>
  <si>
    <t>LX6618</t>
  </si>
  <si>
    <t>LX6621</t>
  </si>
  <si>
    <t>LP96101</t>
  </si>
  <si>
    <t>LP96102</t>
  </si>
  <si>
    <t>LP96102 A2</t>
  </si>
  <si>
    <t>LP96103</t>
  </si>
  <si>
    <t>LP96103 A2</t>
  </si>
  <si>
    <t>LP96104</t>
  </si>
  <si>
    <t>LV4850</t>
  </si>
  <si>
    <t>LV4851</t>
  </si>
  <si>
    <t>LX4861</t>
  </si>
  <si>
    <t>LX4862</t>
  </si>
  <si>
    <t>LX4863</t>
  </si>
  <si>
    <t>LX4865</t>
  </si>
  <si>
    <t>LX4864- ĐIỂM</t>
  </si>
  <si>
    <t>LX4867</t>
  </si>
  <si>
    <t>LP948.150</t>
  </si>
  <si>
    <t>LP948.150- ĐIỂM</t>
  </si>
  <si>
    <t>LP948.154</t>
  </si>
  <si>
    <t>LP948.155</t>
  </si>
  <si>
    <t>LP948.156</t>
  </si>
  <si>
    <t>LP948.154- ĐIỂM</t>
  </si>
  <si>
    <t>LP948.157</t>
  </si>
  <si>
    <t>LP948.156-ĐIỂM</t>
  </si>
  <si>
    <t>LXP3601</t>
  </si>
  <si>
    <t>LXP3602</t>
  </si>
  <si>
    <t>LXP3603</t>
  </si>
  <si>
    <t>LXP3602-ĐIỂM</t>
  </si>
  <si>
    <t>LXP3606</t>
  </si>
  <si>
    <t>LXP3607</t>
  </si>
  <si>
    <t>LXP3606-ĐIỂM</t>
  </si>
  <si>
    <t>LP936.131-KHÓI TRẮNG</t>
  </si>
  <si>
    <t>LP936.132</t>
  </si>
  <si>
    <t>LP936.133</t>
  </si>
  <si>
    <t>LP936.134</t>
  </si>
  <si>
    <t>LP936.132-ĐIỂM</t>
  </si>
  <si>
    <t>LP936.135</t>
  </si>
  <si>
    <t>LP936.134-ĐIỂM</t>
  </si>
  <si>
    <t>LV3600</t>
  </si>
  <si>
    <t>LX36000</t>
  </si>
  <si>
    <t>LV3658</t>
  </si>
  <si>
    <t>LX3601-T</t>
  </si>
  <si>
    <t>LX3602-T</t>
  </si>
  <si>
    <t>LX3603-T</t>
  </si>
  <si>
    <t>LX3604-T</t>
  </si>
  <si>
    <t>LX3634</t>
  </si>
  <si>
    <t>LX3635</t>
  </si>
  <si>
    <t>LX3636</t>
  </si>
  <si>
    <t>LX3637</t>
  </si>
  <si>
    <t>LX3638</t>
  </si>
  <si>
    <t>LX3639</t>
  </si>
  <si>
    <t>LX3658 -ĐIỂM</t>
  </si>
  <si>
    <t>LX3664-ĐIỂM</t>
  </si>
  <si>
    <t>LX3662-ĐIỂM</t>
  </si>
  <si>
    <t>LX3638-ĐIỂM</t>
  </si>
  <si>
    <t>LX3636-ĐIỂM</t>
  </si>
  <si>
    <t>LX3634-ĐIỂM</t>
  </si>
  <si>
    <t>LX3666-ĐIỂM</t>
  </si>
  <si>
    <t>LX3668-ĐIỂM</t>
  </si>
  <si>
    <t>LXM3670</t>
  </si>
  <si>
    <t>LXM3671</t>
  </si>
  <si>
    <t>LXM3672</t>
  </si>
  <si>
    <t>LXM3670-ĐIỂM</t>
  </si>
  <si>
    <t>LXM3673</t>
  </si>
  <si>
    <t>LXM3672-ĐIỂM</t>
  </si>
  <si>
    <t>LK303</t>
  </si>
  <si>
    <t>LX3802</t>
  </si>
  <si>
    <t>LXP303</t>
  </si>
  <si>
    <t>LX337</t>
  </si>
  <si>
    <t>LX367</t>
  </si>
  <si>
    <t>LX5516</t>
  </si>
  <si>
    <t>LX5521</t>
  </si>
  <si>
    <t>LX5524</t>
  </si>
  <si>
    <t>LX5525</t>
  </si>
  <si>
    <t>LX6905</t>
  </si>
  <si>
    <t>LH46004</t>
  </si>
  <si>
    <t>LH46005</t>
  </si>
  <si>
    <t>LH46006</t>
  </si>
  <si>
    <t>LX3617</t>
  </si>
  <si>
    <t>LX3629</t>
  </si>
  <si>
    <t>LX3622</t>
  </si>
  <si>
    <t>QUY M2</t>
  </si>
  <si>
    <t>ĐƠN GIÁ</t>
  </si>
  <si>
    <t>THÀNH TIỀN</t>
  </si>
  <si>
    <t>M2/H</t>
  </si>
  <si>
    <t>50 *50 SV</t>
  </si>
  <si>
    <t>30*30 CT</t>
  </si>
  <si>
    <t>ỐP BỘ 30*60 C</t>
  </si>
  <si>
    <t>TỔNG CỘNG</t>
  </si>
  <si>
    <t>2000214248722</t>
  </si>
  <si>
    <t>2000181009708</t>
  </si>
  <si>
    <t>2000199523623</t>
  </si>
  <si>
    <t>2000198438805</t>
  </si>
  <si>
    <t>2000199504547</t>
  </si>
  <si>
    <t>2000167123626</t>
  </si>
  <si>
    <t>2000167205872</t>
  </si>
  <si>
    <t>2000214254112</t>
  </si>
  <si>
    <t>2000166291517</t>
  </si>
  <si>
    <t>2000214247381</t>
  </si>
  <si>
    <t>2000199614246</t>
  </si>
  <si>
    <t>2000199827660</t>
  </si>
  <si>
    <t>2000166383304</t>
  </si>
  <si>
    <t>2000214247978</t>
  </si>
  <si>
    <t>2000214248159</t>
  </si>
  <si>
    <t>2000181063588</t>
  </si>
  <si>
    <t>2000214248029</t>
  </si>
  <si>
    <t>2000214247367</t>
  </si>
  <si>
    <t>2000171991433</t>
  </si>
  <si>
    <t>2000214250886</t>
  </si>
  <si>
    <t>2000214250206</t>
  </si>
  <si>
    <t>2000214249002</t>
  </si>
  <si>
    <t>2000199484849</t>
  </si>
  <si>
    <t>2000201169252</t>
  </si>
  <si>
    <t>2000166603013</t>
  </si>
  <si>
    <t>2000214248241</t>
  </si>
  <si>
    <t>2000172295271</t>
  </si>
  <si>
    <t>2000166600760</t>
  </si>
  <si>
    <t>2000201517527</t>
  </si>
  <si>
    <t>2000176395304</t>
  </si>
  <si>
    <t>2000214248739</t>
  </si>
  <si>
    <t>2000172297565</t>
  </si>
  <si>
    <t>2000214251234</t>
  </si>
  <si>
    <t>2000167209122</t>
  </si>
  <si>
    <t>2000214252149</t>
  </si>
  <si>
    <t>2000167210289</t>
  </si>
  <si>
    <t>2000171991334</t>
  </si>
  <si>
    <t>2000214252170</t>
  </si>
  <si>
    <t>2000214252187</t>
  </si>
  <si>
    <t>2000214251241</t>
  </si>
  <si>
    <t>2000214252132</t>
  </si>
  <si>
    <t>2000214250879</t>
  </si>
  <si>
    <t>2000214251210</t>
  </si>
  <si>
    <t>2000214248265</t>
  </si>
  <si>
    <t>2000214251326</t>
  </si>
  <si>
    <t>2000214248135</t>
  </si>
  <si>
    <t>2000214250213</t>
  </si>
  <si>
    <t>2000201939442</t>
  </si>
  <si>
    <t>2000193764114</t>
  </si>
  <si>
    <t>2000214248111</t>
  </si>
  <si>
    <t>2000214254631</t>
  </si>
  <si>
    <t>2000214254648</t>
  </si>
  <si>
    <t>2000198486318</t>
  </si>
  <si>
    <t>2000214251333</t>
  </si>
  <si>
    <t>2000214252156</t>
  </si>
  <si>
    <t>2000198486417</t>
  </si>
  <si>
    <t>2000214252828</t>
  </si>
  <si>
    <t>2000214254341</t>
  </si>
  <si>
    <t>2000214253672</t>
  </si>
  <si>
    <t>2000214254624</t>
  </si>
  <si>
    <t>2000167195142</t>
  </si>
  <si>
    <t>2000199560574</t>
  </si>
  <si>
    <t>2000214250916</t>
  </si>
  <si>
    <t>2000214252835</t>
  </si>
  <si>
    <t>2000214250824</t>
  </si>
  <si>
    <t>2000214255126</t>
  </si>
  <si>
    <t>2000214249583</t>
  </si>
  <si>
    <t>2000214250893</t>
  </si>
  <si>
    <t>2000214249590</t>
  </si>
  <si>
    <t>2000182224070</t>
  </si>
  <si>
    <t>2000202512392</t>
  </si>
  <si>
    <t>2000214250220</t>
  </si>
  <si>
    <t>2000214251470</t>
  </si>
  <si>
    <t>2000214252811</t>
  </si>
  <si>
    <t>2000214254334</t>
  </si>
  <si>
    <t>2000214253979</t>
  </si>
  <si>
    <t>2000199112643</t>
  </si>
  <si>
    <t>2000214250923</t>
  </si>
  <si>
    <t>2000202512170</t>
  </si>
  <si>
    <t>2000214254358</t>
  </si>
  <si>
    <t>2000214250862</t>
  </si>
  <si>
    <t>2000198809353</t>
  </si>
  <si>
    <t>2000181064394</t>
  </si>
  <si>
    <t>2000214250909</t>
  </si>
  <si>
    <t>STT</t>
  </si>
  <si>
    <t>NHÃN HÀNG</t>
  </si>
  <si>
    <t>QUY RA HỘP</t>
  </si>
  <si>
    <t>QUY RA M2</t>
  </si>
  <si>
    <t>GIÁ TRỊ TỒN KHO</t>
  </si>
  <si>
    <t>HOÀNG HÀ</t>
  </si>
  <si>
    <t>NISE</t>
  </si>
  <si>
    <t>TAKAO+ TKG</t>
  </si>
  <si>
    <t>ROYAL+ ẤN ĐỘ+MANGO</t>
  </si>
  <si>
    <t>TOKO</t>
  </si>
  <si>
    <t>VĨNH THẮNG</t>
  </si>
  <si>
    <t>DMAX+ MIRA</t>
  </si>
  <si>
    <t>036-6003 nhạt</t>
  </si>
  <si>
    <t>036-601-kem vàng</t>
  </si>
  <si>
    <t>48-601-Kem vàng</t>
  </si>
  <si>
    <t>48-6001-Nhạt</t>
  </si>
  <si>
    <t xml:space="preserve">48-6001-Đậm </t>
  </si>
  <si>
    <t>48-6001-Điểm</t>
  </si>
  <si>
    <t>48-6002-Khói</t>
  </si>
  <si>
    <t>48-6002-Điểm</t>
  </si>
  <si>
    <t>48-6003-Vân</t>
  </si>
  <si>
    <t>48-6003-Điểm</t>
  </si>
  <si>
    <t>48-6007-Nhạt</t>
  </si>
  <si>
    <t>48-6007-Đậm</t>
  </si>
  <si>
    <t>48-6007-Điểm</t>
  </si>
  <si>
    <t>48-5004-Đậm</t>
  </si>
  <si>
    <t>48-5004-Đậm  A2</t>
  </si>
  <si>
    <t>48-5004-Điểm</t>
  </si>
  <si>
    <t>40*80 SV</t>
  </si>
  <si>
    <t>40*80 BỘ BS</t>
  </si>
  <si>
    <t>48-02 GO</t>
  </si>
  <si>
    <t>48-01 GO</t>
  </si>
  <si>
    <t>036-6002 Nhạt</t>
  </si>
  <si>
    <t>5-1001</t>
  </si>
  <si>
    <t>5-1002</t>
  </si>
  <si>
    <t>5-1004</t>
  </si>
  <si>
    <t>5-1007</t>
  </si>
  <si>
    <t>5-1013</t>
  </si>
  <si>
    <t>5-1501</t>
  </si>
  <si>
    <t>5-1006-Đen vân</t>
  </si>
  <si>
    <t>5-1601</t>
  </si>
  <si>
    <t>5-1602</t>
  </si>
  <si>
    <t>5-1603</t>
  </si>
  <si>
    <t>5-1322</t>
  </si>
  <si>
    <t>5-1323</t>
  </si>
  <si>
    <t>6-1012</t>
  </si>
  <si>
    <t>6-1016</t>
  </si>
  <si>
    <t>6-1017</t>
  </si>
  <si>
    <t>6-1019</t>
  </si>
  <si>
    <t>6-1020</t>
  </si>
  <si>
    <t>6-1021</t>
  </si>
  <si>
    <t>6-1022</t>
  </si>
  <si>
    <t>6-1501</t>
  </si>
  <si>
    <t>6-1304-men đường</t>
  </si>
  <si>
    <t xml:space="preserve">6-1013-đen vân </t>
  </si>
  <si>
    <t>6-6001</t>
  </si>
  <si>
    <t>6-6007</t>
  </si>
  <si>
    <t>6-6013</t>
  </si>
  <si>
    <t>6-6029</t>
  </si>
  <si>
    <t>6-6030</t>
  </si>
  <si>
    <t>6-6031</t>
  </si>
  <si>
    <t>6-6030 A2</t>
  </si>
  <si>
    <t>6-6031 A2</t>
  </si>
  <si>
    <t>6-6036</t>
  </si>
  <si>
    <t>6-6037</t>
  </si>
  <si>
    <t>6-6039</t>
  </si>
  <si>
    <t>6-6040</t>
  </si>
  <si>
    <t>6-6042</t>
  </si>
  <si>
    <t>6-6040 A2</t>
  </si>
  <si>
    <t>6-6043</t>
  </si>
  <si>
    <t>6-6042- A2</t>
  </si>
  <si>
    <t>6-6043- A2</t>
  </si>
  <si>
    <t>6-6045</t>
  </si>
  <si>
    <t>6-6100</t>
  </si>
  <si>
    <t>6-6100 A2</t>
  </si>
  <si>
    <t>6-6200</t>
  </si>
  <si>
    <t>6-6400</t>
  </si>
  <si>
    <t>6-6400 A2</t>
  </si>
  <si>
    <t>8-6003 A2</t>
  </si>
  <si>
    <t>8-6040</t>
  </si>
  <si>
    <t>8-6017</t>
  </si>
  <si>
    <t>8-6019</t>
  </si>
  <si>
    <t>8-6021</t>
  </si>
  <si>
    <t>8-6029</t>
  </si>
  <si>
    <t>8-6031</t>
  </si>
  <si>
    <t>8-6035</t>
  </si>
  <si>
    <t>8-6036</t>
  </si>
  <si>
    <t>8-6037</t>
  </si>
  <si>
    <t>8-6039</t>
  </si>
  <si>
    <t>8-6041</t>
  </si>
  <si>
    <t>8-6043</t>
  </si>
  <si>
    <t>8-6042 A2</t>
  </si>
  <si>
    <t>8-6045</t>
  </si>
  <si>
    <t>8-6047</t>
  </si>
  <si>
    <t>8-6200</t>
  </si>
  <si>
    <t>8-6200 A2</t>
  </si>
  <si>
    <t>8-6200 A3</t>
  </si>
  <si>
    <t>6-1302-sỏi ghi xanh-SV</t>
  </si>
  <si>
    <t>ĐƠN GIÁ/m</t>
  </si>
  <si>
    <t>LXP3601-ĐIỂM a2</t>
  </si>
  <si>
    <t>2000214250251</t>
  </si>
  <si>
    <t>2000214250275</t>
  </si>
  <si>
    <t>2000214250350</t>
  </si>
  <si>
    <t>2000214248913</t>
  </si>
  <si>
    <t>2000214248920</t>
  </si>
  <si>
    <t>2000214248906</t>
  </si>
  <si>
    <t>2000214249187</t>
  </si>
  <si>
    <t>2000214249170</t>
  </si>
  <si>
    <t>2000214248876</t>
  </si>
  <si>
    <t>2000214248852</t>
  </si>
  <si>
    <t>Nước tẩy xi măng(can)</t>
  </si>
  <si>
    <t>2000214248692</t>
  </si>
  <si>
    <t>Nước tẩy bồn cầu xịt(chai)</t>
  </si>
  <si>
    <t>2000214248708</t>
  </si>
  <si>
    <t>2000214247640</t>
  </si>
  <si>
    <t>2000214247725</t>
  </si>
  <si>
    <t>2000214247626</t>
  </si>
  <si>
    <t>2000214247602</t>
  </si>
  <si>
    <t>2000214247688</t>
  </si>
  <si>
    <t>2000214247701</t>
  </si>
  <si>
    <t>2000214247749</t>
  </si>
  <si>
    <t>2000214247763</t>
  </si>
  <si>
    <t>2000214247664</t>
  </si>
  <si>
    <t>2000214249811</t>
  </si>
  <si>
    <t>Keo CK vỏ cam(bao 25kg)</t>
  </si>
  <si>
    <t>2000214250305</t>
  </si>
  <si>
    <t>Móc ke cân bằng 1mm (túi)</t>
  </si>
  <si>
    <t>2000214250312</t>
  </si>
  <si>
    <t>Móc ke cân bằng 1.5mm  (Túi)</t>
  </si>
  <si>
    <t>2000214250329</t>
  </si>
  <si>
    <t>Nêm (đóng ke cân bằng đỏ) - Túi</t>
  </si>
  <si>
    <t>PHỤ GIA</t>
  </si>
  <si>
    <t>BS3601-P</t>
  </si>
  <si>
    <t>BS3605-DH</t>
  </si>
  <si>
    <t xml:space="preserve"> LIMBER </t>
  </si>
  <si>
    <t xml:space="preserve"> CAFÉ</t>
  </si>
  <si>
    <t xml:space="preserve">APRICOT </t>
  </si>
  <si>
    <t xml:space="preserve"> LIFE </t>
  </si>
  <si>
    <t>2000214248401</t>
  </si>
  <si>
    <t>2000214248364</t>
  </si>
  <si>
    <t>2000214248395</t>
  </si>
  <si>
    <t>2000214248487</t>
  </si>
  <si>
    <t>2000214248562</t>
  </si>
  <si>
    <t>2000214248494</t>
  </si>
  <si>
    <t>2000214248371</t>
  </si>
  <si>
    <t>2000214248500</t>
  </si>
  <si>
    <t>2000214248388</t>
  </si>
  <si>
    <t>2000214248555</t>
  </si>
  <si>
    <t>2000214248463</t>
  </si>
  <si>
    <t>2000214254280</t>
  </si>
  <si>
    <t>2000214248517</t>
  </si>
  <si>
    <t>2000214254037</t>
  </si>
  <si>
    <t>2000214254303</t>
  </si>
  <si>
    <t>2000214248456</t>
  </si>
  <si>
    <t>2000214254020</t>
  </si>
  <si>
    <t>2000214254792</t>
  </si>
  <si>
    <t>2000214250763</t>
  </si>
  <si>
    <t>2000214254259</t>
  </si>
  <si>
    <t>2000214248524</t>
  </si>
  <si>
    <t>2000214248470</t>
  </si>
  <si>
    <t>2000214254273</t>
  </si>
  <si>
    <t>2000214248418</t>
  </si>
  <si>
    <t>2000214254297</t>
  </si>
  <si>
    <t>2000214254075</t>
  </si>
  <si>
    <t>2000214254709</t>
  </si>
  <si>
    <t>2000214248449</t>
  </si>
  <si>
    <t>2000214248432</t>
  </si>
  <si>
    <t>2000214248425</t>
  </si>
  <si>
    <t>2000214254228</t>
  </si>
  <si>
    <t>2000214254686</t>
  </si>
  <si>
    <t>2000214254693</t>
  </si>
  <si>
    <t>2000214254082</t>
  </si>
  <si>
    <t>2000214255072</t>
  </si>
  <si>
    <t>2000214254099</t>
  </si>
  <si>
    <t>2000214254242</t>
  </si>
  <si>
    <t>2000214254105</t>
  </si>
  <si>
    <t>2000214255089</t>
  </si>
  <si>
    <t>2000214255102</t>
  </si>
  <si>
    <t>2000214255096</t>
  </si>
  <si>
    <t>2000214255119</t>
  </si>
  <si>
    <t>2000214254235</t>
  </si>
  <si>
    <t>2000214254266</t>
  </si>
  <si>
    <t>TAKAO- CŨ</t>
  </si>
  <si>
    <t>13202-ĐIỂM</t>
  </si>
  <si>
    <t>13206 ĐIỂM</t>
  </si>
  <si>
    <t>2000214248319</t>
  </si>
  <si>
    <t>2000214249057</t>
  </si>
  <si>
    <t>2000214250145</t>
  </si>
  <si>
    <t>2000214250138</t>
  </si>
  <si>
    <t>2000214250152</t>
  </si>
  <si>
    <t>2000201686025</t>
  </si>
  <si>
    <t>2000214248296</t>
  </si>
  <si>
    <t>2000214250121</t>
  </si>
  <si>
    <t>2000214249354</t>
  </si>
  <si>
    <t>2000214248333</t>
  </si>
  <si>
    <t>2000214250527</t>
  </si>
  <si>
    <t>2000214250510</t>
  </si>
  <si>
    <t>2000214249262</t>
  </si>
  <si>
    <t>2000214253160</t>
  </si>
  <si>
    <t>2000214249378</t>
  </si>
  <si>
    <t>2000214249255</t>
  </si>
  <si>
    <t>2000214248654</t>
  </si>
  <si>
    <t>2000214254914</t>
  </si>
  <si>
    <t>2000214249231</t>
  </si>
  <si>
    <t>2000214249415</t>
  </si>
  <si>
    <t>2000214248616</t>
  </si>
  <si>
    <t>336003</t>
  </si>
  <si>
    <t>2000214250466</t>
  </si>
  <si>
    <t>2000214253986</t>
  </si>
  <si>
    <t>2000214253993</t>
  </si>
  <si>
    <t>2000214249439</t>
  </si>
  <si>
    <t>2000214254969</t>
  </si>
  <si>
    <t>2000214251173</t>
  </si>
  <si>
    <t>2000214253184</t>
  </si>
  <si>
    <t>2000214248623</t>
  </si>
  <si>
    <t>2000214249088</t>
  </si>
  <si>
    <t>2000214251159</t>
  </si>
  <si>
    <t>2000214251180</t>
  </si>
  <si>
    <t>2000214248586</t>
  </si>
  <si>
    <t>2000214254921</t>
  </si>
  <si>
    <t>2000214248647</t>
  </si>
  <si>
    <t>2000214249996</t>
  </si>
  <si>
    <t>2000214253641</t>
  </si>
  <si>
    <t>2000214249286</t>
  </si>
  <si>
    <t>2000214248579</t>
  </si>
  <si>
    <t>2000214251166</t>
  </si>
  <si>
    <t>2000214254426</t>
  </si>
  <si>
    <t>2000214248630</t>
  </si>
  <si>
    <t>2000214249385</t>
  </si>
  <si>
    <t>2000214253177</t>
  </si>
  <si>
    <t>2000214249361</t>
  </si>
  <si>
    <t>2000214253542</t>
  </si>
  <si>
    <t>2000214249408</t>
  </si>
  <si>
    <t>2000214249248</t>
  </si>
  <si>
    <t>2000214252262</t>
  </si>
  <si>
    <t>2000214249422</t>
  </si>
  <si>
    <t>2000214249347</t>
  </si>
  <si>
    <t>2000214253450</t>
  </si>
  <si>
    <t>2000214253504</t>
  </si>
  <si>
    <t>2000214253528</t>
  </si>
  <si>
    <t>2000214253535</t>
  </si>
  <si>
    <t>2000214249279</t>
  </si>
  <si>
    <t>2000214250626</t>
  </si>
  <si>
    <t>2000214251500</t>
  </si>
  <si>
    <t>2000214249392</t>
  </si>
  <si>
    <t>5301</t>
  </si>
  <si>
    <t>5302</t>
  </si>
  <si>
    <t>5303</t>
  </si>
  <si>
    <t>5304</t>
  </si>
  <si>
    <t>5305</t>
  </si>
  <si>
    <t>5306</t>
  </si>
  <si>
    <t>46301-(6v/h)</t>
  </si>
  <si>
    <t>46301-(8v/h)</t>
  </si>
  <si>
    <t>46304-(6v/h)</t>
  </si>
  <si>
    <t>46304- (8v/h)</t>
  </si>
  <si>
    <t>632.006</t>
  </si>
  <si>
    <t>632.007</t>
  </si>
  <si>
    <t>632.008</t>
  </si>
  <si>
    <t>632.009</t>
  </si>
  <si>
    <t>632.602</t>
  </si>
  <si>
    <t>632.603</t>
  </si>
  <si>
    <t>632.604</t>
  </si>
  <si>
    <t>632.605</t>
  </si>
  <si>
    <t>632.608</t>
  </si>
  <si>
    <t>4832001</t>
  </si>
  <si>
    <t>4832003</t>
  </si>
  <si>
    <t>4832005</t>
  </si>
  <si>
    <t>4832006</t>
  </si>
  <si>
    <t>4832005-A2</t>
  </si>
  <si>
    <t>4832008</t>
  </si>
  <si>
    <t>4832009</t>
  </si>
  <si>
    <t>4832011</t>
  </si>
  <si>
    <t>832.001</t>
  </si>
  <si>
    <t>832.002</t>
  </si>
  <si>
    <t>832.003</t>
  </si>
  <si>
    <t>832.004</t>
  </si>
  <si>
    <t>832.005</t>
  </si>
  <si>
    <t>832.006</t>
  </si>
  <si>
    <t>832.008</t>
  </si>
  <si>
    <t>832.014</t>
  </si>
  <si>
    <t>336001</t>
  </si>
  <si>
    <t>336005</t>
  </si>
  <si>
    <t>336006</t>
  </si>
  <si>
    <t>336008</t>
  </si>
  <si>
    <t>336009</t>
  </si>
  <si>
    <t>336011</t>
  </si>
  <si>
    <t>336011- A2</t>
  </si>
  <si>
    <t>336002-Đ</t>
  </si>
  <si>
    <t>336004-Đ</t>
  </si>
  <si>
    <t>336007-Đ</t>
  </si>
  <si>
    <t>336010-Đ</t>
  </si>
  <si>
    <t>30*60-ỐP BỘ</t>
  </si>
  <si>
    <t>46302-(8v/h)</t>
  </si>
  <si>
    <t>46303-(8v/h)</t>
  </si>
  <si>
    <t>2000214252439</t>
  </si>
  <si>
    <t>2000214251678</t>
  </si>
  <si>
    <t>2000214251654</t>
  </si>
  <si>
    <t>2000214252330</t>
  </si>
  <si>
    <t>2000214251814</t>
  </si>
  <si>
    <t>2000214251661</t>
  </si>
  <si>
    <t>2000214253689</t>
  </si>
  <si>
    <t>2000214251821</t>
  </si>
  <si>
    <t>2000214251913</t>
  </si>
  <si>
    <t>2000214252361</t>
  </si>
  <si>
    <t>2000214251715</t>
  </si>
  <si>
    <t>2000214251791</t>
  </si>
  <si>
    <t>2000214253382</t>
  </si>
  <si>
    <t>2000214252347</t>
  </si>
  <si>
    <t>2000214251906</t>
  </si>
  <si>
    <t>2000214251807</t>
  </si>
  <si>
    <t>2000214251722</t>
  </si>
  <si>
    <t>2000214251869</t>
  </si>
  <si>
    <t>2000214253399</t>
  </si>
  <si>
    <t>2000214253818</t>
  </si>
  <si>
    <t>2000214254464</t>
  </si>
  <si>
    <t>2000214253764</t>
  </si>
  <si>
    <t>2000214254051</t>
  </si>
  <si>
    <t>2000214253825</t>
  </si>
  <si>
    <t>2000214252323</t>
  </si>
  <si>
    <t>2000214253757</t>
  </si>
  <si>
    <t>2000214253801</t>
  </si>
  <si>
    <t>2000214251876</t>
  </si>
  <si>
    <t>2000214253788</t>
  </si>
  <si>
    <t>2000214251890</t>
  </si>
  <si>
    <t>2000214252378</t>
  </si>
  <si>
    <t>2000214253405</t>
  </si>
  <si>
    <t>2000214251883</t>
  </si>
  <si>
    <t>2000214252446</t>
  </si>
  <si>
    <t>2000214253795</t>
  </si>
  <si>
    <t>2000214253771</t>
  </si>
  <si>
    <t>FB3603-ĐẬM</t>
  </si>
  <si>
    <t>FB3603-NHẠT</t>
  </si>
  <si>
    <t>FB3603-ĐIỂM</t>
  </si>
  <si>
    <t>FB3604-NHẠT</t>
  </si>
  <si>
    <t>FB3604-ĐẬM</t>
  </si>
  <si>
    <t>FB3605-NHẠT</t>
  </si>
  <si>
    <t>FB3605-ĐẬM</t>
  </si>
  <si>
    <t>FB3607-NHẠT</t>
  </si>
  <si>
    <t>FB3607-ĐẬM</t>
  </si>
  <si>
    <t>FB3610-ĐIỂM</t>
  </si>
  <si>
    <t>FB3610-NHẠT</t>
  </si>
  <si>
    <t>FB3610-ĐẬM</t>
  </si>
  <si>
    <t>2000214249934</t>
  </si>
  <si>
    <t>2000214249927</t>
  </si>
  <si>
    <t>2000214249910</t>
  </si>
  <si>
    <t>2000214249897</t>
  </si>
  <si>
    <t>2000214249903</t>
  </si>
  <si>
    <t>2000214250046</t>
  </si>
  <si>
    <t>2000214249859</t>
  </si>
  <si>
    <t>2000214249873</t>
  </si>
  <si>
    <t>2000214249880</t>
  </si>
  <si>
    <t>2000214252583</t>
  </si>
  <si>
    <t>2000214252569</t>
  </si>
  <si>
    <t>2000214252576</t>
  </si>
  <si>
    <t>2000214249866</t>
  </si>
  <si>
    <t>2000214250084</t>
  </si>
  <si>
    <t>2000214250060</t>
  </si>
  <si>
    <t>2000214250077</t>
  </si>
  <si>
    <t>2000214250053</t>
  </si>
  <si>
    <t>2000214252606</t>
  </si>
  <si>
    <t>2000214252590</t>
  </si>
  <si>
    <t>2000214253467</t>
  </si>
  <si>
    <t>2000214253474</t>
  </si>
  <si>
    <t>2000214253481</t>
  </si>
  <si>
    <t>2000214253344</t>
  </si>
  <si>
    <t>2000141837662</t>
  </si>
  <si>
    <t>Mã</t>
  </si>
  <si>
    <t>Mã vạch</t>
  </si>
  <si>
    <t>Sản phẩm</t>
  </si>
  <si>
    <t>Tồn hiện tại</t>
  </si>
  <si>
    <t>MR11039</t>
  </si>
  <si>
    <t>FB3604-ĐIỂM</t>
  </si>
  <si>
    <t>FB3605-ĐIỂM</t>
  </si>
  <si>
    <t>FB3607-ĐIỂM</t>
  </si>
  <si>
    <t>2000214255348</t>
  </si>
  <si>
    <t>2000214255355</t>
  </si>
  <si>
    <t>97-665</t>
  </si>
  <si>
    <t>LV3652-2022</t>
  </si>
  <si>
    <t>Ốp HH 30*60 - LV3652 A1 (1h= 1.44m)</t>
  </si>
  <si>
    <t>LV3658 A1 - 2022</t>
  </si>
  <si>
    <t>Ốp 30*60-  LV3658 A1 ( 1 hộp = 1.44m2)</t>
  </si>
  <si>
    <t>LX36000 A1 - 2021 ( TT)</t>
  </si>
  <si>
    <t>ốp trắng LX36000 A1 ( 1 hộp =1.44m2)</t>
  </si>
  <si>
    <t>LV3600 A1 -2022</t>
  </si>
  <si>
    <t>Ốp LV3600 A1 ( 1 hộp = 8v=1.44m2)</t>
  </si>
  <si>
    <t>LX36805 A1</t>
  </si>
  <si>
    <t>Ốp LX36805 A1 ( 1 hộp = 1.44m2)</t>
  </si>
  <si>
    <t>LV3651 (hủy)</t>
  </si>
  <si>
    <t>2000120043657</t>
  </si>
  <si>
    <t>Ốp LV3651A1 (1 hộp =1.44m2)(HUY)</t>
  </si>
  <si>
    <t>LX5516 A1-2021</t>
  </si>
  <si>
    <t>Sân vườn LX5516 A1 (1h=6v= 1.5m2)</t>
  </si>
  <si>
    <t>LX3614 A1</t>
  </si>
  <si>
    <t>Ốp LX3614 A1 ( 1 hộp =1.44m)</t>
  </si>
  <si>
    <t>LV3651 A1 - 2021 (giá mới)</t>
  </si>
  <si>
    <t>2000190192835</t>
  </si>
  <si>
    <t>Ốp 30x60 - LV3651 A1 ( 1 hộp = 1.44m2)</t>
  </si>
  <si>
    <t>LV3650 A1 - 2021 ( giá mới)</t>
  </si>
  <si>
    <t>Ốp LV3650 A1 ( 1 hộp = 8v= 1.44m2)</t>
  </si>
  <si>
    <t>LX36601 A1(1h=8v=1.44m2)</t>
  </si>
  <si>
    <t>Gạch 30*60 HH khói trắng phẳng mã LX36601 A1(1h=8v=1.44m2)</t>
  </si>
  <si>
    <t>LX6603(A1) bán sứ  - 1h=1.44m2</t>
  </si>
  <si>
    <t>gạch lát bán sứ LX6603 (A1)- 1h=1.44m2</t>
  </si>
  <si>
    <t>LX3634 A1 (nhạt)</t>
  </si>
  <si>
    <t>Ốp LX3634 A1 nhạt (1h=8v=1.44m2)</t>
  </si>
  <si>
    <t>LX3636 A1 - 2022</t>
  </si>
  <si>
    <t>Ốp LX3636 A1 nhạt ( 1 hộp = 8 viên = 1.44m2)</t>
  </si>
  <si>
    <t>LX3638 A1-2022</t>
  </si>
  <si>
    <t>Ốp LX3638 A1 nhạt ( 1 hộp = 8 viên=1.44m2)</t>
  </si>
  <si>
    <t>LX3615 ( Đậm)</t>
  </si>
  <si>
    <t>Ốp LX3615 A1 ( 1 hộp = 1.44m)</t>
  </si>
  <si>
    <t>Lát trắng khói bán sứ LX6602(A1)</t>
  </si>
  <si>
    <t>Gạch lát bán sứ LX6602(A1) (1h=1.44m2)</t>
  </si>
  <si>
    <t>LX3664 (Hộp =8v/h=1.44m2)</t>
  </si>
  <si>
    <t>Ốp hoàng hà 30*60 mã LX3664 (Hộp =8v/h=1.44m2)</t>
  </si>
  <si>
    <t>LX3662(Hộp =8v/h=1.44m2)</t>
  </si>
  <si>
    <t>Ốp hoàng hà 30*60 mã LX3662(Hộp =8v/h=1.44m2)</t>
  </si>
  <si>
    <t>LX3658(Hộp =8v/h=1.44m2)</t>
  </si>
  <si>
    <t>Ốp hoàng hà 30*60 mã LX3658(Hộp =8v/h=1.44m2)</t>
  </si>
  <si>
    <t>LX 46002 A1(1h=6v=1.44m2)</t>
  </si>
  <si>
    <t>Gạch Hoàng Hà 40*60 SV mã LX 46002 A1(1h=6v=1.44m2)</t>
  </si>
  <si>
    <t>LX3637 A1 đậm - 2022</t>
  </si>
  <si>
    <t>Ốp LX3637 A1 đậm ( 1 hộp = 8 viên = 1.44m2)</t>
  </si>
  <si>
    <t>LXC6112A1</t>
  </si>
  <si>
    <t>Gạch lát HH 60*60 LXC6112A1 (1 hộp = 1.44m2)</t>
  </si>
  <si>
    <t>LX3802 A1 ( 1 hộp =16 viên=1.44m2)</t>
  </si>
  <si>
    <t>Chống trơn LX3802 A1 ( 1 hộp =16 viên=1.44m2)</t>
  </si>
  <si>
    <t>LX3665 (Hộp =8v/h=1.44m2)- kệ 72 h</t>
  </si>
  <si>
    <t>Ốp hoàng hà 30*60 mã LX3665 (Hộp =8v/h=1.44m2)</t>
  </si>
  <si>
    <t>LX3628 A1 - 2021</t>
  </si>
  <si>
    <t>2000181031822</t>
  </si>
  <si>
    <t>Ốp LX3628 A1 nhạt ( 1 hộp = 1.44m2)</t>
  </si>
  <si>
    <t>GẠCH SÂN VƯỜN LX5522 A1 (1H= 1.5M)</t>
  </si>
  <si>
    <t>LX5501 ( 6 viên = 1.5m2)</t>
  </si>
  <si>
    <t>2000131568217</t>
  </si>
  <si>
    <t>Sân vườn LX5501 ( 6 viên /hộp = 1.5m2)</t>
  </si>
  <si>
    <t>LX3635 A1 (đậm)</t>
  </si>
  <si>
    <t>Ốp LX3635 A1 đậm ( 1h=8v=1.44m2)</t>
  </si>
  <si>
    <t>LX8002 A1 - 2022</t>
  </si>
  <si>
    <t>Gạch lát LX8002 A1 ( 1 hộp = 1.92m2)</t>
  </si>
  <si>
    <t>LX3622 A1 ( mã cũ - hủy)</t>
  </si>
  <si>
    <t>2000139164794</t>
  </si>
  <si>
    <t>Ốp LX3622 A1 - Nhạt ( 1 hộp =1.44m2)</t>
  </si>
  <si>
    <t>LX3632 A1</t>
  </si>
  <si>
    <t>2000181031020</t>
  </si>
  <si>
    <t>Gạch ốp LX3632 A1 - nhạt ( 1 hộp = 1.44m2)</t>
  </si>
  <si>
    <t>LX3639 A1 - 2022</t>
  </si>
  <si>
    <t>Ốp LX3639 A1 đậm ( 1 hộp = 8 viên=1.44m)</t>
  </si>
  <si>
    <t>LX6010 A</t>
  </si>
  <si>
    <t>2000125603207</t>
  </si>
  <si>
    <t>Gạch lát LX6010 A (1 hộp = 1.44m2)</t>
  </si>
  <si>
    <t>LX3659(Hộp =8v/h=1.44m2)</t>
  </si>
  <si>
    <t>Ốp hoàng hà 30*60 mã LX3659(Hộp =8v/h=1.44m2)</t>
  </si>
  <si>
    <t>LX3663 (Hộp =8v/h=1.44m2)</t>
  </si>
  <si>
    <t>Ốp hoàng hà 30*60 mã LX3663 (Hộp =8v/h=1.44m2)</t>
  </si>
  <si>
    <t>LX5525 A1 (1h=6v=1.5m2)</t>
  </si>
  <si>
    <t>Gạch 50*50 HH mã LX5525 A1 (1h=6v=1.5m2)</t>
  </si>
  <si>
    <t>LX8006 A1</t>
  </si>
  <si>
    <t>Lát 80x80 - LX8006 A1 ( 1 hộp = 1.92m2)</t>
  </si>
  <si>
    <t>GẠCH SÂN VƯỜN LX5521 A1(1H=1.5M)</t>
  </si>
  <si>
    <t>LX8003 - A1</t>
  </si>
  <si>
    <t>Gạch lát LX8003 - A1 (1h= 1.92m2)</t>
  </si>
  <si>
    <t>LXC6114A1</t>
  </si>
  <si>
    <t>Gạch lát HH 60*60 LXC6114A1 (1 hộp = 1.44m2)</t>
  </si>
  <si>
    <t>LXK 46054 A1(1h=6v=1.44m2)</t>
  </si>
  <si>
    <t>Gạch Hoàng Hà 40*60 SV mã LXK 46054 A1(1h=6v=1.44m2)</t>
  </si>
  <si>
    <t>LX3614D - Viên</t>
  </si>
  <si>
    <t>2000110032432</t>
  </si>
  <si>
    <t>Điểm LX3614D A1 - Viên</t>
  </si>
  <si>
    <t>LX36000 A1 ( hủy)</t>
  </si>
  <si>
    <t>2000110122935</t>
  </si>
  <si>
    <t>Ốp 30x60 LX36000 A1( 1 hộp = 1.44m)-HUỶ</t>
  </si>
  <si>
    <t>LX 46001 A1(1h=6v=1.44m2)</t>
  </si>
  <si>
    <t>Gạch Hoàng Hà 40*60 SV mã LX 46001 A1(1h=6v=1.44m2)</t>
  </si>
  <si>
    <t>LX6014 (A)</t>
  </si>
  <si>
    <t>Lát LX6014 (A)</t>
  </si>
  <si>
    <t>LX3620 A1(Nhạt)</t>
  </si>
  <si>
    <t>2000139665512</t>
  </si>
  <si>
    <t>Ốp LX3620 A1 - (nhạt) - (1h=1,44m)</t>
  </si>
  <si>
    <t>LX6905 A1 - 2022</t>
  </si>
  <si>
    <t>Sân vườn LX6905 A1 ( 1 hộp = 1.44m2)</t>
  </si>
  <si>
    <t>LXP303  A1 (1h =1.44m2)</t>
  </si>
  <si>
    <t>chống trơn 30*30 LXP303  A1 (1h =1.44m2)</t>
  </si>
  <si>
    <t>LX3616 A1 - 2022</t>
  </si>
  <si>
    <t>2000198578600</t>
  </si>
  <si>
    <t>ốp LX3616 A1 nhạt ( 1 hộp = 8v= 1.44m2)</t>
  </si>
  <si>
    <t>LX6609 A1 - 2022</t>
  </si>
  <si>
    <t>Gạch lát LX6609 A1 ( 1 hộp =1.44m2)</t>
  </si>
  <si>
    <t>LXK 46050 A1(1h=6v=1.44m2)</t>
  </si>
  <si>
    <t>Gạch Hoàng Hà 40*60 SV mã LXK 46050 A1(1h=6v=1.44m2)</t>
  </si>
  <si>
    <t>LX8009 (A1) - 2021</t>
  </si>
  <si>
    <t>Gạch lát LX8009 (A1) 1 hộp = 1.92 m2</t>
  </si>
  <si>
    <t>LX36000 A</t>
  </si>
  <si>
    <t>2000115510041</t>
  </si>
  <si>
    <t>Gạch ốp trắng 30x60- LX36000 A (1 hộp = 1.44m2)</t>
  </si>
  <si>
    <t>GẠCH LX6616 A1( 1H=1.44M)</t>
  </si>
  <si>
    <t>LX3606 ( nhạt)</t>
  </si>
  <si>
    <t>2000110032616</t>
  </si>
  <si>
    <t>Ốp LX3606 A1 ( 1 hộp = 1.44m2)</t>
  </si>
  <si>
    <t>GACH LX8016 A1 (1H=1.92M)</t>
  </si>
  <si>
    <t>LXK 46051 A1(1h=6v=1.44m2)</t>
  </si>
  <si>
    <t>Gạch Hoàng Hà 40*60 SV mã LXK 46051 A1(1h=6v=1.44m2)</t>
  </si>
  <si>
    <t>LX5518 A1-2022</t>
  </si>
  <si>
    <t>Sân vườn LX5518 A1 ( 1 hộp=6v=1.5m2)</t>
  </si>
  <si>
    <t>LX3618 ( Nhạt)</t>
  </si>
  <si>
    <t>2000139164299</t>
  </si>
  <si>
    <t>Ốp LX3618 A1 Nhạt ( 1 hộp = 1.44m2)</t>
  </si>
  <si>
    <t>LV4851 (A1) - kệ 48h</t>
  </si>
  <si>
    <t>LV4851 (A1) - 1 hộp = 1.28m2</t>
  </si>
  <si>
    <t>LX3623 (đậm) - cũ</t>
  </si>
  <si>
    <t>2000139165005</t>
  </si>
  <si>
    <t>Ốp LX3623 (A1) đậm ( 1 hộp = 1.44m2)</t>
  </si>
  <si>
    <t>LX3666 nhạt A1(Hộp= 1.44m2) - Kệ 72h</t>
  </si>
  <si>
    <t>Gạch Hoàng Hà ốp 30*60 mã LX3666 nhạt A1(Hộp= 1.44m2)</t>
  </si>
  <si>
    <t>LX5520 A1 - 2022</t>
  </si>
  <si>
    <t>Sân vườn LX5520 A1 ( 1 hộp=6 viên=1.5m2)</t>
  </si>
  <si>
    <t>LXC5802 A1(1h=6v=1.5m2)</t>
  </si>
  <si>
    <t>2000214253429</t>
  </si>
  <si>
    <t>Gạch 50 ceramic HH mã LXC5802 A1(1h=6v=1.5m2)</t>
  </si>
  <si>
    <t>LX5524 A1(1h=6v=1.5m2)</t>
  </si>
  <si>
    <t>Gạch HH 50*50 mã LX5524 A1(1h=6v=1.5m2)</t>
  </si>
  <si>
    <t>LX3633 A1 - 2021</t>
  </si>
  <si>
    <t>2000181031334</t>
  </si>
  <si>
    <t>Ốp LX3633 A1 đậm ( 1 hộp = 1.44m2)</t>
  </si>
  <si>
    <t>LX5519 A1 - 2022</t>
  </si>
  <si>
    <t>2000199013087</t>
  </si>
  <si>
    <t>Sân vườn LX5519 A1 ( 1 hộp = 6 viên =  1.5m2)</t>
  </si>
  <si>
    <t>LX8010 A1</t>
  </si>
  <si>
    <t>Gạch lát LX8010 A1 (1 hộp = 1.92m2)</t>
  </si>
  <si>
    <t>LX3601 (A1)</t>
  </si>
  <si>
    <t>Gạch trang trí LX3601 (A1) 1 hộp =1.44m2</t>
  </si>
  <si>
    <t>LX3629 A1 đậm  - 2021</t>
  </si>
  <si>
    <t>Ốp LX3629 A1 đậm ( 1 hộp = 1.44m2)</t>
  </si>
  <si>
    <t>Ốp LX4862 A1</t>
  </si>
  <si>
    <t>Ốp LX4862 A1 nhạt ( 1 hộp = 4 viên = 1.28m2)</t>
  </si>
  <si>
    <t>LK303 A1-2022</t>
  </si>
  <si>
    <t>Gạch chống trơn LK303 A1 ( 1 hộp = 16 viên = 1.44m2)</t>
  </si>
  <si>
    <t>LX3621 A1(đậm)</t>
  </si>
  <si>
    <t>2000139665741</t>
  </si>
  <si>
    <t>Ốp LX3621 (A1) - Đậm (1h=1,44m)</t>
  </si>
  <si>
    <t>LX3614 D</t>
  </si>
  <si>
    <t>Điểm LX3614 D ( 1 hộp = 8 viên) A1</t>
  </si>
  <si>
    <t>LX337 A1(1h=16v=1.44m2)</t>
  </si>
  <si>
    <t>Gạch hh 30*30 mã LX337 A1(1h=16v=1.44m2)</t>
  </si>
  <si>
    <t>LX335  A1(1h = 16 viên= 1.44m2)</t>
  </si>
  <si>
    <t>Gạch trống trơn LX335  A1(1h = 16 viên= 1.44m2)</t>
  </si>
  <si>
    <t>LP18.101 A1 (1 kệ = 32h)</t>
  </si>
  <si>
    <t>Gạch KT 80*80 LP18.101 A1 ( 1h= 1.92m)</t>
  </si>
  <si>
    <t>LX3614(A)</t>
  </si>
  <si>
    <t>2000132376781</t>
  </si>
  <si>
    <t>LX3614(A) - 1 hộp =1.44m2</t>
  </si>
  <si>
    <t>GẠCH LX8014 A1( 1H= 1.92M)</t>
  </si>
  <si>
    <t>LV4850 A1(1h=4v=1.28m2)</t>
  </si>
  <si>
    <t>Gạch ốp 40*80 mã LV4850 A1(1h=4v=1.28m2)</t>
  </si>
  <si>
    <t>LX4864 A1</t>
  </si>
  <si>
    <t>Ốp LX4864 A1 nhạt ( 1 hộp = 4 viên =1.28m2)</t>
  </si>
  <si>
    <t>LX6610 A1 - 2022</t>
  </si>
  <si>
    <t>Gạch lát LX6610 A1 (1 hộp = 1.44m2)</t>
  </si>
  <si>
    <t>LX4865 A1 đậm</t>
  </si>
  <si>
    <t>Ốp LX4865 A1 đậm ( 1 hộp = 4 viên =1.28m2)</t>
  </si>
  <si>
    <t>LX5527 A1 (1h=6v=1.5m2)</t>
  </si>
  <si>
    <t>Gạch 50*50 HH mã LX5527 A1 (1h=6v=1.5m2)</t>
  </si>
  <si>
    <t>Ốp LX3616 A1 ( mã cũ - hủy)</t>
  </si>
  <si>
    <t>2000139664843</t>
  </si>
  <si>
    <t>Ốp LX3616(A1) - nhạt (1h=1,44m)</t>
  </si>
  <si>
    <t>LX8002 A1 ( trắng khói) - lô cũ hủy</t>
  </si>
  <si>
    <t>2000139959703</t>
  </si>
  <si>
    <t>Gạch lát LX8002 A1-HUỶ</t>
  </si>
  <si>
    <t>LX333 A1</t>
  </si>
  <si>
    <t>2000183308267</t>
  </si>
  <si>
    <t>Gạch chống trơn LX333 A1 ( 1 hộp = 16 viên = 1.44m2)</t>
  </si>
  <si>
    <t>LXC6110A1</t>
  </si>
  <si>
    <t>Gạch lát HH 60*60 LXC6110A1 (1 hộp = 1.44m2)</t>
  </si>
  <si>
    <t>LX6902 A1-2022 ( 64h/kệ)</t>
  </si>
  <si>
    <t>2000200293118</t>
  </si>
  <si>
    <t>Sân vườn LX6902 A1 ( 1 hộp = 1.44m2)</t>
  </si>
  <si>
    <t>LV4851 (A2)</t>
  </si>
  <si>
    <t>Ốp LV4851 (A2) 1 hộp = 1.28m2</t>
  </si>
  <si>
    <t>LX3668 nhạt A1(Hộp= 1.44m2)- Kệ 72h</t>
  </si>
  <si>
    <t>Gạch Hoàng Hà ốp 30*60 mã LX3668 nhạt A1(Hộp= 1.44m2)</t>
  </si>
  <si>
    <t>LX3622 D- Viên</t>
  </si>
  <si>
    <t>2000139165067</t>
  </si>
  <si>
    <t>Điểm LX3622 A1 - Viên</t>
  </si>
  <si>
    <t>LX6023 A1 ( 1 hộp = 1.44m2)</t>
  </si>
  <si>
    <t>2000199722422</t>
  </si>
  <si>
    <t>Lát LX6023 A1 ( 1 hộp = 1.44m2)</t>
  </si>
  <si>
    <t>LXC6117 A1(1h=1.44m2)</t>
  </si>
  <si>
    <t>Gạch 60 HH mã LXC6117 A1(1h=1.44m2)</t>
  </si>
  <si>
    <t>LX3619 A1 ( đậm)</t>
  </si>
  <si>
    <t>2000139164497</t>
  </si>
  <si>
    <t>Ốp LX3619 A1 đậm( 1 hộp =1.44m2)</t>
  </si>
  <si>
    <t>LX3607 ( Đậm)</t>
  </si>
  <si>
    <t>2000110033033</t>
  </si>
  <si>
    <t>Ốp LX3607 A1 ( 1 hộp = 1.44m)</t>
  </si>
  <si>
    <t>LX36805 A2</t>
  </si>
  <si>
    <t>2000133153732</t>
  </si>
  <si>
    <t>Ốp LX36805 A2 (1 hộp = 1.44m2)</t>
  </si>
  <si>
    <t>Gạch LX6614 A1 (1H = 1.44M)</t>
  </si>
  <si>
    <t>LX8005 A1</t>
  </si>
  <si>
    <t>Lát 80x80 - LX8005 A1 (1h= 3v= 1.92m2)</t>
  </si>
  <si>
    <t>LX8005 (A)</t>
  </si>
  <si>
    <t>Lát 80x80 - LX8005 (A) 1 hộp =1.92m2</t>
  </si>
  <si>
    <t>LX3617 A1-2022</t>
  </si>
  <si>
    <t>Gạch ốp LX3617 A1 ( 1 hộp = 8v=1.44m2)</t>
  </si>
  <si>
    <t>LP18.102 A1 (kệ =32h)</t>
  </si>
  <si>
    <t>Gạch lát KT80*80 LP18.102 A1 (1h= 1.92m2)</t>
  </si>
  <si>
    <t>LXP3606 A1</t>
  </si>
  <si>
    <t>Ốp bán sứ LXP3606 A1 - nhạt ( 1 hộp = 1.44m2)</t>
  </si>
  <si>
    <t>LX3616D - V</t>
  </si>
  <si>
    <t>2000139666144</t>
  </si>
  <si>
    <t>Điểm LX3616(A1) - viên</t>
  </si>
  <si>
    <t>LP96101 A1(1h=4v=1.44m2)</t>
  </si>
  <si>
    <t>Gạch 60*60 HH mã ECO LP96101 A1(1h=4v=1.44m2)-44h/kệ</t>
  </si>
  <si>
    <t>LX3628D - Viên (A1) - 2021</t>
  </si>
  <si>
    <t>2000181032003</t>
  </si>
  <si>
    <t>Ốp điểm LX3628D - Viên (A1)</t>
  </si>
  <si>
    <t>LX3620D - V</t>
  </si>
  <si>
    <t>2000139666168</t>
  </si>
  <si>
    <t>Điểm LX3620(A1) - viên</t>
  </si>
  <si>
    <t>điểm LX3636D A1 - Viên</t>
  </si>
  <si>
    <t>2000199013131</t>
  </si>
  <si>
    <t>Ốp điểm LX3636D A1 - Viên</t>
  </si>
  <si>
    <t>LX3802 - Viên</t>
  </si>
  <si>
    <t>2000127418694</t>
  </si>
  <si>
    <t>gạch chống trơn LX3802 A1 - Viên</t>
  </si>
  <si>
    <t>LX337 A1( viên)</t>
  </si>
  <si>
    <t>2000214248203</t>
  </si>
  <si>
    <t>Gạch 30*30 hoàng hà mã LX337 A1( viên)</t>
  </si>
  <si>
    <t>LX3667 đậm A1(Hộp= 1.44m2)- kệ 72h</t>
  </si>
  <si>
    <t>Gạch Hoàng Hà ốp 30*60 mã LX3667 đậm A1(Hộp= 1.44m2)</t>
  </si>
  <si>
    <t>LX3615(A)</t>
  </si>
  <si>
    <t>2000132376903</t>
  </si>
  <si>
    <t>LX3615(A) - (1 hộp =1.44m2)</t>
  </si>
  <si>
    <t>LX3622 A1 - 2022</t>
  </si>
  <si>
    <t>Ốp LX3622 A1 nhạt ( 1 hộp = 1.44m2)</t>
  </si>
  <si>
    <t>LX3617(A1) - mã cũ ( hủy)</t>
  </si>
  <si>
    <t>2000139665093</t>
  </si>
  <si>
    <t>Ốp LX3617(A1) - đậm (1h=1,44m)</t>
  </si>
  <si>
    <t>LX3632D A1 - Viên - 2021</t>
  </si>
  <si>
    <t>2000181031303</t>
  </si>
  <si>
    <t>Điểm LX3632D A1 - Viên</t>
  </si>
  <si>
    <t>LX6618 A1(4v/h=1.44m2)</t>
  </si>
  <si>
    <t>Gạch 60 HH mã LX6618 A1(4v/h=1.44m2)</t>
  </si>
  <si>
    <t>Chống trơn LXP 303 A1 ( viên)</t>
  </si>
  <si>
    <t>2000202378301</t>
  </si>
  <si>
    <t>Chống trơn LXP303 A1 ( viên)</t>
  </si>
  <si>
    <t>điểm LX3638 A1 - Viên - 2022</t>
  </si>
  <si>
    <t>2000199013056</t>
  </si>
  <si>
    <t>Ốp điểm LX3638 A1 - Viên</t>
  </si>
  <si>
    <t>LX8001 A1 - 2022</t>
  </si>
  <si>
    <t>Gạch lát  LX8001 A1 ( 1 hộp = 1.92m2)</t>
  </si>
  <si>
    <t>LP96102 A1(1h=4v=1.44m2</t>
  </si>
  <si>
    <t>Gạch 60*60 HH mã ECO LP96102 A1(1h=4v=1.44m2)-44h/kệ</t>
  </si>
  <si>
    <t>LX3669 đậm A1(1h=1.44m) kệ 72h</t>
  </si>
  <si>
    <t>Gạch Hoàng Hà ốp 30*60 mã LX3669 đậm A1(Hộp= 1.44m2)</t>
  </si>
  <si>
    <t>LP96104 A1(1h=4v=1.44m2)-44h/kệ = 27.5k</t>
  </si>
  <si>
    <t>Gạch 60*60 HH mã ECO LP96104 A1(1h=4v=1.44m2)-44h/kệ</t>
  </si>
  <si>
    <t>LXC6116 A1(1h=1.44m2)</t>
  </si>
  <si>
    <t>Gạch 60 HH mã LXC6116 A1(1h=1.44m2)</t>
  </si>
  <si>
    <t>LX3658 Điểm (viên)</t>
  </si>
  <si>
    <t>2000214247848</t>
  </si>
  <si>
    <t>Ốp hoàng hà 30*60 mã LX3658 Điểm (viên)</t>
  </si>
  <si>
    <t>LX4860 A1</t>
  </si>
  <si>
    <t>Ốp 40x80 LX4860 A1 nhạt ( 1 hộp=4v=1.28m2)</t>
  </si>
  <si>
    <t>Ốp bán sứ LXP3602 A1</t>
  </si>
  <si>
    <t>Gạch Ốp bán sứ LXP3602 A1(1H=1.44 m2)</t>
  </si>
  <si>
    <t>LX6903 A1-2022 (64h/kệ)</t>
  </si>
  <si>
    <t>Sân vườn LX6903 A1 ( 1 hộp = 1.44m2)</t>
  </si>
  <si>
    <t>LX3618D - Viên</t>
  </si>
  <si>
    <t>2000139164695</t>
  </si>
  <si>
    <t>Điểm LX3618D - Viên</t>
  </si>
  <si>
    <t>Ốp LX3623 (A1) -2022(mới)</t>
  </si>
  <si>
    <t>2000188031306</t>
  </si>
  <si>
    <t>Ốp LX3623 (A1) đậm  - (1 hộp = 8v=1.44 m2)</t>
  </si>
  <si>
    <t>Ốp LX3626 ( Nhạt</t>
  </si>
  <si>
    <t>2000155884331</t>
  </si>
  <si>
    <t>Ốp LX3626 ( Nhạt - 1 hộp = 1.44m2)</t>
  </si>
  <si>
    <t>LK303 A1 - Viên</t>
  </si>
  <si>
    <t>2000200404330</t>
  </si>
  <si>
    <t>Gạch chống trơn LK303 A1 - Viên</t>
  </si>
  <si>
    <t>LX6001 A1 (vân vàng)</t>
  </si>
  <si>
    <t>Gạch LX6001 A1 (1 hộp = 1.44m2) - vân vàng mới</t>
  </si>
  <si>
    <t>điểm LX3638D A1 - 2022</t>
  </si>
  <si>
    <t>Ốp điểm LX3638D A1 ( 1 hộp = 8 viên)</t>
  </si>
  <si>
    <t>LX8012 (A1)-2021</t>
  </si>
  <si>
    <t>Gạch lát LX8012 (A1) 1 hộp = 1.92m2</t>
  </si>
  <si>
    <t>ốp LX3614 - Viên (A1)</t>
  </si>
  <si>
    <t>2000111863929</t>
  </si>
  <si>
    <t>Điểm LX3622 D</t>
  </si>
  <si>
    <t>2000139165043</t>
  </si>
  <si>
    <t>Điểm LX3622 D ( 1 hộp = 8 viên)</t>
  </si>
  <si>
    <t>LX8001 A1 ( lô cũ - hủy)</t>
  </si>
  <si>
    <t>2000141838058</t>
  </si>
  <si>
    <t>Lát 80x80 - LX8001 A1 ( 1 hộp = 1.92m2)</t>
  </si>
  <si>
    <t>LX3615 - Viên</t>
  </si>
  <si>
    <t>2000111632426</t>
  </si>
  <si>
    <t>Ốp LX3615  A1 - Viên</t>
  </si>
  <si>
    <t>LXP3601 A2</t>
  </si>
  <si>
    <t>2000201405534</t>
  </si>
  <si>
    <t>Ốp b/sứ LXP3601 A2 ( 8 viên/hộp = 1.44m2)</t>
  </si>
  <si>
    <t>điểm LX3636D A1 - 2022</t>
  </si>
  <si>
    <t>Ốp điểm LX3636D A1 ( 1 hộp = 8 viên)</t>
  </si>
  <si>
    <t>LX8018 A1</t>
  </si>
  <si>
    <t>Gạch KT 80*80 LX8018 A1 (1h=1.92m2)</t>
  </si>
  <si>
    <t>LX4863 A1 đậm</t>
  </si>
  <si>
    <t>Ốp LX4863 A1 đậm ( 1 hộp = 4 viên =1.28m2)</t>
  </si>
  <si>
    <t>LXK 46052 a1(1h=6v=1.44m2)</t>
  </si>
  <si>
    <t>Gạch Hoàng hà 40*60 mã LXK 46052 a1(1h=6v=1.44m2)</t>
  </si>
  <si>
    <t>LX302 A1 -2022</t>
  </si>
  <si>
    <t>2000156127673</t>
  </si>
  <si>
    <t>Chống trơn LX302 A1 ( 1 hộp =16 viên = 1.44m2)</t>
  </si>
  <si>
    <t>LX315 A1 - 2022</t>
  </si>
  <si>
    <t>2000181708229</t>
  </si>
  <si>
    <t>Chống trơn LX315 A1 ( 1 hộp = 1.44m2 = 16 viên)</t>
  </si>
  <si>
    <t>LX3628 A1 - Viên-2021</t>
  </si>
  <si>
    <t>2000181031839</t>
  </si>
  <si>
    <t>Ốp LX3628 A1 - Viên</t>
  </si>
  <si>
    <t>Điểm LX3634 A1</t>
  </si>
  <si>
    <t>Điểm LX3634D A1 (1h=8v=1.44m2)</t>
  </si>
  <si>
    <t>LX6603(A1) - viên</t>
  </si>
  <si>
    <t>2000159084416</t>
  </si>
  <si>
    <t>LX3628D A1 - 2021</t>
  </si>
  <si>
    <t>2000181031983</t>
  </si>
  <si>
    <t>Ốp điểm LX3628D A1 ( 1 hộp = 8 viên )</t>
  </si>
  <si>
    <t>LXC6118 A1(1h=1.44m2)</t>
  </si>
  <si>
    <t>Gạch 60 HH mã LXC6118 A1(1h=1.44m2)</t>
  </si>
  <si>
    <t>LX8001 (A) - 2021</t>
  </si>
  <si>
    <t>2000180244599</t>
  </si>
  <si>
    <t>Gạch lát LX8001 (A) - 1 hộp = 1.92m2</t>
  </si>
  <si>
    <t>LX3612</t>
  </si>
  <si>
    <t>2000109878164</t>
  </si>
  <si>
    <t>Ốp 30x60 LX3612 ( 1 hộp = 1.44m)</t>
  </si>
  <si>
    <t>LX8017 A1(3v/h=1.92m2)</t>
  </si>
  <si>
    <t>Gạch HH 80 mã LX8017 A1(3v/h=1.92m2)</t>
  </si>
  <si>
    <t>LP 18.104 A1(1h=1.92m2)</t>
  </si>
  <si>
    <t>Gạch HH 80*80 mã LP 18.104 A1(1h=1.92m2)</t>
  </si>
  <si>
    <t>LX3664 điểm (Hộp =8v/h=1.44m2)</t>
  </si>
  <si>
    <t>Ốp hoàng hà 30*60 mã LX3664điểm (Hộp =8v/h=1.44m2)</t>
  </si>
  <si>
    <t>LXC6105A1 (1 hộp = 1.44m2)</t>
  </si>
  <si>
    <t>Gạch lát HH 60*60 LXC6105A1 (1 hộp = 1.44m2)</t>
  </si>
  <si>
    <t>LX327( 1 hộp =16 viên</t>
  </si>
  <si>
    <t>2000155883969</t>
  </si>
  <si>
    <t>Chống trơn LX327 A1 ( 1 hộp =16 viên = 1.44m2)</t>
  </si>
  <si>
    <t>LX5515 A1</t>
  </si>
  <si>
    <t>2000200450023</t>
  </si>
  <si>
    <t>Sân vườn LX5515  A1( 1 hộp = 1.5 m2)</t>
  </si>
  <si>
    <t>LX8021 A1</t>
  </si>
  <si>
    <t>Gạch lát KT80*80 LX8021 A1 (1h= 1.92m2)</t>
  </si>
  <si>
    <t>LX3629 A1 - Viên - 2021</t>
  </si>
  <si>
    <t>2000181031969</t>
  </si>
  <si>
    <t>Ốp LX3629 A1 - Viên</t>
  </si>
  <si>
    <t>LX3664 điểm (viên)</t>
  </si>
  <si>
    <t>2000214247947</t>
  </si>
  <si>
    <t>Ốp hoàng hà 30*60 mã LX3664 điểm (viên)</t>
  </si>
  <si>
    <t>LXC6119 A1(1h=1.44m2)</t>
  </si>
  <si>
    <t>Gạch 60*60 HH mã LXC6119 A1(1h=1.44m2)</t>
  </si>
  <si>
    <t>LX8002 A1 - Viên</t>
  </si>
  <si>
    <t>2000139959819</t>
  </si>
  <si>
    <t>Gạch lát LX8002 A1 - Viên</t>
  </si>
  <si>
    <t>Lát 80x80 LX8006(A)</t>
  </si>
  <si>
    <t>2000158884918</t>
  </si>
  <si>
    <t>LX8006(A)</t>
  </si>
  <si>
    <t>LX3616D</t>
  </si>
  <si>
    <t>2000139666014</t>
  </si>
  <si>
    <t>Điểm LX3616(A1) - (1 hộp =8 viên)</t>
  </si>
  <si>
    <t>LP18.103 A1 ( kệ 32h)</t>
  </si>
  <si>
    <t>Gạch lát KT80*80 LP18.103 A1 (1h= 1.92m2)</t>
  </si>
  <si>
    <t>LP96103 A1(1h=4v=1.44m2)</t>
  </si>
  <si>
    <t>Gạch 60*60 HH mã ECO LP96103 A1(1h=4v=1.44m2)-44h/kệ</t>
  </si>
  <si>
    <t>LX3639 A1 - viên - 2022</t>
  </si>
  <si>
    <t>2000199013070</t>
  </si>
  <si>
    <t>Ốp LX3639 A1 - Viên ( đậm)</t>
  </si>
  <si>
    <t>LX3620D</t>
  </si>
  <si>
    <t>Điểm LX3620(A1) - (1 hộp =8 viên)</t>
  </si>
  <si>
    <t>LX6621 A1(4v/h=1.44m2)</t>
  </si>
  <si>
    <t>Gạch 60 HH Mã LX6621 A1(4v/h=1.44m2)</t>
  </si>
  <si>
    <t>LX3634D A1 - VIÊN</t>
  </si>
  <si>
    <t>2000202128777</t>
  </si>
  <si>
    <t>ốp điểm LX3634D A1 - VIÊN</t>
  </si>
  <si>
    <t>LX6602(A1) - viên</t>
  </si>
  <si>
    <t>2000159084195</t>
  </si>
  <si>
    <t>LX3601 - Viên</t>
  </si>
  <si>
    <t>2000125784401</t>
  </si>
  <si>
    <t>Gạch trang trí LX3601A1 - Viên</t>
  </si>
  <si>
    <t>LX3627 A1 ( đậm)</t>
  </si>
  <si>
    <t>2000155884119</t>
  </si>
  <si>
    <t>Ốp LX3627 A1 ( đậm - 1 hộp =1.44m2)</t>
  </si>
  <si>
    <t>LX335 A1( viên)</t>
  </si>
  <si>
    <t>2000202698317</t>
  </si>
  <si>
    <t>Gạch chống trơn LX335 A1( viên)</t>
  </si>
  <si>
    <t>LX3658 Điểm (Hộp =8v/h=1.44m2)</t>
  </si>
  <si>
    <t>Ốp hoàng hà 30*60 mã LX3658 Điểm (Hộp =8v/h=1.44m2)</t>
  </si>
  <si>
    <t>LP936.132 A1(1h=8v=1.44m2)</t>
  </si>
  <si>
    <t>Gạch 30*60 ECO HH mã LP936.132 A1- Nhạt (1h=8v=1.44m2)</t>
  </si>
  <si>
    <t>LX3664 (viên)</t>
  </si>
  <si>
    <t>2000214247923</t>
  </si>
  <si>
    <t>Ốp hoàng hà 30*60 mã LX3664 (viên)</t>
  </si>
  <si>
    <t>LXP3603 A1</t>
  </si>
  <si>
    <t>Ốp b/sứ LXP3603 A1 ( 8 viên/hộp = 1.44m2)</t>
  </si>
  <si>
    <t>LXC6115 A1(1h=1.44m2)</t>
  </si>
  <si>
    <t>Gạch 60 HH mã LXC6115 A1(1h=1.44m2)</t>
  </si>
  <si>
    <t>LX6004 (A2)</t>
  </si>
  <si>
    <t>2000121917254</t>
  </si>
  <si>
    <t>Gạch lát LX6004 ( 1 hộp = 1.44m2)</t>
  </si>
  <si>
    <t>N8-6045 A2(1h=1.92m2)</t>
  </si>
  <si>
    <t>2000214255331</t>
  </si>
  <si>
    <t>Gạch 80 nice mã N8-6045 A2(1h=1.92m2)</t>
  </si>
  <si>
    <t>LX3662 Điểm (Hộp =8v/h=1.44m2)</t>
  </si>
  <si>
    <t>Ốp hoàng hà 30*60 mã LX3662 Điểm (Hộp =8v/h=1.44m2)</t>
  </si>
  <si>
    <t>LX3606 D- Viên</t>
  </si>
  <si>
    <t>2000110032630</t>
  </si>
  <si>
    <t>Điểm LX3606 D A1- Viên</t>
  </si>
  <si>
    <t>LXP3607 A1</t>
  </si>
  <si>
    <t>Ốp bán sứ LXP3607 A1 ( đậm ) - (1 hộp = 1.44m2)</t>
  </si>
  <si>
    <t>Ốp LX4861 A3</t>
  </si>
  <si>
    <t>2000165459154</t>
  </si>
  <si>
    <t>Ốp LX4861 A3 ( 1 hộp = 1.28m2)</t>
  </si>
  <si>
    <t>Điểm LX3632 A1 - 2021</t>
  </si>
  <si>
    <t>2000181031273</t>
  </si>
  <si>
    <t>Ốp Điểm LX3632D A1 ( 1 hộp =8 viên)</t>
  </si>
  <si>
    <t>CHỐNG TRƠN LX317 A1 (1H=1.44M)</t>
  </si>
  <si>
    <t>LX4866 A1</t>
  </si>
  <si>
    <t>2000164267682</t>
  </si>
  <si>
    <t>Ốp LX4866 A1 nhạt ( 1 hộp =4 viên =1.28m2)</t>
  </si>
  <si>
    <t>LX4867 A1</t>
  </si>
  <si>
    <t>Ốp LX4867 A1 đậm (1 hộp = 4 viên = 1.28m2)</t>
  </si>
  <si>
    <t>LXM3672-Men mát Nhạt A1(1h=8v=1.44m2)</t>
  </si>
  <si>
    <t>Gạch HH 30*60 Ceramic mã LXM3672-Men mát Nhạt A1(1h=8v=1.44m2)</t>
  </si>
  <si>
    <t>LX3662 điểm (viên)</t>
  </si>
  <si>
    <t>2000214247862</t>
  </si>
  <si>
    <t>Ốp hoàng hà 30*60 mã LX3662 điểm (viên)</t>
  </si>
  <si>
    <t>Điểm LX3626 A1 - Viên</t>
  </si>
  <si>
    <t>2000157345281</t>
  </si>
  <si>
    <t>LX3665 (viên)</t>
  </si>
  <si>
    <t>2000214247961</t>
  </si>
  <si>
    <t>Ốp hoàng hà 30*60 mã LX3665(viên)</t>
  </si>
  <si>
    <t>LX4861 A1</t>
  </si>
  <si>
    <t>Ốp 40x80 LX4861 A1 đậm (1 hộp =4v=1.28m2)</t>
  </si>
  <si>
    <t>LX8008 A1(1H=3V=1.92M2)</t>
  </si>
  <si>
    <t>2000214250497</t>
  </si>
  <si>
    <t>Gạch Hoàng Hà 80*80 ma LX8008 A1(1H=3V=1.92M2)</t>
  </si>
  <si>
    <t>LX333 A1- Viên</t>
  </si>
  <si>
    <t>2000185381671</t>
  </si>
  <si>
    <t>Chống trơn LX333 A1 - Viên</t>
  </si>
  <si>
    <t>LX3603T A1(1h=1.44m2)</t>
  </si>
  <si>
    <t>Gạch trang trí 30*60 mã LX3603T A1(1h=1.44m2)</t>
  </si>
  <si>
    <t>LX8002 (A2)</t>
  </si>
  <si>
    <t>2000162212912</t>
  </si>
  <si>
    <t>Lát LX8002 (A2) 1 hộp =1.92m2</t>
  </si>
  <si>
    <t>LX33205 A1 -2022</t>
  </si>
  <si>
    <t>2000198791139</t>
  </si>
  <si>
    <t>Chống trơn LX33205 A1 ( 1 hộp = 16v= 1.44m2)</t>
  </si>
  <si>
    <t>LX3637 A1 - Viên - 2022</t>
  </si>
  <si>
    <t>2000199013117</t>
  </si>
  <si>
    <t>Ốp LX3637 A1 - Viên ( đậm)</t>
  </si>
  <si>
    <t>LX8016 A</t>
  </si>
  <si>
    <t>Gạch lát LX8016 A ( 1 hộp =1.92m2)</t>
  </si>
  <si>
    <t>LX3802 B ( 1 hộp =16 viên)</t>
  </si>
  <si>
    <t>2000157358410</t>
  </si>
  <si>
    <t>Chống trơn LX3802 B ( 1 hộp =16 viên=1.44m2)</t>
  </si>
  <si>
    <t>LX3602 (A1)</t>
  </si>
  <si>
    <t>2000125236436</t>
  </si>
  <si>
    <t>Gạch trang trí LX3602 (A1) 1 hộp = 1.44m2</t>
  </si>
  <si>
    <t>LX6617 A1(4v/h=1.44m2)</t>
  </si>
  <si>
    <t>Gạch 60 HH mã LX6617 A1(4v/h=1.44m2)</t>
  </si>
  <si>
    <t>LX329 A1</t>
  </si>
  <si>
    <t>2000183308366</t>
  </si>
  <si>
    <t>Gạch chống trơn LX329 A1 ( hộp = 16 viên =1.44m2)</t>
  </si>
  <si>
    <t>LX3638 A1 - Viên - 2022</t>
  </si>
  <si>
    <t>2000199013032</t>
  </si>
  <si>
    <t>Ốp LX3638 A1 - Viên ( nhạt)</t>
  </si>
  <si>
    <t>GẠCH LX6616 A1( VIÊN)</t>
  </si>
  <si>
    <t>2000202211219</t>
  </si>
  <si>
    <t>LX6007 (A1) - 2020</t>
  </si>
  <si>
    <t>2000123240923</t>
  </si>
  <si>
    <t>Lát LX6007 (A1) vân vàng</t>
  </si>
  <si>
    <t>LX302 (A1) - Viên</t>
  </si>
  <si>
    <t>2000134795306</t>
  </si>
  <si>
    <t>Chống trơn LX302 (A1) - Viên</t>
  </si>
  <si>
    <t>Điểm LX3618D</t>
  </si>
  <si>
    <t>2000139164688</t>
  </si>
  <si>
    <t>Điểm LX3618D ( 1 hộp = 8 viên)</t>
  </si>
  <si>
    <t>LX3620 - V</t>
  </si>
  <si>
    <t>2000139665543</t>
  </si>
  <si>
    <t>LX3620A1-viên</t>
  </si>
  <si>
    <t>LXP3601 A1(1h=8v=1.44m2)</t>
  </si>
  <si>
    <t>Gạch 30*60 Hoàng hà LXP3601 A1(1h=8v=1.44m2)</t>
  </si>
  <si>
    <t>LX3633  đậm A1 - Viên</t>
  </si>
  <si>
    <t>2000181034656</t>
  </si>
  <si>
    <t>Ốp LX3633  đậm A1 - Viên</t>
  </si>
  <si>
    <t>LX8003 A1 - Viên</t>
  </si>
  <si>
    <t>2000139960105</t>
  </si>
  <si>
    <t>Gạch lát LX8003 A1 - Viên</t>
  </si>
  <si>
    <t>LX3632 A1 - Viên</t>
  </si>
  <si>
    <t>2000181031129</t>
  </si>
  <si>
    <t>Ốp 30x60 - LX3632 A1 - Viên</t>
  </si>
  <si>
    <t>LP96102 A2(hộp=1.44m2)</t>
  </si>
  <si>
    <t>Gạch 60 BS HH mã LP96102 A2(hộp=1.44m2)</t>
  </si>
  <si>
    <t>LX6007 (A1) -2021 (mới)</t>
  </si>
  <si>
    <t>Gạch bán sứ LX6007 (A1) mới vân trắng - 1 hộp =1.44m2</t>
  </si>
  <si>
    <t>LX8014 A</t>
  </si>
  <si>
    <t>Gạch LX8014 A ( 1 hộp = 1.92m2)</t>
  </si>
  <si>
    <t>điểm LX4864D A1</t>
  </si>
  <si>
    <t>Ốp điểm LX4864D A1 ( 1 hộp = 4 viên)</t>
  </si>
  <si>
    <t>LX3802 (A3)</t>
  </si>
  <si>
    <t>2000125393566</t>
  </si>
  <si>
    <t>Chống trơn LX3802 (A3) - hủy- 1 hộp = 16 viên = 1.44m2)</t>
  </si>
  <si>
    <t>Điểm bán sứ LXP3602 A1 ( viên)</t>
  </si>
  <si>
    <t>2000200909781</t>
  </si>
  <si>
    <t>Gạch ốp Điểm bán sứ LXP3602 A1 ( viên)</t>
  </si>
  <si>
    <t>LX6609 A1 - Viên - 2022</t>
  </si>
  <si>
    <t>2000199808935</t>
  </si>
  <si>
    <t>Gạch lát LX6609 A1 - Viên</t>
  </si>
  <si>
    <t>LV3600 A1 ( hủy)</t>
  </si>
  <si>
    <t>2000137752498</t>
  </si>
  <si>
    <t>Ốp LV3600 A1 - ( 1 hộp =1.44m2)-HUY</t>
  </si>
  <si>
    <t>LX8006A1 - Viên</t>
  </si>
  <si>
    <t>2000141837693</t>
  </si>
  <si>
    <t>Lát 80x80 - LX8006A1 - Viên</t>
  </si>
  <si>
    <t>GẠCH LX8016 A1 ( VIÊN)</t>
  </si>
  <si>
    <t>2000202211257</t>
  </si>
  <si>
    <t>LX8004 A1</t>
  </si>
  <si>
    <t>Lát 80x80 - LX8004 A1</t>
  </si>
  <si>
    <t>LV3652 A1 - Viên</t>
  </si>
  <si>
    <t>2000200324713</t>
  </si>
  <si>
    <t>ốp LV3652 A1 - Viên</t>
  </si>
  <si>
    <t>LX317 - Viên (A1)</t>
  </si>
  <si>
    <t>2000179633472</t>
  </si>
  <si>
    <t>Gạch chống trơn LX317  A1- Viên</t>
  </si>
  <si>
    <t>LX3602T A1(1h=1.44m2)</t>
  </si>
  <si>
    <t>Gạch trang trí 30*60 mã LX3602T A1(1h=1.44m2)</t>
  </si>
  <si>
    <t>LP96101 A2(1h=4v=1.44m2)</t>
  </si>
  <si>
    <t>Gạch 60*60 HH mã ECO LP96101 A2(1h=4v=1.44m2)-44h/kệ</t>
  </si>
  <si>
    <t>LX3604T A1(1h = 1.44m2)</t>
  </si>
  <si>
    <t>Gạch ốp 30*60 trang trí mã LX3604T A1(1h = 1.44m2)</t>
  </si>
  <si>
    <t>LX3802 (A1) - hủy</t>
  </si>
  <si>
    <t>2000132382027</t>
  </si>
  <si>
    <t>Gạch chống trơn LX3802 (A1)-HUY</t>
  </si>
  <si>
    <t>LX3622 - Viên ( Nhạt)</t>
  </si>
  <si>
    <t>2000139164985</t>
  </si>
  <si>
    <t>Ốp LX3622 A1 - Viên</t>
  </si>
  <si>
    <t>LX315 A1 - Viên</t>
  </si>
  <si>
    <t>2000181708397</t>
  </si>
  <si>
    <t>Chống trơn LX315 A1 - Viên</t>
  </si>
  <si>
    <t>LH46004 A1(1h=6v=1.44m2)</t>
  </si>
  <si>
    <t>Gạch 40*60 HH mã LH46004 A1(1h=6v=1.44m2)</t>
  </si>
  <si>
    <t>LX8009 A1 - Viên</t>
  </si>
  <si>
    <t>2000196082796</t>
  </si>
  <si>
    <t>Gạch lát LX8009 A1 - Viên</t>
  </si>
  <si>
    <t>LX317 (A2)-2021</t>
  </si>
  <si>
    <t>2000179338919</t>
  </si>
  <si>
    <t>Chống trơn LX317  - 1 hộp =16 viên=1.44m2</t>
  </si>
  <si>
    <t>LP936.133 A1(1h=8v=1.44m2)</t>
  </si>
  <si>
    <t>Gạch 30*60 ECO HH mã LP936.133 A1( Đậm) (1h=8v=1.44m2)</t>
  </si>
  <si>
    <t>LXM3671-Men mát Đậm A1(1h=8v=1.44m2)</t>
  </si>
  <si>
    <t>Gạch HH 30*60 Ceramic mã LXM3671-Men mát Đậm A1(1h=8v=1.44m2)</t>
  </si>
  <si>
    <t>LX367 A1(1h=1.44m2)</t>
  </si>
  <si>
    <t>Gạch 30 hoàng hà mã LX367 A1(1h=1.44m2)</t>
  </si>
  <si>
    <t>LXM3673-Men mát Đậm A1(1h=8v=1.44m2)</t>
  </si>
  <si>
    <t>Gạch HH 30*60 Ceramic mã LXM3673-Men mát Đậm A1(1h=8v=1.44m2)</t>
  </si>
  <si>
    <t>LH46006 A1(1h=6v=1.44m2)</t>
  </si>
  <si>
    <t>Gạch 40*60 HH mã LH46006 A1(1h=6v=1.44m2)</t>
  </si>
  <si>
    <t>LHK46055 A1(1h=6v=1.44m2)</t>
  </si>
  <si>
    <t>Gạch 40*60 HH mã LHK46055 A1(1h=6v=1.44m2)</t>
  </si>
  <si>
    <t>LHK46056 A1(1h=6v=1.44m2)</t>
  </si>
  <si>
    <t>Gạch 40*60 HH mã LHK46056 A1(1h=6v=1.44m2)</t>
  </si>
  <si>
    <t>LX3636 A1 - Viên - 2022</t>
  </si>
  <si>
    <t>2000199013155</t>
  </si>
  <si>
    <t>Ốp LX3636 A1 - Viên ( nhạt)</t>
  </si>
  <si>
    <t>LP936.134 A1(1h=8v=1.44m2)</t>
  </si>
  <si>
    <t>Gạch 30*60 ECO HH mã LP936.134 A1(1h=8v=1.44m2)</t>
  </si>
  <si>
    <t>LX3635 A1 - VIÊN</t>
  </si>
  <si>
    <t>2000202128753</t>
  </si>
  <si>
    <t>Ốp LX3635 A1 - VIÊN</t>
  </si>
  <si>
    <t>LP18.102 A2(Hộp)</t>
  </si>
  <si>
    <t>Gạch 80*80 HH mã LP18.102 A2(Hộp)</t>
  </si>
  <si>
    <t>LX6616 A2</t>
  </si>
  <si>
    <t>2000214248357</t>
  </si>
  <si>
    <t>Lát LX6616 A2 (1h= 1.44m2)</t>
  </si>
  <si>
    <t>LP936.135 A1(1h=8v=1.44m2)</t>
  </si>
  <si>
    <t>Gạch 30*60 ECO HH mã LP936.135 A1(1h=8v=1.44m2)</t>
  </si>
  <si>
    <t>LX3634 A1 - VIÊN</t>
  </si>
  <si>
    <t>2000202128739</t>
  </si>
  <si>
    <t>ốp LX3634 A1 - VIÊN</t>
  </si>
  <si>
    <t>LP936131 A1(1h=8v=1.44m2)</t>
  </si>
  <si>
    <t>Gạch 30*60 BS HH mã LP936131 A1(1h=8v=1.44m2)</t>
  </si>
  <si>
    <t>LXC6119 A2 (1h=1.44m2)</t>
  </si>
  <si>
    <t>Gạch 60*60 HH mã LXC6119 A2 (1h=1.44m2)</t>
  </si>
  <si>
    <t>LX3659(Viên)</t>
  </si>
  <si>
    <t>2000214247831</t>
  </si>
  <si>
    <t>Ốp hoàng hà 30*60 mã LX3659(Viên)</t>
  </si>
  <si>
    <t>LX3666 điểm A1(Hộp= 1.44m2)</t>
  </si>
  <si>
    <t>Gạch Hoàng Hà ốp 30*60 mã LX3666 điểm A1(Hộp= 1.44m2)</t>
  </si>
  <si>
    <t>LP18.103 A(1h=3v=1.92m2)</t>
  </si>
  <si>
    <t>Gạch 80*80 HH mã LP18.103 hàng A(1h=3v=1.92m2)</t>
  </si>
  <si>
    <t>LX3623 - Viên (Đậm)</t>
  </si>
  <si>
    <t>2000139165012</t>
  </si>
  <si>
    <t>Ốp LX3623 A1 - Viên</t>
  </si>
  <si>
    <t>LX3658  (Viên)</t>
  </si>
  <si>
    <t>2000214247800</t>
  </si>
  <si>
    <t>Ốp hoàng hà 30*60 mã LX3658( Viên )</t>
  </si>
  <si>
    <t>LX3662 (viên)</t>
  </si>
  <si>
    <t>2000214247886</t>
  </si>
  <si>
    <t>Ốp hoàng hà 30*60 mã LX3662 (viên)</t>
  </si>
  <si>
    <t>Điểm 3606 D</t>
  </si>
  <si>
    <t>2000110032708</t>
  </si>
  <si>
    <t>Điểm LX3606 D ( 1 hộp = 8 viên)</t>
  </si>
  <si>
    <t>LX3628 A</t>
  </si>
  <si>
    <t>2000183310086</t>
  </si>
  <si>
    <t>Ốp LX3628 A ( 1 hộp = 8 viên =1.44m2)</t>
  </si>
  <si>
    <t>LX5516 A1 - Viên</t>
  </si>
  <si>
    <t>2000196527389</t>
  </si>
  <si>
    <t>Gạch sân vườn LX5516 A1 - Viên</t>
  </si>
  <si>
    <t>2000214255065</t>
  </si>
  <si>
    <t>LX3619 - Viên ( Đậm)</t>
  </si>
  <si>
    <t>2000139164596</t>
  </si>
  <si>
    <t>Ốp LX3619 - Viên</t>
  </si>
  <si>
    <t>Điểm LX3612 - Viên</t>
  </si>
  <si>
    <t>2000109878263</t>
  </si>
  <si>
    <t>LP18.101 A2 (Hộp)</t>
  </si>
  <si>
    <t>Gạch 80*80 HH mã LP18.101 A2 (Hộp)</t>
  </si>
  <si>
    <t>LX8010 A1 - Viên</t>
  </si>
  <si>
    <t>2000196465865</t>
  </si>
  <si>
    <t>Gạch lát LX8010 A1 - Viên</t>
  </si>
  <si>
    <t>LP18.104 A2(1h=1.92m2)</t>
  </si>
  <si>
    <t>Gạch 80 HH mã LP18.104 A2(1h=1.92m2)</t>
  </si>
  <si>
    <t>LX3621A1 - V</t>
  </si>
  <si>
    <t>2000139665840</t>
  </si>
  <si>
    <t>LX3621(A1) - đậm viên</t>
  </si>
  <si>
    <t>LX8009 A2  - 2022</t>
  </si>
  <si>
    <t>Lát LX8009 A2 ( 1 hộp = 1.92m2)</t>
  </si>
  <si>
    <t>GẠCH SÂN VƯỜN LX5522 (VIÊN)</t>
  </si>
  <si>
    <t>2000202202248</t>
  </si>
  <si>
    <t>LX3663 (viên)</t>
  </si>
  <si>
    <t>2000214247909</t>
  </si>
  <si>
    <t>Ốp hoàng hà 30*60 mã LX3663 (viên)</t>
  </si>
  <si>
    <t>LX3617 - V</t>
  </si>
  <si>
    <t>2000139665116</t>
  </si>
  <si>
    <t>LX3617 - viên</t>
  </si>
  <si>
    <t>LK301 A1(1h=16v=1.44m2)</t>
  </si>
  <si>
    <t>Gạch 30 HH mã LK301 A1(1h=16v=1.44m2)</t>
  </si>
  <si>
    <t>LXM3670-Men mát Nhạt A1(1h=8v=1.44m2)</t>
  </si>
  <si>
    <t>Gạch HH 30*60 Ceramic mã LXM3670-Men mát Nhạt A1(1h=8v=1.44m2)</t>
  </si>
  <si>
    <t>LV3600  a2</t>
  </si>
  <si>
    <t>Gạch 30*60 hh mã LV3600 a2</t>
  </si>
  <si>
    <t>LXC6118 A2(1h=4v=1.44m2)</t>
  </si>
  <si>
    <t>Gạch 60 HH mã LXC6118 A2(1h=4v=1.44m2)</t>
  </si>
  <si>
    <t>LV3658 A1 - Viên</t>
  </si>
  <si>
    <t>2000200196532</t>
  </si>
  <si>
    <t>Ốp LV3658 A1 - Viên</t>
  </si>
  <si>
    <t>LX6602 A2-2022</t>
  </si>
  <si>
    <t>2000199808881</t>
  </si>
  <si>
    <t>Gạch lát LX6602 A2 ( 1 hộp = 1.44m2)</t>
  </si>
  <si>
    <t>LX3627(A1) - viên</t>
  </si>
  <si>
    <t>2000158600723</t>
  </si>
  <si>
    <t>LX3627 - Viên</t>
  </si>
  <si>
    <t>LX36805 A1 - VIÊN</t>
  </si>
  <si>
    <t>2000202044039</t>
  </si>
  <si>
    <t>Điểm LX36805 A1 - VIÊN</t>
  </si>
  <si>
    <t>LXC5802 (Viên )</t>
  </si>
  <si>
    <t>2000214253566</t>
  </si>
  <si>
    <t>Gạch 50 HH mã LXC5802 (Viên )</t>
  </si>
  <si>
    <t>Điểm LX4866 A1 - Viên</t>
  </si>
  <si>
    <t>2000164282739</t>
  </si>
  <si>
    <t>LP96101 A1 - VIÊN</t>
  </si>
  <si>
    <t>2000214251753</t>
  </si>
  <si>
    <t>Gạch 60*60 HH mã ECO LP96101 A1 - VIÊN</t>
  </si>
  <si>
    <t>LX6610 A1 - Viên</t>
  </si>
  <si>
    <t>2000199808973</t>
  </si>
  <si>
    <t>Gạch lát LX6610 A1 - Viên</t>
  </si>
  <si>
    <t>LX4862D - Viên (A1)</t>
  </si>
  <si>
    <t>2000176449151</t>
  </si>
  <si>
    <t>Ốp điểm  LX4862 - Viên (A1)</t>
  </si>
  <si>
    <t>LP18.101 A1(viên)</t>
  </si>
  <si>
    <t>2000214251395</t>
  </si>
  <si>
    <t>Gạch 80 HH mã LP18.101 A1(viên)</t>
  </si>
  <si>
    <t>LH46005 A1(1h=6v=1.44m2)</t>
  </si>
  <si>
    <t>Gạch 40*60 HH mã LH46005 A1(1h=6v=1.44m2)</t>
  </si>
  <si>
    <t>GACH LX8014 A1 ( VIÊN)</t>
  </si>
  <si>
    <t>2000202211233</t>
  </si>
  <si>
    <t>LXC6114 A1 - VIÊN</t>
  </si>
  <si>
    <t>2000214251524</t>
  </si>
  <si>
    <t>Gạch lát HH 60*60 LXC6114 A1 - VIÊN</t>
  </si>
  <si>
    <t>LX3802 A2</t>
  </si>
  <si>
    <t>2000125603047</t>
  </si>
  <si>
    <t>chống trơn LX3802 A</t>
  </si>
  <si>
    <t>LX3618 - Viên ( nhạt)</t>
  </si>
  <si>
    <t>2000139164428</t>
  </si>
  <si>
    <t>Ốp LX3618 - Viên</t>
  </si>
  <si>
    <t>Điểm LX36805 (A1)</t>
  </si>
  <si>
    <t>Điểm LX36805 (A1) - 1h = 8 viên</t>
  </si>
  <si>
    <t>LX3626(A1)- viên</t>
  </si>
  <si>
    <t>2000158600662</t>
  </si>
  <si>
    <t>LX3626 - Viên</t>
  </si>
  <si>
    <t>LX4862D A1</t>
  </si>
  <si>
    <t>2000163070733</t>
  </si>
  <si>
    <t>Ốp điểm LX4862D A1 ( 1 hộp = 4 viên)</t>
  </si>
  <si>
    <t>LX3633 (A )-2022</t>
  </si>
  <si>
    <t>2000198427625</t>
  </si>
  <si>
    <t>Ốp LX3633 A ( 1 hộp = 8 viên = 1.44m2)</t>
  </si>
  <si>
    <t>LXP3606 D A1- Viên</t>
  </si>
  <si>
    <t>2000200909866</t>
  </si>
  <si>
    <t>Điểm bán sứ LXP3606 A1 - Viên</t>
  </si>
  <si>
    <t>LX302 (B)</t>
  </si>
  <si>
    <t>2000125179689</t>
  </si>
  <si>
    <t>Chống trơn LX302 (B)</t>
  </si>
  <si>
    <t>LX36601 a1(viên)</t>
  </si>
  <si>
    <t>2000214251388</t>
  </si>
  <si>
    <t>Gạch 30*60 HH mã khói trắng LX36601 a1(viên)</t>
  </si>
  <si>
    <t>LX36000 A1 - Viên</t>
  </si>
  <si>
    <t>2000121560740</t>
  </si>
  <si>
    <t>LXC6112 A1 - VIÊN</t>
  </si>
  <si>
    <t>2000214251531</t>
  </si>
  <si>
    <t>Gạch lát HH 60*60 LXC6112 A1 - VIÊN</t>
  </si>
  <si>
    <t>Gạch LX6614 A1 ( VIÊN)</t>
  </si>
  <si>
    <t>2000202211196</t>
  </si>
  <si>
    <t>LP948.150 khói trắng A1(1h=5v=1.6m2)</t>
  </si>
  <si>
    <t>Gạch ốp 40*80 porcelain mã LP948.150 khói trắng A1(1h=5v=1.6m2)</t>
  </si>
  <si>
    <t>LP948.154 A1(1h=5v=1.6m2)</t>
  </si>
  <si>
    <t>Gạch ốp 40*80 porcelain mã LP948.154 A1(1h=5v=1.6m2)</t>
  </si>
  <si>
    <t>LP948.156 A1(1h=5v=1.6m2)</t>
  </si>
  <si>
    <t>Gạch ốp 40*80 porcelain mã LP948.156 A1(1h=5v=1.6m2)</t>
  </si>
  <si>
    <t>LX5525 A1 - VIÊN</t>
  </si>
  <si>
    <t>2000214252248</t>
  </si>
  <si>
    <t>Gạch 50*50 HH mã LX5525 A1 - VIÊN</t>
  </si>
  <si>
    <t>LX3632 A</t>
  </si>
  <si>
    <t>2000183310253</t>
  </si>
  <si>
    <t>Ốp LX3632 A ( 1 hộp =16 viên = 1.44m2)</t>
  </si>
  <si>
    <t>LX8001A1 - Viên</t>
  </si>
  <si>
    <t>2000141838065</t>
  </si>
  <si>
    <t>Lát LX8001 A1 - Viên</t>
  </si>
  <si>
    <t>LX6621 A1  - VIÊN</t>
  </si>
  <si>
    <t>2000214251456</t>
  </si>
  <si>
    <t>Gạch 60 HH Mã LX6621 A1 - VIÊN</t>
  </si>
  <si>
    <t>LXC6110 A1 - VIÊN</t>
  </si>
  <si>
    <t>2000214251517</t>
  </si>
  <si>
    <t>Gạch lát HH 60*60 LXC6110 A1 - VIÊN</t>
  </si>
  <si>
    <t>LX6007 - Viên (A1)- 2020</t>
  </si>
  <si>
    <t>2000124091876</t>
  </si>
  <si>
    <t>LX6007 A1 ( vân vàng) - Viên</t>
  </si>
  <si>
    <t>LX5524 A2(1h=6v=1.5m2)</t>
  </si>
  <si>
    <t>2000214252873</t>
  </si>
  <si>
    <t>Gạch 50 HH mã LX5524 A2(1h=6v=1.5m2)</t>
  </si>
  <si>
    <t>Ốp bán sứ LXP3602 A1 ( viên)</t>
  </si>
  <si>
    <t>2000200909217</t>
  </si>
  <si>
    <t>Gạch ốp bán sứ LXP3602 A1 ( viên)</t>
  </si>
  <si>
    <t>LX36805(a1)-viên</t>
  </si>
  <si>
    <t>2000138631525</t>
  </si>
  <si>
    <t>LX36805(A1)-viên</t>
  </si>
  <si>
    <t>LX5518 A1 - Viên</t>
  </si>
  <si>
    <t>2000198105042</t>
  </si>
  <si>
    <t>Sân vườn LX5518 A1 - Viên</t>
  </si>
  <si>
    <t>GẠCH SÂN VƯỜN LX5521(VIÊN)</t>
  </si>
  <si>
    <t>2000202202231</t>
  </si>
  <si>
    <t>LX3668 điểm A1(Hộp= 1.44m2)</t>
  </si>
  <si>
    <t>Gạch Hoàng Hà ốp 30*60 mã LX3668 điểm A1(Hộp= 1.44m2)</t>
  </si>
  <si>
    <t>LX6618 A1 - VIÊN</t>
  </si>
  <si>
    <t>2000214251449</t>
  </si>
  <si>
    <t>Gạch 60 HH mã LX6618 A1 - VIÊN</t>
  </si>
  <si>
    <t>LX8005 A1 - Viên</t>
  </si>
  <si>
    <t>2000141837754</t>
  </si>
  <si>
    <t>Lát LX8005 A1 - Viên</t>
  </si>
  <si>
    <t>LV3651 A1- Viên</t>
  </si>
  <si>
    <t>2000120325975</t>
  </si>
  <si>
    <t>Ốp LV3651 A1 - Viên</t>
  </si>
  <si>
    <t>LXP3603 A1 - VIÊN</t>
  </si>
  <si>
    <t>2000202075934</t>
  </si>
  <si>
    <t>Ốp LXP3603 A1 - VIÊN</t>
  </si>
  <si>
    <t>Điểm LX3626D</t>
  </si>
  <si>
    <t>2000155884201</t>
  </si>
  <si>
    <t>Điểm LX3626D ( 1 hộp = 8 viên)</t>
  </si>
  <si>
    <t>LXP3606D A1</t>
  </si>
  <si>
    <t>Điểm bán sứ LXP3606D A1 ( 1 hộp = 8 viên)</t>
  </si>
  <si>
    <t>Điểm LX3612</t>
  </si>
  <si>
    <t>2000109878225</t>
  </si>
  <si>
    <t>Điểm LX3612-D ( 1 hộp = 8 viên)</t>
  </si>
  <si>
    <t>LX3614 (A3)</t>
  </si>
  <si>
    <t>2000132934493</t>
  </si>
  <si>
    <t>Điểm LX3614 B</t>
  </si>
  <si>
    <t>Điểm bán sứ  LXP3602 A1 (1h=8 viên)</t>
  </si>
  <si>
    <t>Gạch ốp bán sứ Điểm  LXP3602 A1 (1h=8 viên)</t>
  </si>
  <si>
    <t>LX4864D A1 - Viên</t>
  </si>
  <si>
    <t>2000163071426</t>
  </si>
  <si>
    <t>ốp điểm LX4864D A1 - Viên</t>
  </si>
  <si>
    <t>LX8012 A1 - Viên - 2021</t>
  </si>
  <si>
    <t>2000198431301</t>
  </si>
  <si>
    <t>Lát LX8012 A1 - Viên</t>
  </si>
  <si>
    <t>LXP3607 A1 - Viên</t>
  </si>
  <si>
    <t>2000200909828</t>
  </si>
  <si>
    <t>Ốp bán sứ LXP3607 A1- Viên ( đậm)</t>
  </si>
  <si>
    <t>Chống trơn 327(A1) - Viên</t>
  </si>
  <si>
    <t>2000158601416</t>
  </si>
  <si>
    <t>LX327 - Viên</t>
  </si>
  <si>
    <t>LX6023 A1 - Viên</t>
  </si>
  <si>
    <t>2000199754973</t>
  </si>
  <si>
    <t>Gạch lát LX6023 A1 - Viên</t>
  </si>
  <si>
    <t>LX3668 điểm A1 - VIÊN</t>
  </si>
  <si>
    <t>2000214252866</t>
  </si>
  <si>
    <t>Gạch Hoàng Hà ốp 30*60 mã LX3668 điểm A1 - VIÊN</t>
  </si>
  <si>
    <t>LP18.102 A1 - VIÊN</t>
  </si>
  <si>
    <t>2000214251463</t>
  </si>
  <si>
    <t>Gạch lát KT80*80 LP18.102 A1 - VIÊN</t>
  </si>
  <si>
    <t>LP936.132 điểm A1- VIÊN</t>
  </si>
  <si>
    <t>2000214253276</t>
  </si>
  <si>
    <t>Gạch 30*60 ECO HH mã LP936.132 điểm A1- VIÊN</t>
  </si>
  <si>
    <t>LX3666 điểm (viên)</t>
  </si>
  <si>
    <t>2000214252897</t>
  </si>
  <si>
    <t>Gạch 30*60 HH mã LX3666 điểm (viên)</t>
  </si>
  <si>
    <t>LP96102 A1 - VIÊN</t>
  </si>
  <si>
    <t>2000214251760</t>
  </si>
  <si>
    <t>Gạch 60*60 HH mã ECO LP96102 A1 - VIÊN</t>
  </si>
  <si>
    <t>LX3602 - Viên</t>
  </si>
  <si>
    <t>2000128717147</t>
  </si>
  <si>
    <t>Gạch trang trí LX3602 - Viên</t>
  </si>
  <si>
    <t>LX4860D A1</t>
  </si>
  <si>
    <t>Ốp điểm  LX4860D A1 (1 hộp =4v=1.28m2)</t>
  </si>
  <si>
    <t>LP948.155 A1(1h=5v=1.6m2)</t>
  </si>
  <si>
    <t>LP948.157 A1(1h=5v=1.6m2)</t>
  </si>
  <si>
    <t>Gạch ốp 40*80 porcelain mã LP948.157 A1(1h=5v=1.6m2)</t>
  </si>
  <si>
    <t>LXB315 -2021</t>
  </si>
  <si>
    <t>2000179338964</t>
  </si>
  <si>
    <t>Chống trơn LX315 (1 hộp=16 viên =1.44m2)</t>
  </si>
  <si>
    <t>LXK 46050 - VIÊN</t>
  </si>
  <si>
    <t>2000214249842</t>
  </si>
  <si>
    <t>Sân vườn 40*60 LXK 46050 - VIÊN</t>
  </si>
  <si>
    <t>LX33205 A1 - Viên</t>
  </si>
  <si>
    <t>2000198835796</t>
  </si>
  <si>
    <t>chống trơn LX33205 A1 - Viên</t>
  </si>
  <si>
    <t>LXK 46051 A1- VIÊN</t>
  </si>
  <si>
    <t>2000214250381</t>
  </si>
  <si>
    <t>Gạch Hoàng Hà 40*60 SV mã LXK 46051 A1- VIÊN</t>
  </si>
  <si>
    <t>LXP3606 A1 Viên</t>
  </si>
  <si>
    <t>2000200909804</t>
  </si>
  <si>
    <t>Ốp bán sứ LXP3606 A1 Viên - (Nhạt )</t>
  </si>
  <si>
    <t>LX4866D</t>
  </si>
  <si>
    <t>2000164279524</t>
  </si>
  <si>
    <t>Điểm LX4866D A1 ( 1 hộp =4 viên)</t>
  </si>
  <si>
    <t>LXK46054 A1(viên)</t>
  </si>
  <si>
    <t>2000214249958</t>
  </si>
  <si>
    <t>Gạch HH 40-60 mã LXK46054 A1(viên)</t>
  </si>
  <si>
    <t>LX8021 A1 - VIÊN</t>
  </si>
  <si>
    <t>2000214251425</t>
  </si>
  <si>
    <t>Gạch lát KT80*80 LX8021 A1 - VIÊN</t>
  </si>
  <si>
    <t>LX8018 A1 - VIÊN</t>
  </si>
  <si>
    <t>2000214251418</t>
  </si>
  <si>
    <t>Gạch KT 80*80 LX8018 A1 - VIÊN</t>
  </si>
  <si>
    <t>LX5519 A1 - Viên - 2022</t>
  </si>
  <si>
    <t>2000199013094</t>
  </si>
  <si>
    <t>Sân vườn LX5519 A1 - Viên</t>
  </si>
  <si>
    <t>LXK 46052 a1- VIÊN</t>
  </si>
  <si>
    <t>2000214250398</t>
  </si>
  <si>
    <t>Gạch Hoàng hà 40*60 mã LXK 46052 a1- VIÊN</t>
  </si>
  <si>
    <t>LXC6105A1 - VIÊN</t>
  </si>
  <si>
    <t>2000214251548</t>
  </si>
  <si>
    <t>Gạch lát HH 60*60 LXC6105A1 - VIÊN</t>
  </si>
  <si>
    <t>LP96101 A2(viên)</t>
  </si>
  <si>
    <t>2000214251746</t>
  </si>
  <si>
    <t>Gạch 60 HH mã LP96101 A2(viên)</t>
  </si>
  <si>
    <t>LX 46002 A1(viên)</t>
  </si>
  <si>
    <t>2000214249798</t>
  </si>
  <si>
    <t>Gạch Hoàng Hà 40*60 SV mã LX 46002 A1(viên)</t>
  </si>
  <si>
    <t>LX6001 - Viên ( vân vàng)</t>
  </si>
  <si>
    <t>2000169869003</t>
  </si>
  <si>
    <t>Lát bán sứ LX6001 - Viên ( vân vàng)</t>
  </si>
  <si>
    <t>LP936.132 điểm A1(1h=8v=1.44m2)</t>
  </si>
  <si>
    <t>Gạch 30*60 ECO HH mã LP936.132 điểm A1(1h=8v=1.44m2)</t>
  </si>
  <si>
    <t>LP936.134 điểm A1(1h=8v=1.44m2)</t>
  </si>
  <si>
    <t>Gạch 30*60 ECO HH mã LP936.134 điểm A1(1h=8v=1.44m2)</t>
  </si>
  <si>
    <t>LX8014  HÀNG A ( VIÊN)</t>
  </si>
  <si>
    <t>2000201716517</t>
  </si>
  <si>
    <t>LX6617 A1 - VIÊN</t>
  </si>
  <si>
    <t>2000214251432</t>
  </si>
  <si>
    <t>Gạch 60 HH mã LX6617 A1 - VIÊN</t>
  </si>
  <si>
    <t>LX6602 A2 - Viên</t>
  </si>
  <si>
    <t>2000199998377</t>
  </si>
  <si>
    <t>Gạch lát LX6602 A2 - Viên</t>
  </si>
  <si>
    <t>LX8001 (A) - Viên</t>
  </si>
  <si>
    <t>2000199621701</t>
  </si>
  <si>
    <t>Gạch lát LX8001 (A) - Viên</t>
  </si>
  <si>
    <t>LX6007 A2</t>
  </si>
  <si>
    <t>2000123263823</t>
  </si>
  <si>
    <t>Gách lát LX6007 (A)</t>
  </si>
  <si>
    <t>LP96104 A1 - VIÊN</t>
  </si>
  <si>
    <t>2000214251784</t>
  </si>
  <si>
    <t>Gạch 60*60 HH mã ECO LP96104 A1 - VIÊN</t>
  </si>
  <si>
    <t>LXM3670-Men mát Điểm A1(1h=8v=1.44m2)</t>
  </si>
  <si>
    <t>Gạch HH 30*60 Ceramic mã LXM3670-Men mát Điểm A1(1h=8v=1.44m2)</t>
  </si>
  <si>
    <t>LXM3672-Men mát Điểm A1(1h=8v=1.44m2)</t>
  </si>
  <si>
    <t>Gạch HH 30*60 Ceramic mã LXM3672-Men mát Điểm A1(1h=8v=1.44m2)</t>
  </si>
  <si>
    <t>LX3604T A1- VIÊN</t>
  </si>
  <si>
    <t>2000214249576</t>
  </si>
  <si>
    <t>Gạch ốp 30*60 trang trí mã LX3604T A1- VIÊN</t>
  </si>
  <si>
    <t>LP936.132 A1- VIÊN</t>
  </si>
  <si>
    <t>2000214253245</t>
  </si>
  <si>
    <t>Gạch 30*60 ECO HH mã LP936.132 A1- VIÊN</t>
  </si>
  <si>
    <t>LX3669 đậm A1(viên)</t>
  </si>
  <si>
    <t>2000214253320</t>
  </si>
  <si>
    <t>Gạch 30*60 HH mã LX3669 đậm A1(viên)</t>
  </si>
  <si>
    <t>ECO LP96103 A1 - VIÊN</t>
  </si>
  <si>
    <t>2000214251777</t>
  </si>
  <si>
    <t>Gạch 60*60 HH mã ECO LP96103 A1 - VIÊN</t>
  </si>
  <si>
    <t>LX8004 A1 - Viên</t>
  </si>
  <si>
    <t>2000141837822</t>
  </si>
  <si>
    <t>Lát LX8004 A1 - Viên</t>
  </si>
  <si>
    <t>LX3639 A2</t>
  </si>
  <si>
    <t>2000200743705</t>
  </si>
  <si>
    <t>Ốp LX3639 A2 ( 1 hộp = 1.44m2)</t>
  </si>
  <si>
    <t>LX5527 A1 - VIÊN</t>
  </si>
  <si>
    <t>2000214252255</t>
  </si>
  <si>
    <t>Gạch 50*50 HH mã LX5527 A1 - VIÊN</t>
  </si>
  <si>
    <t>LX3668 nhạt A1(viên)</t>
  </si>
  <si>
    <t>2000214253313</t>
  </si>
  <si>
    <t>Gạch 30*60 HH mã LX3668 nhạt A1(viên)</t>
  </si>
  <si>
    <t>LX327 B ( 1 hộp = 16 viên)</t>
  </si>
  <si>
    <t>2000157358489</t>
  </si>
  <si>
    <t>Chống trơn LX327 B ( 1 hộp = 16 viên)</t>
  </si>
  <si>
    <t>ốp LV3650 - Viên</t>
  </si>
  <si>
    <t>2000173971075</t>
  </si>
  <si>
    <t>LXP303 A3 (1h=1.44m2)</t>
  </si>
  <si>
    <t>2000201417247</t>
  </si>
  <si>
    <t>Gạch chống trơn LXP303 A3 (1h=1.44m2)</t>
  </si>
  <si>
    <t>2000214250770</t>
  </si>
  <si>
    <t>LP936.133 A1 - VIÊN</t>
  </si>
  <si>
    <t>2000214253252</t>
  </si>
  <si>
    <t>Gạch 30*60 ECO HH mã LP936.133 A1 - VIÊN</t>
  </si>
  <si>
    <t>LX5520 A1 - Viên</t>
  </si>
  <si>
    <t>2000199013179</t>
  </si>
  <si>
    <t>Sân vườn LX5520 A1 - Viên</t>
  </si>
  <si>
    <t>LX6007 A1 - Viên -2021</t>
  </si>
  <si>
    <t>2000177018523</t>
  </si>
  <si>
    <t>Gạch bán sứ LX6007 A1 mới (vân trắng) - Viên</t>
  </si>
  <si>
    <t>sân vườn lx6905 A1-viên</t>
  </si>
  <si>
    <t>2000200999058</t>
  </si>
  <si>
    <t>LP948.150 Điểm A1(1h=5v=1.6m2)</t>
  </si>
  <si>
    <t>Gạch ốp 40*80 porcelain mã LP948.150 Điểm A1(1h=5v=1.6m2)</t>
  </si>
  <si>
    <t>LX3606 ( A3)</t>
  </si>
  <si>
    <t>2000135500701</t>
  </si>
  <si>
    <t>Điểm LX3606 (B)</t>
  </si>
  <si>
    <t>LV3600 A1 - Viên</t>
  </si>
  <si>
    <t>2000200578239</t>
  </si>
  <si>
    <t>Ốp LV3600 A1 - Viên</t>
  </si>
  <si>
    <t>LP948.154 Điểm A1(1h=5v=1.6m2)</t>
  </si>
  <si>
    <t>Gạch ốp 40*80 porcelain mã LP948.154 Điểm A1(1h=5v=1.6m2)</t>
  </si>
  <si>
    <t>P948.156 Điểm A1(1h=5v=1.6m2)</t>
  </si>
  <si>
    <t>Gạch ốp 40*80 porcelain mã LP948.156 Điểm A1(1h=5v=1.6m2)</t>
  </si>
  <si>
    <t>LP18.103 A1 - VIÊN</t>
  </si>
  <si>
    <t>2000214252477</t>
  </si>
  <si>
    <t>Gạch lát KT80*80 LP18.103 A1 - VIÊN</t>
  </si>
  <si>
    <t>LP18.102 a2(viên)</t>
  </si>
  <si>
    <t>2000214253443</t>
  </si>
  <si>
    <t>Gạch 80 HH mã LP18.102 a2(viên)</t>
  </si>
  <si>
    <t>LX4865 A1 - Viên</t>
  </si>
  <si>
    <t>2000163071471</t>
  </si>
  <si>
    <t>Ốp LX4865 A1 - Viên</t>
  </si>
  <si>
    <t>LX4864 A1 - Viên</t>
  </si>
  <si>
    <t>2000163071068</t>
  </si>
  <si>
    <t>Ốp LX4864 A1 - Viên</t>
  </si>
  <si>
    <t>LX3633 ( A) - Viên</t>
  </si>
  <si>
    <t>2000198427632</t>
  </si>
  <si>
    <t>Ốp LX3633 ( A) - Viên</t>
  </si>
  <si>
    <t>LX5524 A1 - VIÊN</t>
  </si>
  <si>
    <t>2000214252231</t>
  </si>
  <si>
    <t>Gạch HH 50*50 mã LX5524 A1 - VIÊN</t>
  </si>
  <si>
    <t>LX4860D A1 - Viên</t>
  </si>
  <si>
    <t>2000161838069</t>
  </si>
  <si>
    <t>ốp điểm 40x80 LX4860D A1 - Viên</t>
  </si>
  <si>
    <t>LP 18.104 A1 - VIÊN</t>
  </si>
  <si>
    <t>2000214252859</t>
  </si>
  <si>
    <t>Gạch HH 80*80 mã LP 18.104 A1 - VIÊN</t>
  </si>
  <si>
    <t>LX3628 B</t>
  </si>
  <si>
    <t>2000183310109</t>
  </si>
  <si>
    <t>Ốp LX3628 B ( 1 hộp = 1.44m2 = 8 viên)</t>
  </si>
  <si>
    <t>LP96103 a2(1h=1.44m2)</t>
  </si>
  <si>
    <t>Gạch 60 HH mã LP96103 a2(1h=1.44m2)</t>
  </si>
  <si>
    <t>LX8010 (A)</t>
  </si>
  <si>
    <t>2000197780813</t>
  </si>
  <si>
    <t>Gạch lát LX8010 (A) - 1 hộp = 1.92m2</t>
  </si>
  <si>
    <t>LX 46001 A1(viên)</t>
  </si>
  <si>
    <t>2000214249743</t>
  </si>
  <si>
    <t>Gạch Hoàng Hà 40*60 SV mã LX 46001 A1(viên)</t>
  </si>
  <si>
    <t>LXM3672-Men mát Điểm A1 - VIÊN</t>
  </si>
  <si>
    <t>2000214253894</t>
  </si>
  <si>
    <t>LX5515 A1(VIÊN)</t>
  </si>
  <si>
    <t>2000200728207</t>
  </si>
  <si>
    <t>Sân vườn LX5515 A1( VIÊN)</t>
  </si>
  <si>
    <t>LX8008 A1(viên)</t>
  </si>
  <si>
    <t>2000214250657</t>
  </si>
  <si>
    <t>Gạch 80*80 mã LX8008 A1(viên)</t>
  </si>
  <si>
    <t>LX4862 A1 - Viên</t>
  </si>
  <si>
    <t>2000163070702</t>
  </si>
  <si>
    <t>ốp LX4862 A1 - Viên</t>
  </si>
  <si>
    <t>LX3603T A1(viên)</t>
  </si>
  <si>
    <t>2000214249118</t>
  </si>
  <si>
    <t>Gạch trang trí 30*60 mã LX3603T A1(viên)</t>
  </si>
  <si>
    <t>LX367 A1 - VIÊN</t>
  </si>
  <si>
    <t>2000214254365</t>
  </si>
  <si>
    <t>Gạch 30 hoàng hà mã LX367 A1 - VIÊN</t>
  </si>
  <si>
    <t>LP936.134 A1- VIÊN</t>
  </si>
  <si>
    <t>2000214253221</t>
  </si>
  <si>
    <t>Gạch 30*60 ECO HH mã LP936.134 A1- VIÊN</t>
  </si>
  <si>
    <t>LX8016 HÀNG A (VIÊN)</t>
  </si>
  <si>
    <t>2000201710201</t>
  </si>
  <si>
    <t>Lp18.103 hàng A(viên)</t>
  </si>
  <si>
    <t>2000214253962</t>
  </si>
  <si>
    <t>Gạch 80 hoàng hà mã Lp18.103 hàng A(viên)</t>
  </si>
  <si>
    <t>LXP3601 A1 - VIÊN</t>
  </si>
  <si>
    <t>2000214251135</t>
  </si>
  <si>
    <t>Gạch 30*60 Hoàng hà LXP3601 A1 - VIÊN</t>
  </si>
  <si>
    <t>LX3666-nhạt(viên)</t>
  </si>
  <si>
    <t>2000214252903</t>
  </si>
  <si>
    <t>Gạch HH mã LX3666-nhạt(viên)</t>
  </si>
  <si>
    <t>Gạch chống trơn LXB315</t>
  </si>
  <si>
    <t>2000179349342</t>
  </si>
  <si>
    <t>Gạch chống trơn 315 ( 1 hộp = 16 viên  = 1.44m2)</t>
  </si>
  <si>
    <t>LX3602T (A1) - VIÊN</t>
  </si>
  <si>
    <t>2000214249163</t>
  </si>
  <si>
    <t>Gạch trang trí 30*60 - LX3602T (A1) - VIÊN</t>
  </si>
  <si>
    <t>LX3667 đậm(viên)</t>
  </si>
  <si>
    <t>2000214252989</t>
  </si>
  <si>
    <t>Gạch HH 30*60 mã LX3667 đậm(viên)</t>
  </si>
  <si>
    <t>LP96102 a2(viên)</t>
  </si>
  <si>
    <t>2000214253658</t>
  </si>
  <si>
    <t>Gạch 60 bs HH mã LP96102 a2(viên)</t>
  </si>
  <si>
    <t>LV4850 A1- VIÊN</t>
  </si>
  <si>
    <t>2000214250640</t>
  </si>
  <si>
    <t>Gạch ốp 40*80 mã LV4850 A1- VIÊN</t>
  </si>
  <si>
    <t>LX3601 (A) - Viên</t>
  </si>
  <si>
    <t>2000134164928</t>
  </si>
  <si>
    <t>Gạch trang trí LX3601 (A) - Viên</t>
  </si>
  <si>
    <t>LX302 B( 1 hộp =16 viên=1.44m2)</t>
  </si>
  <si>
    <t>2000150916600</t>
  </si>
  <si>
    <t>Chống trơn LX302 B( 1 hộp =16 viên=1.44m2)</t>
  </si>
  <si>
    <t>LX8017 A1 - VIÊN</t>
  </si>
  <si>
    <t>2000214251401</t>
  </si>
  <si>
    <t>Gạch HH 80 mã LX8017 A1 - VIÊN</t>
  </si>
  <si>
    <t>LX6003 - Viên (A1)</t>
  </si>
  <si>
    <t>2000122492873</t>
  </si>
  <si>
    <t>Lát LX6003 - Viên</t>
  </si>
  <si>
    <t>LX4866 A1 - Viên</t>
  </si>
  <si>
    <t>2000164269808</t>
  </si>
  <si>
    <t>Ốp LX4866 A1 - Viên ( nhạt)</t>
  </si>
  <si>
    <t>LXC6117 (viên)</t>
  </si>
  <si>
    <t>2000214254525</t>
  </si>
  <si>
    <t>Gạch 60 HH ceramic mã LXC6117 (viên)</t>
  </si>
  <si>
    <t>LXM3673-Men mát Đậm A1 - VIÊN</t>
  </si>
  <si>
    <t>2000214254044</t>
  </si>
  <si>
    <t>Gạch HH 30*60 Ceramic mã LXM3673 Đậm A1 - VIÊN</t>
  </si>
  <si>
    <t>LXC6118 A1 - VIÊN</t>
  </si>
  <si>
    <t>2000214254518</t>
  </si>
  <si>
    <t>Gạch 60 HH mã LXC6118 A1 - VIÊN</t>
  </si>
  <si>
    <t>LX6902 (A1) - Viên</t>
  </si>
  <si>
    <t>2000201275632</t>
  </si>
  <si>
    <t>Gạch sân vườn LX6902 (A1) - Viên</t>
  </si>
  <si>
    <t>6014 - Viên (A1)</t>
  </si>
  <si>
    <t>2000126137046</t>
  </si>
  <si>
    <t>Lát 6014 - Viên (A1)</t>
  </si>
  <si>
    <t>LX4867 A1 - Viên</t>
  </si>
  <si>
    <t>2000164276134</t>
  </si>
  <si>
    <t>Ốp LX4867 A1 - Viên ( đậm)</t>
  </si>
  <si>
    <t>LP936.135 A1 - VIÊN</t>
  </si>
  <si>
    <t>2000214253214</t>
  </si>
  <si>
    <t>Gạch 30*60 ECO HH mã LP936.135 A1 - VIÊN</t>
  </si>
  <si>
    <t>LX6903 A1 - Viên - 2022</t>
  </si>
  <si>
    <t>2000200485544</t>
  </si>
  <si>
    <t>Gạch sân vườn LX6903 A1 - Viên</t>
  </si>
  <si>
    <t>LP936.134 điểm A1 - VIÊN</t>
  </si>
  <si>
    <t>2000214253238</t>
  </si>
  <si>
    <t>Gạch 30*60 ECO HH mã LP936.134 điểm A1 - VIÊN</t>
  </si>
  <si>
    <t>LX4861 A1( đậm)- Viên</t>
  </si>
  <si>
    <t>2000161839127</t>
  </si>
  <si>
    <t>ốp LX4861 A1( đậm)- Viên</t>
  </si>
  <si>
    <t>LP18.101 a2 (viên)</t>
  </si>
  <si>
    <t>2000214253610</t>
  </si>
  <si>
    <t>Gạch 80*80 HH mã LP18.101 a2 (viên)</t>
  </si>
  <si>
    <t>LK301(viên)</t>
  </si>
  <si>
    <t>2000214254907</t>
  </si>
  <si>
    <t>Gạch 30 HH mã LK301(viên)</t>
  </si>
  <si>
    <t>LX3616 (B)</t>
  </si>
  <si>
    <t>2000171224449</t>
  </si>
  <si>
    <t>Điểm LX3616 (B)</t>
  </si>
  <si>
    <t>LX8010 (A) - Viên - 2022</t>
  </si>
  <si>
    <t>2000197781216</t>
  </si>
  <si>
    <t>Gạch lát LX8010 (A) - Viên</t>
  </si>
  <si>
    <t>LX4851 A2 - Viên</t>
  </si>
  <si>
    <t>2000200911395</t>
  </si>
  <si>
    <t>ốp LX4851 A2 - Viên</t>
  </si>
  <si>
    <t>LX4860 A1 - Viên</t>
  </si>
  <si>
    <t>2000161835440</t>
  </si>
  <si>
    <t>Ốp 40x80 LX4860 A1 - Viên</t>
  </si>
  <si>
    <t>LX4863 A1 - Viên</t>
  </si>
  <si>
    <t>2000163071020</t>
  </si>
  <si>
    <t>Ốp LX4863 A1 - Viên</t>
  </si>
  <si>
    <t>2000214253498</t>
  </si>
  <si>
    <t>LH46004 A1 - VIÊN</t>
  </si>
  <si>
    <t>2000214255249</t>
  </si>
  <si>
    <t>Gạch 40*60 HH mã LH46004 A1 - VIÊN</t>
  </si>
  <si>
    <t>Ốp LX3620(A) - Viên nhạt</t>
  </si>
  <si>
    <t>2000139667561</t>
  </si>
  <si>
    <t>LX3620(A) - V</t>
  </si>
  <si>
    <t>LX4861 B - Viên</t>
  </si>
  <si>
    <t>2000200254751</t>
  </si>
  <si>
    <t>Ốp LX4861 A3 - Viên</t>
  </si>
  <si>
    <t>LXM3672-Men mát Nhạt A1 - VIÊN</t>
  </si>
  <si>
    <t>2000214255041</t>
  </si>
  <si>
    <t>LX3618 A1 ( mã phụ ) - hủy )</t>
  </si>
  <si>
    <t>2000199427228</t>
  </si>
  <si>
    <t>Ốp LX3618 A1 ( 1 hộp = 1.44m2)</t>
  </si>
  <si>
    <t>LX6616 A2(viên)</t>
  </si>
  <si>
    <t>2000214250008</t>
  </si>
  <si>
    <t>gạch Hoàng hà 60*60 mã LX6616 A2(viên)</t>
  </si>
  <si>
    <t>LXC6115(viên)</t>
  </si>
  <si>
    <t>2000214255195</t>
  </si>
  <si>
    <t>Gạch 60 HH mã LXC6115(viên)</t>
  </si>
  <si>
    <t>LP18.104 A2 - VIÊN</t>
  </si>
  <si>
    <t>2000214255324</t>
  </si>
  <si>
    <t>Gạch 80 HH mã LP18.104 A2 - VIÊN</t>
  </si>
  <si>
    <t>LX3615 (A3)</t>
  </si>
  <si>
    <t>2000135499500</t>
  </si>
  <si>
    <t>Ốp LX3615 (B)</t>
  </si>
  <si>
    <t>LXP3601 A - VIÊN</t>
  </si>
  <si>
    <t>2000202110697</t>
  </si>
  <si>
    <t>Ốp LXP3601 A - VIÊN</t>
  </si>
  <si>
    <t>LXC6119 A1 - VIÊN</t>
  </si>
  <si>
    <t>2000214254945</t>
  </si>
  <si>
    <t>Gạch 60*60 HH mã LXC6119 A1 - VIÊN</t>
  </si>
  <si>
    <t>LXM3670-MM A1 - viên</t>
  </si>
  <si>
    <t>2000214255027</t>
  </si>
  <si>
    <t>LXM3670-Men mát Nhạt A1 - Viên</t>
  </si>
  <si>
    <t>LXM3671-Men mát Đậm A1 - VIÊN</t>
  </si>
  <si>
    <t>2000214255034</t>
  </si>
  <si>
    <t>LP96103 a2 - VIÊN</t>
  </si>
  <si>
    <t>2000214255164</t>
  </si>
  <si>
    <t>Gạch 60 HH mã LP96103 a2 - VIÊN</t>
  </si>
  <si>
    <t>LP948.150(viên)</t>
  </si>
  <si>
    <t>2000214255218</t>
  </si>
  <si>
    <t>Gạch 40*80 HH mã LP948.150(viên)</t>
  </si>
  <si>
    <t>LP948.150 điểm(viên)</t>
  </si>
  <si>
    <t>2000214255225</t>
  </si>
  <si>
    <t>Gạch 40*80 HH mã LP948.150 điểm(viên)</t>
  </si>
  <si>
    <t>2000214255362</t>
  </si>
  <si>
    <t>6-6022</t>
  </si>
  <si>
    <t>LX369</t>
  </si>
  <si>
    <t>LX3133</t>
  </si>
  <si>
    <t>HS5010 A1 (1h=4v)</t>
  </si>
  <si>
    <t>2000214255379</t>
  </si>
  <si>
    <t>Gạch 50x50HH - HS5010 A1 (1h=4v)</t>
  </si>
  <si>
    <t>LX369 A1</t>
  </si>
  <si>
    <t>2000214255386</t>
  </si>
  <si>
    <t>Chống trơn LX369 A1 ( 1 hộp =16 viên=1.44m2)</t>
  </si>
  <si>
    <t>LX3133 A1</t>
  </si>
  <si>
    <t>2000214255393</t>
  </si>
  <si>
    <t>Chống trơn LX3133 A1 (1h=16v=1.44m)</t>
  </si>
  <si>
    <t>LX365 A1</t>
  </si>
  <si>
    <t>2000214255409</t>
  </si>
  <si>
    <t>Chống trơn LX365 A1 ( 1 hộp =16 viên=1.44m2)</t>
  </si>
  <si>
    <t>LXC6116 Viên A1</t>
  </si>
  <si>
    <t>2000214255416</t>
  </si>
  <si>
    <t>Gạch 60 HH mã LXC6116 Viên A1</t>
  </si>
  <si>
    <t>2000214255447</t>
  </si>
  <si>
    <t>LP948.154 điểm(viên)</t>
  </si>
  <si>
    <t>2000214255454</t>
  </si>
  <si>
    <t>Gachj 40*80 HH mã LP948.154 điểm(viên)</t>
  </si>
  <si>
    <t>8-6010</t>
  </si>
  <si>
    <t>2000214255522</t>
  </si>
  <si>
    <t>LXC6114 A2(1h=4v=1.44m2)</t>
  </si>
  <si>
    <t>2000214255539</t>
  </si>
  <si>
    <t>Gạch 60 HH mã LXC6114 A2(1h=4v=1.44m2)</t>
  </si>
  <si>
    <t>HM5028(vien)</t>
  </si>
  <si>
    <t>2000214255553</t>
  </si>
  <si>
    <t>Gach 50 HH ma HM5028(vien)</t>
  </si>
  <si>
    <t>HM 5010 vien</t>
  </si>
  <si>
    <t>2000214255560</t>
  </si>
  <si>
    <t>Gach 50 HH ma Hs 5010 vien</t>
  </si>
  <si>
    <t>HM5028-MÁT</t>
  </si>
  <si>
    <t>LP936131 A1 - VIÊN</t>
  </si>
  <si>
    <t>2000214255584</t>
  </si>
  <si>
    <t>Gạch 30*60 BS HH mã LP936131 A1 - VIÊN</t>
  </si>
  <si>
    <t>LX8002  a2</t>
  </si>
  <si>
    <t>2000214255591</t>
  </si>
  <si>
    <t>LXC6110 A3</t>
  </si>
  <si>
    <t>2000214255676</t>
  </si>
  <si>
    <t>LXK3606T(1h=1.44m2)</t>
  </si>
  <si>
    <t>2000214255645</t>
  </si>
  <si>
    <t>Gạch trang trí 30*60 mã LXK3606T(1h=1.44m2)</t>
  </si>
  <si>
    <t>LXK3607T(1h=1.44m2)</t>
  </si>
  <si>
    <t>2000214255652</t>
  </si>
  <si>
    <t>Gạch trang trí 30*60 mã LXK3607T(1h=1.44m2)</t>
  </si>
  <si>
    <t>LXK3605T(1h=1.44m2)</t>
  </si>
  <si>
    <t>2000214255638</t>
  </si>
  <si>
    <t>Gạch trang trí 30*60 mã LXK3605T(1h=1.44m2)</t>
  </si>
  <si>
    <t>LXK3608T(1h=1.44m2)</t>
  </si>
  <si>
    <t>2000214255669</t>
  </si>
  <si>
    <t>Gạch trang trí 30*60 mã LXK3608T(1h=1.44m2)</t>
  </si>
  <si>
    <t>LP948.157 A1 - VIÊN</t>
  </si>
  <si>
    <t>2000214255621</t>
  </si>
  <si>
    <t>Gạch ốp 40*80 porcelain mã LP948.157 A1 - VIÊN</t>
  </si>
  <si>
    <t>LP948.156 điểm(viên)</t>
  </si>
  <si>
    <t>2000214255607</t>
  </si>
  <si>
    <t>Gạch 40*80 HH mã LP948.156 điểm(viên)</t>
  </si>
  <si>
    <t>LX369 A1 - VIÊN</t>
  </si>
  <si>
    <t>2000214255683</t>
  </si>
  <si>
    <t>Chống trơn LX369 A1 - VIÊN</t>
  </si>
  <si>
    <t>LP948.156 viên</t>
  </si>
  <si>
    <t>2000214255706</t>
  </si>
  <si>
    <t>Gạch 40*80 HH mã LP948.156 viên</t>
  </si>
  <si>
    <t>LXK3605T</t>
  </si>
  <si>
    <t>LXK3608T</t>
  </si>
  <si>
    <t>LXK3606T</t>
  </si>
  <si>
    <t>LXK3607T</t>
  </si>
  <si>
    <t>948.154 viên</t>
  </si>
  <si>
    <t>2000214255737</t>
  </si>
  <si>
    <t>Gạch 40*80 HH mã 948.154 viên</t>
  </si>
  <si>
    <t>LP948.155 VIÊN</t>
  </si>
  <si>
    <t>2000214255744</t>
  </si>
  <si>
    <t>Gạch 40*80 HH MÃ LP948.155 VIÊN</t>
  </si>
  <si>
    <t>LX8019 A1(1h=1.92m2)</t>
  </si>
  <si>
    <t>2000214255751</t>
  </si>
  <si>
    <t>Gạch 80 HH mã LX8019 A1(1h=1.92m2)</t>
  </si>
  <si>
    <t>LX8020 (1h=1.92m2)</t>
  </si>
  <si>
    <t>2000214255768</t>
  </si>
  <si>
    <t>Gạch 80 HH mã LX8020 (1h=1.92m2)</t>
  </si>
  <si>
    <t>LXK3605 T(viên)</t>
  </si>
  <si>
    <t>2000214255775</t>
  </si>
  <si>
    <t>Gạch 30*60 trang trí định hình HH mã LXK3605 T(viên)</t>
  </si>
  <si>
    <t>LXK3608 T(viên)</t>
  </si>
  <si>
    <t>2000214255782</t>
  </si>
  <si>
    <t>Gạch 30*60 trang trí định hình HH mã LXK3608 T(viên)</t>
  </si>
  <si>
    <t>LXK3606 T(viên)</t>
  </si>
  <si>
    <t>2000214255799</t>
  </si>
  <si>
    <t>Gạch 30*60 trang trí định hình HH mã LXK3606 T(viên)</t>
  </si>
  <si>
    <t>LXK3607 T(viên)</t>
  </si>
  <si>
    <t>2000214255805</t>
  </si>
  <si>
    <t>Gạch 30*60 trang trí định hình HH mã LXK3607 T(viên)</t>
  </si>
  <si>
    <t>2000214255812</t>
  </si>
  <si>
    <t>LXC6114 A2 - VIÊN</t>
  </si>
  <si>
    <t>2000214255843</t>
  </si>
  <si>
    <t>Gạch 60 HH mã LXC6114 A2 - VIÊN</t>
  </si>
  <si>
    <t>2000214255867</t>
  </si>
  <si>
    <t>LX8017 A2(1h=3v=1.92m2)</t>
  </si>
  <si>
    <t>2000214255874</t>
  </si>
  <si>
    <t>Gạch 80 HH mã LX8017 A2(1h=3v=1.92m2)</t>
  </si>
  <si>
    <t>lx3133(viên)</t>
  </si>
  <si>
    <t>2000214255881</t>
  </si>
  <si>
    <t>Gạch 30 HH mã lx3133(viên)</t>
  </si>
  <si>
    <t>HM5028 B(1h=1m2)</t>
  </si>
  <si>
    <t>Gạch 50 HM5028 B(1h=1m2)</t>
  </si>
  <si>
    <t>LX5527</t>
  </si>
  <si>
    <t>HG5013 B (1h=4v)</t>
  </si>
  <si>
    <t>Gạch 50 HH mã HG5013 B (1h=4v)</t>
  </si>
  <si>
    <t>2000214255942</t>
  </si>
  <si>
    <t>2000214255935</t>
  </si>
  <si>
    <t>LXC6117 A2(1h=1.44m2)</t>
  </si>
  <si>
    <t>2000214255911</t>
  </si>
  <si>
    <t>Gạch 60 HH mã LXC6117 A2(1h=1.44m2)</t>
  </si>
  <si>
    <t>2000214255966</t>
  </si>
  <si>
    <t>2000214255973</t>
  </si>
  <si>
    <t>2000214255959</t>
  </si>
  <si>
    <t>LX365(viên)</t>
  </si>
  <si>
    <t>2000214255928</t>
  </si>
  <si>
    <t>Gạch 30 HH mã LX365(viên)</t>
  </si>
  <si>
    <t>LX8017 a2</t>
  </si>
  <si>
    <t>LP96.16603 A1(1h=1.44m2)</t>
  </si>
  <si>
    <t>2000214255997</t>
  </si>
  <si>
    <t>Gạch 60 HH mã LP96.16603 A1(1h=1.44m2)</t>
  </si>
  <si>
    <t>2000214256017</t>
  </si>
  <si>
    <t>2000214256024</t>
  </si>
  <si>
    <t>Gạch ốp 40*80 porcelain mã LP948.155 A1(1h=5v=1.6m2) - đậm</t>
  </si>
  <si>
    <t>2000214256000</t>
  </si>
  <si>
    <t>FM3308</t>
  </si>
  <si>
    <t>FM3310</t>
  </si>
  <si>
    <t>60 sân vườn(35kg)</t>
  </si>
  <si>
    <t>2000214256062</t>
  </si>
  <si>
    <t>2000214256130</t>
  </si>
  <si>
    <t>2000214256079</t>
  </si>
  <si>
    <t>2000214256116</t>
  </si>
  <si>
    <t>2000214256109</t>
  </si>
  <si>
    <t>2000214256123</t>
  </si>
  <si>
    <t>2000214256086</t>
  </si>
  <si>
    <t>2000214256093</t>
  </si>
  <si>
    <t>HM5028- MÁT  B</t>
  </si>
  <si>
    <t>LXC6117 A2(viên)</t>
  </si>
  <si>
    <t>2000214256147</t>
  </si>
  <si>
    <t>Gạch 60 HH mã LXC6117 A2(viên)</t>
  </si>
  <si>
    <t>MN612.618 A1-bóng</t>
  </si>
  <si>
    <t>HM5028 men mát A1(4v/h)</t>
  </si>
  <si>
    <t>Gạch 50 HH mã HM5028 men mát A1-(4v/h)</t>
  </si>
  <si>
    <t>HS 5010 B(1h=1.5m2)</t>
  </si>
  <si>
    <t>Gạch 50 HH mã HS 5010 B(1h=1.5m2)</t>
  </si>
  <si>
    <t>HG5017 A1(1h=1m2)</t>
  </si>
  <si>
    <t>2000214256192</t>
  </si>
  <si>
    <t>Gạch 50 HH mã HG5017 A1(1h=1m2)</t>
  </si>
  <si>
    <t>HG5013 B - VIÊN</t>
  </si>
  <si>
    <t>2000214255904</t>
  </si>
  <si>
    <t>Gạch 50 HH mã HG5013 B - VIÊN</t>
  </si>
  <si>
    <t>2000214256185</t>
  </si>
  <si>
    <t>HG5017 B (1h=4v)</t>
  </si>
  <si>
    <t>Gạch 50 HH mã HG5017 B (1h=4v)</t>
  </si>
  <si>
    <t>LP96.16603 A1 - VIÊN</t>
  </si>
  <si>
    <t>2000214256208</t>
  </si>
  <si>
    <t>Gạch 60 HH mã LP96.16603 A1 - VIÊN</t>
  </si>
  <si>
    <t>2000214256222</t>
  </si>
  <si>
    <t>Gạch 40*60 HH mã LH46006 A1 - VIÊN</t>
  </si>
  <si>
    <t>FB3601-KHÓI</t>
  </si>
  <si>
    <t>LHK46056 A1 - VIÊN</t>
  </si>
  <si>
    <t>2000214256277</t>
  </si>
  <si>
    <t>Gạch 40*60 HH mã LHK46056 A1 - VIÊN</t>
  </si>
  <si>
    <t>30*60 TRANG TRÍ BÓNG</t>
  </si>
  <si>
    <t>30*60 TRANG TRI ĐỊNH HÌNH</t>
  </si>
  <si>
    <t>LXP3601D-A(hộp)</t>
  </si>
  <si>
    <t>Điểm b/sứ LXP3601D - A ( 8 viên/hộp)</t>
  </si>
  <si>
    <t>LXP3601D - A- VIÊN</t>
  </si>
  <si>
    <t>Điểm b/sứ LXP3601D - A- VIÊN</t>
  </si>
  <si>
    <t>LH46005 A1(viên)</t>
  </si>
  <si>
    <t>2000214256291</t>
  </si>
  <si>
    <t>Gạch 40*60 HH mã LH46005 A1(viên)</t>
  </si>
  <si>
    <t>LXC 6110 A(1h=1.44m2)</t>
  </si>
  <si>
    <t>Gạch 60 HH mã LXC 6110 A(1h=1.44m2)</t>
  </si>
  <si>
    <t>LXC6110 B(1h=1.44m)</t>
  </si>
  <si>
    <t>Gạch 60 HH mã LXC6110 B(1h=1.44m)</t>
  </si>
  <si>
    <t>48302(viên)</t>
  </si>
  <si>
    <t>2000214256338</t>
  </si>
  <si>
    <t>Gạch 80Takao crystal mã 48302(viên)</t>
  </si>
  <si>
    <t>LP18.8018 A1(1h=1.92m2)</t>
  </si>
  <si>
    <t>2000214256345</t>
  </si>
  <si>
    <t>Gạch 80 HH mã LP18.8018 A1(1h=1.92m2)</t>
  </si>
  <si>
    <t>2000214256352</t>
  </si>
  <si>
    <t>LP18.8018 A1</t>
  </si>
  <si>
    <t>2000214256376</t>
  </si>
  <si>
    <t>2000214256369</t>
  </si>
  <si>
    <t>2000214256390</t>
  </si>
  <si>
    <t>2000214256383</t>
  </si>
  <si>
    <t>2000214256437</t>
  </si>
  <si>
    <t>2000214256420</t>
  </si>
  <si>
    <t>LP18.8003 A2</t>
  </si>
  <si>
    <t>2000214256406</t>
  </si>
  <si>
    <t>LP96-6603</t>
  </si>
  <si>
    <t>LP96-6603 A2</t>
  </si>
  <si>
    <t>LP18.8016 A(1h=1.92m2)</t>
  </si>
  <si>
    <t>Gạch 80 HH mã LP18.8016 A(1h=1.92m2)</t>
  </si>
  <si>
    <t>LP18.8003 A(1h=1.92m2)</t>
  </si>
  <si>
    <t>Gạch 80 HH mã LP18.8003 A(1h=1.92m2)</t>
  </si>
  <si>
    <t>LP96.16603 hàng A(1h=1.44m2)</t>
  </si>
  <si>
    <t>Gạch 60 HH mã LP96.16603 hàng A(1h=1.44m2)</t>
  </si>
  <si>
    <t>LP18.8018 hàng A(1h=1.92m2)</t>
  </si>
  <si>
    <t>2000214256413</t>
  </si>
  <si>
    <t>Gạch 80 HH mã LP18.8018 hàng A(1h=1.92m2)</t>
  </si>
  <si>
    <t>LP18.8018 A1 - VIÊN</t>
  </si>
  <si>
    <t>2000214256451</t>
  </si>
  <si>
    <t>Gạch 80 HH mã LP18.8018 A1 - VIÊN</t>
  </si>
  <si>
    <t>BỎ</t>
  </si>
  <si>
    <t>4832007 Đ</t>
  </si>
  <si>
    <t>4832010 Đ</t>
  </si>
  <si>
    <t>4832004 Đ</t>
  </si>
  <si>
    <t>4832002 Đ</t>
  </si>
  <si>
    <t>2000214256529</t>
  </si>
  <si>
    <t>HSU5018 B(1h=4v=1m2)</t>
  </si>
  <si>
    <t>2000214256550</t>
  </si>
  <si>
    <t>Gạch 50 HH mã HSU5018 B(1h=4v=1m2)</t>
  </si>
  <si>
    <t>2000214256543</t>
  </si>
  <si>
    <t>HUS 5018-SUGAR</t>
  </si>
  <si>
    <t>5-1012</t>
  </si>
  <si>
    <t>HSU5018 A1 (1h=1m=4v)</t>
  </si>
  <si>
    <t>Gạch 50 HH mã HSU5018 A1 (1h=1m=4v)</t>
  </si>
  <si>
    <t>LP18.8021 A1(1h=1.92m2)</t>
  </si>
  <si>
    <t>2000214256659</t>
  </si>
  <si>
    <t>Gạch 80 HH mã LP18.8021 A1(1h=1.92m2)</t>
  </si>
  <si>
    <t>LXV6801 A1(1h=4v=1.44m2)</t>
  </si>
  <si>
    <t>2000214256680</t>
  </si>
  <si>
    <t>Gạch SV 60 HH mã LXV6801 A1(1h=4v=1.44m2)</t>
  </si>
  <si>
    <t>LXV6806 A1(1h=4v=1.44m2)</t>
  </si>
  <si>
    <t>2000214256697</t>
  </si>
  <si>
    <t>Gạch SV 60 HH mã LXV6806 A1(1h=4v=1.44m2)</t>
  </si>
  <si>
    <t>LP18.8021 A1</t>
  </si>
  <si>
    <t>LXV6801</t>
  </si>
  <si>
    <t>LXV6806</t>
  </si>
  <si>
    <t>HG5407 A(1h=6v=1.5m2)</t>
  </si>
  <si>
    <t>2000214256802</t>
  </si>
  <si>
    <t>Gạch 50 HH mã HG5407 A(1h=6v=1.5m2)</t>
  </si>
  <si>
    <t>LX3686-nhạt A1(1h=1.44m2)</t>
  </si>
  <si>
    <t>2000214256772</t>
  </si>
  <si>
    <t>Gạch 30*60 HH mã LX3686-nhạt A1(1h=1.44m2)</t>
  </si>
  <si>
    <t>LX3690-nhạt A1(1h=1.44m2)</t>
  </si>
  <si>
    <t>2000214256741</t>
  </si>
  <si>
    <t>Gạch 30*60 HH mã LX3690-nhạt A1(1h=1.44m2)</t>
  </si>
  <si>
    <t>LX3688-nhạt A1(1h=1.44m2)</t>
  </si>
  <si>
    <t>2000214256710</t>
  </si>
  <si>
    <t>Gạch 30*60 HH mã LX3688-nhạt A1(1h=1.44m2)</t>
  </si>
  <si>
    <t>HG5407 B(1h=6v=1.5m2)</t>
  </si>
  <si>
    <t>2000214256819</t>
  </si>
  <si>
    <t>Gạch 50HH mã HG5407 B(1h=6v=1.5m2)</t>
  </si>
  <si>
    <t>LX3687-đậm A1(1h=1.44m2)</t>
  </si>
  <si>
    <t>2000214256796</t>
  </si>
  <si>
    <t>Gạch 30*60 HH mã LX3687-đậm A1(1h=1.44m2)</t>
  </si>
  <si>
    <t>LX3691-đậm A1(1h=1.44m2)</t>
  </si>
  <si>
    <t>2000214256765</t>
  </si>
  <si>
    <t>Gạch 30*60 HH mã LX3691-đậm A1(1h=1.44m2)</t>
  </si>
  <si>
    <t>LX3689-đậm A1(1h=1.44m2)</t>
  </si>
  <si>
    <t>2000214256727</t>
  </si>
  <si>
    <t>Gạch 30*60 HH mã LX3689-đậm A1(1h=1.44m2)</t>
  </si>
  <si>
    <t>LX3686-điểm A1(1h=1.44m2)</t>
  </si>
  <si>
    <t>2000214256789</t>
  </si>
  <si>
    <t>Gạch 30*60 HH mã LX3686-điểm A1(1h=1.44m2)</t>
  </si>
  <si>
    <t>LX3690-điểm A1(1h=1.44m2)</t>
  </si>
  <si>
    <t>2000214256758</t>
  </si>
  <si>
    <t>Gạch 30*60 HH mã LX3690-điểm A1(1h=1.44m2)</t>
  </si>
  <si>
    <t>LX3688-điểm A1(1h=1.44m2)</t>
  </si>
  <si>
    <t>2000214256734</t>
  </si>
  <si>
    <t>Gạch 30*60 HH mã LX3688-điểm A1(1h=1.44m2)</t>
  </si>
  <si>
    <t>LH46006 A1 - VIÊN</t>
  </si>
  <si>
    <t>LXV6806 viên</t>
  </si>
  <si>
    <t>2000214256703</t>
  </si>
  <si>
    <t>Gạch 60SV HH mã LXV6806 viên</t>
  </si>
  <si>
    <t>HG5407 A2</t>
  </si>
  <si>
    <t>LX3686</t>
  </si>
  <si>
    <t>LX3687</t>
  </si>
  <si>
    <t>ỐP MỚI</t>
  </si>
  <si>
    <t>LX3689</t>
  </si>
  <si>
    <t>LX3690</t>
  </si>
  <si>
    <t>LX3691</t>
  </si>
  <si>
    <t>LX3688</t>
  </si>
  <si>
    <t>LX3688 ĐIỂM</t>
  </si>
  <si>
    <t>LX3690 ĐIỂM</t>
  </si>
  <si>
    <t>LX3686 ĐIỂM</t>
  </si>
  <si>
    <t>Mã sản phẩm cha</t>
  </si>
  <si>
    <t>Tên sản phẩm cha</t>
  </si>
  <si>
    <t>HS514-vàng A (1h=6v=1.5m2)</t>
  </si>
  <si>
    <t>2000214256864</t>
  </si>
  <si>
    <t>Gạch 50*50 HH mã HS514-vàng A (1h=6v=1.5m2)</t>
  </si>
  <si>
    <t>HG5407 A - VIÊN</t>
  </si>
  <si>
    <t>2000214256871</t>
  </si>
  <si>
    <t>Gạch 50 HH mã HG5407 A - VIÊN</t>
  </si>
  <si>
    <t>LX3686 nhạt(viên)</t>
  </si>
  <si>
    <t>2000214256888</t>
  </si>
  <si>
    <t>Gạch 30*60 HH mã LX3686 nhạt(viên)</t>
  </si>
  <si>
    <t>LX3686 điểm-viên</t>
  </si>
  <si>
    <t>2000214256895</t>
  </si>
  <si>
    <t>Gạch 30*60 HH mã LX3686 điểm-viên</t>
  </si>
  <si>
    <t>LP18.8018 A(viên)</t>
  </si>
  <si>
    <t>2000214256901</t>
  </si>
  <si>
    <t>Gạch 80 HH mã LP18.8018 A(viên)</t>
  </si>
  <si>
    <t>LX3687-đậm A1 - VIÊN</t>
  </si>
  <si>
    <t>2000214256918</t>
  </si>
  <si>
    <t>Gạch 30*60 HH mã LX3687-đậm A1 - VIÊN</t>
  </si>
  <si>
    <t>LX46002 A(1h=6v=1.44m2)</t>
  </si>
  <si>
    <t>2000214256932</t>
  </si>
  <si>
    <t>Gạch 40*60 HH mã LX46002 A(1h=6v=1.44m2)</t>
  </si>
  <si>
    <t>2000214256949</t>
  </si>
  <si>
    <t>HS5022 B(1h=4v)</t>
  </si>
  <si>
    <t>Gạch 50 HH mã HS5022 B(1h=4v)</t>
  </si>
  <si>
    <t>LP18.8003 A - VIÊN</t>
  </si>
  <si>
    <t>Gạch 80 HH mã LP18.8003 A - VIÊN</t>
  </si>
  <si>
    <t>N0366-1012 A1 ( vàng)</t>
  </si>
  <si>
    <t>Gạch ceramic N6-1012 A1 ( 1 hộp = 1.44m2)</t>
  </si>
  <si>
    <t>N0355-1007C A1</t>
  </si>
  <si>
    <t>Gạch Nise (50x50) 5-1007C A1 ( 1 hộp =1.5m2)</t>
  </si>
  <si>
    <t>N6-6036 A1 - 2022</t>
  </si>
  <si>
    <t>Gạch Porcelain N6-6036 A1 ( 1 hộp = 1.44m2)</t>
  </si>
  <si>
    <t>N6-1016 A1</t>
  </si>
  <si>
    <t>Gạch ceramic N6-1016 A1 ( 1 hộp = 1.44m2)</t>
  </si>
  <si>
    <t>N0366-6007 A1  ( bán sứ - vàng nhạt)</t>
  </si>
  <si>
    <t>Gạch Pocelain N6-6007 A1 ( 1 hộp = 1.44m2)</t>
  </si>
  <si>
    <t>Ceramic N0366-1001 - 57</t>
  </si>
  <si>
    <t>Gạch Ceramic N6-1001 A1 ( 1 hộp = 1.44m2)</t>
  </si>
  <si>
    <t>N0366-1502 - 55 (A1)</t>
  </si>
  <si>
    <t>Gạch Nise 60x60 N6-1502 (A1) - ( 1 hộp = 1.44m2)</t>
  </si>
  <si>
    <t>N5-1001C</t>
  </si>
  <si>
    <t>Gạch lát Nise ( 50x50) 5-1001C  A1 ( 1 hộp =1.5m2)</t>
  </si>
  <si>
    <t>5-1004(1h=6v=1.5m2)</t>
  </si>
  <si>
    <t>Gạch 50*50 nice mã 5-1004(1h=6v=1.5m2)</t>
  </si>
  <si>
    <t>036-6004L A1(kệ 72h)</t>
  </si>
  <si>
    <t>2000198438300</t>
  </si>
  <si>
    <t>Ốp Porcelain 6-6004L A1 - (1h=8v = 1.44m2)</t>
  </si>
  <si>
    <t>N5-1501C A1 ( men mát)</t>
  </si>
  <si>
    <t>Gạch Nise (50x50) 5-1501C A1 ( 1 hộp =1.5m2)</t>
  </si>
  <si>
    <t>N6-6001 -  A1 -2022</t>
  </si>
  <si>
    <t>Gạch Porcelain N6-6001 -  A1 ( 1 hộp =1.44m2)</t>
  </si>
  <si>
    <t>N6-6029 (A1)</t>
  </si>
  <si>
    <t>Gạch Pocelain N6-6029 (A1) - 1 hộp =1.44m2</t>
  </si>
  <si>
    <t>N6-1017 A1</t>
  </si>
  <si>
    <t>Gạch ceramic N6-1017 A1 ( 1 hộp = 1.44m2)</t>
  </si>
  <si>
    <t>N0366-1501 A1  ( gỗ men mát )</t>
  </si>
  <si>
    <t>Gạch (60x60) - N6-1501 (gỗ )A1  ( 1 hộp = 1.44m2)</t>
  </si>
  <si>
    <t>MG55001 A1(1h=6v=1.5m2)</t>
  </si>
  <si>
    <t>Gạch hacera 50*50SV mã MG55001 A1(1h=6v=1.5m2)</t>
  </si>
  <si>
    <t>Vi Tinh N6-6040 A1 (1h=1.44m=4v/h)</t>
  </si>
  <si>
    <t>Gạch Pocelain Vi Tinh N6-6040 A1 (1h=1.44m=4v/h)</t>
  </si>
  <si>
    <t>PDP-336001 A1(1h=8v=1.44m2)</t>
  </si>
  <si>
    <t>Gạch TOKO 30*60 BS mã PDP-336001 A1(1h=8v=1.44m2)</t>
  </si>
  <si>
    <t>FB3601A1(hộp)</t>
  </si>
  <si>
    <t>Gạch ốp 30x60 - FB3601A1 (1h=8v=1.44m2)</t>
  </si>
  <si>
    <t>MG55006 A1(1h=6v=1.5m2)</t>
  </si>
  <si>
    <t>Gạch hacera 50*50SV mã MG55006 A1(1h=6v=1.5m2)</t>
  </si>
  <si>
    <t>GẠCH TOKO 50*50 MÃ 5-8015 A1</t>
  </si>
  <si>
    <t>2000214248074</t>
  </si>
  <si>
    <t>GẠCH TOKO 50*50 MÃ 5-8015 A1(1H=6V=1.5M2)</t>
  </si>
  <si>
    <t>PDP-4832001 A1(1h=6v=1.92m)</t>
  </si>
  <si>
    <t>Gạch toko 40*80 mài bóng PDP-4832001 A1(1h=6v=1.92m)-khói trắng</t>
  </si>
  <si>
    <t>GẠCH TOKO 50*50 MÃ 5-8008 A1</t>
  </si>
  <si>
    <t>2000201686018</t>
  </si>
  <si>
    <t>GẠCH TOKO 50*50 MÃ 5-8008 A1(1H=6V=1.5M2)</t>
  </si>
  <si>
    <t>N8-6036 A1-2022</t>
  </si>
  <si>
    <t>Gạch Porcelain N8-6036 - A1 ( 1 hộp = 1,92m)</t>
  </si>
  <si>
    <t>N8-6029 (A1)</t>
  </si>
  <si>
    <t>Gạch lát 80x80 - N8-6029 (A1) - 1 hộp=1.92m2</t>
  </si>
  <si>
    <t>GẠCH TOKO 50*50 MÃ 5-8006 A1</t>
  </si>
  <si>
    <t>2000201685998</t>
  </si>
  <si>
    <t>GẠCH TOKO 50*50 MÃ 5-8006 A1(1H=6V=1.5M2)</t>
  </si>
  <si>
    <t>N0366-6010 A1  ( Vàng)</t>
  </si>
  <si>
    <t>2000167123480</t>
  </si>
  <si>
    <t>Gạch Pocelain N6-6010 A1 ( 1 hộp = 1.44m2)</t>
  </si>
  <si>
    <t>N6-1019 A1(1h=4v=1.44m2)</t>
  </si>
  <si>
    <t>Gạch 60*60 nise Mã N6-1019 A1(1h=4v=1.44m2)</t>
  </si>
  <si>
    <t>PDP-632.006 A1(1h=1.44m2)</t>
  </si>
  <si>
    <t>Gạch TOKO 60 mài bóng mã PDP-632.006 A1(1h=1.44m2)</t>
  </si>
  <si>
    <t>N6-6037 A1-2022</t>
  </si>
  <si>
    <t>Gạch lát N6-6037 VT A1 - 1 hộp = 1.44m2</t>
  </si>
  <si>
    <t>6-6002L A1 (nhạt) -2022 kệ 72h</t>
  </si>
  <si>
    <t>Ốp Porcelain 6-6002L A1 ( Nhạt ) - (1h=8v=1.44m2)</t>
  </si>
  <si>
    <t>N0366-6200 A1 ( bán sứ vân đen)</t>
  </si>
  <si>
    <t>Gạch Pocelain N6-6200 A1 ( 1 hộp =1.44m2)</t>
  </si>
  <si>
    <t>Gạch TOKO 50*50 MÃ 5-8005 A1</t>
  </si>
  <si>
    <t>2000201685868</t>
  </si>
  <si>
    <t>Gạch TOKO 50*50 MÃ 5-8005 A1(6V/= 1.5M2)</t>
  </si>
  <si>
    <t>Sân vườn 50*50 mã 97-507 A1(1h=6v=1.5m)</t>
  </si>
  <si>
    <t>Gạch Takao-Vasary Sân vườn 50*50 mã 97-507 A1(1h=6v=1.5m)</t>
  </si>
  <si>
    <t>N0388-6004 A1</t>
  </si>
  <si>
    <t>Gạch Pocelain N8-6004 A1 ( 1 hộp =1.92m2)</t>
  </si>
  <si>
    <t>FR5004 A1(1h=6v=1.5m2)</t>
  </si>
  <si>
    <t>Gạch Vĩnh Thắng Sân vườn 50 SG mã FR5004 A1(1h=6v=1.5m2)</t>
  </si>
  <si>
    <t>TOKO 50*50 MÃ 5-8016 A1(1H=6V=1.5M2)</t>
  </si>
  <si>
    <t>2000214248098</t>
  </si>
  <si>
    <t>GẠCH TOKO 50*50 MÃ 5-8016 A1(1H=6V=1.5M2)</t>
  </si>
  <si>
    <t>0336-601G(kem vàng) A1</t>
  </si>
  <si>
    <t>Gạch 30*60 BS nice mã 0336-601G(kem vàng) A1</t>
  </si>
  <si>
    <t>Sân vườn 50*50 mã 97-501 A1(1h=6v=1.5m)</t>
  </si>
  <si>
    <t>Gạch Takao-Vasary Sân vườn 50*50 mã 97-501 A1(1h=6v=1.5m)</t>
  </si>
  <si>
    <t>GẠCH TOKO 50*50 MÃ 5-8007 A1</t>
  </si>
  <si>
    <t>2000201686001</t>
  </si>
  <si>
    <t>GẠCH TOKO 50*50 MÃ 5-8007 A1(6V/1H= 1.5M2)</t>
  </si>
  <si>
    <t>Sân vườn 50*50 mã 97-506 A1(1h=6v=1.5m)</t>
  </si>
  <si>
    <t>Gạch Takao-Vasary Sân vườn 50*50 mã 97-506 A1(1h=6v=1.5m)</t>
  </si>
  <si>
    <t>MG55007 A1</t>
  </si>
  <si>
    <t>Gạch hacera 50*50SV mã MG55007 A1(1h=6v=1.5m2)</t>
  </si>
  <si>
    <t>0348-601-vàng(1h=6v=1.92m2)</t>
  </si>
  <si>
    <t>Gạch 40*80 đơn mầu mã 0348-601-vàng(1h=6v=1.92m2)</t>
  </si>
  <si>
    <t>FR5001 A1(1h=6v=1.5m2)</t>
  </si>
  <si>
    <t>Gạch Vĩnh Thắng Sân vườn 50 SG mã FR5001 A1(1h=6v=1.5m2)</t>
  </si>
  <si>
    <t>N0366-1009 A1 ( vàng)</t>
  </si>
  <si>
    <t>2000166602672</t>
  </si>
  <si>
    <t>Gạch (60x60) N6-1009 A1 (1 hộp = 1.44m2)</t>
  </si>
  <si>
    <t>MG55009 A1</t>
  </si>
  <si>
    <t>Gạch hacera 50*50SV mã MG55009 A1(1h=6v=1.5m2)</t>
  </si>
  <si>
    <t>N0355-1002C A1 (50x50)</t>
  </si>
  <si>
    <t>Gạch Nise  (50x50) 5-1002C A1 ( 1 hộp =1.5m2)</t>
  </si>
  <si>
    <t>SV- N0355-1604 A1</t>
  </si>
  <si>
    <t>2000166600937</t>
  </si>
  <si>
    <t>Sân vườn N5-1604 A1 ( 1 hộp = 6 viên =1.5m2)</t>
  </si>
  <si>
    <t>632.009 A1(1h=1.44m2)</t>
  </si>
  <si>
    <t>Gạch toko 60 mài bóng mã 632.009 A1(1h=1.44m2)</t>
  </si>
  <si>
    <t>N6-6039 A1 (1h=1.44m=4v/h)</t>
  </si>
  <si>
    <t>Gạch Pocelain N6-6039 A1 (1h=1.44m=4v/h)</t>
  </si>
  <si>
    <t>5303 A1(1h=6v=1.5m2)</t>
  </si>
  <si>
    <t>Gạch 50sv D10 mã 5303 A1(1h=6v=1.5m2)</t>
  </si>
  <si>
    <t>FM4603 A1(1h=5v=1.2m2)</t>
  </si>
  <si>
    <t>Gạch 40*60 vĩnh thắng mã FM4603 A1(1h=5v=1.2m2)</t>
  </si>
  <si>
    <t>N8-6040VT A1(1h=3v=1.92m2)</t>
  </si>
  <si>
    <t>Gạch 80*80 mã N8-6040VT A1(1h=3v=1.92m2)</t>
  </si>
  <si>
    <t>Mã 48-6002 nhạt  A1(1h=6v)</t>
  </si>
  <si>
    <t>Gạch Nise 40*80 Mã 48-6002 nhạt A1(1h=6v)</t>
  </si>
  <si>
    <t>5-1013(1h=6v=1.5m2)</t>
  </si>
  <si>
    <t>Gạch 50*50 nice mã 5-1013(1h=6v=1.5m2)</t>
  </si>
  <si>
    <t>N8-6037 A1 - 2022</t>
  </si>
  <si>
    <t>Gạch N8-6037VT  A1 ( 1 hộp = 1.92m2)</t>
  </si>
  <si>
    <t>N0388-6021 -2022 ( trắng khói)</t>
  </si>
  <si>
    <t>Gạch Porcelain N8-6021 -  A1 ( 1 hộp =1.92m)</t>
  </si>
  <si>
    <t>DP515 A1(1H=6V=1.5M2)</t>
  </si>
  <si>
    <t>Gạch ROYAL sân vườn 50*50 mã DP515 A1(1H=6V=1.5M2)</t>
  </si>
  <si>
    <t>5302 A1(1h=6v=1.5m2)</t>
  </si>
  <si>
    <t>Gạch 50sv D10 mã 5302 A1(1h=6v=1.5m2)</t>
  </si>
  <si>
    <t>Palet-Nice</t>
  </si>
  <si>
    <t>2000214249514</t>
  </si>
  <si>
    <t>DP518 A1(1H=6V=1.5M2)</t>
  </si>
  <si>
    <t>Gạch ROYAL sân vườn 50*50 mã DP518 A1(1H=6V=1.5M2)</t>
  </si>
  <si>
    <t>FR5005 A1(1h=6v=1.5m2)</t>
  </si>
  <si>
    <t>Gạch 50*50 SV vĩnh thắng FR5005 A1(1h=6v=1.5m2)</t>
  </si>
  <si>
    <t>5304 A1(1h=6v=1.5m2)</t>
  </si>
  <si>
    <t>Gạch 50sv D10 mã 5304 A1(1h=6v=1.5m2)</t>
  </si>
  <si>
    <t>SV - N0355-1601 A1</t>
  </si>
  <si>
    <t>Gạch sân vườn (50x50) N5-1601  A1 ( 1 hộp =1.5m2)</t>
  </si>
  <si>
    <t>0348-6001 nhat A1(1h=1.92m2)</t>
  </si>
  <si>
    <t>Gach 40*80 nise Pocerlain 0348-6001 nhat A1(1h=1.92m2)</t>
  </si>
  <si>
    <t>Lát nền 60*60 bóng mã 97-606 A1(1h=4v=1.44m)</t>
  </si>
  <si>
    <t>Gạch Takao-vasary Lát nền 60*60 bóng mã 97-606 A1(1h=4v=1.44m)</t>
  </si>
  <si>
    <t>Gạch 60*60 TOKO 8-5004 A1</t>
  </si>
  <si>
    <t>2000214247459</t>
  </si>
  <si>
    <t>Gạch 60*60 TOKO 8-5004 A1(1h=4v=1.44m)</t>
  </si>
  <si>
    <t>N6-6041 A1(1h=1.44m2)</t>
  </si>
  <si>
    <t>Gạch 60*60 vitinh mã N6-6041 A1(1h=1.44m2)</t>
  </si>
  <si>
    <t>GẠCH TOKO 50*50 MÃ 5-8012 A1</t>
  </si>
  <si>
    <t>GẠCH TOKO 50*50 MÃ 5-8012 A1(1H=6V=1.5M2)</t>
  </si>
  <si>
    <t>FR5002 A1(1h=6v=1.5m2)</t>
  </si>
  <si>
    <t>Gạch Vĩnh Thắng Sân vườn 50 SG mã FR5002 A1(1h=6v=1.5m2)</t>
  </si>
  <si>
    <t>N6-6038 A1 (1h=1.44m=4v/h)</t>
  </si>
  <si>
    <t>Gạch Pocelain N6-6038 A1 (1h=1.44m=4v/h)</t>
  </si>
  <si>
    <t>Lát nền 80*80 bóng mã 97-854 A1(1h=3v=1.92m)</t>
  </si>
  <si>
    <t>Gạch Takao-vasary Lát nền 80*80 bóng mã 97-854 A1(1h=3v=1.92m)</t>
  </si>
  <si>
    <t>N6-6031 (A1)</t>
  </si>
  <si>
    <t>Gạch Pocelain N6-6031 (A1) - 1 hộp=1.44m2</t>
  </si>
  <si>
    <t>Gạch TOKO 60*60 mã 8-5001 A1 (1h= 1.44 m2)</t>
  </si>
  <si>
    <t>2000201935604</t>
  </si>
  <si>
    <t>18912 A1(1h=3v=1.92m2)</t>
  </si>
  <si>
    <t>Gạch TAKAO Crystal 80 bóng mã 18912 A1(1h=3v=1.92m2)</t>
  </si>
  <si>
    <t>Lát nền 60*60 bóng mã 97-653 A1(1h=4v=1.44m)</t>
  </si>
  <si>
    <t>Gạch Takao-vasary Lát nền 60*60 bóng mã 97-653 A1(1h=4v=1.44m)</t>
  </si>
  <si>
    <t>MG55003 A1(1h=6v=1.5m2)</t>
  </si>
  <si>
    <t>Gach 50SV manggo ma MG55003 A1(1h=6v=1.5m2)</t>
  </si>
  <si>
    <t>SV 0366-1302 - 55 A1</t>
  </si>
  <si>
    <t>Gạch sân vườn N6-1302 A1 ( 1 hộp = 1.44m2)</t>
  </si>
  <si>
    <t>RA 5062 S (hộp)</t>
  </si>
  <si>
    <t>2000214247527</t>
  </si>
  <si>
    <t>Gạch sân vườn bán sứ Royal mã 5062 S (1 hộp =6v=1.5m2)</t>
  </si>
  <si>
    <t>Nise N5-1322 A1(1h=6v=1.5m2)</t>
  </si>
  <si>
    <t>Gạch 50 SV mã Nise N5-1322 A1(1h=6v=1.5m2)</t>
  </si>
  <si>
    <t>N0355-1009C A1</t>
  </si>
  <si>
    <t>2000166291937</t>
  </si>
  <si>
    <t>Gạch lát Nise (50x50) 5-1009C A1 ( 1 hộp = 1.5m2)</t>
  </si>
  <si>
    <t>FB3604 nhạt A1(1h=8v=1.44m2)</t>
  </si>
  <si>
    <t>Gạch ốp 30*60 Vĩnh Thắng mã FB3604 nhạt A1(1h=8v=1.44m2)</t>
  </si>
  <si>
    <t>N0348-6003L - A1</t>
  </si>
  <si>
    <t>Gạch Porcelain N48-6003L - A1 (1h=1.92m2)</t>
  </si>
  <si>
    <t>N0366-6012 A1 ( gỗ)</t>
  </si>
  <si>
    <t>2000167123008</t>
  </si>
  <si>
    <t>Gạch Pocelain N6-6012 A1 (1 hộp = 1.44m2) - bán sứ</t>
  </si>
  <si>
    <t>Sân vườn 50*50 mã 97-503 A1(1h=6v=1.5m)</t>
  </si>
  <si>
    <t>Gạch Takao-Vasary Sân vườn 50*50 mã 97-503 A1(1h=6v=1.5m)</t>
  </si>
  <si>
    <t>FM4605 A1(5v/h = 1.2m2)</t>
  </si>
  <si>
    <t>Gạch 40*60 Vĩnh thắng mã FM4605 A1(5v/h = 1.2m2)</t>
  </si>
  <si>
    <t>N6- 6032 (A1)</t>
  </si>
  <si>
    <t>2000181063557</t>
  </si>
  <si>
    <t>Gạch Pocelain N6- 6032 (A1) - 1 hộp =1.44m2</t>
  </si>
  <si>
    <t>N6-1018 A1</t>
  </si>
  <si>
    <t>Gạch ceramic N6-1018 A1 ( 1 hộp = 1.44m2)</t>
  </si>
  <si>
    <t>F6602 A1(1H=1.44M2)</t>
  </si>
  <si>
    <t>Gạch 60C vĩnh thắng mã F6602 A1(1H=1.44M2)</t>
  </si>
  <si>
    <t>17156 (1h=5v=1.8m2)</t>
  </si>
  <si>
    <t>Gạch 60 Takao crystal mã 17156 (1h=5v=1.8m2)</t>
  </si>
  <si>
    <t>DP514 A1(1H=6V=1.5M2)</t>
  </si>
  <si>
    <t>Gạch ROYAL sân vườn 50*50 mã DP514 A1(1H=6V=1.5M2)</t>
  </si>
  <si>
    <t>N0366-1013 A1 (Vân đen)</t>
  </si>
  <si>
    <t>Gạch ceramic  - N6-1013 A1 (1 hộp =1.44m2) vân đen vàng</t>
  </si>
  <si>
    <t>DA 6606 A1(1h=4v=1.44m2)</t>
  </si>
  <si>
    <t>Gạch DMAX kích thước 60*60 mã DA 6606 A1(1h=4v=1.44m2)</t>
  </si>
  <si>
    <t>F6614 A1(1h=1.44m2)</t>
  </si>
  <si>
    <t>2000214256161</t>
  </si>
  <si>
    <t>Gạch 60 VT mã F6614 A1(1h=1.44m2)</t>
  </si>
  <si>
    <t>0566-1004</t>
  </si>
  <si>
    <t>2000181106971</t>
  </si>
  <si>
    <t>Gạch lát ceramic 60x60  - 0566-1004</t>
  </si>
  <si>
    <t>DP502 A1(1H=6V=1.5M2)</t>
  </si>
  <si>
    <t>2000214248883</t>
  </si>
  <si>
    <t>Gạch ROYAL sân vườn 50*50 mã DP502 A1(1H=6V=1.5M2)</t>
  </si>
  <si>
    <t>N6-6022 A1(1h=1.44m2)</t>
  </si>
  <si>
    <t>Gạch 60 Bs Nice mã N6-6022 A1(1h=1.44m2)</t>
  </si>
  <si>
    <t>Lát nền 60*60 bóng mã 97-654 A1(1h=4v=1.44m)</t>
  </si>
  <si>
    <t>Gạch Takao-vasary Lát nền 60*60 bóng mã 97-654 A1(1h=4v=1.44m)</t>
  </si>
  <si>
    <t>Nise 0355 - 1602-55  A1</t>
  </si>
  <si>
    <t>Sân vườn (50x50) - N5 - 1602 A1 ( 1 hộp =1.5m2)</t>
  </si>
  <si>
    <t>N0366-6100 (A1) - 55</t>
  </si>
  <si>
    <t>Gạch Pocelain N6-6100 (A1) 1 hộp=1.44m2</t>
  </si>
  <si>
    <t>Sân vườn 50*50 mã 97-504 A1(1h=6v=1.5m)</t>
  </si>
  <si>
    <t>Gạch Takao-Vasary Sân vườn 50*50 mã 97-504 A1(1h=6v=1.5m)</t>
  </si>
  <si>
    <t>Lát nền 80*80 bóng mã 97-853 A1(1h=3v=1.92m)</t>
  </si>
  <si>
    <t>Gạch Takao-vasary Lát nền 80*80 bóng mã 97-853 A1(1h=3v=1.92m)</t>
  </si>
  <si>
    <t>SV- N0355-1603 A1</t>
  </si>
  <si>
    <t>Sân vườn N5-1603 A1 ( 1 hộp = 6 viên = 1.5m2)</t>
  </si>
  <si>
    <t>AP6-6100 A2</t>
  </si>
  <si>
    <t>Gạch b/sứ N6-6100 A2 ( 1 hộp = 1.44m2)</t>
  </si>
  <si>
    <t>PDP832003 A1(1H=3V=1.92M2)</t>
  </si>
  <si>
    <t>Gạch 80*80 phù đổng mã PDP832003 A1(1H=3V=1.92M2)</t>
  </si>
  <si>
    <t>N5-1301 A1(1h=1.5m2)</t>
  </si>
  <si>
    <t>2000200538615</t>
  </si>
  <si>
    <t>Gạch sân vườn ceramic N5-1301 A1(1h=1.5m2)</t>
  </si>
  <si>
    <t>6-6002D A1 ( Đậm)-2022 kệ 72h</t>
  </si>
  <si>
    <t>2000198438973</t>
  </si>
  <si>
    <t>Ốp Porcelain 6-6002D A1 ( Đậm) - (1h=8v=1.44m2)</t>
  </si>
  <si>
    <t>N0366-6009 - A1 ( vàng bán sứ)</t>
  </si>
  <si>
    <t>2000167123367</t>
  </si>
  <si>
    <t>Gạch Pocelain N6-6009 - A1 ( 1 hộp =1.44m2) -</t>
  </si>
  <si>
    <t>PDP-632.005A1(1h=1.44m2)</t>
  </si>
  <si>
    <t>Gạch TOKO 60 mài bóng mã PDP-632.005 A1(1h=1.44m2)</t>
  </si>
  <si>
    <t>DP520 A1(1H=6V=1.5M2)</t>
  </si>
  <si>
    <t>2000214248890</t>
  </si>
  <si>
    <t>Gạch ROYAL sân vườn 50*50 mã DP520 A1(1H=6V=1.5M2)</t>
  </si>
  <si>
    <t>Gạch TOKO 5-8002  A1 (1H=6V=1.5M2</t>
  </si>
  <si>
    <t>2000201935581</t>
  </si>
  <si>
    <t>Gạch TOKO 5-8002  A1 (1H=6V=1.5M2)</t>
  </si>
  <si>
    <t>FM4604 A1(5v/h = 1.2m2)</t>
  </si>
  <si>
    <t>Gạch 40*60 Vĩnh thắng mã FM4604 A1(5v/h = 1.2m2)</t>
  </si>
  <si>
    <t>N0366-6007 A1 - VIÊN</t>
  </si>
  <si>
    <t>2000167123596</t>
  </si>
  <si>
    <t>Gạch Pocelain N0366-6007 A1 - VIÊN</t>
  </si>
  <si>
    <t>N6-1020 A1(1h=4v=1.44m2)</t>
  </si>
  <si>
    <t>Gạch Nise 60*60 Mã N6-1020 A1(1h=4v=1.44m2)</t>
  </si>
  <si>
    <t>FB3604 đậm A1(1h=8v=1.44m2)</t>
  </si>
  <si>
    <t>Gạch ốp 30*60 Vĩnh Thắng mã FB3604 đậm A1(1h=8v=1.44m2)</t>
  </si>
  <si>
    <t>16106 A1(1h=5v=1.8 m2)</t>
  </si>
  <si>
    <t>Gạch TAKAO Crystal 60 bóng mã 16106 A1(1h=5v=1.8 m2)</t>
  </si>
  <si>
    <t>5301 A1(1h=6v=1.5m2)</t>
  </si>
  <si>
    <t>Gạch 50sv D10 mã 5301 A1(1h=6v=1.5m2)</t>
  </si>
  <si>
    <t>Sân vườn 60*60 mã 97-664 A1(1h=4v=1.44m)</t>
  </si>
  <si>
    <t>Gạch Takao-Vasary Sân vườn 60*60 mã 97-664 A1(1h=4v=1.44m)</t>
  </si>
  <si>
    <t>TCSG5007 A1(1h=6v=1.5m2)</t>
  </si>
  <si>
    <t>2000214250664</t>
  </si>
  <si>
    <t>Gạch 50SV Mã TCSG5007 A1(1h=6v=1.5m2)</t>
  </si>
  <si>
    <t>N6-1021 A1(1h=1.44m2)</t>
  </si>
  <si>
    <t>Gạch 60C Nise mã N6-1021 A1(1h=1.44m2)</t>
  </si>
  <si>
    <t>0355-1006C6-56</t>
  </si>
  <si>
    <t>Gạch (50x50) N5-1006 - A1 (1 hộp =1.5m2) màu đặc biệt</t>
  </si>
  <si>
    <t>N0388-6010 A1 ( vàng vân đậm)</t>
  </si>
  <si>
    <t>Gạch Pocelain N8-6010 A1 ( 1 hộp = 1.92m2)</t>
  </si>
  <si>
    <t>N5-1311 A1(1h=1.5m2)</t>
  </si>
  <si>
    <t>Gạch 50 Sân vườn nise mã N5-1311 A1(1h=1.5m2)</t>
  </si>
  <si>
    <t>Sân vườn 60*60 mã 97-661 A1(1h=4v=1.44m)</t>
  </si>
  <si>
    <t>Gạch Takao-Vasary Sân vườn 60*60 mã 97-661 A1(1h=4v=1.44m)</t>
  </si>
  <si>
    <t>Lát nền 60*60 bóng mã 97-601 A1(1h=4v=1.44m)</t>
  </si>
  <si>
    <t>Gạch Takao-vasary Lát nền 60*60 bóng mã 97-601 A1(1h=4v=1.44m)</t>
  </si>
  <si>
    <t>DA 6603 A1(1h=4v=1.44m2)</t>
  </si>
  <si>
    <t>Gạch DMAX kích thước 60*60 mã DA 6603 A1(1h=4v=1.44m2)</t>
  </si>
  <si>
    <t>F6612 A1(1H=1.44M2)</t>
  </si>
  <si>
    <t>Gạch 60C vĩnh thắng mã F6612 A1(1H=1.44M2)</t>
  </si>
  <si>
    <t>N6-6036 A1 - Viên - 2022</t>
  </si>
  <si>
    <t>2000199504585</t>
  </si>
  <si>
    <t>Gạch Porcelain N6-6036 A1 - Viên</t>
  </si>
  <si>
    <t>11103 A1(1h=2v=2m2)</t>
  </si>
  <si>
    <t>Gạch 1M Takao crystal mã 11103 A1(1h=2v=2m2)</t>
  </si>
  <si>
    <t>16902 A1(1h=5v=1.8m2)</t>
  </si>
  <si>
    <t>Gạch TAKAO Crytal 60 bóng mã 16902 A1(1h=5v=1.8m2)</t>
  </si>
  <si>
    <t>Vi Tinh N6-6040 A1 (viên)</t>
  </si>
  <si>
    <t>2000214247411</t>
  </si>
  <si>
    <t>Gạch Pocelain Vi Tinh N6-6040 A1 (viên)</t>
  </si>
  <si>
    <t>N6-6043 VT A1(1h=4v=1.44m2)</t>
  </si>
  <si>
    <t>Gạch nise 60*60 mã N6-6043 VT A1(1h=4v=1.44m2)</t>
  </si>
  <si>
    <t>Pocelain N0388-6003 - 61 A1</t>
  </si>
  <si>
    <t>2000171992225</t>
  </si>
  <si>
    <t>Gạch Pocelain N8-6003 A1 ( 1 hộp = 1.92m2)</t>
  </si>
  <si>
    <t>5305 A1(1h=6v=1.5m2)</t>
  </si>
  <si>
    <t>Gạch SV50 D10 Mã 5305 A1(1h=6v=1.5m2)</t>
  </si>
  <si>
    <t>N6-6200 (A)</t>
  </si>
  <si>
    <t>2000196181833</t>
  </si>
  <si>
    <t>Gạch Porcelain N6-6200 (A) - 1 hộp =1.44m2</t>
  </si>
  <si>
    <t>N0388-6019 A1 ( 1 hộp =1.92m) vân đá</t>
  </si>
  <si>
    <t>Gạch Pocelain N8-6019 A1 ( 1 hộp =1.92m)</t>
  </si>
  <si>
    <t>N8-6042 VT A1(1h=1.92m2)</t>
  </si>
  <si>
    <t>Gạch 80*80 nice mã N8-6042 VT A1(1h=1.92m2)</t>
  </si>
  <si>
    <t>5306 A1(1h=6v=1.5m2)</t>
  </si>
  <si>
    <t>Gạch SV50 d10 mã 5306 A1(1h=6v=1.5m2)</t>
  </si>
  <si>
    <t>17154 (1h=5v=1.8m2)</t>
  </si>
  <si>
    <t>Gạch 60 Takao crystal mã 17154 (1h=5v=1.8m2)</t>
  </si>
  <si>
    <t>16906 A1(1h=5v=1.8m2)</t>
  </si>
  <si>
    <t>Gạch TAKAO Crytal 60 bóng mã 16906 A1(1h=5v=1.8m2)</t>
  </si>
  <si>
    <t>FB3610 nhạt A1(1h=1.44m2)</t>
  </si>
  <si>
    <t>Gạch 30*60 vĩnh thắng mã FB3610 nhạt A1(1h=1.44m2)</t>
  </si>
  <si>
    <t>N8-6043 VT A1(1h=1.92m2)</t>
  </si>
  <si>
    <t>Gạch 80*80 nise mã N8-6043 VT A1(1h=1.92m2)</t>
  </si>
  <si>
    <t>Pocelain N0366-6026 - 59 A1</t>
  </si>
  <si>
    <t>2000175771024</t>
  </si>
  <si>
    <t>Gạch Pocelain N6-6026 A1 ( 1 hộp = 1.44m)</t>
  </si>
  <si>
    <t>PDP-4832003 A1(1h=6v=1.92m)-nhạt</t>
  </si>
  <si>
    <t>Gạch toko 40*80 mài bóng PDP-4832003 A1(1h=6v=1.92m)-nhạt</t>
  </si>
  <si>
    <t>Ceramic 0366-1304 - 55 A1</t>
  </si>
  <si>
    <t>Gạch Ceramic N6-1304 A1 ( 1 hộp = 1.44m2)</t>
  </si>
  <si>
    <t>N0366-1303A1 (gỗ)</t>
  </si>
  <si>
    <t>2000166602290</t>
  </si>
  <si>
    <t>Gạch 60x60 N6-1303A1 ( 1 hộp = 1.44m2)</t>
  </si>
  <si>
    <t>DA 6602 A1(1h=4v=1.44m2)</t>
  </si>
  <si>
    <t>Gạch DMAX kích thước 60*60 mã DA 6602 A1(1h=4v=1.44m2)</t>
  </si>
  <si>
    <t>FB3603 Nhạt A1(8v/h)</t>
  </si>
  <si>
    <t>Gạch 30/60 vĩnh thắng mã FB3603 Nhạt A1(8v/h)</t>
  </si>
  <si>
    <t>F6604 A1(1H=1.44M2)</t>
  </si>
  <si>
    <t>Gạch 60C vĩnh thắng mã F6604 A1(1H=1.44M2)</t>
  </si>
  <si>
    <t>N6-6029 A1 - Viên</t>
  </si>
  <si>
    <t>2000181064264</t>
  </si>
  <si>
    <t>Gạch Pocelain N6-6029 A1 - Viên</t>
  </si>
  <si>
    <t>FB3610 Đậm A1(1h=1.44m2)</t>
  </si>
  <si>
    <t>Gạch 30*60 vĩnh thắng mã FB3610 Đậm A1(1h=1.44m2)</t>
  </si>
  <si>
    <t>FM3306 A1(1h=11v)</t>
  </si>
  <si>
    <t>Gạch 30*30 vĩnh thắng mã FM3306 A1(1h=11v)</t>
  </si>
  <si>
    <t>FB3608 A1(1h=8V= 1.44m2)</t>
  </si>
  <si>
    <t>Gạch Vĩnh Thắng ốp 30*60 mã FB3608 A1(1h=8V=1.44m2)</t>
  </si>
  <si>
    <t>DA 8806 A1(1h=3v=1.92m2)</t>
  </si>
  <si>
    <t>Gạch DMAX kích thước 80*80 mã DA 8806 A1(1h=3v=1.92m2)</t>
  </si>
  <si>
    <t>N8-6045 A1(1h=1.92m2)</t>
  </si>
  <si>
    <t>Gạch 80 Nise mã N8-6045 A1(1h=1.92m2)</t>
  </si>
  <si>
    <t>PDP-632.008 A1(1h=1.44m2)</t>
  </si>
  <si>
    <t>Gạch TOKO 60 mài bóng mã PDP-632.008 A1(1h=1.44m2)</t>
  </si>
  <si>
    <t>N0355-1007 A1 - Viên</t>
  </si>
  <si>
    <t>2000166291708</t>
  </si>
  <si>
    <t>Gạch Nise (50x50) 5-1007 A1 - Viên</t>
  </si>
  <si>
    <t>N6 -6015</t>
  </si>
  <si>
    <t>2000137029248</t>
  </si>
  <si>
    <t>Gạch bán sứ  N6 -6015 (A1) (1h=1.44m)</t>
  </si>
  <si>
    <t>18902 A1(1h=3v=1.92m2)</t>
  </si>
  <si>
    <t>Gạch TAKAO Crytal 80 bóng mã 18902 A1(1h=3v=1.92m2)</t>
  </si>
  <si>
    <t>Ceramic N6-1008  - 51 A1 ( Gỗ)</t>
  </si>
  <si>
    <t>2000171991303</t>
  </si>
  <si>
    <t>Gạch Ceramic N6-1008 A1 ( 1 hộp = 1.44m2)</t>
  </si>
  <si>
    <t>DA 6601 A1(1h=4v=1.44m2)</t>
  </si>
  <si>
    <t>Gạch DMAX kích thước 60*60 mã DA 6601 A1(1h=4v=1.44m2)</t>
  </si>
  <si>
    <t>Gạch 60*60 Toko 8-5002 A1</t>
  </si>
  <si>
    <t>2000214247435</t>
  </si>
  <si>
    <t>Gạch 60*60 Toko 8-5002 A1(1h=4v=1.44m)</t>
  </si>
  <si>
    <t>F6609 A1(1H=1.44M2)</t>
  </si>
  <si>
    <t>Gạch 60C vĩnh thắng mã F6609 A1(1H=1.44M2)</t>
  </si>
  <si>
    <t>PDP-336009 nhạt A1(1h=8v=1.44m2)</t>
  </si>
  <si>
    <t>Gạch TOKO 30*60 BS mã PDP-336009 nhạt A1(1h=8v=1.44m2)</t>
  </si>
  <si>
    <t>TOKO 8-5008 A1( 1h=4v=1.44m2)</t>
  </si>
  <si>
    <t>2000214248050</t>
  </si>
  <si>
    <t>Gạch 60*60 TOKO 8-5008 A1( 1h=4v=1.44m2)</t>
  </si>
  <si>
    <t>Gạch Pocelain 0366-6007 - 50 A2</t>
  </si>
  <si>
    <t>2000172428907</t>
  </si>
  <si>
    <t>Gạch Pocelain N6-6007  A ( 1 hộp =1.44m2)</t>
  </si>
  <si>
    <t>0348-6007 nhạt A1(1h=6v=1.92m2)</t>
  </si>
  <si>
    <t>Gạch 40*80 Nise mã 0348-6007 nhạt A1(1h=6v=1.92m2)</t>
  </si>
  <si>
    <t>N8-6041 VT A1(1h=1.92m2)</t>
  </si>
  <si>
    <t>Gạch Nise 80*80 Mã N8-6041 VT A1(1h=1.92m2)</t>
  </si>
  <si>
    <t>TOKO 8-5006 A1( 1h=4v=1.44m2)</t>
  </si>
  <si>
    <t>2000214248036</t>
  </si>
  <si>
    <t>Gạch 60*60 TOKO 8-5006 A1( 1h=4v=1.44m2)</t>
  </si>
  <si>
    <t>18701 A1(1h=3v=1.92m2)</t>
  </si>
  <si>
    <t>Gạch 80 Takao Elite crystal mã 18701 A1(1h=3v=1.92m2)</t>
  </si>
  <si>
    <t>N8-6039 A1(1h=3v=1.92m2)</t>
  </si>
  <si>
    <t>Gạch 80*80 mã N8-6039 A1(1h=3v=1.92m2)</t>
  </si>
  <si>
    <t>18901 A1(1h=3v=1.92m2)</t>
  </si>
  <si>
    <t>Gạch TAKAO Crytal 80 bóng mã 18901 A1(1h=3v=1.92m2)</t>
  </si>
  <si>
    <t>N6-1022 A1(1h=1.44m2)</t>
  </si>
  <si>
    <t>Gach 60 Nise Mã N6-1022 A1(1h=1.44m2)</t>
  </si>
  <si>
    <t>0348-6001 dam  A1(1h=1.92m2)</t>
  </si>
  <si>
    <t>Gach 40*80 nise Pocerlain 0348-6001 dam A1(1h=1.92m2)</t>
  </si>
  <si>
    <t>FB3603 Đậm A1(8v/h)</t>
  </si>
  <si>
    <t>Gạch 30/60 vĩnh thắng mã FB3603 Đậm A1(8v/h)</t>
  </si>
  <si>
    <t>F3305 A1(1h=11v)</t>
  </si>
  <si>
    <t>Gạch 30x30 Vĩnh thắng mã F3305 A1(1h=11v)</t>
  </si>
  <si>
    <t>0366-6001 A1 - Viên</t>
  </si>
  <si>
    <t>2000198486202</t>
  </si>
  <si>
    <t>Gạch Porcelain N6-6001 A1 - Viên</t>
  </si>
  <si>
    <t>Mã 0336.6007L Nhạt A1(1h=8v=1.44m2)</t>
  </si>
  <si>
    <t>2000214250947</t>
  </si>
  <si>
    <t>Gạch Nise 30*60 Mã 0336.6007L Nhạt A1(1h=8v=1.44m2)</t>
  </si>
  <si>
    <t>FM4601 A1(1h=5v=1.2m2)</t>
  </si>
  <si>
    <t>Gạch 40*60 vĩnh thắng mã FM4601 A1(1h=5v=1.2m2)</t>
  </si>
  <si>
    <t>N6-6042 VT A1(1h=4v=1.44m2)</t>
  </si>
  <si>
    <t>Gạch 60*60 Nise mã N6-6042 VT A1(1h=4v=1.44m2)</t>
  </si>
  <si>
    <t>11104 A1(1h=2v=2m2)</t>
  </si>
  <si>
    <t>Gạch 1M Takao crystal mã 11104 A1(1h=2v=2m2)</t>
  </si>
  <si>
    <t>DA 6604 A1(1h=4v=1.44m2)</t>
  </si>
  <si>
    <t>Gạch DMAX kích thước 60*60 mã DA 6604 A1(1h=4v=1.44m2)</t>
  </si>
  <si>
    <t>N6-1001 A1 - Viên</t>
  </si>
  <si>
    <t>2000171991167</t>
  </si>
  <si>
    <t>Gạch Ceramic N6-1001 A1 - Viên</t>
  </si>
  <si>
    <t>17151(1h=5v=1.8m2)</t>
  </si>
  <si>
    <t>Gạch 60 Takao crystal mã 17151(1h=5v=1.8m2)</t>
  </si>
  <si>
    <t>17155 (1h=5v=1.8m2)</t>
  </si>
  <si>
    <t>Gạch 60 Takao crystal mã 17155 (1h=5v=1.8m2)</t>
  </si>
  <si>
    <t>N5-1303 A1( 1h=1.5m2)</t>
  </si>
  <si>
    <t>2000200538523</t>
  </si>
  <si>
    <t>Sân vườn ceramic N5-1303 A1( 1h=1.5m2)</t>
  </si>
  <si>
    <t>N6-1016 A1 - Viên</t>
  </si>
  <si>
    <t>2000201275724</t>
  </si>
  <si>
    <t>Gạch N6-1016 A1 - Viên</t>
  </si>
  <si>
    <t>Mã 48-5004 Nhạt men mát  A1(1h=6v=1.92m2)</t>
  </si>
  <si>
    <t>Gạch 40*80 Mã 48-5004 Nhạt men mát A1(1h=6v=1.92m2)</t>
  </si>
  <si>
    <t>N5-1312 A1(1h=1.5m2)</t>
  </si>
  <si>
    <t>Gạch 50 Sân vườn nise mã N5-1312 A1(1h=1.5m2)</t>
  </si>
  <si>
    <t>11101 A1(1h=2v=2m2)</t>
  </si>
  <si>
    <t>Gạch 1M Takao crystal mã 11101 A1(1h=2v=2m2)</t>
  </si>
  <si>
    <t>N0355-1001C - Viên</t>
  </si>
  <si>
    <t>2000166291388</t>
  </si>
  <si>
    <t>Gạch Nise (50x50) 5-1001C - Viên</t>
  </si>
  <si>
    <t>PDP SG363-3005 A1 (1h = 1.44m2)</t>
  </si>
  <si>
    <t>Gạch Toko SV 30*60 - PDP SG363-3005 A1 (1h = 1.44m2)</t>
  </si>
  <si>
    <t>N6-6008 A1</t>
  </si>
  <si>
    <t>2000198771216</t>
  </si>
  <si>
    <t>Gạch Porclelain N6-6008 A1 ( 1 hộp = 1.44m2)</t>
  </si>
  <si>
    <t>16912 A1(1h=5v=1.8m2)</t>
  </si>
  <si>
    <t>Gạch 60 Crytal TaKao mã 16912 A1(1h=5v=1.8m2)</t>
  </si>
  <si>
    <t>N0366-1012 A1 - VIÊN</t>
  </si>
  <si>
    <t>2000167122988</t>
  </si>
  <si>
    <t>Gạch Ceramic N0366-1012 A1 - VIÊN</t>
  </si>
  <si>
    <t>DA 8801 A1(1h=3v=1.92m2)</t>
  </si>
  <si>
    <t>Gạch DMAX kích thước 80*80 mã DA 8801 A1(1h=3v=1.92m2)</t>
  </si>
  <si>
    <t>F3603-kem vàng A1(1h=8V=1.44m2)</t>
  </si>
  <si>
    <t>Gạch Vĩnh Thắng ốp 30*60 mã F3603-kem vàng A1(1h=8V=1.44m2)</t>
  </si>
  <si>
    <t>TP603 A1(1h=4v=1.44m2)</t>
  </si>
  <si>
    <t>Gạch royal men mát 60*60 BS mã TP603 A1(1h=4v=1.44m2)</t>
  </si>
  <si>
    <t>N5-1323 A1(1h=6v=1.5m2)</t>
  </si>
  <si>
    <t>Gạch 50 SV mã Nise N5-1323 A1(1h=6v=1.5m2)</t>
  </si>
  <si>
    <t>N6-6045 A1(1h=1.44m2)</t>
  </si>
  <si>
    <t>Gạch 60 Nise mã N6-6045 A1(1h=1.44m2)</t>
  </si>
  <si>
    <t>RA 5031 (hộp)</t>
  </si>
  <si>
    <t>2000214247589</t>
  </si>
  <si>
    <t>Gạch sân vườn bán sứ Royal mã 5031 S (1h=6v=1.5m2)</t>
  </si>
  <si>
    <t>18911 A1(1h=3v=1.92m2)</t>
  </si>
  <si>
    <t>Gạch TAKAO Crystal 80 bóng mã 18911 A1(1h=3v=1.92m2)</t>
  </si>
  <si>
    <t>N6-1502 A1 - VIÊN</t>
  </si>
  <si>
    <t>2000167867513</t>
  </si>
  <si>
    <t>Gạch ceramic N6-1502 A1 - VIÊN</t>
  </si>
  <si>
    <t>DA 8804 A1(1h=3v=1.92m2)</t>
  </si>
  <si>
    <t>Gạch DMAX kích thước 80*80 mã DA 8804 A1(1h=3v=1.92m2)</t>
  </si>
  <si>
    <t>DA 8803 A1(1h=3v=1.92m2)</t>
  </si>
  <si>
    <t>Gạch DMAX kích thước 80*80 mã DA 8803 A1(1h=3v=1.92m2)</t>
  </si>
  <si>
    <t>Gạch NICE N8-6200  A (1h=1.92 m2)</t>
  </si>
  <si>
    <t>PDP-4832005 A1(1h=6v=1.92m)-đậm</t>
  </si>
  <si>
    <t>Gạch toko 40*80 mài bóng PDP-4832005 A1(1h=6v=1.92m)-đậm</t>
  </si>
  <si>
    <t>16913 A1(1h=5v=1.8m2)</t>
  </si>
  <si>
    <t>Gạch 60 Takao crystal mã 16913 A1(1h=5v=1.8m2)</t>
  </si>
  <si>
    <t>97-855 A1(1h=3v=1.92m2)</t>
  </si>
  <si>
    <t>Gạch 80*80 takao mã 97-855 A1(1h=3v=1.92m2)-khói trắng</t>
  </si>
  <si>
    <t>18913 A1(1h=3v=1.92m2)</t>
  </si>
  <si>
    <t>Gạch TAKAO Crystal 80 bóng mã 18913 A1(1h=3v=1.92m2)</t>
  </si>
  <si>
    <t>N0366-6010 A1 - VIÊN ( bán sứ vàng)</t>
  </si>
  <si>
    <t>2000167123527</t>
  </si>
  <si>
    <t>Gạch Pocelain N0366-6010 A1 - VIÊN</t>
  </si>
  <si>
    <t>PDP-336008 đậm A1(1h=8v=1.44m2)</t>
  </si>
  <si>
    <t>Gạch TOKO 30*60 BS mã PDP-336008 đậm A1(1h=8v=1.44m2)</t>
  </si>
  <si>
    <t>632602 A1(1h=4v=1.44m2)</t>
  </si>
  <si>
    <t>Gạch 60 ToKo mã 632602 A1(1h=4v=1.44m2)</t>
  </si>
  <si>
    <t>FB3605 Nhạt A1(8v/h)</t>
  </si>
  <si>
    <t>Gạch 30/60 vĩnh thắng mã FB3605 Nhạt A1(8v/h)</t>
  </si>
  <si>
    <t>TCSG5009 A1(1H=6V=1.5M2)</t>
  </si>
  <si>
    <t>2000214250688</t>
  </si>
  <si>
    <t>Gạch 50SV MÃ TCSG5009 A1(1H=6V=1.5M2)</t>
  </si>
  <si>
    <t>FB3607 nhạt A1(1h=8v=1.44m2)</t>
  </si>
  <si>
    <t>Gạch ốp 30*60 Vĩnh Thắng mã FB3607 nhạt A1(1h=8v=1.44m2)</t>
  </si>
  <si>
    <t>13106 A1(1h=8v=1.44m2)</t>
  </si>
  <si>
    <t>Gạch TAKAO Crystal 30*60 men bóng mã 13106 A1(1h=8v=1.44m2)</t>
  </si>
  <si>
    <t>N0388-6007 A1 ( vàng nhạt)</t>
  </si>
  <si>
    <t>2000167279767</t>
  </si>
  <si>
    <t>Gạch Pocelain N8-6007 A1 ( 1 hộp =1.92m2)</t>
  </si>
  <si>
    <t>Lát nền 60*60 bóng mã 97-604 A1(1h=4v=1.44m)</t>
  </si>
  <si>
    <t>Gạch Takao-vasary Lát nền 60*60 bóng mã 97-604 A1(1h=4v=1.44m)</t>
  </si>
  <si>
    <t>18917 A1(1h=3v=1.92m2)</t>
  </si>
  <si>
    <t>Gạch 80 Takao crystal mã 18917 A1(1h=3v=1.92m2)</t>
  </si>
  <si>
    <t>N8-6038 A1 (1h=3v=1.92m2)</t>
  </si>
  <si>
    <t>Gạch 80*80 mã N8-6038 A1(1h=3v=1.92m2)</t>
  </si>
  <si>
    <t>Sân vườn 60*60 mã 97-665 A1(1h=4v=1.44m)</t>
  </si>
  <si>
    <t>Gạch Takao-Vasary Sân vườn 60*60 mã 97-665 A1(1h=4v=1.44m)</t>
  </si>
  <si>
    <t>Mã 0336.6007D Đậm A1(1h=8v=1.44m2)</t>
  </si>
  <si>
    <t>2000214250954</t>
  </si>
  <si>
    <t>Gạch Nise 30*60 Mã 0336.6007D Đậm A1(1h=8v=1.44m2)</t>
  </si>
  <si>
    <t>P- 0388-6200 A1</t>
  </si>
  <si>
    <t>Gạch Pocelain N8-6200 A1 ( 1 hộp = 1.92m2)</t>
  </si>
  <si>
    <t>18906 A1(1h=3v=1.92m2)</t>
  </si>
  <si>
    <t>Gạch TAKAO Crytal 80 bóng mã 18906 A1(1h=3v=1.92m2)</t>
  </si>
  <si>
    <t>N0366-6200-A1 - VIÊN ( Vân đen)</t>
  </si>
  <si>
    <t>2000167123794</t>
  </si>
  <si>
    <t>Gạch Pocelain N0366-6200-A1 - VIÊN</t>
  </si>
  <si>
    <t>PDP-336006 A1(1h=8v=1.44m2)</t>
  </si>
  <si>
    <t>Gạch TOKO 30*60 BS mã PDP-336006 nhạt A1(1h=8v=1.44m2)</t>
  </si>
  <si>
    <t>N0366-1501 A1 - VIÊN ( gỗ)</t>
  </si>
  <si>
    <t>2000166601255</t>
  </si>
  <si>
    <t>Gạch 60x60 - N0366-1501 A1 - VIÊN</t>
  </si>
  <si>
    <t>6-6400 a2( hộp)</t>
  </si>
  <si>
    <t>Gạch 60*60 đen tia chớp nise mã 6-6400 a2( hộp)</t>
  </si>
  <si>
    <t>RA 5063 S (hộp)</t>
  </si>
  <si>
    <t>2000214247558</t>
  </si>
  <si>
    <t>Gạch sân vườn bán sứ Royal mã 5063 S (1 hộp =6v=1.5m2)</t>
  </si>
  <si>
    <t>80*80 lucky mã 0188-6045vt a2</t>
  </si>
  <si>
    <t>2000214255058</t>
  </si>
  <si>
    <t>Gạch Nise KT 80*80 lucky mã 0188-6045vt a2</t>
  </si>
  <si>
    <t>TCSG5008 A1(1H=6V=1.5M2)</t>
  </si>
  <si>
    <t>2000214250671</t>
  </si>
  <si>
    <t>Gạch 50SV MÃ TCSG5008 A1(1H=6V=1.5M2)</t>
  </si>
  <si>
    <t>Lát nền 1m*1m mã 97-101 A1(1h=2v=2m)</t>
  </si>
  <si>
    <t>Gạch Takao-Vasary Lát nền 1m*1m mã 97-101 A1(1h=2v=2m)</t>
  </si>
  <si>
    <t>0348-6007 đậm A1(1h=6v=1.92m2)</t>
  </si>
  <si>
    <t>Gạch 40*80 Nise mã 0348-6007 đậm A1(1h=6v=1.92m2)</t>
  </si>
  <si>
    <t>N8-6029 (A1) - Viên</t>
  </si>
  <si>
    <t>2000181009784</t>
  </si>
  <si>
    <t>Gạch lát 80x80 - N8-6029 (A1) - Viên</t>
  </si>
  <si>
    <t>RA 5061 S ( hộp)</t>
  </si>
  <si>
    <t>2000214247503</t>
  </si>
  <si>
    <t>Gạch sân vườn bán sứ Royal mã 5061 S (1 hộp =6v=1.5m2)</t>
  </si>
  <si>
    <t>16901 A1(1h=5v=1.8m2)</t>
  </si>
  <si>
    <t>Gạch 60 Crytal TaKao mã 16901 A1(1h=5v=1.8m2)</t>
  </si>
  <si>
    <t>17153 (1h=5v=1.8m2)</t>
  </si>
  <si>
    <t>Gạch 60 Takao crystal mã 17153 (1h=5v=1.8m2)</t>
  </si>
  <si>
    <t>0366-6030 -A1 -2022</t>
  </si>
  <si>
    <t>Gạch Porcelain N6-6030 A1 ( 1 hộp = 1.44m2)</t>
  </si>
  <si>
    <t>PDP SG363-3001 A1</t>
  </si>
  <si>
    <t>2000214248593</t>
  </si>
  <si>
    <t>Gạch Toko SV 30*60 - PDP SG363-3001 A1 (1h = 1.44m2)</t>
  </si>
  <si>
    <t>TP602 A1(1h=4v=1.44m2)</t>
  </si>
  <si>
    <t>Gạch royal men mát 60*60 BS mã TP602 A1(1h=4v=1.44m2)</t>
  </si>
  <si>
    <t>632604 A1(1h=4v=1.44m2)</t>
  </si>
  <si>
    <t>Gạch 60 TOKO mã 632604 A1(1h=4v=1.44m2)</t>
  </si>
  <si>
    <t>036-6004DE A1 - Viên</t>
  </si>
  <si>
    <t>2000198438294</t>
  </si>
  <si>
    <t>Ốp điểm Porcelain 6-6004DE A1 - Viên</t>
  </si>
  <si>
    <t>F6601 A1(1h=1.44m2)</t>
  </si>
  <si>
    <t>Gạch 60 vĩnh thắng mã F6601 A1(1h=1.44m2)</t>
  </si>
  <si>
    <t>0366-6026 ( A)</t>
  </si>
  <si>
    <t>2000176391832</t>
  </si>
  <si>
    <t>Gạch Pocelain 0366-6026 ( A) - 1 hộp = 1.44m2</t>
  </si>
  <si>
    <t>PDP-4832009 A1(1h=6v=1.92m)-nhạt</t>
  </si>
  <si>
    <t>Gạch toko 40*80 mài bóng PDP-4832009 A1(1h=6v=1.92m)-nhạt</t>
  </si>
  <si>
    <t>PDP832005 A1(1H=3V=1.92M2)</t>
  </si>
  <si>
    <t>Gạch 80*80 phù đổng mã PDP832005 A1(1H=3V=1.92M2)</t>
  </si>
  <si>
    <t>Lát nền 80*80 bóng mã 97-804 A1(1h=3v=1.92m)</t>
  </si>
  <si>
    <t>2000214248548</t>
  </si>
  <si>
    <t>Gạch Takao-vasary Lát nền 80*80 bóng mã 97-804 A1(1h=3v=1.92m)</t>
  </si>
  <si>
    <t>N6-6037 A1 - Viên - 2022</t>
  </si>
  <si>
    <t>2000199586772</t>
  </si>
  <si>
    <t>Gạch N6-6037 A1 - Viên</t>
  </si>
  <si>
    <t>N6-1014 A1</t>
  </si>
  <si>
    <t>2000183366878</t>
  </si>
  <si>
    <t>Gạch 60x60 -  N6-1014 A1 ( 1 hộp = 1.44m2)</t>
  </si>
  <si>
    <t>FB3605 Đậm A1(8v/h)</t>
  </si>
  <si>
    <t>Gạch 30/60 vĩnh thắng mã FB3605 Đậm A1(8v/h)</t>
  </si>
  <si>
    <t>17001(1h=5v=1.8m2)</t>
  </si>
  <si>
    <t>Gạch 60 Takao crystal mã 17001(1h=5v=1.8m2)</t>
  </si>
  <si>
    <t>17006 (1h=5v=1.8m2)</t>
  </si>
  <si>
    <t>Gạch 60 Takao crystal mã 17006 (1h=5v=1.8m2)</t>
  </si>
  <si>
    <t>PDP46304(6v/h=1.44m2)</t>
  </si>
  <si>
    <t>Gạch 40*60 TOKO mã PDP46304(6v/h=1.44m2)</t>
  </si>
  <si>
    <t>11102 A1(1h=2v=2m</t>
  </si>
  <si>
    <t>Gạch 1M Takao crystal mã 11102 A1(1h=2v=2m2)</t>
  </si>
  <si>
    <t>16917(1h=5v=1.8m2)</t>
  </si>
  <si>
    <t>Gạch 60 Takao crystal mã 16917(1h=5v=1.8m2)</t>
  </si>
  <si>
    <t>17152(1h=5v=1.8m2)</t>
  </si>
  <si>
    <t>Gạch 60 Takao crystal mã 17152(1h=5v=1.8m2)</t>
  </si>
  <si>
    <t>18704 A1(1h=3v=1.92m2)</t>
  </si>
  <si>
    <t>Gạch 80 Takao Elite crystal mã 18704 A1(1h=3v=1.92m2)</t>
  </si>
  <si>
    <t>632.009 A1(viên)</t>
  </si>
  <si>
    <t>2000214249217</t>
  </si>
  <si>
    <t>Gạch 60 toko mã 632.009 A1(viên)</t>
  </si>
  <si>
    <t>TP605 A1(1h=4v=1.44m2)</t>
  </si>
  <si>
    <t>2000214249194</t>
  </si>
  <si>
    <t>Gạch royal men mát 60*60 BS mã TP605 A1(1h=4v=1.44m2)</t>
  </si>
  <si>
    <t>Gạch 50*50 nice mã 5-1004(viên)</t>
  </si>
  <si>
    <t>2000214248005</t>
  </si>
  <si>
    <t>TOKO 8-5005 A1( 1h=4v=1.44m2)</t>
  </si>
  <si>
    <t>2000214247473</t>
  </si>
  <si>
    <t>Gạch 60*60 TOKO 8-5005 A1( 1h=4v=1.44m2)</t>
  </si>
  <si>
    <t>PDP 632.007 a1(1h=4v=1.44m)</t>
  </si>
  <si>
    <t>Gạch toko 60 mài bóng mã PDP 632.007 a1(1h=4v=1.44m)</t>
  </si>
  <si>
    <t>BS3603S A1(1H=4V=1.44M2)</t>
  </si>
  <si>
    <t>2000214248869</t>
  </si>
  <si>
    <t>Gạch ROYAL sân vườn 30*60 mã BS3603S A1(1H=4V=1.44M2)</t>
  </si>
  <si>
    <t>Mã 48-5004 Đậm men mát A1(1h=6v=1.92m2)</t>
  </si>
  <si>
    <t>Gạch 40*80 Mã 48-5004 Đậm men mát A1(1h=6v=1.92m2)</t>
  </si>
  <si>
    <t>632605 A1(1h=1.44m2)</t>
  </si>
  <si>
    <t>Gạch 60 toko mã 632605 A1(1h=1.44m2)</t>
  </si>
  <si>
    <t>Lát nền 1m*1m mã 97-105 A1(1h=2v=2m)</t>
  </si>
  <si>
    <t>Gạch Takao-Vasary Lát nền 1m*1m mã 97-105 A1(1h=2v=2m)</t>
  </si>
  <si>
    <t>SV (50x50) 0355-1305-53</t>
  </si>
  <si>
    <t>2000172293017</t>
  </si>
  <si>
    <t>Sân vườn (50x50) N5-1305 A1( 1 hộp =1.5m2)</t>
  </si>
  <si>
    <t>Lát nền 1m*1m mã 97-106 A1(1h=2v=2m)</t>
  </si>
  <si>
    <t>Gạch Takao-Vasary Lát nền 1m*1m mã 97-106 A1(1h=2v=2m)</t>
  </si>
  <si>
    <t>N6-1019 A1 (Viên)</t>
  </si>
  <si>
    <t>2000214248838</t>
  </si>
  <si>
    <t>Gạch 60x60 N6-1019 A1 (Viên)</t>
  </si>
  <si>
    <t>FM4602 A1(1h=5v=1.2m2)</t>
  </si>
  <si>
    <t>Gạch 40*60 vĩnh thắng mã FM4602 A1(1h=5v=1.2m2)</t>
  </si>
  <si>
    <t>GACH 30*60 BS TOKO MA 336003</t>
  </si>
  <si>
    <t>Lát nền 1m*1m mã 97-104 A1(1h=2v=2m)</t>
  </si>
  <si>
    <t>Gạch Takao-Vasary Lát nền 1m*1m mã 97-104 A1(1h=2v=2m)</t>
  </si>
  <si>
    <t>N6-1017 A1 - Viên</t>
  </si>
  <si>
    <t>2000201275649</t>
  </si>
  <si>
    <t>Gạch lát N6-1017 A1 - Viên</t>
  </si>
  <si>
    <t>BS3605D A1(1H=4V=1.44M2)</t>
  </si>
  <si>
    <t>Gạch ROYAL sân vườn 30*60 mã BS3605D A1(1H=4V=1.44M2)</t>
  </si>
  <si>
    <t>N5-1501C A1 - Viên</t>
  </si>
  <si>
    <t>2000166292910</t>
  </si>
  <si>
    <t>Gạch Nise (50x50) - 0355-1501C A1 - Viên</t>
  </si>
  <si>
    <t>FB3607 đậm A1(1h=8v=1.44m2)</t>
  </si>
  <si>
    <t>Gạch ốp 30*60 Vĩnh Thắng mã FB3607 đậm A1(1h=8v=1.44m2)</t>
  </si>
  <si>
    <t>PDP632608 A1(1H=4V=1.44M2)</t>
  </si>
  <si>
    <t>Gạch TOKO bs 60 MÃ PDP632608 A1(1H=4V=1.44M2)</t>
  </si>
  <si>
    <t>Sân vườn (50x50) 0355-1306-53 A1</t>
  </si>
  <si>
    <t>2000172294427</t>
  </si>
  <si>
    <t>Sân vườn (50x50) N5-1306- A1 ( 1 hộp =1.5m2)</t>
  </si>
  <si>
    <t>13102 A1(1h=8v=1.44m2)</t>
  </si>
  <si>
    <t>Gạch TAKAO Crystal 30*60 men bóng mã 13102 A1(1h=8v=1.44m2)</t>
  </si>
  <si>
    <t>16911 A1(1h=5v=1.8m2)</t>
  </si>
  <si>
    <t>Gạch 60 Crytal TaKao mã 16911 A1(1h=5v=1.8m2)</t>
  </si>
  <si>
    <t>16916(1h=5v=1.8m2)</t>
  </si>
  <si>
    <t>Gạch 60 Takao crystal mã 16916(1h=5v=1.8m2)</t>
  </si>
  <si>
    <t>Gach bán sứ N6-6200 B (1h=1.44 m2)</t>
  </si>
  <si>
    <t>2000201939466</t>
  </si>
  <si>
    <t>N8-6036 A1 - Viên</t>
  </si>
  <si>
    <t>2000199504561</t>
  </si>
  <si>
    <t>Gạch Porcelain N8-6036 A1 - Viên</t>
  </si>
  <si>
    <t>N6-6400 A1(1h=4v)-tia chớp</t>
  </si>
  <si>
    <t>Gạch 60 BS nice mã N6-6400 A1(1h=4v)-tia chớp</t>
  </si>
  <si>
    <t>MR 11039 A1 (1h=2v =2m2)</t>
  </si>
  <si>
    <t>Gạch 1m*1m Thắng Cường Mã MR 11039 A1 (1h=2v =2m2)</t>
  </si>
  <si>
    <t>18916 A1(1h=3v=1.92m2)</t>
  </si>
  <si>
    <t>Gạch 80 Takao crystal mã 18916 A1(1h=3v=1.92m2)</t>
  </si>
  <si>
    <t>48304(1h=1.92m2)</t>
  </si>
  <si>
    <t>Gạch 80 Takao crystal mã 48304(1h=1.92m2)</t>
  </si>
  <si>
    <t>N0388-6031- A1 - 2022 ( lục giác khói)</t>
  </si>
  <si>
    <t>Gạch Porcelain N8-6031- A1 ( 1 hộp =1.92m)</t>
  </si>
  <si>
    <t>N6-6042 A2(hộp= 1.44m2)</t>
  </si>
  <si>
    <t>Gạch 60*60 nise mã N6-6042 A2(hộp= 1.44m2)</t>
  </si>
  <si>
    <t>N48-6000 A1( trắng tinh)</t>
  </si>
  <si>
    <t>Gạch Nise 40*80 mã N48-6000 A1( trắng tinh)</t>
  </si>
  <si>
    <t>N6-6039 A1 (viên</t>
  </si>
  <si>
    <t>2000214247398</t>
  </si>
  <si>
    <t>Gạch Pocelain N6-6039 A1 (viên)</t>
  </si>
  <si>
    <t>F3302 A1(1h=11V)</t>
  </si>
  <si>
    <t>2000214251692</t>
  </si>
  <si>
    <t>Gạch Vĩnh Thắng chống trơn 30 SG mã F3302 A1(1h=11V)</t>
  </si>
  <si>
    <t>14101 A1(1h=4v=1.28m2))</t>
  </si>
  <si>
    <t>Gạch 40*80 Takao crystal mã 14101 A1(1h=4v=1.28m2)</t>
  </si>
  <si>
    <t>̣̣N8-6040VT A1(Viên)</t>
  </si>
  <si>
    <t>2000214248166</t>
  </si>
  <si>
    <t>Gạch 80*80 mã N8-6040VT A1(Viên)</t>
  </si>
  <si>
    <t>PDP632603 A1(1h=1.44m2)</t>
  </si>
  <si>
    <t>Gạch TOKO bs 60 mã PDP632603 A1(1h=1.44m2)</t>
  </si>
  <si>
    <t>RA 5066 S(hộp)</t>
  </si>
  <si>
    <t>2000214247565</t>
  </si>
  <si>
    <t>Gạch sân vườn bán sứ Royal mã 5066 S (1h= 1.5m2)</t>
  </si>
  <si>
    <t>N5-1012 A1(1h=6v=1.5m2)</t>
  </si>
  <si>
    <t>Gạch 50 nice mã N5-1012 A1(1h=6v=1.5m2)</t>
  </si>
  <si>
    <t>DA 6606 A1(viên)</t>
  </si>
  <si>
    <t>2000214249941</t>
  </si>
  <si>
    <t>Gạch DMAX kích thước 60*60 mã DA 6606 A1(viên)</t>
  </si>
  <si>
    <t>N5-1310 A1(1h=1.5m2)</t>
  </si>
  <si>
    <t>Gạch 50 Sân vườn nise mã N5-1310 A1(1h=1.5m2)</t>
  </si>
  <si>
    <t>18706 A1(1h=3v=1.92m2)</t>
  </si>
  <si>
    <t>Gạch 80 Takao Elite crystal mã 18706 A1(1h=3v=1.92m2)</t>
  </si>
  <si>
    <t>PDPSG-46303 A1(8v/h=1.92m2)</t>
  </si>
  <si>
    <t>Gạch TOKO 40*60 Dầy 10mm Mã PDPSG-46303 A1(8v/h=1.92m2)</t>
  </si>
  <si>
    <t>18707 A1(1h=3v=1.92m2)</t>
  </si>
  <si>
    <t>Gạch 80 Takao Elite crystal mã 18707 A1(1h=3v=1.92m2)</t>
  </si>
  <si>
    <t>18708 A1(1h=3v=1.92m2)</t>
  </si>
  <si>
    <t>Gạch 80 Takao Elite crystal mã 18708 A1(1h=3v=1.92m2)</t>
  </si>
  <si>
    <t>PDP-4832011 A1(1h=6v=1.92m)-đậm</t>
  </si>
  <si>
    <t>Gạch toko 40*80 mài bóng PDP-4832011 A1(1h=6v=1.92m)-đậm</t>
  </si>
  <si>
    <t>MN612.616 A1(1h=3v=2.16m)</t>
  </si>
  <si>
    <t>Gạch Nise kích thước 60*120 mã MN612.616 A1(1h=3v=2.16m)</t>
  </si>
  <si>
    <t>N6-6038 A1 (viên)</t>
  </si>
  <si>
    <t>2000214247374</t>
  </si>
  <si>
    <t>Gạch Pocelain N6-6038 A1 (viên)</t>
  </si>
  <si>
    <t>N0366-6012 A1 (gỗ)</t>
  </si>
  <si>
    <t>2000167123022</t>
  </si>
  <si>
    <t>Gạch Pocelain N0366-6012 A1 - VIÊN</t>
  </si>
  <si>
    <t>N0388-6017 A1 ( đá xanh đậm)</t>
  </si>
  <si>
    <t>Gạch Pocelain N8-6017 A1 (1 hộp =1.92m2)</t>
  </si>
  <si>
    <t>AD 1461 (hộp)</t>
  </si>
  <si>
    <t>Gạch thẻ trang trí ấn độ kích thước 30*60 mã 1461 (1 hộp =6v=1.08m2)</t>
  </si>
  <si>
    <t>97-653 A1(viên)</t>
  </si>
  <si>
    <t>2000214248777</t>
  </si>
  <si>
    <t>Gạch Takao-Vasary 60*60 mã 97-653 A1(viên)</t>
  </si>
  <si>
    <t>N8-6037 VT A1 - Viên</t>
  </si>
  <si>
    <t>2000199699304</t>
  </si>
  <si>
    <t>Gạch N8-6037 VT A1 - Viên</t>
  </si>
  <si>
    <t>MR 11034 A1 (1h=2v =2m2)</t>
  </si>
  <si>
    <t>Gạch 1m*1m Thắng Cường Mã MR 11034 A1 (1h=2v =2m2)</t>
  </si>
  <si>
    <t>N8-6035 - A1-2022</t>
  </si>
  <si>
    <t>Gạch Porcelain N8-6035 - A1 ( 1 hộp = 1,92m)</t>
  </si>
  <si>
    <t>Gạch 60*60 TOKO 8-5004 A1(viên)</t>
  </si>
  <si>
    <t>2000214247466</t>
  </si>
  <si>
    <t>N6-6100 ( A1) - Viên</t>
  </si>
  <si>
    <t>2000176395335</t>
  </si>
  <si>
    <t>Gạch Pocelain N6-6100 ( A1) - Viên</t>
  </si>
  <si>
    <t>PDP SG363-3002 A1 (1h = 1.44m2)</t>
  </si>
  <si>
    <t>Gạch Toko SV 30*60 - PDP SG363-3002 A1 (1h = 1.44m2)</t>
  </si>
  <si>
    <t>48302(1h=1.92m2)</t>
  </si>
  <si>
    <t>Gạch 80 Takao crystal mã 48302(1h=1.92m2)</t>
  </si>
  <si>
    <t>MR 11037 A1 (1h=2v =2m2)</t>
  </si>
  <si>
    <t>Gạch 1m*1m Thắng Cường Mã MR 11037 A1 (1h=2v =2m2)</t>
  </si>
  <si>
    <t>N0388-6004 - VIÊN - A1</t>
  </si>
  <si>
    <t>2000167206060</t>
  </si>
  <si>
    <t>Gạch Pocelain N0388-6004 - VIÊN - A1</t>
  </si>
  <si>
    <t>PDP-336002 điểm a1(1h=8v=1.44m2)</t>
  </si>
  <si>
    <t>Gạch toko 30*60 mài bóng mã PDP-336002 điểm a1(1h=8v=1.44m2)</t>
  </si>
  <si>
    <t>PDP832008 A1(1H=3V=1.92M2)</t>
  </si>
  <si>
    <t>Gạch 80*80 phù đổng mã PDP832008 A1(1H=3V=1.92M2)</t>
  </si>
  <si>
    <t>PDP-632.006 A1(viên)</t>
  </si>
  <si>
    <t>2000214248326</t>
  </si>
  <si>
    <t>Gạch TOKO 60 mài bóng mã PDP-632.006 A1(viên)</t>
  </si>
  <si>
    <t>Mã 0336.6003L Nhạt A1(1h=8v=1.44m2)</t>
  </si>
  <si>
    <t>Gạch Nise 30*60 Mã 0336.6003L Nhạt A1(1h=8v=1.44m2)</t>
  </si>
  <si>
    <t>N0366-1007 - 56 A1</t>
  </si>
  <si>
    <t>2000171991242</t>
  </si>
  <si>
    <t>Gạch Ceramic N6-1007 A1 ( 1 hộp = 1.44m2)</t>
  </si>
  <si>
    <t>FB3604 điểm A1(1h=8v=1.44m2)</t>
  </si>
  <si>
    <t>Gạch ốp 30*60 Vĩnh Thắng mã FB3604 điểm A1(1h=8v=1.44m2)</t>
  </si>
  <si>
    <t>Mã PDPSG-46301 A1(8v/h=1.92m2)</t>
  </si>
  <si>
    <t>Gạch TOKO 40*60 Dầy 10mm Mã PDPSG-46301 A1(8v/h=1.92m2)</t>
  </si>
  <si>
    <t>Móc ke cân bằng 1mm</t>
  </si>
  <si>
    <t>N0366-1009 A1 - VIÊN</t>
  </si>
  <si>
    <t>2000166602740</t>
  </si>
  <si>
    <t>Gạch 60x60 - N0366-1009 A1 - VIÊN</t>
  </si>
  <si>
    <t>FB3604 điểm (viên)</t>
  </si>
  <si>
    <t>2000214252385</t>
  </si>
  <si>
    <t>Gạch 30*60 vĩnh thắng FB3604 điểm (viên)</t>
  </si>
  <si>
    <t>PDPSG-46304 A1(8v/h=1.92m2)</t>
  </si>
  <si>
    <t>Gạch TOKO 40*60 Dầy 10mm Mã PDPSG-46304 A1(8v/h=1.92m2)</t>
  </si>
  <si>
    <t>0348-01 GO A1(1h=6v=1.92m2)</t>
  </si>
  <si>
    <t>Gạch nice 40*80 lát mã 0348-01 GO A1(1h=6v=1.92m2)</t>
  </si>
  <si>
    <t>Lát nền 60*60 bán sứ 632-003 A1(1h=4v=1.44m2)</t>
  </si>
  <si>
    <t>Gạch Toko Lát nền 60*60 bán sứ 632-003 A1(1h=4v=1.44m2)</t>
  </si>
  <si>
    <t>N6-6043 A2(hộp= 1.44m2)</t>
  </si>
  <si>
    <t>Gạch 60*60 nise mã N6-6043 A2(hộp= 1.44m2)</t>
  </si>
  <si>
    <t>N6-1015 A1</t>
  </si>
  <si>
    <t>2000183367189</t>
  </si>
  <si>
    <t>Gạch 60x60 N6-1015 A1 ( 1 hộp = 1.44m2)</t>
  </si>
  <si>
    <t>N6-6016 A1(1h=4v=1.44m2)</t>
  </si>
  <si>
    <t>2000214254327</t>
  </si>
  <si>
    <t>Gạch nise 60*60 mã N6-6016 A1(1h=4v=1.44m2)</t>
  </si>
  <si>
    <t>DA 8802 A1(1h=3v=1.92m2)</t>
  </si>
  <si>
    <t>Gạch DMAX kích thước 80*80 mã DA 8802 A1(1h=3v=1.92m2)</t>
  </si>
  <si>
    <t>N6-6008 A2 ( 1 h=1.44m2)</t>
  </si>
  <si>
    <t>2000198809216</t>
  </si>
  <si>
    <t>Gạch Porcelain N6-6008 A2 ( 1 h=1.44m2)</t>
  </si>
  <si>
    <t>N8-6021 -  A1 - Viên</t>
  </si>
  <si>
    <t>2000199827677</t>
  </si>
  <si>
    <t>Gạch Porcelain N8-6021 -  A1 - Viên</t>
  </si>
  <si>
    <t>PDP SG363-3004 A1 (1h = 1.44m2)</t>
  </si>
  <si>
    <t>Gạch Toko SV 30*60 - PDP SG363-3004 A1 (1h = 1.44m2)</t>
  </si>
  <si>
    <t>F3301 A1(1h=11V)</t>
  </si>
  <si>
    <t>2000214251685</t>
  </si>
  <si>
    <t>Gạch Vĩnh Thắng chống trơn 30 SG mã F3301 A1(1h=11V)</t>
  </si>
  <si>
    <t>N8-6047 VT A1(1h=1.92m2)</t>
  </si>
  <si>
    <t>Gạch 80 nise mã N8-6047 VT A1(1h=1.92m2)</t>
  </si>
  <si>
    <t>N6-6032 (A)</t>
  </si>
  <si>
    <t>2000181063519</t>
  </si>
  <si>
    <t>Gạch Pocelain N6-6032 (A) - 1 hộp = 1.44m2</t>
  </si>
  <si>
    <t>336005 đậm A1(1h=8v=1.44m2)</t>
  </si>
  <si>
    <t>Gạch toko 30*60 mã 336005 đậm A1(1h=8v=1.44m2)</t>
  </si>
  <si>
    <t>N6-6041 A1 (1h= 1.44m2) - VIÊN</t>
  </si>
  <si>
    <t>2000214249835</t>
  </si>
  <si>
    <t>Gạch lát N6-6041 A1 (1h= 1.44m2) - VIÊN</t>
  </si>
  <si>
    <t>FM3308 A1(1h=11v)</t>
  </si>
  <si>
    <t>Gạch 30*30 Vĩnh Thắng mã FM3308 A1(1h=11v)</t>
  </si>
  <si>
    <t>FM3310 A1(1h=11v)</t>
  </si>
  <si>
    <t>Gạch 30*30 Vĩnh Thắng mã FM3310 A1(1h=11v)</t>
  </si>
  <si>
    <t>PDP832002 A1(1H=3V=1.92M2)</t>
  </si>
  <si>
    <t>Gạch 80*80 phù đổng mã PDP832002 A1(1H=3V=1.92M2)</t>
  </si>
  <si>
    <t>5-1013 (viên)</t>
  </si>
  <si>
    <t>2000214248012</t>
  </si>
  <si>
    <t>Gạch 50*50 nise mã 5-1013 (viên)</t>
  </si>
  <si>
    <t>18126 A1(1h=3v=1.92m2)</t>
  </si>
  <si>
    <t>Gạch TAKAO Crytal 80 bóng mã 18126 A1(1h=3v=1.92m2)</t>
  </si>
  <si>
    <t>SV - 0355-1308-53 A1 ( 1 hộp =1.5m2)</t>
  </si>
  <si>
    <t>2000172295103</t>
  </si>
  <si>
    <t>Sân vườn (50x50) N5-1308 A1 ( 1 hộp =1.5m2)</t>
  </si>
  <si>
    <t>N6-1018 A1 - Viên</t>
  </si>
  <si>
    <t>2000201275731</t>
  </si>
  <si>
    <t>Gạch N6-1018 A1 - Viên</t>
  </si>
  <si>
    <t>BS3601P A1(1H=4V=1.44M2)</t>
  </si>
  <si>
    <t>Gạch ROYAL sân vườn 30*60 mã BS3601P A1(1H=4V=1.44M2)</t>
  </si>
  <si>
    <t>13103 A1(1h=8v=1.44m2)</t>
  </si>
  <si>
    <t>Gạch TAKAO Crystal 30*60 men bóng mã 13103 A1(1h=8v=1.44m2)</t>
  </si>
  <si>
    <t>N6-6029 (A)</t>
  </si>
  <si>
    <t>2000181063946</t>
  </si>
  <si>
    <t>Gạch Pocelain N6-6029 (A) - 1 hộp=1.44m2</t>
  </si>
  <si>
    <t>Lát nền 80*80 bóng mã 97-801 A1(1h=3v=1.92m)</t>
  </si>
  <si>
    <t>2000214248531</t>
  </si>
  <si>
    <t>Gạch Takao-vasary Lát nền 80*80 bóng mã 97-801 A1(1h=3v=1.92m)</t>
  </si>
  <si>
    <t>MG5-5006 A1 - VIÊN</t>
  </si>
  <si>
    <t>2000214250091</t>
  </si>
  <si>
    <t>Sân vườn 50*50-  MG55006 A1 - VIÊN</t>
  </si>
  <si>
    <t>97-606 a1( viên)</t>
  </si>
  <si>
    <t>2000214248685</t>
  </si>
  <si>
    <t>Gạch 60 bóng takao mã 97- 606 a1( viên)</t>
  </si>
  <si>
    <t>N6-6031 A1 - Viên</t>
  </si>
  <si>
    <t>2000181063595</t>
  </si>
  <si>
    <t>Gạch Pocelain N6-6031 A1 - Viên</t>
  </si>
  <si>
    <t>AD LIMBER (1h=5v=1.2m2)</t>
  </si>
  <si>
    <t>Gạch nền kích thước 20*120 ấn độ mã LIMBER (1h=5v=1.2m2)</t>
  </si>
  <si>
    <t>0336-6004L A1 - Viên</t>
  </si>
  <si>
    <t>2000198438751</t>
  </si>
  <si>
    <t>Ốp Porcelain 6-6004L A1 - Viên</t>
  </si>
  <si>
    <t>Palet-royal</t>
  </si>
  <si>
    <t>2000214249521</t>
  </si>
  <si>
    <t>DA61205 A1(1h=3v=2.16 m2)</t>
  </si>
  <si>
    <t>Gạch DMAX kích thước 60*120 mã DA61205 A1(1h=3v=2.16 m2)</t>
  </si>
  <si>
    <t>46301 mới (6v/h=1.44m2)</t>
  </si>
  <si>
    <t>Gạch 40-60 SV toko mã 46301 mới (6v/h=1.44m2)</t>
  </si>
  <si>
    <t>N6-6100 (A3)</t>
  </si>
  <si>
    <t>2000201391806</t>
  </si>
  <si>
    <t>Gạch 60*60 đen N6-6100 (A3)</t>
  </si>
  <si>
    <t>N8-6200 A1 - Viên</t>
  </si>
  <si>
    <t>2000193764268</t>
  </si>
  <si>
    <t>Gạch Pocelain N8-6200 A1 - Viên</t>
  </si>
  <si>
    <t>Móc ke cân bằng 1.5mm</t>
  </si>
  <si>
    <t>Mã 0336.6007 DE Điểm A1(1h=8v=1.44m2)</t>
  </si>
  <si>
    <t>2000214250961</t>
  </si>
  <si>
    <t>Gạch Nise 30*60 Mã 0336.6007 DE Điểm A1(1h=8v=1.44m2)</t>
  </si>
  <si>
    <t>PDP-336011 A1(1h=8v=1.44m2)</t>
  </si>
  <si>
    <t>Gạch TOKO 30*60 BS mã PDP-336011 A1(1h=8v=1.44m2)</t>
  </si>
  <si>
    <t>Mã 0336.6003D Đậm A1(1h=8v=1.44m2)</t>
  </si>
  <si>
    <t>2000214250930</t>
  </si>
  <si>
    <t>Gạch Nise 30*60 Mã 0336.6003D Đậm A1(1h=8v=1.44m2)</t>
  </si>
  <si>
    <t>0348-02 GO A1(1h=6v=1.92m2)</t>
  </si>
  <si>
    <t>Gạch nise 40*80 mã 0348-02 GO A1(1h=6v=1.92m2)</t>
  </si>
  <si>
    <t>97-853 a1(viên)</t>
  </si>
  <si>
    <t>2000214248999</t>
  </si>
  <si>
    <t>Gạch takao-vasary 80*80 mã 97-853 a1(viên)</t>
  </si>
  <si>
    <t>N6-1304 A1 - Viên</t>
  </si>
  <si>
    <t>2000171991426</t>
  </si>
  <si>
    <t>Gạch Ceramic N6-1304 A1 - Viên</t>
  </si>
  <si>
    <t>Lát nền 60*60 bán sứ mã 632-001 a1(1h=4v=1.44m2)</t>
  </si>
  <si>
    <t>Gạch Toko Lát nền 60*60 bán sứ mã 632-001 a1(1h=4v=1.44m2)</t>
  </si>
  <si>
    <t>FB3604 nhạt( viên)</t>
  </si>
  <si>
    <t>2000214252507</t>
  </si>
  <si>
    <t>Gạch 30*60 vĩnh thắng FB3604 nhạt( viên)</t>
  </si>
  <si>
    <t>16106(viên)</t>
  </si>
  <si>
    <t>2000214254785</t>
  </si>
  <si>
    <t>Gạch 60 Takao crystal mã 16106(viên)</t>
  </si>
  <si>
    <t>N0388 - 6011 A1</t>
  </si>
  <si>
    <t>2000167209481</t>
  </si>
  <si>
    <t>Gạch Pocelain  N8 - 6011 A1 ( 1 hộp =1.92m2)</t>
  </si>
  <si>
    <t>Nêm (đóng ke cân bằng)</t>
  </si>
  <si>
    <t>036-6004 A1 ( điểm)- 2022 ( kệ 53h)</t>
  </si>
  <si>
    <t>2000198438263</t>
  </si>
  <si>
    <t>ốp  điểm B/sứ 6-6004 DE A1 ( 1h = 8v = 1.44m2)</t>
  </si>
  <si>
    <t>PDP832014 A1(1H=3V=1.92M2)</t>
  </si>
  <si>
    <t>Gạch 80*80 phù đổng mã PDP832014 A1(1H=3V=1.92M2)</t>
  </si>
  <si>
    <t>FT4601 A1(1h=5v=1.2m2)</t>
  </si>
  <si>
    <t>2000214252354</t>
  </si>
  <si>
    <t>Gạch 40*60 vĩnh thắng mã FT4601 A1(1h=5v=1.2m2)</t>
  </si>
  <si>
    <t>6-6002D A1 - Viên</t>
  </si>
  <si>
    <t>2000198438829</t>
  </si>
  <si>
    <t>Ốp Porcelain 6-6002D A1 ( Đậm) - Viên</t>
  </si>
  <si>
    <t>PDPSG-46302 A1(8v/h=1.92m2)</t>
  </si>
  <si>
    <t>Gạch TOKO 40*60 Dầy 10mm Mã PDPSG-46302 A1(8v/h=1.92m2)</t>
  </si>
  <si>
    <t>PDP832001 A1(1H=3V=1.92M2)</t>
  </si>
  <si>
    <t>Gạch 80*80 phù đổng mã PDP832001 A1(1H=3V=1.92M2)</t>
  </si>
  <si>
    <t>6-6002L A1 ( Nhạt ) - Viên</t>
  </si>
  <si>
    <t>2000198438812</t>
  </si>
  <si>
    <t>Ốp Porcelain 6-6002L A1 ( Nhạt ) - Viên</t>
  </si>
  <si>
    <t>N0355-1009C A1 - Viên</t>
  </si>
  <si>
    <t>2000166291968</t>
  </si>
  <si>
    <t>Gạch lát (50x50) 5-1009C A1 - Viên</t>
  </si>
  <si>
    <t>97-654 a1( viên)</t>
  </si>
  <si>
    <t>2000214248982</t>
  </si>
  <si>
    <t>Gạch Takao-vasary 60*60 mã 97-654 a1( viên)</t>
  </si>
  <si>
    <t>FR5004 A1(viên)</t>
  </si>
  <si>
    <t>2000214251944</t>
  </si>
  <si>
    <t>Gạch Vĩnh thắng mã FR5004 A1(viên)</t>
  </si>
  <si>
    <t>PDP SG363-3003 A1 (1h = 1.44m2)</t>
  </si>
  <si>
    <t>Gạch Toko SV 30*60 - PDP SG363-3003 A1 (1h = 1.44m2)</t>
  </si>
  <si>
    <t>RA 5062 S (viên)</t>
  </si>
  <si>
    <t>2000214247534</t>
  </si>
  <si>
    <t>Gạch sân vườn bán sứ Royal mã 5062 S (viên)</t>
  </si>
  <si>
    <t>DA6603 A1(vien)</t>
  </si>
  <si>
    <t>2000214250237</t>
  </si>
  <si>
    <t>Gach 60 Dmax ma DA6603 A1(vien)</t>
  </si>
  <si>
    <t>N0366-1013 A1 -VIÊN</t>
  </si>
  <si>
    <t>2000166603051</t>
  </si>
  <si>
    <t>Gạch 60x60 - N0366-1013 A1 -VIÊN</t>
  </si>
  <si>
    <t>N0388-6010 -VIÊN</t>
  </si>
  <si>
    <t>2000167209153</t>
  </si>
  <si>
    <t>Gạch Pocelain N0388-6010 -VIÊN</t>
  </si>
  <si>
    <t>48-6007 điểm A1(1h=6v)</t>
  </si>
  <si>
    <t>Gạch 40*80 Nise mã 48-6007 điểm A1(1h=6v)</t>
  </si>
  <si>
    <t>MN612.618 A1(1h=2.16m2)</t>
  </si>
  <si>
    <t>Gạch 60*120 nice mã MN612.618 A1(1h=2.16m2)</t>
  </si>
  <si>
    <t>PDP-4832006 A1(1h=6v=1.92m)-nhạt</t>
  </si>
  <si>
    <t>Gạch toko 40*80 mài bóng PDP-4832006 A1(1h=6v=1.92m)-nhạt</t>
  </si>
  <si>
    <t>FB3604 đậm A1(viên)</t>
  </si>
  <si>
    <t>2000214252538</t>
  </si>
  <si>
    <t>Gạch 30*60 vĩnh thắng mã FB3604 đậm A1(viên)</t>
  </si>
  <si>
    <t>Gạch Lát N8-6032 A1(1h= 1.92m)</t>
  </si>
  <si>
    <t>2000202304812</t>
  </si>
  <si>
    <t>PDP832004 A1(1H=3V=1.92M2)</t>
  </si>
  <si>
    <t>Gạch 80*80 phù đổng mã PDP832004 A1(1H=3V=1.92M2)</t>
  </si>
  <si>
    <t>PDP-4832004 A1(1h=6v=1.92m)-điểm</t>
  </si>
  <si>
    <t>Gạch toko 40*80 mài bóng PDP-4832004 A1(1h=6v=1.92m)-điểm</t>
  </si>
  <si>
    <t>8-5001 A1- VIÊN</t>
  </si>
  <si>
    <t>2000202509866</t>
  </si>
  <si>
    <t>Gạch lát toko 8-5001 A1- VIÊN</t>
  </si>
  <si>
    <t>GẠCH TOKO 5-8008 A1 ( VIÊN)</t>
  </si>
  <si>
    <t>2000201876846</t>
  </si>
  <si>
    <t>TOKO 50*50 MÃ 5-8016 A1(VIÊN)</t>
  </si>
  <si>
    <t>2000214248104</t>
  </si>
  <si>
    <t>GẠCH TOKO 50*50 MÃ 5-8016 A1(VIÊN)</t>
  </si>
  <si>
    <t>SV-N0355-1603 A1 - VIÊN</t>
  </si>
  <si>
    <t>2000166600784</t>
  </si>
  <si>
    <t>Sân vườn N0355-1603 A1 - VIÊN</t>
  </si>
  <si>
    <t>Nise N5-1322 A1(viên)</t>
  </si>
  <si>
    <t>2000214248258</t>
  </si>
  <si>
    <t>Gạch 50 SV mã Nise N5-1322 A1(viên)</t>
  </si>
  <si>
    <t>TOKO 5-8007 (VIÊN)</t>
  </si>
  <si>
    <t>2000201826957</t>
  </si>
  <si>
    <t>0355-1002C A1 - Viên</t>
  </si>
  <si>
    <t>2000166291548</t>
  </si>
  <si>
    <t>Gạch Nise 0355-1002C A1 - Viên</t>
  </si>
  <si>
    <t>N0388-6019 A1 -VIÊN ( Vân đá)</t>
  </si>
  <si>
    <t>2000167210357</t>
  </si>
  <si>
    <t>Gạch Pocelain N0388-6019 A1 -VIÊN</t>
  </si>
  <si>
    <t>DA61209 A1(1h=3v=2.16 m2)</t>
  </si>
  <si>
    <t>Gạch DMAX kích thước 60*120 mã DA61209 A1(1h=3v=2.16 m2)</t>
  </si>
  <si>
    <t>48-6002 nhạt A1 - VIÊN</t>
  </si>
  <si>
    <t>2000214250985</t>
  </si>
  <si>
    <t>Gạch Nise 40*80 Mã 48-6002 nhạt A1 - VIÊN</t>
  </si>
  <si>
    <t>DA61219 A1(1h=3v=2.16 m2)</t>
  </si>
  <si>
    <t>Gạch DMAX kích thước 60*120 mã DA61219 A1(1h=3v=2.16 m2)</t>
  </si>
  <si>
    <t>0348-6001 diem A1 - VIÊN</t>
  </si>
  <si>
    <t>2000214250244</t>
  </si>
  <si>
    <t>Gach 40*80 nise Pocerlain 0348-6001 diem A1 - VIÊN</t>
  </si>
  <si>
    <t>DA61211 A1(1h=3v=2.16 m2)</t>
  </si>
  <si>
    <t>Gạch DMAX kích thước 60*120 mã DA61211 A1(1h=3v=2.16 m2)</t>
  </si>
  <si>
    <t>FM5510 A1(1h=6v=1.5m2)</t>
  </si>
  <si>
    <t>Gạch 50*50 vĩnh thắng mã FM5510 A1(1h=6v=1.5m2)</t>
  </si>
  <si>
    <t>N6-6013 A1</t>
  </si>
  <si>
    <t>Gạch Pocelain N6-6013 A1 ( 1 hộp = 1.44m2)</t>
  </si>
  <si>
    <t>5302 A1(viên)</t>
  </si>
  <si>
    <t>2000214250541</t>
  </si>
  <si>
    <t>Gạch toko d10p mã 5302 A1(viên)</t>
  </si>
  <si>
    <t>FB3605 Điểm A1(8v/h)</t>
  </si>
  <si>
    <t>Gạch 30/60 vĩnh thắng mã FB3605 Điểm A1(8v/h)</t>
  </si>
  <si>
    <t>N8-6039A1(viên)</t>
  </si>
  <si>
    <t>2000214248142</t>
  </si>
  <si>
    <t>Gạch 80*80 mã N8-6039A1(viên)</t>
  </si>
  <si>
    <t>N5-1006 A1 - Viên</t>
  </si>
  <si>
    <t>2000172428846</t>
  </si>
  <si>
    <t>Gạch (50x50) N5-1006 A1 - Viên</t>
  </si>
  <si>
    <t>SV- N0366- 1301 A1</t>
  </si>
  <si>
    <t>2000166601316</t>
  </si>
  <si>
    <t>Sân vườn N6- 1301 A1 ( 1 hộp = 1.44m2)</t>
  </si>
  <si>
    <t>Gạch N8-6200  A3 (đen vân)</t>
  </si>
  <si>
    <t>Gạch N8-6200  A3</t>
  </si>
  <si>
    <t>AD 1683 (hộp)</t>
  </si>
  <si>
    <t>Gạch thẻ trang trí ấn độ kích thước 30*60 mã 1683(1 hộp =6v=1.08m2)</t>
  </si>
  <si>
    <t>FB3610 điểm A1(1h=8v=1.44m2)</t>
  </si>
  <si>
    <t>Gạch 30*60 vĩnh thắng mã FB3610 điểm A1(1h=8v=1.44m2)</t>
  </si>
  <si>
    <t>PDP832003 A1 - VIÊN</t>
  </si>
  <si>
    <t>2000214253290</t>
  </si>
  <si>
    <t>Gạch 80*80 phù đổng mã PDP832003 A1 - VIÊN</t>
  </si>
  <si>
    <t>FB3603 Điểm A1(8v/h)</t>
  </si>
  <si>
    <t>Gạch 30/60 vĩnh thắng mã FB3603 Điểm A1(8v/h)</t>
  </si>
  <si>
    <t>FB3605 Điểm A1- VIÊN</t>
  </si>
  <si>
    <t>2000214253870</t>
  </si>
  <si>
    <t>Gạch 30/60 vĩnh thắng mã FB3605 Điểm A1- VIÊN</t>
  </si>
  <si>
    <t>N6-1021 A1 -VIÊN</t>
  </si>
  <si>
    <t>2000214251265</t>
  </si>
  <si>
    <t>Gạch 60C Nise mã N6-1021 A1 -VIÊN</t>
  </si>
  <si>
    <t>N8-6042 A1(viên)</t>
  </si>
  <si>
    <t>2000214252408</t>
  </si>
  <si>
    <t>Gạch 80 nise mã N8-6042 A1(viên)</t>
  </si>
  <si>
    <t>N0366-6009 A1 - VIÊN ( Vàng)</t>
  </si>
  <si>
    <t>2000167123459</t>
  </si>
  <si>
    <t>Gạch Pocelain N0366-6009 A1 - VIÊN ( 1 hộp =1.44m2)</t>
  </si>
  <si>
    <t>AD 1543 (hộp)</t>
  </si>
  <si>
    <t>Gạch thẻ trang trí ấn độ kích thước 30*60 mã 1543(1 hộp =6v=1.08m2)</t>
  </si>
  <si>
    <t>0348-6001 diem A1(1h=1.92m2)</t>
  </si>
  <si>
    <t>Gach 40*80 nise Pocerlain 0348-6001 diem A1(1h=1.92m2)</t>
  </si>
  <si>
    <t>97-601 (VIÊN)</t>
  </si>
  <si>
    <t>2000214249149</t>
  </si>
  <si>
    <t>Gạch Takao - vasary lát nền 60*60 mã 97-601 (VIÊN)</t>
  </si>
  <si>
    <t>N0388-6007 A1 - VIÊN</t>
  </si>
  <si>
    <t>2000167206299</t>
  </si>
  <si>
    <t>Gạch Pocelain N0388-6007 A1 - VIÊN</t>
  </si>
  <si>
    <t>18912(viên)</t>
  </si>
  <si>
    <t>2000214255003</t>
  </si>
  <si>
    <t>Gạch 80 Takao crystal mã 18912(viên)</t>
  </si>
  <si>
    <t>AD 1072 (hộp)</t>
  </si>
  <si>
    <t>Gạch thẻ trang trí ấn độ kích thước 30*60 mã 1072 (1 hộp =6v=1.08m2)</t>
  </si>
  <si>
    <t>F3303 A1(1h=11V)</t>
  </si>
  <si>
    <t>2000214251708</t>
  </si>
  <si>
    <t>Gạch Vĩnh Thắng chống trơn 30 SG mã F3303 A1(1h=11V)</t>
  </si>
  <si>
    <t>18402(1h=1.92m2)</t>
  </si>
  <si>
    <t>Gạch 80 Takao crystal mã 18402(1h=1.92m2)</t>
  </si>
  <si>
    <t>Gạch TOKO 5-8002  A1  ( viên)</t>
  </si>
  <si>
    <t>2000201935598</t>
  </si>
  <si>
    <t>DA6602 A1(viên)</t>
  </si>
  <si>
    <t>2000214250749</t>
  </si>
  <si>
    <t>Gạch Dmax DA6602 A1(viên)</t>
  </si>
  <si>
    <t>PDP-632.005 A1(viên)</t>
  </si>
  <si>
    <t>2000214248302</t>
  </si>
  <si>
    <t>Gạch TOKO 60 mài bóng mã PDP-632.005 A1(viên)</t>
  </si>
  <si>
    <t>MG55001 A1 - VIÊN</t>
  </si>
  <si>
    <t>2000214250268</t>
  </si>
  <si>
    <t>Gạch hacera 50*50SV mã MG55001 A1 - VIÊN</t>
  </si>
  <si>
    <t>FB3610 điểm(viên)</t>
  </si>
  <si>
    <t>2000214253627</t>
  </si>
  <si>
    <t>Gạch 30*60 vĩnh thắng mã FB3610 điểm(viên)</t>
  </si>
  <si>
    <t>TOKO 5-8006 A1 - Viên</t>
  </si>
  <si>
    <t>2000201801497</t>
  </si>
  <si>
    <t>Sân vườn TOKO 5-8006 A1 - Viên</t>
  </si>
  <si>
    <t>N8-6043 a1(viên)</t>
  </si>
  <si>
    <t>2000214252422</t>
  </si>
  <si>
    <t>N6-1022 A1- VIÊN</t>
  </si>
  <si>
    <t>2000214251272</t>
  </si>
  <si>
    <t>Gach 60 Nise Mã N6-1022 A1- VIÊN</t>
  </si>
  <si>
    <t>N6-1020 a1(viên)</t>
  </si>
  <si>
    <t>2000214248821</t>
  </si>
  <si>
    <t>Gạch Nise 60 mã N6-1020 a1(viên)</t>
  </si>
  <si>
    <t>16902 (viên)</t>
  </si>
  <si>
    <t>2000214254471</t>
  </si>
  <si>
    <t>Gạch 60 TAKAO ma 16902 (viên)</t>
  </si>
  <si>
    <t>MG55007 A1 - VIÊN</t>
  </si>
  <si>
    <t>2000214250411</t>
  </si>
  <si>
    <t>Gạch hacera 50*50SV mã MG55007 A1- VIÊN</t>
  </si>
  <si>
    <t>FB3605 Đậm A1 - VIÊN</t>
  </si>
  <si>
    <t>2000214253856</t>
  </si>
  <si>
    <t>Gạch 30/60 vĩnh thắng mã FB3605 Đậm A1 - VIÊN</t>
  </si>
  <si>
    <t>Gạch toko 5-8012 ( viên)</t>
  </si>
  <si>
    <t>2000201971558</t>
  </si>
  <si>
    <t>Gạch 60*60 TOKO 8-5008 A1( viên)</t>
  </si>
  <si>
    <t>2000214248067</t>
  </si>
  <si>
    <t>Gạch 60*60 Gạch 60*60 TOKO 8-5008 A1( viên)</t>
  </si>
  <si>
    <t>N6-1014 A1 - Viên</t>
  </si>
  <si>
    <t>2000183366939</t>
  </si>
  <si>
    <t>Gạch  N6-1014 A1 - Viên</t>
  </si>
  <si>
    <t>N8-6042 A2(hộp= 1.92m2)</t>
  </si>
  <si>
    <t>Gạch 80*80 nise mã N8-6042 A2(hộp= 1.92m2)</t>
  </si>
  <si>
    <t>N0355-1604 (A1)</t>
  </si>
  <si>
    <t>2000166600968</t>
  </si>
  <si>
    <t>Sân vườn N0355-1604 (A1) - VIÊN</t>
  </si>
  <si>
    <t>Ốp điểm 40*80 mã 48-6003 A1 (viên)</t>
  </si>
  <si>
    <t>2000202512286</t>
  </si>
  <si>
    <t>PDP 336002 điểm A1(viên)</t>
  </si>
  <si>
    <t>2000214249552</t>
  </si>
  <si>
    <t>Gạch tko 30*60BS mã PDP 336002 điểm A1(viên)</t>
  </si>
  <si>
    <t>N6-6400 A1-tia chớp - VIÊN</t>
  </si>
  <si>
    <t>2000214251111</t>
  </si>
  <si>
    <t>Gạch 60 BS nice mã N6-6400 A1-tia chớp - VIÊN</t>
  </si>
  <si>
    <t>PDP-4832008 A1(1h=6v=1.92m)-đậm</t>
  </si>
  <si>
    <t>Gạch toko 40*80 mài bóng PDP-4832008 A1(1h=6v=1.92m)-đậm</t>
  </si>
  <si>
    <t>16906(viên)</t>
  </si>
  <si>
    <t>2000214254372</t>
  </si>
  <si>
    <t>Gạch 60 Takao crystal mã 16906(viên)</t>
  </si>
  <si>
    <t>PDP-336007 điểm A1(1h=8v=1.44m2)</t>
  </si>
  <si>
    <t>Gạch TOKO 30*60 BS mã PDP-336007 điểm A1(1h=8v=1.44m2)</t>
  </si>
  <si>
    <t>MG55009 - VIÊN</t>
  </si>
  <si>
    <t>2000214250282</t>
  </si>
  <si>
    <t>Gạch hacera 50*50SV mã MG55009 A1 - VIÊN</t>
  </si>
  <si>
    <t>SV 5-8005 A1 - Viên</t>
  </si>
  <si>
    <t>2000202001087</t>
  </si>
  <si>
    <t>Gạch SV 5-8005 A1 - Viên</t>
  </si>
  <si>
    <t>TOKO 8-5006 A1(viên)</t>
  </si>
  <si>
    <t>2000214248043</t>
  </si>
  <si>
    <t>Gạch 60*60 TOKO 8-5006 A1(viên)</t>
  </si>
  <si>
    <t>0348-6001 dam A1 - VIÊN</t>
  </si>
  <si>
    <t>2000214250572</t>
  </si>
  <si>
    <t>Gach 40*80 nise Pocerlain 0348-6001 dam A1 - VIÊN</t>
  </si>
  <si>
    <t>DA8806 A1(viên)</t>
  </si>
  <si>
    <t>2000214250343</t>
  </si>
  <si>
    <t>Gạch DMAX 80*80 mã DA8806 A1(viên)</t>
  </si>
  <si>
    <t>FB3607 điểm  A1(1h=8v=1.44m2)</t>
  </si>
  <si>
    <t>Gạch ốp 30*60 Vĩnh Thắng mã FB3607 điểm A1(1h=8v=1.44m2)</t>
  </si>
  <si>
    <t>Gạch 60*60 Toko 8-5002  A1(viên)</t>
  </si>
  <si>
    <t>2000214247442</t>
  </si>
  <si>
    <t>PDP-4832005 A</t>
  </si>
  <si>
    <t>Gạch toko 40*80 mài bóng PDP-4832005 A(1h=6v=1.92m)-đậm</t>
  </si>
  <si>
    <t>N48-6003L (A1) - Viên</t>
  </si>
  <si>
    <t>2000199484856</t>
  </si>
  <si>
    <t>Gạch Porcelain N48-6003L (A1) - Viên</t>
  </si>
  <si>
    <t>Gạch N8-6200 A2-viên</t>
  </si>
  <si>
    <t>2000214247428</t>
  </si>
  <si>
    <t>Gạch N8-6200 A2 viên</t>
  </si>
  <si>
    <t>N33.6007 A2(hộp)</t>
  </si>
  <si>
    <t>2000214252774</t>
  </si>
  <si>
    <t>Ốp 30*60 nise mã N336.6007 A2(hộp)</t>
  </si>
  <si>
    <t>Mã 97-507 a1(viên)</t>
  </si>
  <si>
    <t>2000214248760</t>
  </si>
  <si>
    <t>Gạch Takao-Vasary Mã 97-507 a1(viên)</t>
  </si>
  <si>
    <t>0348-6001 nhat A1 - VIÊN</t>
  </si>
  <si>
    <t>2000214250596</t>
  </si>
  <si>
    <t>Gach 40*80 nise Pocerlain 0348-6001 nhat A1 - VIÊN</t>
  </si>
  <si>
    <t>F6602 a1(viên)</t>
  </si>
  <si>
    <t>2000214252620</t>
  </si>
  <si>
    <t>Gạch 60 vĩnh thắng mã F6602 a1(viên)</t>
  </si>
  <si>
    <t>AD CAFE (1hộp=5v=1.2m2)</t>
  </si>
  <si>
    <t>Gạch nền kích thước 20*120 ấn độ mã CAFE (1h=5v=1.2m2)</t>
  </si>
  <si>
    <t>MR 12908 A1 (1h=3v =2,16 m2)</t>
  </si>
  <si>
    <t>Gạch 60*120 Thắng Cường Mã MR 12908 A1 (1h=3v =2,16 m2)</t>
  </si>
  <si>
    <t>MR 12902 A1 (1h=3v =2,16 m2)</t>
  </si>
  <si>
    <t>Gạch 60*120 Thắng Cường Mã MR 12902 A1 (1h=3v =2,16 m2)</t>
  </si>
  <si>
    <t>N0355-1601 A1 - VIÊN</t>
  </si>
  <si>
    <t>2000166383694</t>
  </si>
  <si>
    <t>Gạch Nise - N0355-1601 A1 - VIÊN</t>
  </si>
  <si>
    <t>N0388-6003 A1 - Viên</t>
  </si>
  <si>
    <t>2000171992317</t>
  </si>
  <si>
    <t>Gạch Pocelain N8-6003 A1 - Viên</t>
  </si>
  <si>
    <t>FB3603 điểm A1(VIÊN)</t>
  </si>
  <si>
    <t>2000214253917</t>
  </si>
  <si>
    <t>Gạch 30/60 vĩnh thắng mã FB3603 điểm A1(VIÊN)</t>
  </si>
  <si>
    <t>AD APRICOT  (1h=5v=1.2m2)</t>
  </si>
  <si>
    <t>Gạch nền kích thước 20*120 ấn độ mã APRICOT (1h=5v=1.2m2)</t>
  </si>
  <si>
    <t>AD LIFE (1h=5v=1.2m2)</t>
  </si>
  <si>
    <t>Gạch nền kích thước 20*120 ấn độ mã LIFE (1h=5v=1.2m2)</t>
  </si>
  <si>
    <t>PDP-4832010 A1(1h=6v=1.92m)-điểm</t>
  </si>
  <si>
    <t>Gạch toko 40*80 mài bóng PDP-4832010 A1(1h=6v=1.92m)-điểm</t>
  </si>
  <si>
    <t>N6-6042 VT A1- VIÊN</t>
  </si>
  <si>
    <t>2000214252286</t>
  </si>
  <si>
    <t>Gạch 60*60 Nise mã N6-6042 VT A1- VIÊN</t>
  </si>
  <si>
    <t>97-604 A1 - VIÊN</t>
  </si>
  <si>
    <t>2000214249200</t>
  </si>
  <si>
    <t>Lát nền 60*60 bóng - mã 97-604 A1 - VIÊN</t>
  </si>
  <si>
    <t>N6-6043 VT A1 - VIÊN</t>
  </si>
  <si>
    <t>2000214252293</t>
  </si>
  <si>
    <t>Gạch 60*60 Nise mã N6-6043 VT A1 - VIÊN</t>
  </si>
  <si>
    <t>F6612 A1 - VIÊN</t>
  </si>
  <si>
    <t>2000214252163</t>
  </si>
  <si>
    <t>Gạch 60C vĩnh thắng mã F6612 A1 - VIÊN</t>
  </si>
  <si>
    <t>PDP-4832002 A1(1h=6v=1.92m)- điểm khói trắng</t>
  </si>
  <si>
    <t>Gạch toko 40*80 mài bóng PDP-4832002 A1(1h=6v=1.92m)- điểm khói trắng</t>
  </si>
  <si>
    <t>48-5004 Nhạt men mát - VIÊN</t>
  </si>
  <si>
    <t>2000214251043</t>
  </si>
  <si>
    <t>Gạch 40*80 Mã 48-5004 Nhạt men mát - VIÊN</t>
  </si>
  <si>
    <t>MN612.510 A1(1h=3v=2.16m2)</t>
  </si>
  <si>
    <t>Gạch nice 60*120 men mát MN612.510 A1(1h=3v=2.16m2)</t>
  </si>
  <si>
    <t>PDP-336007 điểm A1- VIÊN</t>
  </si>
  <si>
    <t>2000214250459</t>
  </si>
  <si>
    <t>Gạch TOKO 30*60 BS mã PDP-336007 điểm A1- VIÊN</t>
  </si>
  <si>
    <t>DP518 A1 - Viên</t>
  </si>
  <si>
    <t>2000214248937</t>
  </si>
  <si>
    <t>Sân vườn ROYAL 50*50 -  DP518 A1 - Viên</t>
  </si>
  <si>
    <t>N6-6008 A2 - Viên</t>
  </si>
  <si>
    <t>2000199183131</t>
  </si>
  <si>
    <t>Lát N6-6008 A2 - Viên</t>
  </si>
  <si>
    <t>PDP-4832004 A1- VIÊN</t>
  </si>
  <si>
    <t>2000214249705</t>
  </si>
  <si>
    <t>Gạch điểm toko 40*80 mài bóng PDP-4832004 A1- VIÊN</t>
  </si>
  <si>
    <t>FB3601Điểm A1(hộp)</t>
  </si>
  <si>
    <t>Gạch ốp 30x60 - FB3601 Điểm A1 (1h=1.44m2)</t>
  </si>
  <si>
    <t>13202 A1(1h=8v=1.44m2)</t>
  </si>
  <si>
    <t>Gạch TAKAO Crystal 30*60 men bóng mã 13202 A1(1h=8v=1.44m2)</t>
  </si>
  <si>
    <t>13206A1(1h=8v=1.44m2)</t>
  </si>
  <si>
    <t>Gạch TAKAO Crystal 30*60 men bóng điểm mã 13206A1(1h=8v=1.44m2)</t>
  </si>
  <si>
    <t>0336.6007 DE Điểm A1- VIÊN</t>
  </si>
  <si>
    <t>2000214251029</t>
  </si>
  <si>
    <t>Gạch Nise 30*60 Mã 0336.6007 DE Điểm A1- VIÊN</t>
  </si>
  <si>
    <t>0348-601 (Vàng) - VIÊN</t>
  </si>
  <si>
    <t>2000214248173</t>
  </si>
  <si>
    <t>Ốp 0348-601 (Vàng) - VIÊN</t>
  </si>
  <si>
    <t>97-854 a1 viên</t>
  </si>
  <si>
    <t>2000214249156</t>
  </si>
  <si>
    <t>gạch takao 80*80 mã 97-854 a1 viên</t>
  </si>
  <si>
    <t>PDP-336010D A1(viên)</t>
  </si>
  <si>
    <t>2000214249323</t>
  </si>
  <si>
    <t>Gạch 30*60 bs toko mã PDP-336010 A1 điểm - (viên)</t>
  </si>
  <si>
    <t>18701(viên)</t>
  </si>
  <si>
    <t>2000214256574</t>
  </si>
  <si>
    <t>Gạch Takao elite mã 18701(viên)</t>
  </si>
  <si>
    <t>FB3601 viên</t>
  </si>
  <si>
    <t>2000214252460</t>
  </si>
  <si>
    <t>Gạch 30*60 vĩnh thắng mã FB3601 viên</t>
  </si>
  <si>
    <t>97-501 A1(viên)</t>
  </si>
  <si>
    <t>2000214249019</t>
  </si>
  <si>
    <t>Gạch takao-vasary 50*50 mã 97-501 A1(viên)</t>
  </si>
  <si>
    <t>N8-6038 A1 (viên)</t>
  </si>
  <si>
    <t>2000214248128</t>
  </si>
  <si>
    <t>Gạch 80*80 mã N8-6038 A1 (viên)</t>
  </si>
  <si>
    <t>0336.6003 DE Điểm - VIÊN</t>
  </si>
  <si>
    <t>2000214251036</t>
  </si>
  <si>
    <t>Gạch Nise 30*60 Mã 0336.6003 DE Điểm - VIÊN</t>
  </si>
  <si>
    <t>PDP832006 A1(hộp =1.92m2)</t>
  </si>
  <si>
    <t>Gạch 80 TOKO mã PDP832006 A1(hộp =1.92m2)</t>
  </si>
  <si>
    <t>toko 3005A1 - VIÊN</t>
  </si>
  <si>
    <t>2000214249026</t>
  </si>
  <si>
    <t>Sân vườn 30x60 - toko 3005A1 - VIÊN</t>
  </si>
  <si>
    <t>632-003 A1 - VIÊN</t>
  </si>
  <si>
    <t>2000214249293</t>
  </si>
  <si>
    <t>Lát nền 60*60 bán sứ 632-003 A1 - VIÊN</t>
  </si>
  <si>
    <t>336004 A1(viên)</t>
  </si>
  <si>
    <t>2000214250633</t>
  </si>
  <si>
    <t>Gạch 30*60 BS mã 336004 A1(viên)</t>
  </si>
  <si>
    <t>N6-6040 A2(hộp = 1.44m2)</t>
  </si>
  <si>
    <t>Gạch 60*60 Nise mã N6-6040 A2(hộp = 1.44m2)</t>
  </si>
  <si>
    <t>N8-6003 A2</t>
  </si>
  <si>
    <t>Gạch lát N8-6003 A2 ( 1 hộp = 1.92m2)</t>
  </si>
  <si>
    <t>TOKO 50*50 MÃ 5-8015 A1(viên)</t>
  </si>
  <si>
    <t>2000214248081</t>
  </si>
  <si>
    <t>GẠCH TOKO 50*50 MÃ 5-8015 A1(viên)</t>
  </si>
  <si>
    <t>97-804 A1( viên)</t>
  </si>
  <si>
    <t>2000214249132</t>
  </si>
  <si>
    <t>Gachj 80 takao-vasary mã 97-804 A1( viên)</t>
  </si>
  <si>
    <t>DA8801 A1( viên)</t>
  </si>
  <si>
    <t>2000214250756</t>
  </si>
  <si>
    <t>Gạch 80*80 D-MAX mã DA8801 A1( viên)</t>
  </si>
  <si>
    <t>5306 A1(viên)</t>
  </si>
  <si>
    <t>2000214250602</t>
  </si>
  <si>
    <t>Gạch 50sv d10p mã 5306 A1(viên)</t>
  </si>
  <si>
    <t>DA6607 A1(1h=4v=1.44m2)</t>
  </si>
  <si>
    <t>2000214253351</t>
  </si>
  <si>
    <t>Gạch 60 Dmax mã DA6607 A1(1h=4v=1.44m2)</t>
  </si>
  <si>
    <t>FB3605  NHẠT  A1 - VIÊN</t>
  </si>
  <si>
    <t>2000214253863</t>
  </si>
  <si>
    <t>Gạch 30/60 vĩnh thắng mã FB3605 Nhạt A1 - VIÊN</t>
  </si>
  <si>
    <t>DA61219 A1(viên)</t>
  </si>
  <si>
    <t>2000214250732</t>
  </si>
  <si>
    <t>Gạch Dmax-thắng cường 60*120 mã DA61219 A1(viên)</t>
  </si>
  <si>
    <t>46304 a1(viên)</t>
  </si>
  <si>
    <t>2000214252644</t>
  </si>
  <si>
    <t>Gạch 40*60 dầy 10mm mã 46304 a1(viên)</t>
  </si>
  <si>
    <t>takao 97-504 A1 ( Viên)</t>
  </si>
  <si>
    <t>2000214248715</t>
  </si>
  <si>
    <t>Sân vườn Takao 97-504 A1 ( Viên)</t>
  </si>
  <si>
    <t>4832010 điểm a1(viên)</t>
  </si>
  <si>
    <t>2000214249804</t>
  </si>
  <si>
    <t>Gạch toko 40*80 mã 4832010 điểm a1(viên)</t>
  </si>
  <si>
    <t>Gạch TOKO 8-5005 A1 (viên)</t>
  </si>
  <si>
    <t>2000214247480</t>
  </si>
  <si>
    <t>PDP-336009 A1 (viên)</t>
  </si>
  <si>
    <t>2000214249316</t>
  </si>
  <si>
    <t>Gạch 30*60 BS toko mã PDP-336009 A1 (viên)</t>
  </si>
  <si>
    <t>N8-6031 A1 - Viên (2022)</t>
  </si>
  <si>
    <t>2000198486424</t>
  </si>
  <si>
    <t>Gạch Porcelain N8-6031 A1 - Viên</t>
  </si>
  <si>
    <t>RA 5061 S (viên)</t>
  </si>
  <si>
    <t>2000214247510</t>
  </si>
  <si>
    <t>Gạch sân vườn bán sứ Royal mã 5061 S (viên)</t>
  </si>
  <si>
    <t>FB3601 Điểm A1 - VIÊN</t>
  </si>
  <si>
    <t>2000214253054</t>
  </si>
  <si>
    <t>Gạch ốp 30x60 - FB3601 Điểm A1 - VIÊN</t>
  </si>
  <si>
    <t>N0388-6017 A1 -VIÊN</t>
  </si>
  <si>
    <t>2000167195258</t>
  </si>
  <si>
    <t>Gạch Pocelain N0388-6017 A1 -VIÊN</t>
  </si>
  <si>
    <t>N8-6040 A2(hộp= 1.92m2)</t>
  </si>
  <si>
    <t>2000214252804</t>
  </si>
  <si>
    <t>Gạch 80*80 nise mã N8-6040 A2(hộp= 1.92m2)</t>
  </si>
  <si>
    <t>VI28 A1 - Viên - 2022</t>
  </si>
  <si>
    <t>2000199586796</t>
  </si>
  <si>
    <t>Sân vườn VI28 A1 - Viên</t>
  </si>
  <si>
    <t>PDP-336010 điểm A1(1h=8v=1.44m2)</t>
  </si>
  <si>
    <t>Gạch TOKO 30*60 BS mã PDP-336010 điểm A1(1h=8v=1.44m2)</t>
  </si>
  <si>
    <t>0348-6007 nhạt A1 - VIÊN</t>
  </si>
  <si>
    <t>2000214251845</t>
  </si>
  <si>
    <t>Gạch 40*80 Nise mã 0348-6007 nhạt A1 - Viên</t>
  </si>
  <si>
    <t>FB3603 đậm A1(VIÊN)</t>
  </si>
  <si>
    <t>2000214253924</t>
  </si>
  <si>
    <t>Gạch 30/60 vĩnh thắng mã FB3603 đậm A1(VIÊN)</t>
  </si>
  <si>
    <t>N5-1323 A1(viên)</t>
  </si>
  <si>
    <t>2000214248272</t>
  </si>
  <si>
    <t>Gạch 50 SV mã Nise N5-1323 A1(viên)</t>
  </si>
  <si>
    <t>TP602 A1- VIÊN</t>
  </si>
  <si>
    <t>2000214249729</t>
  </si>
  <si>
    <t>Gạch royal men mát 60*60 BS mã TP602 A1- VIÊN</t>
  </si>
  <si>
    <t>336004 điểm A1(1h=8v)</t>
  </si>
  <si>
    <t>Gạch 30*60bs mã 336004 điểm A1(1h=8v)</t>
  </si>
  <si>
    <t>FR5001 A1(viên)</t>
  </si>
  <si>
    <t>2000214252217</t>
  </si>
  <si>
    <t>Gạch 50 sv vĩnh thắng FR5001 A1(viên)</t>
  </si>
  <si>
    <t>PDP-4832001 A1 - VIÊN</t>
  </si>
  <si>
    <t>2000214249644</t>
  </si>
  <si>
    <t>Gạch toko 40*80 mài bóng PDP-4832001 A1 - VIÊN ( khói trắng)</t>
  </si>
  <si>
    <t>Mã 0336.6003 DE Điểm A1(1h=8v)</t>
  </si>
  <si>
    <t>Gạch Nise 30*60 Mã 0336.6003 DE Điểm A1(1h=8v)</t>
  </si>
  <si>
    <t>N6-6022 (viên)</t>
  </si>
  <si>
    <t>2000214255577</t>
  </si>
  <si>
    <t>Gạch 60 nice mã N6-6022 (viên)</t>
  </si>
  <si>
    <t>17151 - VIÊN</t>
  </si>
  <si>
    <t>2000214256468</t>
  </si>
  <si>
    <t>Gạch 60 Takao crystal mã 17151 - VIÊN</t>
  </si>
  <si>
    <t>MN612-606 A1 ( 600x120)</t>
  </si>
  <si>
    <t>2000199484863</t>
  </si>
  <si>
    <t>Gạch Porcelain MN612-606 A1</t>
  </si>
  <si>
    <t>AD 1347 (hộp)</t>
  </si>
  <si>
    <t>Gạch thẻ trang trí ấn độ kích thước 30*60 mã 1347(1 hộp =6v=1.08m2)</t>
  </si>
  <si>
    <t>DA61205 A1(viên)</t>
  </si>
  <si>
    <t>2000214250015</t>
  </si>
  <si>
    <t>Gạch DMAX kích thước 60*120 mã DA61205 A1(viên)</t>
  </si>
  <si>
    <t>5304 A1(viên)</t>
  </si>
  <si>
    <t>2000214250619</t>
  </si>
  <si>
    <t>Gạch SV50 d10p mã 5304 A1(viên)</t>
  </si>
  <si>
    <t>FR5002 viên</t>
  </si>
  <si>
    <t>2000214251968</t>
  </si>
  <si>
    <t>Gạch 50*50 vĩnh thắng mã FR5002 viên</t>
  </si>
  <si>
    <t>N6-6015 A1 - Viên</t>
  </si>
  <si>
    <t>2000200082361</t>
  </si>
  <si>
    <t>Gạch lát N6-6015 A1 - Viên</t>
  </si>
  <si>
    <t>gạch 80 takao 97-855  a1 -viên</t>
  </si>
  <si>
    <t>2000214251197</t>
  </si>
  <si>
    <t>gạch 80 takao 97-855 a1 -viên</t>
  </si>
  <si>
    <t>Ốp 40*80 điểm mã 48-6003 E   A1(1h=6v=1.92m)</t>
  </si>
  <si>
    <t>RA 5063 S (viên)</t>
  </si>
  <si>
    <t>2000214247541</t>
  </si>
  <si>
    <t>Gạch sân vườn bán sứ Royal mã 5063 S (viên)</t>
  </si>
  <si>
    <t>48-6002 điểm A1 - VIÊN</t>
  </si>
  <si>
    <t>2000214250992</t>
  </si>
  <si>
    <t>Gạch Nise 40*80 Mã 48-6002 điểm A1 - VIÊN</t>
  </si>
  <si>
    <t>PDP336011 a2(1h=8v)</t>
  </si>
  <si>
    <t>gạch 30*60 bs toko mã PDP336011 a2(1h=8v)</t>
  </si>
  <si>
    <t>F6604(viên)</t>
  </si>
  <si>
    <t>2000214252316</t>
  </si>
  <si>
    <t>MN612.606 - 2022</t>
  </si>
  <si>
    <t>2000199589339</t>
  </si>
  <si>
    <t>Gạch  60x120 MN612.606 - A1 ( 1 hộp = 3 viên = 2.16m2)</t>
  </si>
  <si>
    <t>DP502 A1 - VIÊN</t>
  </si>
  <si>
    <t>2000214248975</t>
  </si>
  <si>
    <t>sân vườn Royal 50*50 DP 502 A1 - VIÊN</t>
  </si>
  <si>
    <t>PDP-336011 A1(viên)</t>
  </si>
  <si>
    <t>2000214249330</t>
  </si>
  <si>
    <t>Gạch TOKO 30*60 BS mã PDP-336011 A1(viên)</t>
  </si>
  <si>
    <t>DP520 A1 - VIÊN</t>
  </si>
  <si>
    <t>2000214248968</t>
  </si>
  <si>
    <t>Gạch royal sân vườn 50*50 DP520 A1 - VIÊN</t>
  </si>
  <si>
    <t>MG55003 A1 - VIÊN</t>
  </si>
  <si>
    <t>2000214250565</t>
  </si>
  <si>
    <t>Gach 50SV manggo ma MG55003 A1 - VIÊN</t>
  </si>
  <si>
    <t>N8-6041 A1(viên)</t>
  </si>
  <si>
    <t>2000214251920</t>
  </si>
  <si>
    <t>Gạch nice 80*80 mã N8-6041 A1(viên)</t>
  </si>
  <si>
    <t>F6609 A1 - VIÊN</t>
  </si>
  <si>
    <t>2000214252224</t>
  </si>
  <si>
    <t>Gạch 60C vĩnh thắng mã F6609 A1 - VIÊN</t>
  </si>
  <si>
    <t>N6-6030 A1 - Viên -2022</t>
  </si>
  <si>
    <t>2000198486325</t>
  </si>
  <si>
    <t>Gạch Porcelain N6-6030 A1 - Viên</t>
  </si>
  <si>
    <t>DP 514 A1 - VIÊN</t>
  </si>
  <si>
    <t>2000214248951</t>
  </si>
  <si>
    <t>Sân vườn Royal 50*50 DP 514 A1 - VIÊN</t>
  </si>
  <si>
    <t>97-105 A1(viên)</t>
  </si>
  <si>
    <t>2000214249675</t>
  </si>
  <si>
    <t>Gạch takao 1m*1m mã 97-105 A1(viên)</t>
  </si>
  <si>
    <t>N6-6100 ( A) - Viên</t>
  </si>
  <si>
    <t>2000214250473</t>
  </si>
  <si>
    <t>Gạch Pocelain N6-6100 ( A) - Viên</t>
  </si>
  <si>
    <t>48-5004 đậm a2</t>
  </si>
  <si>
    <t>Gạch 40*80 nise mã 48-5004 đậm a2</t>
  </si>
  <si>
    <t>11104 A1 - VIÊN</t>
  </si>
  <si>
    <t>2000214256031</t>
  </si>
  <si>
    <t>Gạch 1M Takao crystal mã 11104 A1 - VIÊN</t>
  </si>
  <si>
    <t>48-6007 điểm A1 - VIÊN</t>
  </si>
  <si>
    <t>2000214251739</t>
  </si>
  <si>
    <t>Gạch 40*80 Nise mã 48-6007 điểm A1 - VIÊN</t>
  </si>
  <si>
    <t>4832011 đậm(viên)</t>
  </si>
  <si>
    <t>2000214250725</t>
  </si>
  <si>
    <t>Gạch toko 40*80BS mã 4832011 đậm(viên)</t>
  </si>
  <si>
    <t>Mã 48-6002 điểm A1(1h=6v)</t>
  </si>
  <si>
    <t>Gạch Nise 40*80  Mã 48-6002 điểm A1(1h=6v)</t>
  </si>
  <si>
    <t>FB3607 nhạt(viên)</t>
  </si>
  <si>
    <t>2000214252750</t>
  </si>
  <si>
    <t>Gạch 300*60 mã FB3607 nhạt(viên)</t>
  </si>
  <si>
    <t>N6-6030 A2 - 2022</t>
  </si>
  <si>
    <t>Gạch Porcelain N6-6030 A2 ( 1 hộp = 1.44m2)</t>
  </si>
  <si>
    <t>PDP-632.008 A1(viên)</t>
  </si>
  <si>
    <t>2000214248340</t>
  </si>
  <si>
    <t>Gạch TOKO 60 mài bóng mã PDP-632.008 A1(viên)</t>
  </si>
  <si>
    <t>4832009 A1(viên)</t>
  </si>
  <si>
    <t>2000214250718</t>
  </si>
  <si>
    <t>Gạch toko 40*80 BS mã 4832009 A1(viên)</t>
  </si>
  <si>
    <t>0336.6007L Nhạt A1 - VIÊN</t>
  </si>
  <si>
    <t>2000214251005</t>
  </si>
  <si>
    <t>Gạch Nise 30*60 Mã 0336.6007L Nhạt A1 - VIÊN</t>
  </si>
  <si>
    <t>FB3607 đậm A1 - VIÊN</t>
  </si>
  <si>
    <t>2000214252521</t>
  </si>
  <si>
    <t>Gạch ốp 30*60 Vĩnh Thắng mã FB3607 đậm A1 - VIÊN</t>
  </si>
  <si>
    <t>FR5005 Viên</t>
  </si>
  <si>
    <t>2000214254136</t>
  </si>
  <si>
    <t>Gạc 50 SV vĩnh thắng mã FR5005 Viên</t>
  </si>
  <si>
    <t>N6-6031 (A)</t>
  </si>
  <si>
    <t>Gạch Pocelain N6-6031 (A) - 1 hộp = 1.44m2</t>
  </si>
  <si>
    <t>DA8802 A1 - VIÊN</t>
  </si>
  <si>
    <t>2000214250114</t>
  </si>
  <si>
    <t>Gạch DMAX kích thước 80*80 mã DA8802 A1 - VIÊN</t>
  </si>
  <si>
    <t>DA 6604 A1- VIÊN</t>
  </si>
  <si>
    <t>2000214250374</t>
  </si>
  <si>
    <t>Gạch DMAX kích thước 60*60 mã DA 6604 A1- VIÊN</t>
  </si>
  <si>
    <t>N8-6042 a2(viên)</t>
  </si>
  <si>
    <t>2000214252965</t>
  </si>
  <si>
    <t>Gạch 80 nise mã N8-6042 a2(viên)</t>
  </si>
  <si>
    <t>DA1001 A1(1h=2v)</t>
  </si>
  <si>
    <t>Gạch Dmax 1m mã DA1001 A1(1h=2v)</t>
  </si>
  <si>
    <t>DA1002 A1(1h=2v)</t>
  </si>
  <si>
    <t>Gạch Dmax 1m mã DA1002 A1(1h=2v)</t>
  </si>
  <si>
    <t>DA1004 A1(1h=2v)</t>
  </si>
  <si>
    <t>Gạch Dmax 1m mã DA1004 A1(1h=2v)</t>
  </si>
  <si>
    <t>17154 (viên)</t>
  </si>
  <si>
    <t>2000214256321</t>
  </si>
  <si>
    <t>Gạch 60 Takao crystal mã 17154 (viên)</t>
  </si>
  <si>
    <t>0336.6003 đậm(viên)</t>
  </si>
  <si>
    <t>2000214251494</t>
  </si>
  <si>
    <t>Gạch 30*60 nise mã 0336.6003 đậm(viên)</t>
  </si>
  <si>
    <t>PDP-4832003 - VIÊN</t>
  </si>
  <si>
    <t>2000214249620</t>
  </si>
  <si>
    <t>t Gạch toko 40*80 mài bóng PDP-4832003 - VIÊN</t>
  </si>
  <si>
    <t>0348-01 GO A1-VIÊN</t>
  </si>
  <si>
    <t>2000214250428</t>
  </si>
  <si>
    <t>Gạch nice 40*80 lát mã 0348-01 GO A1-VIÊN</t>
  </si>
  <si>
    <t>5303 A1(viên)</t>
  </si>
  <si>
    <t>2000214250589</t>
  </si>
  <si>
    <t>Gạch sv50 d10p mã 5303 A1(viên)</t>
  </si>
  <si>
    <t>SV - N6-1302 A1 - Viên</t>
  </si>
  <si>
    <t>2000171991891</t>
  </si>
  <si>
    <t>Sân vườn N6-1302 A1 - Viên</t>
  </si>
  <si>
    <t>N5 - 1602 A1 - Viên</t>
  </si>
  <si>
    <t>2000172295325</t>
  </si>
  <si>
    <t>Sân vườn (50x50) - N5 - 1602 A1 - Viên</t>
  </si>
  <si>
    <t>N5-1301 A1-VIÊN</t>
  </si>
  <si>
    <t>2000200847861</t>
  </si>
  <si>
    <t>SÂN VƯỜN N5-1301 A1-VIÊN</t>
  </si>
  <si>
    <t>PDP SG363-3001 A1 (viên)</t>
  </si>
  <si>
    <t>2000214248661</t>
  </si>
  <si>
    <t>Gạch Toko SV 30*60 - PDP SG363-3001 A1 (viên)</t>
  </si>
  <si>
    <t>515 A1 - VIÊN</t>
  </si>
  <si>
    <t>2000214248944</t>
  </si>
  <si>
    <t>Sân vườn Royal 50*50 DP 515 A1 - VIÊN</t>
  </si>
  <si>
    <t>BS3605P A1 - Viên</t>
  </si>
  <si>
    <t>2000214249125</t>
  </si>
  <si>
    <t>Sân vườn royal - BS3605P A1 - Viên</t>
  </si>
  <si>
    <t>TP603 A1 - VIÊN</t>
  </si>
  <si>
    <t>2000214249712</t>
  </si>
  <si>
    <t>Gạch royal men mát 60*60 BS mã TP603 A1 - VIÊN</t>
  </si>
  <si>
    <t>48-5004 Đậm MM - VIÊN</t>
  </si>
  <si>
    <t>2000214251050</t>
  </si>
  <si>
    <t>Gạch 40*80 Mã 48-5004 Đậm men mát - VIÊN</t>
  </si>
  <si>
    <t>F3305(viên)</t>
  </si>
  <si>
    <t>2000214254662</t>
  </si>
  <si>
    <t>Gạch 30 vĩnh thắng mã F3305(viên)</t>
  </si>
  <si>
    <t>3601 A1 - VIÊN</t>
  </si>
  <si>
    <t>2000214249064</t>
  </si>
  <si>
    <t>Gạch Royal sân vườn BS3601P A1 - VIÊN</t>
  </si>
  <si>
    <t>97-506 A1(viên)</t>
  </si>
  <si>
    <t>2000214249569</t>
  </si>
  <si>
    <t>Gạch takao 50*50 sv mã 97-506 A1(viên)</t>
  </si>
  <si>
    <t>TCSG5007 A1- VIÊN</t>
  </si>
  <si>
    <t>2000214251074</t>
  </si>
  <si>
    <t>Gạch 50SV Mã TCSG5007 A1- VIÊN</t>
  </si>
  <si>
    <t>AD 1461 (viên)</t>
  </si>
  <si>
    <t>2000214247657</t>
  </si>
  <si>
    <t>Gạch thẻ trang trí ấn độ kích thước 30*60 mã 1461(viên)</t>
  </si>
  <si>
    <t>97-503 A1(viên)</t>
  </si>
  <si>
    <t>2000214249040</t>
  </si>
  <si>
    <t>Gạch takao-vasary 50sv mã 97-503 A1(viên)</t>
  </si>
  <si>
    <t>RA 5031 (viên)</t>
  </si>
  <si>
    <t>2000214247596</t>
  </si>
  <si>
    <t>Gạch sân vườn bán sứ Royal mã 5031 S (viên)</t>
  </si>
  <si>
    <t>PDP-336001 A1 - VIÊN</t>
  </si>
  <si>
    <t>2000214249699</t>
  </si>
  <si>
    <t>Gạch TOKO 30*60 BS mã PDP-336001 A1 - VIÊN</t>
  </si>
  <si>
    <t>FB3607 điểm A1 - VIÊN</t>
  </si>
  <si>
    <t>2000214252484</t>
  </si>
  <si>
    <t>FB3607 Gạch ốp 30*60 Vĩnh Thắng mã FB3607 điểm A1 - VIÊN</t>
  </si>
  <si>
    <t>FM3306 viên</t>
  </si>
  <si>
    <t>2000214252736</t>
  </si>
  <si>
    <t>Gạch 30*30 mã FM3306 viên</t>
  </si>
  <si>
    <t>DA 6601 A1 - VIÊN</t>
  </si>
  <si>
    <t>2000214250299</t>
  </si>
  <si>
    <t>Gạch DMAX KT 60*60 mã DA 6601 A1 - VIÊN</t>
  </si>
  <si>
    <t>diem 4832002 a1(vien)</t>
  </si>
  <si>
    <t>2000214250480</t>
  </si>
  <si>
    <t>Gach 40*80 diem 4832002 a1(vien)</t>
  </si>
  <si>
    <t>5301 A1(viên)</t>
  </si>
  <si>
    <t>2000214250534</t>
  </si>
  <si>
    <t>Gạch 50*50 SV D10 mã 5301 A1(viên)</t>
  </si>
  <si>
    <t>0336.6007D Đậm A1- VIÊN</t>
  </si>
  <si>
    <t>2000214251012</t>
  </si>
  <si>
    <t>Gạch Nise 30*60 Mã 0336.6007D Đậm A1- VIÊN</t>
  </si>
  <si>
    <t>F3302 viên</t>
  </si>
  <si>
    <t>2000214251951</t>
  </si>
  <si>
    <t>Gạch vĩnh thắng 30*30 mã F3302 viên</t>
  </si>
  <si>
    <t>N6-6045 A1 - VIÊN</t>
  </si>
  <si>
    <t>2000214255201</t>
  </si>
  <si>
    <t>Gạch 60 Nise mã N6-6045 A1 - VIÊN</t>
  </si>
  <si>
    <t>3002 A1(viên)</t>
  </si>
  <si>
    <t>2000214249682</t>
  </si>
  <si>
    <t>Gạch toko 30*60 sân 3002 A1(viên)</t>
  </si>
  <si>
    <t>DA8803 a1(vien)</t>
  </si>
  <si>
    <t>2000214250367</t>
  </si>
  <si>
    <t>Gach 80*80 DMAX ma DA8803 a1(vien)</t>
  </si>
  <si>
    <t>0348-6007 đậm A1  - VIÊN</t>
  </si>
  <si>
    <t>2000214251852</t>
  </si>
  <si>
    <t>Gạch 40*80 Nise mã 0348-6007 đậm A1 - VIÊN</t>
  </si>
  <si>
    <t>16901(viên)</t>
  </si>
  <si>
    <t>2000214255515</t>
  </si>
  <si>
    <t>Gạch 60 Takao crystal mã 16901(viên)</t>
  </si>
  <si>
    <t>TP605 A1- VIÊN</t>
  </si>
  <si>
    <t>2000214249651</t>
  </si>
  <si>
    <t>Gạch royal men mát 60*60 BS mã TP605 A1- VIÊN</t>
  </si>
  <si>
    <t>4832007 điểm A1(viên)</t>
  </si>
  <si>
    <t>2000214250701</t>
  </si>
  <si>
    <t>Gạch Toko 40*80BS mã 4832007 điểm A1(viên)</t>
  </si>
  <si>
    <t>48-5004 Điểm MM A1- VIÊN</t>
  </si>
  <si>
    <t>2000214251067</t>
  </si>
  <si>
    <t>Gạch 40*80 Mã 48-5004 Điểm MM A1- VIÊN</t>
  </si>
  <si>
    <t>F3303 A1 - VIÊN</t>
  </si>
  <si>
    <t>2000214251975</t>
  </si>
  <si>
    <t>Gạch Vĩnh Thắng chống trơn 30 SG mã F3303 A1 - VIÊN</t>
  </si>
  <si>
    <t>DA8804 A1(viên)</t>
  </si>
  <si>
    <t>2000214251982</t>
  </si>
  <si>
    <t>Gạch Dmax 80*80 mã DA8804 A1(viên)</t>
  </si>
  <si>
    <t>18917 A1 - VIÊN</t>
  </si>
  <si>
    <t>2000214256246</t>
  </si>
  <si>
    <t>Gạch 80 Takao crystal mã 18917 A1 - VIÊN</t>
  </si>
  <si>
    <t>PDP-4832005 A1 đậm - VIÊN</t>
  </si>
  <si>
    <t>2000214249637</t>
  </si>
  <si>
    <t>Gạch toko 40*80 mài bóng PDP-4832005 A1 đậm - VIÊN</t>
  </si>
  <si>
    <t>0336.6003 nhạt(viên)</t>
  </si>
  <si>
    <t>2000214251487</t>
  </si>
  <si>
    <t>Gạch 30*60 nise mã 0336.6003 nhạt(viên)</t>
  </si>
  <si>
    <t>MIRA 11037(VIÊN)</t>
  </si>
  <si>
    <t>2000214252767</t>
  </si>
  <si>
    <t>Gạch thắng cường 1m*1m mã MIRA 11037(VIÊN)</t>
  </si>
  <si>
    <t>DA8807 A1(1h=3v=1.92m2)</t>
  </si>
  <si>
    <t>Gạch 80 Dmax mã DA8807 A1(1h=3v=1.92m2)</t>
  </si>
  <si>
    <t>N0388-6011 A1 - VIÊN</t>
  </si>
  <si>
    <t>2000167209511</t>
  </si>
  <si>
    <t>Gạch Pocelain N0388-6011 A1 - VIÊN</t>
  </si>
  <si>
    <t>FB3610 Đậm A1- VIÊN</t>
  </si>
  <si>
    <t>2000214253832</t>
  </si>
  <si>
    <t>Gạch 30*60 vĩnh thắng mã FB3610 Đậm A1- VIÊN</t>
  </si>
  <si>
    <t>4832006 A1(viên)</t>
  </si>
  <si>
    <t>2000214250695</t>
  </si>
  <si>
    <t>Gạch toko 40*80BS mã 4832006 A1(viên)</t>
  </si>
  <si>
    <t>AD 1543 (viên)</t>
  </si>
  <si>
    <t>2000214247619</t>
  </si>
  <si>
    <t>Gạch thẻ trang trí ấn độ kích thước 30*60 mã 1543(viên)</t>
  </si>
  <si>
    <t>TCSG5009 A1- VIÊN</t>
  </si>
  <si>
    <t>2000214250831</t>
  </si>
  <si>
    <t>Gạch 50SV MÃ TCSG5009 A1- VIÊN</t>
  </si>
  <si>
    <t>FB3610 Nhạt A1- VIÊN</t>
  </si>
  <si>
    <t>2000214253849</t>
  </si>
  <si>
    <t>Gạch 30*60 vĩnh thắng mã FB3610 Nhạt A1- VIÊN</t>
  </si>
  <si>
    <t>FB3603 Nhạt A1(VIÊN)</t>
  </si>
  <si>
    <t>2000214253900</t>
  </si>
  <si>
    <t>Gạch 30/60 vĩnh thắng mã FB3603 Nhạt A1(VIÊN)</t>
  </si>
  <si>
    <t>18913 A1 - VIÊN</t>
  </si>
  <si>
    <t>2000214254952</t>
  </si>
  <si>
    <t>Gạch TAKAO Crystal 80 bóng mã 18913 A1 - VIÊN</t>
  </si>
  <si>
    <t>16911 A1 - VIÊN</t>
  </si>
  <si>
    <t>2000214255478</t>
  </si>
  <si>
    <t>Gạch 60 Crytal TaKao mã 16911 A1 - VIÊN</t>
  </si>
  <si>
    <t>17156(viên)</t>
  </si>
  <si>
    <t>2000214256642</t>
  </si>
  <si>
    <t>Gạch 60 Takao mã 17156(viên)</t>
  </si>
  <si>
    <t>Gạch 30*60 BS toko mã 336006 A1 ( viên)</t>
  </si>
  <si>
    <t>2000214249446</t>
  </si>
  <si>
    <t>BS3603S A1 - VIÊN</t>
  </si>
  <si>
    <t>2000214251937</t>
  </si>
  <si>
    <t>Gạch ROYAL sân vườn 30*60 mã BS3603S A1 - VIÊN</t>
  </si>
  <si>
    <t>N6-6042 A2 - VIÊN</t>
  </si>
  <si>
    <t>2000214252910</t>
  </si>
  <si>
    <t>Gạch 60*60 nise mã N6-6042 A2 - VIÊN</t>
  </si>
  <si>
    <t>MR11039 viên</t>
  </si>
  <si>
    <t>2000214252941</t>
  </si>
  <si>
    <t>Gạch thắng cường Mira mã MR11039 viên</t>
  </si>
  <si>
    <t>PDP632608 (viên)</t>
  </si>
  <si>
    <t>2000214254990</t>
  </si>
  <si>
    <t>Gạch 60 Toko mã PDP632608 (viên)</t>
  </si>
  <si>
    <t>Gạch takao 97-101 a1(viên)</t>
  </si>
  <si>
    <t>2000214248784</t>
  </si>
  <si>
    <t>PDP 832005 (viên)</t>
  </si>
  <si>
    <t>2000214253665</t>
  </si>
  <si>
    <t>Gạch 80 mã PDP 832005 (viên)</t>
  </si>
  <si>
    <t>N5-1311(viên)</t>
  </si>
  <si>
    <t>2000214254877</t>
  </si>
  <si>
    <t>Gạch 50 sv mã N5-1311(viên)</t>
  </si>
  <si>
    <t>632602 A1(viên)</t>
  </si>
  <si>
    <t>2000214254938</t>
  </si>
  <si>
    <t>Gạch 60 TOKO 632602 A1(viên)</t>
  </si>
  <si>
    <t>N5-1308 A1 - Viên</t>
  </si>
  <si>
    <t>2000172295141</t>
  </si>
  <si>
    <t>Sân vườn (50x50) N5-1308 A1 - Viên</t>
  </si>
  <si>
    <t>AD 1683 (viên)</t>
  </si>
  <si>
    <t>2000214247633</t>
  </si>
  <si>
    <t>Gạch thẻ trang trí ấn độ kích thước 30*60 mã 1683(viên)</t>
  </si>
  <si>
    <t>AD 1347 (viên)</t>
  </si>
  <si>
    <t>2000214247671</t>
  </si>
  <si>
    <t>Gạch thẻ trang trí ấn độ kích thước 30*60 mã 1347 (viên)</t>
  </si>
  <si>
    <t>Gạch 30*60 BS toko mã 336008 A1( viên)</t>
  </si>
  <si>
    <t>2000214249453</t>
  </si>
  <si>
    <t>336005 đậm A1- VIÊN</t>
  </si>
  <si>
    <t>2000214250787</t>
  </si>
  <si>
    <t>Gạch toko 30*60 mã 336005 đậm A1- VIÊN</t>
  </si>
  <si>
    <t>46301 A1(vien)</t>
  </si>
  <si>
    <t>2000214251258</t>
  </si>
  <si>
    <t>Gachj 40*60 toko day 10mm ma 46301 A1(vien)</t>
  </si>
  <si>
    <t>632604 (Viên)</t>
  </si>
  <si>
    <t>2000214255430</t>
  </si>
  <si>
    <t>Gạch 60 TOKO mã 632604 (Viên)</t>
  </si>
  <si>
    <t>18706(viên)</t>
  </si>
  <si>
    <t>2000214256635</t>
  </si>
  <si>
    <t>Gạch 80 Takao elite mã 18706(viên)</t>
  </si>
  <si>
    <t>6-6030 ( A) - Viên</t>
  </si>
  <si>
    <t>2000199390003</t>
  </si>
  <si>
    <t>Gạch lát 6-6030 ( A) - Viên</t>
  </si>
  <si>
    <t>RA 5066 S( viên)</t>
  </si>
  <si>
    <t>2000214247572</t>
  </si>
  <si>
    <t>Gạch sân vườn bán sứ Royal mã 5066 S( viên)</t>
  </si>
  <si>
    <t>PDP-4832007 A1(1h=6v=1.92m)-điểm</t>
  </si>
  <si>
    <t>Gạch toko 40*80 mài bóng PDP-4832007 A1(1h=6v=1.92m)-điểm</t>
  </si>
  <si>
    <t>5305 A1(viên)</t>
  </si>
  <si>
    <t>2000214250558</t>
  </si>
  <si>
    <t>Gạch SV 50 d10 mã 5305 A1(viên)</t>
  </si>
  <si>
    <t>61211 A1 (viên)</t>
  </si>
  <si>
    <t>2000214250848</t>
  </si>
  <si>
    <t>Gạch dmax 60*120 mã 61211 A1 (viên)</t>
  </si>
  <si>
    <t>Mã 48-5004 Điểm men mát A1(1h=6v)</t>
  </si>
  <si>
    <t>Gạch 40*80 Mã 48-5004 Điểm men mát A1(1h=6v)</t>
  </si>
  <si>
    <t>18911 (viên)</t>
  </si>
  <si>
    <t>2000214254501</t>
  </si>
  <si>
    <t>Gạch Takao 80 mã 18911 (viên)</t>
  </si>
  <si>
    <t>N8-6047 VT A1 - VIÊN</t>
  </si>
  <si>
    <t>2000214255423</t>
  </si>
  <si>
    <t>Gạch 80 nise mã N8-6047 VT A1 - VIÊN</t>
  </si>
  <si>
    <t>11103(viên)</t>
  </si>
  <si>
    <t>2000214255614</t>
  </si>
  <si>
    <t>Gạch 1m Takao crystal mã 11103(viên)</t>
  </si>
  <si>
    <t>16917(viên)</t>
  </si>
  <si>
    <t>2000214256840</t>
  </si>
  <si>
    <t>Gạch 60 takao mã 16917(viên)</t>
  </si>
  <si>
    <t>Gạch takao 97-106 a1( viên)</t>
  </si>
  <si>
    <t>2000214248791</t>
  </si>
  <si>
    <t>PDP-4832008 A1 - VIÊN (đậm)</t>
  </si>
  <si>
    <t>2000214250435</t>
  </si>
  <si>
    <t>Gạch toko 40*80 mài bóng PDP-4832008 A1 - VIÊN (đậm)</t>
  </si>
  <si>
    <t>48-5004 Điểm MM A1 - VIÊN</t>
  </si>
  <si>
    <t>2000214251098</t>
  </si>
  <si>
    <t>Gạch 40*80 Mã 48-5004 Điểm men mát A1 - VIÊN</t>
  </si>
  <si>
    <t>PDP832008 (viên)</t>
  </si>
  <si>
    <t>2000214254983</t>
  </si>
  <si>
    <t>Gạch 80 toko mã PDP832008 (viên)</t>
  </si>
  <si>
    <t>N5-1012 (viên)</t>
  </si>
  <si>
    <t>2000214256628</t>
  </si>
  <si>
    <t>Gạch 50 NICE mã N5-1012 (viên)</t>
  </si>
  <si>
    <t>18916 (viên)</t>
  </si>
  <si>
    <t>2000214256826</t>
  </si>
  <si>
    <t>Gạch 80 Takao crystal mã 18916 (viên)</t>
  </si>
  <si>
    <t>TCSG5008 A1- VIÊN</t>
  </si>
  <si>
    <t>2000214250978</t>
  </si>
  <si>
    <t>Gạch 50SV MÃ TCSG5008 A1- VIÊN</t>
  </si>
  <si>
    <t>F3603 A1 - VIÊN</t>
  </si>
  <si>
    <t>2000214253061</t>
  </si>
  <si>
    <t>Gạch Vĩnh Thắng ốp 30*60 mã F3603 A1 - VIÊN</t>
  </si>
  <si>
    <t>18902(viên)</t>
  </si>
  <si>
    <t>2000214254310</t>
  </si>
  <si>
    <t>Gạch 80 takao Crystal mã 18902(viên)</t>
  </si>
  <si>
    <t>832004(viên)</t>
  </si>
  <si>
    <t>2000214255485</t>
  </si>
  <si>
    <t>Gạch 80 TOKO mã 832004(viên)</t>
  </si>
  <si>
    <t>F3301 A1 - VIÊN</t>
  </si>
  <si>
    <t>2000214252200</t>
  </si>
  <si>
    <t>Gạch Vĩnh Thắng chống trơn 30 SG mã F3301 A1 - VIÊN</t>
  </si>
  <si>
    <t>MR 12908 A1 - VIÊN</t>
  </si>
  <si>
    <t>2000214252972</t>
  </si>
  <si>
    <t>MR Gạch 60*120 Thắng Cường Mã MR 12908 A1 - VIÊN</t>
  </si>
  <si>
    <t>N6-6400 A2</t>
  </si>
  <si>
    <t>2000214254198</t>
  </si>
  <si>
    <t>Gạch 60 BS nice mã N6-6400 A2 -tia chớp - VIÊN</t>
  </si>
  <si>
    <t>N8-6045 A1(viên)</t>
  </si>
  <si>
    <t>2000214254679</t>
  </si>
  <si>
    <t>Gạch 80 nise N8-6045 A1(viên)</t>
  </si>
  <si>
    <t>0336-601G(kem vàng) A1- VIÊN</t>
  </si>
  <si>
    <t>2000214254860</t>
  </si>
  <si>
    <t>Gạch 30*60 BS nice mã 0336-601G(kem vàng) A1- VIÊN</t>
  </si>
  <si>
    <t>16916(viên)</t>
  </si>
  <si>
    <t>2000214256284</t>
  </si>
  <si>
    <t>Gạch 60 Takao crystal mã 16916(viên)</t>
  </si>
  <si>
    <t>17155 - VIÊN</t>
  </si>
  <si>
    <t>2000214256611</t>
  </si>
  <si>
    <t>Gạch 60 Takao crystal mã 17155 - VIÊN</t>
  </si>
  <si>
    <t>N6-6043 A2 - VIÊN</t>
  </si>
  <si>
    <t>2000214253139</t>
  </si>
  <si>
    <t>Gạch 60*60 nise mã N6-6043 A2 - VIÊN</t>
  </si>
  <si>
    <t>FM5510 viên</t>
  </si>
  <si>
    <t>2000214252613</t>
  </si>
  <si>
    <t>Gạch 50 sv vĩnh thắng FM5510 viên</t>
  </si>
  <si>
    <t>PDP-4832005 A-đậm - VIÊN</t>
  </si>
  <si>
    <t>2000214252552</t>
  </si>
  <si>
    <t>Gạch toko 40*80 mài bóng PDP-4832005 A-đậm - VIÊN</t>
  </si>
  <si>
    <t>PDP832014 A1(viên)</t>
  </si>
  <si>
    <t>2000214253511</t>
  </si>
  <si>
    <t>Gạch 80*80 phù đổng mã PDP832014 A1(viên)</t>
  </si>
  <si>
    <t>PDP632603 A1- VIÊN</t>
  </si>
  <si>
    <t>2000214254068</t>
  </si>
  <si>
    <t>Gạch TOKO bs 60 mã PDP632603 A1- VIÊN</t>
  </si>
  <si>
    <t>PDP832002 A1 - VIÊN</t>
  </si>
  <si>
    <t>2000214254778</t>
  </si>
  <si>
    <t>Gạch 80*80 phù đổng mã PDP832002 A1 - VIÊN</t>
  </si>
  <si>
    <t>F6601(viên)</t>
  </si>
  <si>
    <t>2000214255256</t>
  </si>
  <si>
    <t>Gạch 60 vĩnh thắng mã F6601(viên)</t>
  </si>
  <si>
    <t>AD 1068 A1(hộp =3v=1.08m2)</t>
  </si>
  <si>
    <t>2000214248180</t>
  </si>
  <si>
    <t>Gạch 60*60 ấn độ mã 1068 A1(hộp = 3 viên = 1.08m2)</t>
  </si>
  <si>
    <t>97-664 a1(viên)</t>
  </si>
  <si>
    <t>2000214248678</t>
  </si>
  <si>
    <t>Gạch 60sv takao-vasary mã 97-664 a1(viên)</t>
  </si>
  <si>
    <t>SG363-3004 A1 - VIÊN</t>
  </si>
  <si>
    <t>2000214249309</t>
  </si>
  <si>
    <t>Gạch Toko SV 30*60 - PDP SG363-3004 A1 - VIÊN</t>
  </si>
  <si>
    <t>FB3608 điểm A1(8v/h)</t>
  </si>
  <si>
    <t>2000214251999</t>
  </si>
  <si>
    <t>Gạch vĩnh thắng 30*60 mã FB3608 điểm A1(8v/h)</t>
  </si>
  <si>
    <t>FM4603 A1 - VIÊN</t>
  </si>
  <si>
    <t>2000214252781</t>
  </si>
  <si>
    <t>Gạch 40*60 vĩnh thắng mã FM4603 A1 - VIÊN</t>
  </si>
  <si>
    <t>MR 12902 A1 - VIÊN</t>
  </si>
  <si>
    <t>2000214253078</t>
  </si>
  <si>
    <t>Thắng Cường Mã MR 12902 A1 - VIÊN</t>
  </si>
  <si>
    <t>FB3603 Đậm A1  - VIÊN</t>
  </si>
  <si>
    <t>2000214254532</t>
  </si>
  <si>
    <t>Gạch 30/60 vĩnh thắng mã FB3603 Đậm A1 - VIÊN</t>
  </si>
  <si>
    <t>N5-1310(viên)</t>
  </si>
  <si>
    <t>2000214256314</t>
  </si>
  <si>
    <t>Gạch 50 SV Nice mà N5-1310(viên)</t>
  </si>
  <si>
    <t>17153  - VIÊN</t>
  </si>
  <si>
    <t>2000214256444</t>
  </si>
  <si>
    <t>Gạch 60 Takao crystal mã 17153 - VIÊN</t>
  </si>
  <si>
    <t>N8-6035 (A1) - VIÊN</t>
  </si>
  <si>
    <t>2000202291662</t>
  </si>
  <si>
    <t>Gạch lát N8-6035 (A1) - VIÊN</t>
  </si>
  <si>
    <t>61209 A1(viên)</t>
  </si>
  <si>
    <t>2000214250855</t>
  </si>
  <si>
    <t>Gạch 60*120 Dmax mã 61209 A1(viên)</t>
  </si>
  <si>
    <t>PDP48.002 A1(1h=6v=1.92m2)</t>
  </si>
  <si>
    <t>2000214253412</t>
  </si>
  <si>
    <t>Gạch 40*80 sv dầy mã PDP48.002 A1(1h=6v=1.92m2)</t>
  </si>
  <si>
    <t>18901 A1  - VIÊN</t>
  </si>
  <si>
    <t>2000214255461</t>
  </si>
  <si>
    <t>Gạch TAKAO Crytal 80 bóng mã 18901 A1 - VIÊN</t>
  </si>
  <si>
    <t>Mã 46303 A1(viên)</t>
  </si>
  <si>
    <t>2000214251227</t>
  </si>
  <si>
    <t>Gạch TOKO 40*60 dầy 10mm Mã 46303 A1(viên)</t>
  </si>
  <si>
    <t>FB3608 viên</t>
  </si>
  <si>
    <t>2000214252002</t>
  </si>
  <si>
    <t>Gạch ốp 30*60 vĩnh thắng mã FB3608 viên</t>
  </si>
  <si>
    <t>13106 A1 - VIÊN</t>
  </si>
  <si>
    <t>2000214255829</t>
  </si>
  <si>
    <t>Gạch TAKAO Crystal 30*60 men bóng mã 13106 A1 - VIÊN</t>
  </si>
  <si>
    <t>Gạch takao 80*80 mã 97-104 A1(viên)</t>
  </si>
  <si>
    <t>2000214249507</t>
  </si>
  <si>
    <t>FT4601 (viên)</t>
  </si>
  <si>
    <t>2000214252415</t>
  </si>
  <si>
    <t>40*60 vĩnh thắng FT4601 (viên)</t>
  </si>
  <si>
    <t>632-001 a1 - VIÊN</t>
  </si>
  <si>
    <t>2000214253597</t>
  </si>
  <si>
    <t>Lát nền 60*60 bán sứ mã 632-001 a1 - VIÊN</t>
  </si>
  <si>
    <t>18126 A1- VIÊN</t>
  </si>
  <si>
    <t>2000214255690</t>
  </si>
  <si>
    <t>Gạch TAKAO Crytal 80 bóng mã 18126 A1- VIÊN</t>
  </si>
  <si>
    <t>AD 1072 ( viên)</t>
  </si>
  <si>
    <t>2000214247695</t>
  </si>
  <si>
    <t>Gạch thẻ trang trí ấn độ kích thước 30*60 mã 1072 (viên)</t>
  </si>
  <si>
    <t>PDPSG-46302 A1 - VIÊN</t>
  </si>
  <si>
    <t>2000214252637</t>
  </si>
  <si>
    <t>Gạch TOKO 40*60 Dầy 10mm Mã PDPSG-46302 A1 - VIÊN</t>
  </si>
  <si>
    <t>MR11034 (viên)</t>
  </si>
  <si>
    <t>2000214252934</t>
  </si>
  <si>
    <t>Gạch Mira thắng cường mã MR11034 (viên)</t>
  </si>
  <si>
    <t>SV-N0366-1301 A1</t>
  </si>
  <si>
    <t>2000166601415</t>
  </si>
  <si>
    <t>Sân vườn N0366-1301 A1 -VIÊN</t>
  </si>
  <si>
    <t>N6-6200 A - Viên</t>
  </si>
  <si>
    <t>2000214247992</t>
  </si>
  <si>
    <t>Lát N6-6200 A - Viên</t>
  </si>
  <si>
    <t>0348-02 GO A1 - VIÊN</t>
  </si>
  <si>
    <t>2000214253283</t>
  </si>
  <si>
    <t>Gạch nise 40*80 mã 0348-02 GO A1 - VIÊN</t>
  </si>
  <si>
    <t>Gạch TOKO 5-8001 A1 ( viên)</t>
  </si>
  <si>
    <t>2000202519346</t>
  </si>
  <si>
    <t>N33.6007 A2  - VIÊN</t>
  </si>
  <si>
    <t>2000214252927</t>
  </si>
  <si>
    <t>Ốp 30*60 nise mã N33.6007 A2 - VIÊN</t>
  </si>
  <si>
    <t>DA8807(viên)</t>
  </si>
  <si>
    <t>2000214253375</t>
  </si>
  <si>
    <t>Gạch 80 Dmax DA8807(viên)</t>
  </si>
  <si>
    <t>Gạch 40*80 toko dầy 48.002(viên)</t>
  </si>
  <si>
    <t>2000214253436</t>
  </si>
  <si>
    <t>PDP632.007 viên</t>
  </si>
  <si>
    <t>2000214254204</t>
  </si>
  <si>
    <t>Gạch 60 Bán sứ TOKO mã PDP632.007 viên</t>
  </si>
  <si>
    <t>N48-6000-trắng tinh(viên)</t>
  </si>
  <si>
    <t>2000214254440</t>
  </si>
  <si>
    <t>Gạch 40*80 nise mã N48-6000-trắng tinh(viên)</t>
  </si>
  <si>
    <t>17001 A1- Viên</t>
  </si>
  <si>
    <t>2000214256253</t>
  </si>
  <si>
    <t>Gạch 60 Takao crystal mã 17001 A1- Viên</t>
  </si>
  <si>
    <t>N8-6200 A3 - VIÊN</t>
  </si>
  <si>
    <t>2000214252514</t>
  </si>
  <si>
    <t>Gạch lát 80x80 N8-6200 A3 - VIÊN</t>
  </si>
  <si>
    <t>18906(viên)</t>
  </si>
  <si>
    <t>2000214255171</t>
  </si>
  <si>
    <t>Gạch 80 Takao crystal mã 18906(viên)</t>
  </si>
  <si>
    <t>N5-1312 A1 - VIÊN</t>
  </si>
  <si>
    <t>2000214255188</t>
  </si>
  <si>
    <t>Gạch 50 Sân vườn nise mã N5-1312 A1 - VIÊN</t>
  </si>
  <si>
    <t>N8-6003 A2 - Viên</t>
  </si>
  <si>
    <t>2000214247497</t>
  </si>
  <si>
    <t>Gạch N8-6003 A2 - Viên</t>
  </si>
  <si>
    <t>AD CAFE (viên)</t>
  </si>
  <si>
    <t>2000214247732</t>
  </si>
  <si>
    <t>Gạch nền kích thước 20*120 ấn độ mã CAFE (viên)</t>
  </si>
  <si>
    <t>át N6-6200 (B) - Viên</t>
  </si>
  <si>
    <t>2000214248609</t>
  </si>
  <si>
    <t>Lát N6-6200 (B) - Viên</t>
  </si>
  <si>
    <t>16913(viên)</t>
  </si>
  <si>
    <t>2000214254976</t>
  </si>
  <si>
    <t>Gạch 60 Takao crystal mã 16913(viên)</t>
  </si>
  <si>
    <t>14101 A1 - VIÊN</t>
  </si>
  <si>
    <t>2000214256499</t>
  </si>
  <si>
    <t>Gạch 40*80 Takao crystal mã 14101 A1 - VIÊN</t>
  </si>
  <si>
    <t>17006(viên)</t>
  </si>
  <si>
    <t>2000214256512</t>
  </si>
  <si>
    <t>Gạch 60 Sân vườn TKG mã 17006(viên)</t>
  </si>
  <si>
    <t>Ke chữ  cộng 1.5ly</t>
  </si>
  <si>
    <t>2000214252453</t>
  </si>
  <si>
    <t>Ke chữ cộng 1.5ly</t>
  </si>
  <si>
    <t>FM4601 A1 - VIÊN</t>
  </si>
  <si>
    <t>2000214253207</t>
  </si>
  <si>
    <t>Gạch 40*60 vĩnh thắng mã FM4601 A1 - VIÊN</t>
  </si>
  <si>
    <t>DA1001 (viên)</t>
  </si>
  <si>
    <t>2000214253603</t>
  </si>
  <si>
    <t>Gạch DMAX 1m mã DA1001 (viên)</t>
  </si>
  <si>
    <t>11101(viên)</t>
  </si>
  <si>
    <t>2000214255317</t>
  </si>
  <si>
    <t>Gạch 1met Takao crystal mã 11101(viên)</t>
  </si>
  <si>
    <t>MN612-606 A1 - Viên</t>
  </si>
  <si>
    <t>2000199484870</t>
  </si>
  <si>
    <t>Gạch Porcelain MN612-606 A1 - Viên</t>
  </si>
  <si>
    <t>AD LIMBER (viên)</t>
  </si>
  <si>
    <t>2000214247718</t>
  </si>
  <si>
    <t>Gạch nền kích thước 20*120 ấn độ mã LIMBER(viên)</t>
  </si>
  <si>
    <t>AD APRICOT (viên)</t>
  </si>
  <si>
    <t>2000214247756</t>
  </si>
  <si>
    <t>Gạch nền kích thước 20*120 ấn độ mã APRICOT (viên)</t>
  </si>
  <si>
    <t>AD LIFE (viên)</t>
  </si>
  <si>
    <t>2000214247770</t>
  </si>
  <si>
    <t>Gạch nền kích thước 20*120 ấn độ mã LIFE (viên)</t>
  </si>
  <si>
    <t>Palet-toko</t>
  </si>
  <si>
    <t>2000214249538</t>
  </si>
  <si>
    <t>97-851A1(1h=3v=1.92m)</t>
  </si>
  <si>
    <t>2000214249989</t>
  </si>
  <si>
    <t>Gạch Takao-vasary Lát nền 80*80 bóng mã 97-851A1(1h=3v=1.92m)</t>
  </si>
  <si>
    <t>3003 A1(viên)</t>
  </si>
  <si>
    <t>2000214253191</t>
  </si>
  <si>
    <t>Mã 30*60 toko sân 3003 A1(viên)</t>
  </si>
  <si>
    <t>DA6607(viên)</t>
  </si>
  <si>
    <t>2000214253368</t>
  </si>
  <si>
    <t>Gạch 60 Dmax DA6607(viên)</t>
  </si>
  <si>
    <t>13206A1 - VIÊN</t>
  </si>
  <si>
    <t>2000214255836</t>
  </si>
  <si>
    <t>Gạch TAKAO Crystal 30*60 men bóng điểm mã 13206A1 - VIÊN</t>
  </si>
  <si>
    <t>FM3310 viên</t>
  </si>
  <si>
    <t>2000214256239</t>
  </si>
  <si>
    <t>Gạch 30 Vĩnh thắng mã FM3310 viên</t>
  </si>
  <si>
    <t>48304 A1 (viên)</t>
  </si>
  <si>
    <t>2000214256536</t>
  </si>
  <si>
    <t>Gạch 80 Takao crystal mã 48304 A1 (viên)</t>
  </si>
  <si>
    <t>MN612.618(viên)</t>
  </si>
  <si>
    <t>2000214256567</t>
  </si>
  <si>
    <t>Gạch 60*120 nice mã MN612.618(viên)</t>
  </si>
  <si>
    <t>18402(viên)</t>
  </si>
  <si>
    <t>2000214256581</t>
  </si>
  <si>
    <t>Gạch 80 Takao crystal mã 18402(viên)</t>
  </si>
  <si>
    <t>13103(viên)</t>
  </si>
  <si>
    <t>2000214256598</t>
  </si>
  <si>
    <t>Gạch 30*60 Takao crystal mã 13103(viên)</t>
  </si>
  <si>
    <t>13202(viên)</t>
  </si>
  <si>
    <t>2000214256604</t>
  </si>
  <si>
    <t>Gạch 30*60 Takao crystal điểm mã 13202(viên)</t>
  </si>
  <si>
    <t>832006 viên</t>
  </si>
  <si>
    <t>2000214256925</t>
  </si>
  <si>
    <t>Gạch 80 TOKO mã 832006 viên</t>
  </si>
  <si>
    <t>18707 A1 - VIÊN</t>
  </si>
  <si>
    <t>2000214256956</t>
  </si>
  <si>
    <t>Gạch 80 Takao Elite crystal mã 18707 A1 - VIÊN</t>
  </si>
  <si>
    <t>18708 A1 - VIÊN</t>
  </si>
  <si>
    <t>2000214256963</t>
  </si>
  <si>
    <t>Gạch 80 Takao Elite crystal mã 18708 A1 - VIÊN</t>
  </si>
  <si>
    <t>HS514( vien)</t>
  </si>
  <si>
    <t>2000214256970</t>
  </si>
  <si>
    <t>Gachj 50 HH max HS514( vien)</t>
  </si>
  <si>
    <t>LX6903</t>
  </si>
  <si>
    <t>HS514 a1(1h=6v=1.5m2)</t>
  </si>
  <si>
    <t>2000214256994</t>
  </si>
  <si>
    <t>Gạch 50 HH mã HS514 a1(1h=6v=1.5m2)</t>
  </si>
  <si>
    <t>LP18.8016 A1(1h=1.92m2)</t>
  </si>
  <si>
    <t>2000214257007</t>
  </si>
  <si>
    <t>Gạch 80*80 HH ma LP18.8016 A1(1h=1.92m2)</t>
  </si>
  <si>
    <t>LP18.8016 A1</t>
  </si>
  <si>
    <t>HS514 A1</t>
  </si>
  <si>
    <t>NH5601 A1(1h=1.5m2)</t>
  </si>
  <si>
    <t>2000214257021</t>
  </si>
  <si>
    <t>Gạch 50SV Hoàng Hà Mã NH5601 A1(1h=1.5m2)</t>
  </si>
  <si>
    <t>NH5605 A1(1h=1.5m2)</t>
  </si>
  <si>
    <t>2000214257045</t>
  </si>
  <si>
    <t>Gạch 50SV Hoàng Hà Mã NH5605 A1(1h=1.5m2)</t>
  </si>
  <si>
    <t>NH5602 A1(1h=1.5m2)</t>
  </si>
  <si>
    <t>2000214257038</t>
  </si>
  <si>
    <t>Gạch 50SV Hoàng Hà Mã NH5602 A1(1h=1.5m2)</t>
  </si>
  <si>
    <t>2000214257014</t>
  </si>
  <si>
    <t>NH5601</t>
  </si>
  <si>
    <t>NH5602</t>
  </si>
  <si>
    <t>NH5603</t>
  </si>
  <si>
    <t>NH5604</t>
  </si>
  <si>
    <t>NH5605</t>
  </si>
  <si>
    <t>NH5602(viên)</t>
  </si>
  <si>
    <t>2000214257052</t>
  </si>
  <si>
    <t>Gạch 50 HH mã NH5602(viên)</t>
  </si>
  <si>
    <t>18704(viên)</t>
  </si>
  <si>
    <t>2000214257106</t>
  </si>
  <si>
    <t>Gạch 80 Elit mã 18704(viên)</t>
  </si>
  <si>
    <t>PLX413 A1(1h=6v)</t>
  </si>
  <si>
    <t>2000214257144</t>
  </si>
  <si>
    <t>Gạch 40 HH mã PLX413 A1(1h=6v)</t>
  </si>
  <si>
    <t>PLX412 A1(1h=6v)</t>
  </si>
  <si>
    <t>2000214257137</t>
  </si>
  <si>
    <t>Gạch 40 HH mã PLX412 A1(1h=6v)</t>
  </si>
  <si>
    <t>PLX415 A1(1h=6v)</t>
  </si>
  <si>
    <t>2000214257151</t>
  </si>
  <si>
    <t>Gạch 40 HH mã PLX415 A1(1h=6v)</t>
  </si>
  <si>
    <t>FM5801 A1 (1h=3v=1.2m2)</t>
  </si>
  <si>
    <t>2000214257069</t>
  </si>
  <si>
    <t>Gạch 50*80 SV mã FM5801 A1 (1h=3v=1.2m2)</t>
  </si>
  <si>
    <t>FM5802 A1 (1h=3v=1.2m2)</t>
  </si>
  <si>
    <t>2000214257076</t>
  </si>
  <si>
    <t>Gạch 50*80 SV mã FM5802 A1 (1h=3v=1.2m2)</t>
  </si>
  <si>
    <t>FM5803 A1 (1h=3v=1.2m2)</t>
  </si>
  <si>
    <t>2000214257083</t>
  </si>
  <si>
    <t>Gạch 50*80 SV mã FM5803 A1 (1h=3v=1.2m2)</t>
  </si>
  <si>
    <t>FM5804 A1 (1h=3v=1.2m2)</t>
  </si>
  <si>
    <t>2000214257090</t>
  </si>
  <si>
    <t>Gạch 50*80 SV mã FM5804 A1 (1h=3v=1.2m2)</t>
  </si>
  <si>
    <t>NH5603 A1(1h=1.5m2)</t>
  </si>
  <si>
    <t>2000214257113</t>
  </si>
  <si>
    <t>Gạch 50SV Hoàng Hà Mã NH5603 A1(1h=1.5m2)</t>
  </si>
  <si>
    <t>NH5604 A1(1h=1.5m2)</t>
  </si>
  <si>
    <t>2000214257120</t>
  </si>
  <si>
    <t>Gạch 50SV Hoàng Hà Mã NH5604 A1(1h=1.5m2)</t>
  </si>
  <si>
    <t>40*40</t>
  </si>
  <si>
    <t>PLX413</t>
  </si>
  <si>
    <t>PLX412</t>
  </si>
  <si>
    <t>PLX415</t>
  </si>
  <si>
    <t>50*80</t>
  </si>
  <si>
    <t>FM5801</t>
  </si>
  <si>
    <t>FM5802</t>
  </si>
  <si>
    <t>FM5803</t>
  </si>
  <si>
    <t>NH5605(viên)</t>
  </si>
  <si>
    <t>2000214257168</t>
  </si>
  <si>
    <t>Gạch 50 HH mã NH5605(viên)</t>
  </si>
  <si>
    <t>FR5509 A1(1h=6v=1.5m2)</t>
  </si>
  <si>
    <t>2000214257175</t>
  </si>
  <si>
    <t>Gạch 50*50 VT mã FR5509 A1(1h=6v=1.5m2)</t>
  </si>
  <si>
    <t>43500(1h=10v=1.8m2)</t>
  </si>
  <si>
    <t>2000214257182</t>
  </si>
  <si>
    <t>Gạch 30*60 TAKAO Elit mã 43500(1h=10v=1.8m2)</t>
  </si>
  <si>
    <t>14602(1h=6v=1.44m2)</t>
  </si>
  <si>
    <t>2000214257199</t>
  </si>
  <si>
    <t>Gạch 40*60 SV Elite mã 14602(1h=6v=1.44m2)</t>
  </si>
  <si>
    <t>14603(1h=6v=1.44m2)</t>
  </si>
  <si>
    <t>2000214257205</t>
  </si>
  <si>
    <t>Gạch 40*60 SV Elite mã 14603(1h=6v=1.44m2)</t>
  </si>
  <si>
    <t>100*100</t>
  </si>
  <si>
    <t>2000214257212</t>
  </si>
  <si>
    <t>40*60</t>
  </si>
  <si>
    <t>11-645 A1(1h=2v=2m2)</t>
  </si>
  <si>
    <t>Gạch 1 mét Nice mã 11-645 A1(1h=2v=2m2)</t>
  </si>
  <si>
    <t>11-645 (viên)</t>
  </si>
  <si>
    <t>2000214257229</t>
  </si>
  <si>
    <t>Gạch 1 mét Nice mã 11-645 (viên)</t>
  </si>
  <si>
    <t>2000214257250</t>
  </si>
  <si>
    <t>2000214257267</t>
  </si>
  <si>
    <t>2000214257274</t>
  </si>
  <si>
    <t>43500-Trắng tinh bs</t>
  </si>
  <si>
    <t>43600-điểm</t>
  </si>
  <si>
    <t>2000214257311</t>
  </si>
  <si>
    <t>2000214257236</t>
  </si>
  <si>
    <t>14113-khói</t>
  </si>
  <si>
    <t>2000214257328</t>
  </si>
  <si>
    <t>14213-điểm</t>
  </si>
  <si>
    <t>60*60
 Elite Ametyist</t>
  </si>
  <si>
    <t>2000214257281</t>
  </si>
  <si>
    <t>2000214257298</t>
  </si>
  <si>
    <t>2000214257304</t>
  </si>
  <si>
    <t>11-601 VT A1(1h=2v=2m2)</t>
  </si>
  <si>
    <t>Gạch 1 mét Nice mã 11-601 VT A1(1h=2v=2m2)</t>
  </si>
  <si>
    <t>14113-khói(1h=6v=1.92m2)</t>
  </si>
  <si>
    <t>Gạch 40*80 Takao mã 14113-khói(1h=6v=1.92m2)</t>
  </si>
  <si>
    <t>76102 A1(1h=5v=1.8m2)</t>
  </si>
  <si>
    <t>Gạch 60*60 Elite Amethyst mã 76102 A1(1h=5v=1.8m2)</t>
  </si>
  <si>
    <t>76103 A1(1h=5v=1.8m2)</t>
  </si>
  <si>
    <t>Gạch 60*60 Elite Amethyst mã 76103 A1(1h=5v=1.8m2)</t>
  </si>
  <si>
    <t>76105 A1(1h=5v=1.8m2)</t>
  </si>
  <si>
    <t>Gạch 60*60 Elite Amethyst mã 76105 A1(1h=5v=1.8m2)</t>
  </si>
  <si>
    <t>11-646 VT A1(1h=2v=2m2)</t>
  </si>
  <si>
    <t>Gạch 1 mét Nice mã 11-646 VT A1(1h=2v=2m2)</t>
  </si>
  <si>
    <t>11-602 A1(1h=2v=2m2)</t>
  </si>
  <si>
    <t>Gạch 1 mét Nice mã 11-602 A1(1h=2v=2m2)</t>
  </si>
  <si>
    <t>43600 Điểm (1h=10v=1.8m2)</t>
  </si>
  <si>
    <t>Gạch 30*60 TAKAO Elit mã 43600 Điểm (1h=10v=1.8m2)</t>
  </si>
  <si>
    <t>14213- Điểm khói(1h=6v=1.92m2)</t>
  </si>
  <si>
    <t>Gạch 40*80 Takao mã 14213- Điểm khói(1h=6v=1.92m2)</t>
  </si>
  <si>
    <t>14113-khói(viên)</t>
  </si>
  <si>
    <t>2000214257243</t>
  </si>
  <si>
    <t>Gạch Takao 40*80 mã 14113-khói(viên)</t>
  </si>
  <si>
    <t>2000214257342</t>
  </si>
  <si>
    <t>LXV6802</t>
  </si>
  <si>
    <t>F6616</t>
  </si>
  <si>
    <t>2000214257380</t>
  </si>
  <si>
    <t>LXV6802 A1(1h=4v=1.44m2)</t>
  </si>
  <si>
    <t>Gạch 60 SV HH mã LXV6802 A1(1h=4v=1.44m2)</t>
  </si>
  <si>
    <t>F6616 A1(1h=4v=1.44m2)</t>
  </si>
  <si>
    <t>Gạch 60 VT mã F6616 A1(1h=4v=1.44m2)</t>
  </si>
  <si>
    <t>11-601(viên)</t>
  </si>
  <si>
    <t>2000214257335</t>
  </si>
  <si>
    <t>Gạch 1 mét Nice mã 11-601(viên)</t>
  </si>
  <si>
    <t>43600 điểm(viên)</t>
  </si>
  <si>
    <t>2000214257359</t>
  </si>
  <si>
    <t>Gạch 30*60 Takao mã 43600 điểm(viên)</t>
  </si>
  <si>
    <t>43500 trắng(viên)</t>
  </si>
  <si>
    <t>2000214257366</t>
  </si>
  <si>
    <t>Gạch 30*60 Takao mã 43500 trắng(viên)</t>
  </si>
  <si>
    <t>NH5604(viên)</t>
  </si>
  <si>
    <t>2000214257373</t>
  </si>
  <si>
    <t>Gạch 50 SV HH mã NH5604(viên)</t>
  </si>
  <si>
    <t>14109 A1(1h=6v=1.92m2)</t>
  </si>
  <si>
    <t>2000214257403</t>
  </si>
  <si>
    <t>Gạch 40*80 Crystal mã 14109 A1(1h=6v=1.92m2)</t>
  </si>
  <si>
    <t>14110 A1(1h=6v=1.92m2)</t>
  </si>
  <si>
    <t>2000214257410</t>
  </si>
  <si>
    <t>Gạch 40*80 Crystal ma 14110 A1(1h=6v=1.92m2)</t>
  </si>
  <si>
    <t>MN612.616 A1 - VIÊN</t>
  </si>
  <si>
    <t>2000214257434</t>
  </si>
  <si>
    <t>Gạch Nise kích thước 60*120 mã MN612.616 A1 - VIÊN</t>
  </si>
  <si>
    <t>Tổng tồn</t>
  </si>
  <si>
    <t>TĐK.Số lượng</t>
  </si>
  <si>
    <t>NTK.Số lượng</t>
  </si>
  <si>
    <t>XTK.Số lượng</t>
  </si>
  <si>
    <t>TCK.Số lượng</t>
  </si>
  <si>
    <t>2000027151394</t>
  </si>
  <si>
    <t>Tiền màu</t>
  </si>
  <si>
    <t>2000024861517</t>
  </si>
  <si>
    <t>Công cắt</t>
  </si>
  <si>
    <t>2000027630301</t>
  </si>
  <si>
    <t>thi công công trình</t>
  </si>
  <si>
    <t>BBL</t>
  </si>
  <si>
    <t>2000026599203</t>
  </si>
  <si>
    <t>Bột bả lẻ</t>
  </si>
  <si>
    <t>2000111469718</t>
  </si>
  <si>
    <t>Gạch viền (KT 7x30) - Viên</t>
  </si>
  <si>
    <t>gạch tồn (30x45)</t>
  </si>
  <si>
    <t>2000032871133</t>
  </si>
  <si>
    <t>gạch tồn 30x45 (m)</t>
  </si>
  <si>
    <t>2000182733701</t>
  </si>
  <si>
    <t>công cắt gạch 60x60 (1/5)</t>
  </si>
  <si>
    <t>2000026757542</t>
  </si>
  <si>
    <t>gạch đỏ 40 bóng hoàng hà</t>
  </si>
  <si>
    <t>A934-75007/18L</t>
  </si>
  <si>
    <t>2000025583562</t>
  </si>
  <si>
    <t>Sơn lót trong nhà A934/18L</t>
  </si>
  <si>
    <t>2000064149521</t>
  </si>
  <si>
    <t>Gạch tồn 60x60 lộ cộ (m)</t>
  </si>
  <si>
    <t>F638</t>
  </si>
  <si>
    <t>2000025174401</t>
  </si>
  <si>
    <t>Gạch lát 60x60 F638</t>
  </si>
  <si>
    <t>2000142878527</t>
  </si>
  <si>
    <t>Gạch ốp ( lộ cộ) m2</t>
  </si>
  <si>
    <t>2000188621798</t>
  </si>
  <si>
    <t>Gạch viền KT7x60  - Viên</t>
  </si>
  <si>
    <t>CVCHH (30x60)</t>
  </si>
  <si>
    <t>2000026968443</t>
  </si>
  <si>
    <t>Cước vận chuyển Hoàng Hà (30x60)</t>
  </si>
  <si>
    <t>CBX (30x60)</t>
  </si>
  <si>
    <t>2000026968450</t>
  </si>
  <si>
    <t>cước bốc xếp (30x60)</t>
  </si>
  <si>
    <t>2000179720950</t>
  </si>
  <si>
    <t>ốp điểm 30x60 ( tồn) - 1 hộp = 1.08m2</t>
  </si>
  <si>
    <t>2000182733718</t>
  </si>
  <si>
    <t>công cắt gạch 80x80 (1/6)</t>
  </si>
  <si>
    <t>2000199807693</t>
  </si>
  <si>
    <t>Gạch tồn 30x60 ( mét)</t>
  </si>
  <si>
    <t>ốp 25x40</t>
  </si>
  <si>
    <t>2000142878077</t>
  </si>
  <si>
    <t>Gạch ốp 25x40 ( đen)</t>
  </si>
  <si>
    <t>Tồn bỏ mẫu</t>
  </si>
  <si>
    <t>2000031830353</t>
  </si>
  <si>
    <t>gạch tồn bỏ mẫu</t>
  </si>
  <si>
    <t>KQ606</t>
  </si>
  <si>
    <t>2000025374795</t>
  </si>
  <si>
    <t>Y6284 BG - Viên</t>
  </si>
  <si>
    <t>2000036097607</t>
  </si>
  <si>
    <t>Viền 7x30 Y6284 BG - Viên</t>
  </si>
  <si>
    <t>A936/18L</t>
  </si>
  <si>
    <t>2000025583593</t>
  </si>
  <si>
    <t>2000161517919</t>
  </si>
  <si>
    <t>Gạch tồn 30x60 ( 1 hộp =1.08m)</t>
  </si>
  <si>
    <t>2000135848735</t>
  </si>
  <si>
    <t>Gạch tốn 30x60</t>
  </si>
  <si>
    <t>Ngói đỏ N22 ĐT (v)</t>
  </si>
  <si>
    <t>2000030966664</t>
  </si>
  <si>
    <t>2000187620389</t>
  </si>
  <si>
    <t>công cắt gạch 60x60  (1/4)</t>
  </si>
  <si>
    <t>YG130 - Viên</t>
  </si>
  <si>
    <t>2000036097720</t>
  </si>
  <si>
    <t>Viền 1x30 YG130 - Viên</t>
  </si>
  <si>
    <t>66A/5L</t>
  </si>
  <si>
    <t>2000025583173</t>
  </si>
  <si>
    <t>66A-75060/5L</t>
  </si>
  <si>
    <t>Palet gạch</t>
  </si>
  <si>
    <t>2000214249545</t>
  </si>
  <si>
    <t>2000199479708</t>
  </si>
  <si>
    <t>Gạch ốp tồn - Viên</t>
  </si>
  <si>
    <t>66A-71YY87/078/5L (76425)</t>
  </si>
  <si>
    <t>2000026453246</t>
  </si>
  <si>
    <t>66A-71YY87/078/5L</t>
  </si>
  <si>
    <t>BS3633</t>
  </si>
  <si>
    <t>2000047108279</t>
  </si>
  <si>
    <t>Gạch ốp 30x60 BS 3633 A (1 h= 1.08m2)</t>
  </si>
  <si>
    <t>TS- 3603</t>
  </si>
  <si>
    <t>2000047170429</t>
  </si>
  <si>
    <t>Ốp TS- 3603</t>
  </si>
  <si>
    <t>TQ8003 - Viên</t>
  </si>
  <si>
    <t>2000122645859</t>
  </si>
  <si>
    <t>Gạch lát TQ8003 - Viên</t>
  </si>
  <si>
    <t>chân tường y019 - Viên</t>
  </si>
  <si>
    <t>2000032518038</t>
  </si>
  <si>
    <t>chân tường y019 - viên</t>
  </si>
  <si>
    <t>Y65/20kg</t>
  </si>
  <si>
    <t>2000025583654</t>
  </si>
  <si>
    <t>Dulux weathershield-Chất chống thấm 20kg</t>
  </si>
  <si>
    <t>Sân vườn 04</t>
  </si>
  <si>
    <t>2000035515621</t>
  </si>
  <si>
    <t>2000054443301</t>
  </si>
  <si>
    <t>Gạch lát nền gỗ KT15x80 (10 viên/hộp = 1.2m)</t>
  </si>
  <si>
    <t>KHH</t>
  </si>
  <si>
    <t>2000027733804</t>
  </si>
  <si>
    <t>Kệ Hoàng Hà</t>
  </si>
  <si>
    <t>chống trơn 3308</t>
  </si>
  <si>
    <t>2000033146247</t>
  </si>
  <si>
    <t>2000183045575</t>
  </si>
  <si>
    <t>công cắt gạch 50x50 (1/4)</t>
  </si>
  <si>
    <t>2000165262921</t>
  </si>
  <si>
    <t>Gạch 50x50 lộ cộ (m)</t>
  </si>
  <si>
    <t>F51</t>
  </si>
  <si>
    <t>2000025179031</t>
  </si>
  <si>
    <t>Ốp 30x45 F51</t>
  </si>
  <si>
    <t>A936/5L</t>
  </si>
  <si>
    <t>2000025583586</t>
  </si>
  <si>
    <t>Viền KT7x60 Y6608 - Viên</t>
  </si>
  <si>
    <t>2000040083689</t>
  </si>
  <si>
    <t>gạch tồn 50*50(m2)</t>
  </si>
  <si>
    <t>2000214252309</t>
  </si>
  <si>
    <t>2000032157145</t>
  </si>
  <si>
    <t>ốp vàng 2245</t>
  </si>
  <si>
    <t>BS3634</t>
  </si>
  <si>
    <t>2000047108286</t>
  </si>
  <si>
    <t>Gạch ốp 30x60 BS3634 (1h=1,08m2) đậm</t>
  </si>
  <si>
    <t>VT34</t>
  </si>
  <si>
    <t>2000025789858</t>
  </si>
  <si>
    <t>Chân tường VT34</t>
  </si>
  <si>
    <t>2000095275398</t>
  </si>
  <si>
    <t>Viền mắt ngọc - Viên</t>
  </si>
  <si>
    <t>7602 - Viên HH</t>
  </si>
  <si>
    <t>2000044354280</t>
  </si>
  <si>
    <t>Viền 7x60 - 7602 - Viên HH</t>
  </si>
  <si>
    <t>mdp821 ( hủy)</t>
  </si>
  <si>
    <t>2000069030282</t>
  </si>
  <si>
    <t>MDP821-gạch 80*80 ( hủy)</t>
  </si>
  <si>
    <t>2000057463665</t>
  </si>
  <si>
    <t>Viền Zi zắc ánh kim - Viên</t>
  </si>
  <si>
    <t>Điểm HD3607 - Viên</t>
  </si>
  <si>
    <t>2000153135282</t>
  </si>
  <si>
    <t>2000047170443</t>
  </si>
  <si>
    <t>Gạch ốp 3604</t>
  </si>
  <si>
    <t>VN516</t>
  </si>
  <si>
    <t>2000024854434</t>
  </si>
  <si>
    <t>Gạch lát VN516</t>
  </si>
  <si>
    <t>2000187620365</t>
  </si>
  <si>
    <t>công cắt gạch 80x80 (1/5)</t>
  </si>
  <si>
    <t>2000066504328</t>
  </si>
  <si>
    <t>tsa-6411(60*60)</t>
  </si>
  <si>
    <t>2000200399506</t>
  </si>
  <si>
    <t>Gạch tồn lộ cộ 60x60 ( Viên)</t>
  </si>
  <si>
    <t>66A trắng /5L</t>
  </si>
  <si>
    <t>2000040680635</t>
  </si>
  <si>
    <t>FV3682 - A</t>
  </si>
  <si>
    <t>2000034068647</t>
  </si>
  <si>
    <t>Gạch ốp FV3682 - A</t>
  </si>
  <si>
    <t>2000093913766</t>
  </si>
  <si>
    <t>gạch viền</t>
  </si>
  <si>
    <t>V7309 - V</t>
  </si>
  <si>
    <t>2000026638773</t>
  </si>
  <si>
    <t>Viền 7309 - Viên</t>
  </si>
  <si>
    <t>V7321 - V</t>
  </si>
  <si>
    <t>2000029644399</t>
  </si>
  <si>
    <t>Viền 7321 - Viên</t>
  </si>
  <si>
    <t>CT865</t>
  </si>
  <si>
    <t>2000115552997</t>
  </si>
  <si>
    <t>chống trơn D865</t>
  </si>
  <si>
    <t>MK01</t>
  </si>
  <si>
    <t>2000026220077</t>
  </si>
  <si>
    <t>Mekong 01</t>
  </si>
  <si>
    <t>2000090275492</t>
  </si>
  <si>
    <t>gạch tồn 60x60 ( Viên)</t>
  </si>
  <si>
    <t>Viền LK7304 - Viên</t>
  </si>
  <si>
    <t>2000035221485</t>
  </si>
  <si>
    <t>V7304-V</t>
  </si>
  <si>
    <t>2000025889237</t>
  </si>
  <si>
    <t>viền V7304</t>
  </si>
  <si>
    <t>VI5528A1</t>
  </si>
  <si>
    <t>2000024768274</t>
  </si>
  <si>
    <t>Gạch lát VI5528</t>
  </si>
  <si>
    <t>Gạch chân tường 50x86</t>
  </si>
  <si>
    <t>2000040438786</t>
  </si>
  <si>
    <t>LX310</t>
  </si>
  <si>
    <t>2000026929369</t>
  </si>
  <si>
    <t>BBR/40kg</t>
  </si>
  <si>
    <t>2000026152118</t>
  </si>
  <si>
    <t>Bột bả rẻ</t>
  </si>
  <si>
    <t>VI763</t>
  </si>
  <si>
    <t>2000026570066</t>
  </si>
  <si>
    <t>Gạch lát nền 50x50 VI763</t>
  </si>
  <si>
    <t>W6812 - Thiên hoàng</t>
  </si>
  <si>
    <t>2000045007154</t>
  </si>
  <si>
    <t>Gạch lát nền W6812</t>
  </si>
  <si>
    <t>A991 trắng/18l</t>
  </si>
  <si>
    <t>2000038046610</t>
  </si>
  <si>
    <t>66A/75060/5L( trắng trong)</t>
  </si>
  <si>
    <t>2000033079040</t>
  </si>
  <si>
    <t>Bột bả</t>
  </si>
  <si>
    <t>2000025583616</t>
  </si>
  <si>
    <t>Dulux bột trét cao cấp trong nhà và ngoài trời 40kg</t>
  </si>
  <si>
    <t>V7302</t>
  </si>
  <si>
    <t>2000024924458</t>
  </si>
  <si>
    <t>Viền 7302 - V</t>
  </si>
  <si>
    <t>GĐBHH</t>
  </si>
  <si>
    <t>2000029261909</t>
  </si>
  <si>
    <t>gạch đỏ bóng hoàng hà</t>
  </si>
  <si>
    <t>LX6012 A - Viên</t>
  </si>
  <si>
    <t>2000125755241</t>
  </si>
  <si>
    <t>Gạch lát LX6012 A - Viên</t>
  </si>
  <si>
    <t>TB 602</t>
  </si>
  <si>
    <t>2000069865211</t>
  </si>
  <si>
    <t>Gạch lát TB 602 (hủy)</t>
  </si>
  <si>
    <t>Chống trơn CT325</t>
  </si>
  <si>
    <t>2000041074327</t>
  </si>
  <si>
    <t>Chống trơn CT325 (hủy)</t>
  </si>
  <si>
    <t>CT3614 - V</t>
  </si>
  <si>
    <t>2000030361469</t>
  </si>
  <si>
    <t>CT3614 - Viên</t>
  </si>
  <si>
    <t>LX6010 (A)- Viên</t>
  </si>
  <si>
    <t>2000126315086</t>
  </si>
  <si>
    <t>Gạch lát LX6010 (A)- Viên</t>
  </si>
  <si>
    <t>BJ9-25155/5L</t>
  </si>
  <si>
    <t>2000026554721</t>
  </si>
  <si>
    <t>V7306 - V</t>
  </si>
  <si>
    <t>2000027465262</t>
  </si>
  <si>
    <t>Viền 7306 - Viên</t>
  </si>
  <si>
    <t>TQ8007</t>
  </si>
  <si>
    <t>2000102314409</t>
  </si>
  <si>
    <t>Gạch TQ - 8007</t>
  </si>
  <si>
    <t>y020 - Viên</t>
  </si>
  <si>
    <t>2000032518014</t>
  </si>
  <si>
    <t>chân tường y020 - Viên</t>
  </si>
  <si>
    <t>MGTLT/18L</t>
  </si>
  <si>
    <t>2000025589090</t>
  </si>
  <si>
    <t>Megatex lót trong 18L</t>
  </si>
  <si>
    <t>Chân tường y020</t>
  </si>
  <si>
    <t>2000032517970</t>
  </si>
  <si>
    <t>2000060786782</t>
  </si>
  <si>
    <t>gạch chống trơn</t>
  </si>
  <si>
    <t>2000026757894</t>
  </si>
  <si>
    <t>viên nhân gạch đỏ hoàng hà</t>
  </si>
  <si>
    <t>Chân tường 50x85 - V</t>
  </si>
  <si>
    <t>2000031804453</t>
  </si>
  <si>
    <t>Chân tường 50x86 - viên</t>
  </si>
  <si>
    <t>Cước gửi hàng</t>
  </si>
  <si>
    <t>2000042960964</t>
  </si>
  <si>
    <t>ốp 36914</t>
  </si>
  <si>
    <t>2000050042058</t>
  </si>
  <si>
    <t>ốp 30*60 36914 ốp TH</t>
  </si>
  <si>
    <t>2000031231983</t>
  </si>
  <si>
    <t>MG-00/18L</t>
  </si>
  <si>
    <t>2000053403023</t>
  </si>
  <si>
    <t>ốp BS3604</t>
  </si>
  <si>
    <t>VG6609 A1 (1H=1.44M)</t>
  </si>
  <si>
    <t>2000201436408</t>
  </si>
  <si>
    <t>CT3615 - V</t>
  </si>
  <si>
    <t>2000030361452</t>
  </si>
  <si>
    <t>CT3615 - Viên</t>
  </si>
  <si>
    <t>2000180985331</t>
  </si>
  <si>
    <t>MOL-M04(15*90)</t>
  </si>
  <si>
    <t>TK SG360003 A1 ( 1 hộp = 1.44m2) - tây sơn</t>
  </si>
  <si>
    <t>2000199537040</t>
  </si>
  <si>
    <t>Gạch trang trí TK SG360003 A1 ( 1 hộp = 1.44m2)</t>
  </si>
  <si>
    <t>VR335</t>
  </si>
  <si>
    <t>2000069593268</t>
  </si>
  <si>
    <t>Chống trơn VR335</t>
  </si>
  <si>
    <t>2000092564013</t>
  </si>
  <si>
    <t>gạch chống trơn tồn</t>
  </si>
  <si>
    <t>2000195628292</t>
  </si>
  <si>
    <t>Gạch ốp tồn ( 1 hộp = 1.08m2)</t>
  </si>
  <si>
    <t>Viền KT 7x30</t>
  </si>
  <si>
    <t>2000034918584</t>
  </si>
  <si>
    <t>Viền KT 7x30 (40 viên/hộp)</t>
  </si>
  <si>
    <t>KQ609</t>
  </si>
  <si>
    <t>2000026590804</t>
  </si>
  <si>
    <t>Gạch lát KQ609</t>
  </si>
  <si>
    <t>C16</t>
  </si>
  <si>
    <t>2000025179420</t>
  </si>
  <si>
    <t>Ốp 30x45 C16</t>
  </si>
  <si>
    <t>Lát 60x60 LXC6203(A1) - viên</t>
  </si>
  <si>
    <t>2000157747559</t>
  </si>
  <si>
    <t>LXC 6203 (A1) - viên</t>
  </si>
  <si>
    <t>Gạch 50*86-chân cao(viên)</t>
  </si>
  <si>
    <t>2000214255546</t>
  </si>
  <si>
    <t>KS372</t>
  </si>
  <si>
    <t>2000037565945</t>
  </si>
  <si>
    <t>Gạch chống trơn Long Hầu KS372</t>
  </si>
  <si>
    <t>2000092565362</t>
  </si>
  <si>
    <t>gạch 30x45 tôn</t>
  </si>
  <si>
    <t>CTBM</t>
  </si>
  <si>
    <t>2000027894833</t>
  </si>
  <si>
    <t>Chống trơn - Bỏ mẫu</t>
  </si>
  <si>
    <t>TN08- A</t>
  </si>
  <si>
    <t>2000029515521</t>
  </si>
  <si>
    <t>TN08-A</t>
  </si>
  <si>
    <t>N0366-1303 - VIÊN ( gỗ)</t>
  </si>
  <si>
    <t>2000166602641</t>
  </si>
  <si>
    <t>Gạch (60x60) - N0366-1303 - VIÊN</t>
  </si>
  <si>
    <t>TQ8002</t>
  </si>
  <si>
    <t>2000111331848</t>
  </si>
  <si>
    <t>Gạch TQ8002</t>
  </si>
  <si>
    <t>thảm 80*80-v</t>
  </si>
  <si>
    <t>2000081429620</t>
  </si>
  <si>
    <t>Thảm vô cực KT 80*80-viên</t>
  </si>
  <si>
    <t>TN06</t>
  </si>
  <si>
    <t>2000024871370</t>
  </si>
  <si>
    <t>Gạch ốp TN06 A1</t>
  </si>
  <si>
    <t>VI5540A1</t>
  </si>
  <si>
    <t>2000024768212</t>
  </si>
  <si>
    <t>Gạch lát VI5540</t>
  </si>
  <si>
    <t>8803 (TQ)</t>
  </si>
  <si>
    <t>2000100334911</t>
  </si>
  <si>
    <t>ánh kim 8803</t>
  </si>
  <si>
    <t>K509</t>
  </si>
  <si>
    <t>2000025179277</t>
  </si>
  <si>
    <t>Gạch lát 50x50 K509</t>
  </si>
  <si>
    <t>ECO 622</t>
  </si>
  <si>
    <t>2000044111999</t>
  </si>
  <si>
    <t>Gạch lát 60x60 - ECO 622</t>
  </si>
  <si>
    <t>2000054211320</t>
  </si>
  <si>
    <t>Chân tường 85x60 - Viên</t>
  </si>
  <si>
    <t>TQ8016</t>
  </si>
  <si>
    <t>2000127377823</t>
  </si>
  <si>
    <t>Lát 80x80 8016 ( 1 hộp = 1.92m2)</t>
  </si>
  <si>
    <t>MGTLN/18L</t>
  </si>
  <si>
    <t>2000025589496</t>
  </si>
  <si>
    <t>Megatex lót ngoài 18L</t>
  </si>
  <si>
    <t>TB891(A1)-viên</t>
  </si>
  <si>
    <t>2000129146748</t>
  </si>
  <si>
    <t>Gạch lát TB891(A1)-Viên</t>
  </si>
  <si>
    <t>N0355 -1010C A1 - Viên</t>
  </si>
  <si>
    <t>2000166292279</t>
  </si>
  <si>
    <t>Gạch Nise (50x50) 5 -1010C A1 - Viên</t>
  </si>
  <si>
    <t>CT381</t>
  </si>
  <si>
    <t>2000024855226</t>
  </si>
  <si>
    <t>Gạch lát CT381</t>
  </si>
  <si>
    <t>KQ608</t>
  </si>
  <si>
    <t>2000028739171</t>
  </si>
  <si>
    <t>CT5520 - V</t>
  </si>
  <si>
    <t>2000026129486</t>
  </si>
  <si>
    <t>chân tường CT5520 - Viên</t>
  </si>
  <si>
    <t>2000171936526</t>
  </si>
  <si>
    <t>MOC MO3/15*90/HOP</t>
  </si>
  <si>
    <t>V70304-V</t>
  </si>
  <si>
    <t>2000027035465</t>
  </si>
  <si>
    <t>V7304 - Viên</t>
  </si>
  <si>
    <t>lw1111</t>
  </si>
  <si>
    <t>2000069030343</t>
  </si>
  <si>
    <t>LW1111_gạch 80*80</t>
  </si>
  <si>
    <t>VN402</t>
  </si>
  <si>
    <t>2000024854540</t>
  </si>
  <si>
    <t>Gạch lát 402</t>
  </si>
  <si>
    <t>A934-75007/5L</t>
  </si>
  <si>
    <t>2000025583555</t>
  </si>
  <si>
    <t>Dulux interior prime - Sơn lót trong nhà 5L</t>
  </si>
  <si>
    <t>MDP822</t>
  </si>
  <si>
    <t>2000073039509</t>
  </si>
  <si>
    <t>Mdp 822 gạch 80*80 ( hủy)</t>
  </si>
  <si>
    <t>D002 - Viên</t>
  </si>
  <si>
    <t>2000036097683</t>
  </si>
  <si>
    <t>Viền 7x60 D002 - Viên</t>
  </si>
  <si>
    <t>SM00/18L</t>
  </si>
  <si>
    <t>2000025589328</t>
  </si>
  <si>
    <t>Megatex siêu mịn 00/18L</t>
  </si>
  <si>
    <t>Lát 60x60 LXC6202(A1) - Viên</t>
  </si>
  <si>
    <t>2000157747276</t>
  </si>
  <si>
    <t>LXC 6202 - Viên</t>
  </si>
  <si>
    <t>Y6469 G - Viên</t>
  </si>
  <si>
    <t>2000036097652</t>
  </si>
  <si>
    <t>Viền 7x30 Y6469 G - Viên</t>
  </si>
  <si>
    <t>Lát LXC 6101 - Viên</t>
  </si>
  <si>
    <t>2000157743896</t>
  </si>
  <si>
    <t>LXC 6101 - Viên</t>
  </si>
  <si>
    <t>C09</t>
  </si>
  <si>
    <t>2000025179482</t>
  </si>
  <si>
    <t>Ốp 30x45 C09</t>
  </si>
  <si>
    <t>V7315 - V</t>
  </si>
  <si>
    <t>2000026129615</t>
  </si>
  <si>
    <t>Viền V7315 - Viên</t>
  </si>
  <si>
    <t>2000102275458</t>
  </si>
  <si>
    <t>gạch đỏ 40117</t>
  </si>
  <si>
    <t>2000171933129</t>
  </si>
  <si>
    <t>ANN G04/30*60/HỘP</t>
  </si>
  <si>
    <t>A991-20YY53/423/5L</t>
  </si>
  <si>
    <t>2000026840541</t>
  </si>
  <si>
    <t>TB603 - Viên</t>
  </si>
  <si>
    <t>2000111115370</t>
  </si>
  <si>
    <t>Gạch lát TB603 - Viên</t>
  </si>
  <si>
    <t>HD3607</t>
  </si>
  <si>
    <t>2000156239918</t>
  </si>
  <si>
    <t>HD3607(A1) -Viên</t>
  </si>
  <si>
    <t>2000181383136</t>
  </si>
  <si>
    <t>Lus G03(30*60)</t>
  </si>
  <si>
    <t>2000044117267</t>
  </si>
  <si>
    <t>Điểm -3063 - Viên</t>
  </si>
  <si>
    <t>Ốp - Nhạt 36037</t>
  </si>
  <si>
    <t>2000044157089</t>
  </si>
  <si>
    <t>Ốp - Nhạt WB36037</t>
  </si>
  <si>
    <t>BS3611</t>
  </si>
  <si>
    <t>2000073738402</t>
  </si>
  <si>
    <t>ốp 30*60 BS3611-1 hộp=1.08m</t>
  </si>
  <si>
    <t>Điểm TH3632 - Viên (thanh hà)</t>
  </si>
  <si>
    <t>2000058045969</t>
  </si>
  <si>
    <t>Điểm TH3632 - Viên</t>
  </si>
  <si>
    <t>BJ9-80YR17/406/1L</t>
  </si>
  <si>
    <t>2000026210467</t>
  </si>
  <si>
    <t>2000088462897</t>
  </si>
  <si>
    <t>Gạch viền 60 - Viên</t>
  </si>
  <si>
    <t>LX 3402</t>
  </si>
  <si>
    <t>2000051660701</t>
  </si>
  <si>
    <t>LX 3402_ốp 30*45 3402</t>
  </si>
  <si>
    <t>VI5733</t>
  </si>
  <si>
    <t>2000027260003</t>
  </si>
  <si>
    <t>6505</t>
  </si>
  <si>
    <t>2000044833136</t>
  </si>
  <si>
    <t>Nền 60x60 - 6505</t>
  </si>
  <si>
    <t>2000067231766</t>
  </si>
  <si>
    <t>th-3691(30*60)</t>
  </si>
  <si>
    <t>Y65/6kg</t>
  </si>
  <si>
    <t>2000025583630</t>
  </si>
  <si>
    <t>Dulux wheathershield-Chất chống thấm 6kg</t>
  </si>
  <si>
    <t>V7304</t>
  </si>
  <si>
    <t>2000025146095</t>
  </si>
  <si>
    <t>Viền 7304</t>
  </si>
  <si>
    <t>sân vườn 20</t>
  </si>
  <si>
    <t>2000038043756</t>
  </si>
  <si>
    <t>6112 gỗ - Nguyệt trâm</t>
  </si>
  <si>
    <t>2000044316240</t>
  </si>
  <si>
    <t>15x80 /6112 gỗ</t>
  </si>
  <si>
    <t>VG6609 A1(VIÊN)</t>
  </si>
  <si>
    <t>2000201436415</t>
  </si>
  <si>
    <t>VI733</t>
  </si>
  <si>
    <t>2000025212004</t>
  </si>
  <si>
    <t>Gạch VI733</t>
  </si>
  <si>
    <t>LXC6101 - Viên (A)</t>
  </si>
  <si>
    <t>2000156371274</t>
  </si>
  <si>
    <t>Lát 60x60 - LXC6101 - Viên (A)</t>
  </si>
  <si>
    <t>LXC6102 A1</t>
  </si>
  <si>
    <t>2000161107394</t>
  </si>
  <si>
    <t>Gạch Lát LXC6102 A1 ( 1 hộp = 1.44m2)</t>
  </si>
  <si>
    <t>Y6011 BG - Viên</t>
  </si>
  <si>
    <t>2000036097638</t>
  </si>
  <si>
    <t>Viền 7x30 Y6011 BG - Viên</t>
  </si>
  <si>
    <t>15x80 - PM61112 - ( Hải nguyệt)</t>
  </si>
  <si>
    <t>2000043616174</t>
  </si>
  <si>
    <t>Gạch ốp 15x80 PM6112</t>
  </si>
  <si>
    <t>TH3639 - Viên (Thanh Hà)</t>
  </si>
  <si>
    <t>2000057339151</t>
  </si>
  <si>
    <t>ốp 30x60 TH3639 - Viên</t>
  </si>
  <si>
    <t>2000156177944</t>
  </si>
  <si>
    <t>gạch trắng 30x60 ( tồn) - Viên</t>
  </si>
  <si>
    <t>2000168979987</t>
  </si>
  <si>
    <t>Điểm bộ - Viên</t>
  </si>
  <si>
    <t>C3646(1h=1.08m)</t>
  </si>
  <si>
    <t>2000121101349</t>
  </si>
  <si>
    <t>Ốp C3646 (1hộp =1.08m)</t>
  </si>
  <si>
    <t>FV3683</t>
  </si>
  <si>
    <t>2000024926674</t>
  </si>
  <si>
    <t>Ốp vát 30x60 FV3683</t>
  </si>
  <si>
    <t>F639A1</t>
  </si>
  <si>
    <t>2000025179567</t>
  </si>
  <si>
    <t>Gạch lát 60x60 F639 A1</t>
  </si>
  <si>
    <t>DIC80723 ( Pancera)</t>
  </si>
  <si>
    <t>2000131780381</t>
  </si>
  <si>
    <t>Gạch lát 80x80 - DIC80723</t>
  </si>
  <si>
    <t>Điểm 3614 - Viên</t>
  </si>
  <si>
    <t>2000032405215</t>
  </si>
  <si>
    <t>MK02</t>
  </si>
  <si>
    <t>2000026566717</t>
  </si>
  <si>
    <t>Mekong 02</t>
  </si>
  <si>
    <t>RT 3614 Nhạt - Nguyệt Trâm</t>
  </si>
  <si>
    <t>2000044316233</t>
  </si>
  <si>
    <t>30x60 RT 3614 Nhạt</t>
  </si>
  <si>
    <t>2000122976373</t>
  </si>
  <si>
    <t>Gạch lát 604 men khô hh</t>
  </si>
  <si>
    <t>2000171935192</t>
  </si>
  <si>
    <t>PHSS O1/45*90/HỘP</t>
  </si>
  <si>
    <t>66A-70GY83/100/5L</t>
  </si>
  <si>
    <t>2000027115716</t>
  </si>
  <si>
    <t>2000057835394</t>
  </si>
  <si>
    <t>Gạch lát 80x80 - ECO820</t>
  </si>
  <si>
    <t>2000119100576</t>
  </si>
  <si>
    <t>Sen vòi cặp (to)</t>
  </si>
  <si>
    <t>TB803 (A)</t>
  </si>
  <si>
    <t>2000077002608</t>
  </si>
  <si>
    <t>Gạch Granit TB803</t>
  </si>
  <si>
    <t>MG nội thất màu 2002/18L</t>
  </si>
  <si>
    <t>2000038806054</t>
  </si>
  <si>
    <t>V9656</t>
  </si>
  <si>
    <t>2000025241509</t>
  </si>
  <si>
    <t>Viền V9656 - V</t>
  </si>
  <si>
    <t>66A-44YY87/118/5L</t>
  </si>
  <si>
    <t>2000028524289</t>
  </si>
  <si>
    <t>2000031356402</t>
  </si>
  <si>
    <t>MG-00\4L</t>
  </si>
  <si>
    <t>Kệ Ngọc Sơn</t>
  </si>
  <si>
    <t>2000033057826</t>
  </si>
  <si>
    <t>3612</t>
  </si>
  <si>
    <t>2000068713940</t>
  </si>
  <si>
    <t>BS3612_gach ốp 30*60</t>
  </si>
  <si>
    <t>VI5529 A1</t>
  </si>
  <si>
    <t>2000024812816</t>
  </si>
  <si>
    <t>Gạch lát VI5529</t>
  </si>
  <si>
    <t>0355-1008C  A1- Viên</t>
  </si>
  <si>
    <t>2000166291845</t>
  </si>
  <si>
    <t>Gạch Nise (50x50) 5-1008C  A1- Viên</t>
  </si>
  <si>
    <t>LXC6102 - Viên (A1)</t>
  </si>
  <si>
    <t>2000161107462</t>
  </si>
  <si>
    <t>Gạch lát LXC6102 - Viên (A1)</t>
  </si>
  <si>
    <t>2000173003714</t>
  </si>
  <si>
    <t>công cắt gạch + mòi</t>
  </si>
  <si>
    <t>Lát HD538(A1) -viên</t>
  </si>
  <si>
    <t>2000150562180</t>
  </si>
  <si>
    <t>HD538 - Viên</t>
  </si>
  <si>
    <t>2000028772970</t>
  </si>
  <si>
    <t>SƠN LÓT KHÁNG KIỀM NỘI \K109\20KG</t>
  </si>
  <si>
    <t>RT3615 Đậm - Nguyệt Trâm</t>
  </si>
  <si>
    <t>2000044316226</t>
  </si>
  <si>
    <t>30x60 RT3615 Đậm</t>
  </si>
  <si>
    <t>VI5808 - Viên</t>
  </si>
  <si>
    <t>2000141759698</t>
  </si>
  <si>
    <t>Gạch lát VI5808 - Viên</t>
  </si>
  <si>
    <t>ECO -S622 D22 ( Đuôi mới)</t>
  </si>
  <si>
    <t>2000038557314</t>
  </si>
  <si>
    <t>Gạch Grainite ECO -S622 D22 ( Đuôi mới)</t>
  </si>
  <si>
    <t>D005 - Viên</t>
  </si>
  <si>
    <t>2000036097713</t>
  </si>
  <si>
    <t>Viền 7x60 D005 - Viên</t>
  </si>
  <si>
    <t>gạch đỏ đất việt</t>
  </si>
  <si>
    <t>2000034458240</t>
  </si>
  <si>
    <t>điểm 36914 -v</t>
  </si>
  <si>
    <t>2000050042379</t>
  </si>
  <si>
    <t>điểm 36914-viên</t>
  </si>
  <si>
    <t>gạch đỏ Hoàng Hà ( 50x50)</t>
  </si>
  <si>
    <t>2000039588201</t>
  </si>
  <si>
    <t>CT3614</t>
  </si>
  <si>
    <t>2000030361360</t>
  </si>
  <si>
    <t>2000073444938</t>
  </si>
  <si>
    <t>Sân vườn 06</t>
  </si>
  <si>
    <t>MG bóng NT 3077/18L</t>
  </si>
  <si>
    <t>2000038806634</t>
  </si>
  <si>
    <t>CT9933</t>
  </si>
  <si>
    <t>2000135339721</t>
  </si>
  <si>
    <t>chân tường 50x86 9933 - Viên</t>
  </si>
  <si>
    <t>D831 - Viên</t>
  </si>
  <si>
    <t>2000117216231</t>
  </si>
  <si>
    <t>Chống trơn D831 - Viên</t>
  </si>
  <si>
    <t>SV06</t>
  </si>
  <si>
    <t>2000026775836</t>
  </si>
  <si>
    <t>Gạch ốp 30x60 FM3662 - Viên</t>
  </si>
  <si>
    <t>2000036093869</t>
  </si>
  <si>
    <t>Palet gạch hoàng hà</t>
  </si>
  <si>
    <t>2000214249972</t>
  </si>
  <si>
    <t>BJ9-76419/5L</t>
  </si>
  <si>
    <t>2000026213772</t>
  </si>
  <si>
    <t>BJ9-76419/5L (Đặc biệt+5%)</t>
  </si>
  <si>
    <t>2000027011544</t>
  </si>
  <si>
    <t>66A - Trắng trong nhà/5L</t>
  </si>
  <si>
    <t>2000029942402</t>
  </si>
  <si>
    <t>gạch 60*60 mikado</t>
  </si>
  <si>
    <t>2000053117791</t>
  </si>
  <si>
    <t>66A - 71YY87/078/5L</t>
  </si>
  <si>
    <t>2000066736972</t>
  </si>
  <si>
    <t>Gạch ECO -620</t>
  </si>
  <si>
    <t>Điểm 36104 - Viên</t>
  </si>
  <si>
    <t>2000041130535</t>
  </si>
  <si>
    <t>NS402</t>
  </si>
  <si>
    <t>2000027659609</t>
  </si>
  <si>
    <t>2000073716356</t>
  </si>
  <si>
    <t>ECOW - 609</t>
  </si>
  <si>
    <t>MT 3632</t>
  </si>
  <si>
    <t>2000050636370</t>
  </si>
  <si>
    <t>ốp 30*60 MT 3632 (1.44m=1 hôp)</t>
  </si>
  <si>
    <t>HM3061 ( 1 hộp =1.44m)</t>
  </si>
  <si>
    <t>2000044157454</t>
  </si>
  <si>
    <t>2000055844589</t>
  </si>
  <si>
    <t>Gạch lát ECO -621</t>
  </si>
  <si>
    <t>ECOS810 - Viên (A)</t>
  </si>
  <si>
    <t>2000077002332</t>
  </si>
  <si>
    <t>Gạch ECO-S810 - Viên</t>
  </si>
  <si>
    <t>2000058498635</t>
  </si>
  <si>
    <t>gạch lát ECO-803</t>
  </si>
  <si>
    <t>TS2-612</t>
  </si>
  <si>
    <t>2000028848026</t>
  </si>
  <si>
    <t>Gạch lát 60x60 TS2-612</t>
  </si>
  <si>
    <t>BJ9-90BG17/090/1L</t>
  </si>
  <si>
    <t>2000025902424</t>
  </si>
  <si>
    <t>80DB100</t>
  </si>
  <si>
    <t>2000026710325</t>
  </si>
  <si>
    <t>80DB100-Nano</t>
  </si>
  <si>
    <t>Điểm 2018 - Viên</t>
  </si>
  <si>
    <t>2000035231323</t>
  </si>
  <si>
    <t>GẠCH VIGLA CL510(1H = 4V= 1M2 )</t>
  </si>
  <si>
    <t>2000201703098</t>
  </si>
  <si>
    <t>NV</t>
  </si>
  <si>
    <t>2000027141234</t>
  </si>
  <si>
    <t>Nhũ vàng</t>
  </si>
  <si>
    <t>BJ9-50BG76/090/5L</t>
  </si>
  <si>
    <t>2000033079026</t>
  </si>
  <si>
    <t>BJ9-50BG76/090/5L ( màu đặc biệt + 5%)</t>
  </si>
  <si>
    <t>2000047865554</t>
  </si>
  <si>
    <t>Gạch TS1-610</t>
  </si>
  <si>
    <t>2000151571464</t>
  </si>
  <si>
    <t>66AB màu 76924/5L</t>
  </si>
  <si>
    <t>BJ9-76418/5L</t>
  </si>
  <si>
    <t>2000026758693</t>
  </si>
  <si>
    <t>BJ9-76418/5L(ĐB+5%)</t>
  </si>
  <si>
    <t>2000028739546</t>
  </si>
  <si>
    <t>gach thềm(30*40)hạ long</t>
  </si>
  <si>
    <t>LX3609 ( đậm)</t>
  </si>
  <si>
    <t>2000112599667</t>
  </si>
  <si>
    <t>Ốp 30x60 LX3609 ( 1 hộp = 1,44m2)</t>
  </si>
  <si>
    <t>VKT7302</t>
  </si>
  <si>
    <t>2000026532361</t>
  </si>
  <si>
    <t>Viền 7302 kim tuyến (40 v/hộp)</t>
  </si>
  <si>
    <t>A991-71YY87/078/18L</t>
  </si>
  <si>
    <t>2000028535728</t>
  </si>
  <si>
    <t>2000180984419</t>
  </si>
  <si>
    <t>Sig-P8801-A1</t>
  </si>
  <si>
    <t>FD36161</t>
  </si>
  <si>
    <t>2000024865966</t>
  </si>
  <si>
    <t>Gạch FD36161</t>
  </si>
  <si>
    <t>F36126-V</t>
  </si>
  <si>
    <t>2000025174340</t>
  </si>
  <si>
    <t>Điểm F36126D - Viên</t>
  </si>
  <si>
    <t>V7312 - V</t>
  </si>
  <si>
    <t>2000027218035</t>
  </si>
  <si>
    <t>Viền 7312 - Viên</t>
  </si>
  <si>
    <t>2000198706522</t>
  </si>
  <si>
    <t>công cắt gạch 80x80 ( 1/4)</t>
  </si>
  <si>
    <t>Gạch điểm FM 3664 D - Viên</t>
  </si>
  <si>
    <t>2000036094538</t>
  </si>
  <si>
    <t>Y6150 G - Viên</t>
  </si>
  <si>
    <t>2000036097676</t>
  </si>
  <si>
    <t>Viền 7x30 Y6150 G - Viên</t>
  </si>
  <si>
    <t>A901/18L</t>
  </si>
  <si>
    <t>2000025583517</t>
  </si>
  <si>
    <t>Maxilite sơn nước trong nhà 18L</t>
  </si>
  <si>
    <t>CLPB/4L</t>
  </si>
  <si>
    <t>2000025589489</t>
  </si>
  <si>
    <t>Clear phủ bóng 4L</t>
  </si>
  <si>
    <t>VI6011-V</t>
  </si>
  <si>
    <t>2000026053989</t>
  </si>
  <si>
    <t>VI6011 - Viên</t>
  </si>
  <si>
    <t>V7369</t>
  </si>
  <si>
    <t>2000024918532</t>
  </si>
  <si>
    <t>Gạch viền 7369</t>
  </si>
  <si>
    <t>2000031362533</t>
  </si>
  <si>
    <t>K109/4KG</t>
  </si>
  <si>
    <t>GD36905</t>
  </si>
  <si>
    <t>2000080251253</t>
  </si>
  <si>
    <t>Màu nhạt GD36905_ốp 30*60/1.08 mét/hộp</t>
  </si>
  <si>
    <t>MN612.606 A1 - Viên</t>
  </si>
  <si>
    <t>2000199589346</t>
  </si>
  <si>
    <t>Gạch 60x120 MN612.606 A1 - Viên</t>
  </si>
  <si>
    <t>A991/18L</t>
  </si>
  <si>
    <t>2000025583265</t>
  </si>
  <si>
    <t>Dulux Easy Clean lau chùi hiệu quả 18L</t>
  </si>
  <si>
    <t>HD539 (A1)-Viên</t>
  </si>
  <si>
    <t>2000150562258</t>
  </si>
  <si>
    <t>HD539 - viên</t>
  </si>
  <si>
    <t>BJ9-76594/5L</t>
  </si>
  <si>
    <t>2000025902400</t>
  </si>
  <si>
    <t>BJ9-76594/5L (Đặc biệt)</t>
  </si>
  <si>
    <t>W6805</t>
  </si>
  <si>
    <t>2000045708723</t>
  </si>
  <si>
    <t>gạch nền 60*60 W6805_W6805_th</t>
  </si>
  <si>
    <t>2000065169382</t>
  </si>
  <si>
    <t>A991 trắng bóng/18L</t>
  </si>
  <si>
    <t>VI5528A1-V</t>
  </si>
  <si>
    <t>2000024768281</t>
  </si>
  <si>
    <t>Gạch lát VI5528-V</t>
  </si>
  <si>
    <t>Chổi</t>
  </si>
  <si>
    <t>2000026554615</t>
  </si>
  <si>
    <t>SV02</t>
  </si>
  <si>
    <t>2000027166329</t>
  </si>
  <si>
    <t>Sân vườn 02</t>
  </si>
  <si>
    <t>chỉ bạc</t>
  </si>
  <si>
    <t>2000030361353</t>
  </si>
  <si>
    <t>Chỉ bạc</t>
  </si>
  <si>
    <t>2000031361734</t>
  </si>
  <si>
    <t>CT11-CHAI 1KG</t>
  </si>
  <si>
    <t>V -MT 3632 đ</t>
  </si>
  <si>
    <t>2000050636387</t>
  </si>
  <si>
    <t>Điểm MT 3632 _viên</t>
  </si>
  <si>
    <t>chống trơn sỏi (MKD)</t>
  </si>
  <si>
    <t>2000153745092</t>
  </si>
  <si>
    <t>chống trơn sỏi</t>
  </si>
  <si>
    <t>Điểm 30x45 - V34584 - Viên</t>
  </si>
  <si>
    <t>2000035931278</t>
  </si>
  <si>
    <t>2000107078627</t>
  </si>
  <si>
    <t>Bột trà mạch ( kg)</t>
  </si>
  <si>
    <t>Gạch chân tường 50*86 2593 - Viên</t>
  </si>
  <si>
    <t>2000041839964</t>
  </si>
  <si>
    <t>Gạch chân tường 50*86 2593 - Viên ( Hộp 4 viên)</t>
  </si>
  <si>
    <t>CT1252</t>
  </si>
  <si>
    <t>2000026332312</t>
  </si>
  <si>
    <t>chân tường CT 1252 (màu kem nhạt)</t>
  </si>
  <si>
    <t>C36601 - Viên</t>
  </si>
  <si>
    <t>2000068313515</t>
  </si>
  <si>
    <t>Điểm C36601 - Viên</t>
  </si>
  <si>
    <t>MG9013/5L</t>
  </si>
  <si>
    <t>2000027051632</t>
  </si>
  <si>
    <t>MG siêu bóng 9013/5L</t>
  </si>
  <si>
    <t>2000031248684</t>
  </si>
  <si>
    <t>66A-75058\5L</t>
  </si>
  <si>
    <t>LXC6203 (A2) - Viên</t>
  </si>
  <si>
    <t>2000161833491</t>
  </si>
  <si>
    <t>Lát LXC6203 (A2) - Viên</t>
  </si>
  <si>
    <t>76419/1L</t>
  </si>
  <si>
    <t>2000025642009</t>
  </si>
  <si>
    <t>BJ9-76419/1L (Đặc biệt +10%)</t>
  </si>
  <si>
    <t>66A-50YY83/114/5L</t>
  </si>
  <si>
    <t>2000025716311</t>
  </si>
  <si>
    <t>V7362</t>
  </si>
  <si>
    <t>2000028892159</t>
  </si>
  <si>
    <t>Viền 7362</t>
  </si>
  <si>
    <t>Gạch chấm đỏ 40x40</t>
  </si>
  <si>
    <t>2000034492473</t>
  </si>
  <si>
    <t>w6807</t>
  </si>
  <si>
    <t>2000046096720</t>
  </si>
  <si>
    <t>W6807 - (60x60 - 1h=1,44m2)</t>
  </si>
  <si>
    <t>Eco 621</t>
  </si>
  <si>
    <t>2000052241220</t>
  </si>
  <si>
    <t>gạch Grainite Eco 621 60*60</t>
  </si>
  <si>
    <t>2000069283862</t>
  </si>
  <si>
    <t>ốp 36919 ( màu trắng)</t>
  </si>
  <si>
    <t>gạch chống trơn Thanh Hà</t>
  </si>
  <si>
    <t>2000038115019</t>
  </si>
  <si>
    <t>2000050727580</t>
  </si>
  <si>
    <t>79A-77134/18L (màu đặc biệt + 10% tiền màu)</t>
  </si>
  <si>
    <t>2000059335441</t>
  </si>
  <si>
    <t>Viền ý gia ko mã - Viên</t>
  </si>
  <si>
    <t>GD36904</t>
  </si>
  <si>
    <t>2000080251260</t>
  </si>
  <si>
    <t>Màu đậm GD36904_gạch 30*60</t>
  </si>
  <si>
    <t>SV-553</t>
  </si>
  <si>
    <t>2000047889383</t>
  </si>
  <si>
    <t>Sân vườn SV-553</t>
  </si>
  <si>
    <t>VI5016</t>
  </si>
  <si>
    <t>2000037217349</t>
  </si>
  <si>
    <t>Gạch lát (50x50) - VI5016</t>
  </si>
  <si>
    <t>F638 - V</t>
  </si>
  <si>
    <t>2000025249130</t>
  </si>
  <si>
    <t>Gạch lát 60x60 F638 - Viên</t>
  </si>
  <si>
    <t>C.T 1252</t>
  </si>
  <si>
    <t>2000025566558</t>
  </si>
  <si>
    <t>Chân tường 1252 - Viên</t>
  </si>
  <si>
    <t>2000027011551</t>
  </si>
  <si>
    <t>BJ9 - Trắng ngoài trời/5L</t>
  </si>
  <si>
    <t>Ốp 36038 ( 1 hộp = 1.08m) - Đậm - (HH)</t>
  </si>
  <si>
    <t>2000044157065</t>
  </si>
  <si>
    <t>Ốp WB36038 ( 1 hộp = 1.08m) - Đậm</t>
  </si>
  <si>
    <t>Ốp 30x60 - 3632 (mikado)</t>
  </si>
  <si>
    <t>2000057972617</t>
  </si>
  <si>
    <t>Ốp 30x60 - 3632 ( 1 hộp =1,44m)</t>
  </si>
  <si>
    <t>2000066504465</t>
  </si>
  <si>
    <t>Bs 3627(30*60) ốp</t>
  </si>
  <si>
    <t>MG Sơn trắng mịn /18L</t>
  </si>
  <si>
    <t>2000041169580</t>
  </si>
  <si>
    <t>Tường ốp 2018 màu nhạt</t>
  </si>
  <si>
    <t>2000035231293</t>
  </si>
  <si>
    <t>Viền KT 7x30 - Viên</t>
  </si>
  <si>
    <t>2000035273804</t>
  </si>
  <si>
    <t>Điểm 3632 - Viên (mikado)</t>
  </si>
  <si>
    <t>2000057972723</t>
  </si>
  <si>
    <t>Điểm 3632 - Viên</t>
  </si>
  <si>
    <t>2000126227310</t>
  </si>
  <si>
    <t>Lót trong maxilite ME4/18L</t>
  </si>
  <si>
    <t>D006 - Viên</t>
  </si>
  <si>
    <t>2000036097690</t>
  </si>
  <si>
    <t>Viền 7x60 D006 - Viên</t>
  </si>
  <si>
    <t>Lát HD535(A1)-V</t>
  </si>
  <si>
    <t>2000149824794</t>
  </si>
  <si>
    <t>HD535 - Viên</t>
  </si>
  <si>
    <t>2000028772963</t>
  </si>
  <si>
    <t>sơn lót kháng kiềm K209\20KG</t>
  </si>
  <si>
    <t>2000031601588</t>
  </si>
  <si>
    <t>k209\4l</t>
  </si>
  <si>
    <t>W6818-th</t>
  </si>
  <si>
    <t>2000045986237</t>
  </si>
  <si>
    <t>W6818 gạch 60*60 t-h</t>
  </si>
  <si>
    <t>2000061181036</t>
  </si>
  <si>
    <t>Vòi xịt mạ</t>
  </si>
  <si>
    <t>VI5006 A1</t>
  </si>
  <si>
    <t>2000028967635</t>
  </si>
  <si>
    <t>Gạch lát nền VI5006 A1</t>
  </si>
  <si>
    <t>C.T 7315 -V</t>
  </si>
  <si>
    <t>2000025420799</t>
  </si>
  <si>
    <t>Chân tường 7315 - Viên</t>
  </si>
  <si>
    <t>BJ9-00YY43/304/1L</t>
  </si>
  <si>
    <t>2000026217527</t>
  </si>
  <si>
    <t>KQ609 - Viên</t>
  </si>
  <si>
    <t>2000026590811</t>
  </si>
  <si>
    <t>Gạch lát KQ609 - Viên</t>
  </si>
  <si>
    <t>BJ9-30yr12/292/5L</t>
  </si>
  <si>
    <t>2000026840534</t>
  </si>
  <si>
    <t>Mặt gương</t>
  </si>
  <si>
    <t>2000032311165</t>
  </si>
  <si>
    <t>CT325 - Viên</t>
  </si>
  <si>
    <t>2000039160070</t>
  </si>
  <si>
    <t>Chống trơn 325 - Viên ( hủy)</t>
  </si>
  <si>
    <t>5502 - Viên</t>
  </si>
  <si>
    <t>2000117437780</t>
  </si>
  <si>
    <t>Sân vườn 5502 - Viên</t>
  </si>
  <si>
    <t>TB801 - Viên (A)</t>
  </si>
  <si>
    <t>2000077002844</t>
  </si>
  <si>
    <t>Gạch Granit TB801 - Viên</t>
  </si>
  <si>
    <t>VHQ</t>
  </si>
  <si>
    <t>2000026599258</t>
  </si>
  <si>
    <t>Viền hoa quả</t>
  </si>
  <si>
    <t>66A-50BG76/090/5L</t>
  </si>
  <si>
    <t>2000027524822</t>
  </si>
  <si>
    <t>CT11A/20kg</t>
  </si>
  <si>
    <t>2000028757045</t>
  </si>
  <si>
    <t>Chống thấm CT11A/20kg</t>
  </si>
  <si>
    <t>BJ9-27YY78/255/5L</t>
  </si>
  <si>
    <t>2000029104343</t>
  </si>
  <si>
    <t>BJ9-27YY78/255/5L(Đặc biệt+10%)</t>
  </si>
  <si>
    <t>66A-50BG74/130/5L</t>
  </si>
  <si>
    <t>2000029219603</t>
  </si>
  <si>
    <t>2000031361215</t>
  </si>
  <si>
    <t>KV-K771/20KG</t>
  </si>
  <si>
    <t>Th 36918-v</t>
  </si>
  <si>
    <t>2000067265419</t>
  </si>
  <si>
    <t>TH 36918_viên điểm</t>
  </si>
  <si>
    <t>2000104398421</t>
  </si>
  <si>
    <t>Gạch 80x80 - TQ8802</t>
  </si>
  <si>
    <t>2000198963079</t>
  </si>
  <si>
    <t>gạch ốp 30x60 ( 1 hộp = 6 viên = 1.08m2)</t>
  </si>
  <si>
    <t>SV6707-V</t>
  </si>
  <si>
    <t>2000138471305</t>
  </si>
  <si>
    <t>Sân vườn VI6707 - viên</t>
  </si>
  <si>
    <t>WBD điểm 36037_v</t>
  </si>
  <si>
    <t>2000045076709</t>
  </si>
  <si>
    <t>WBD điểm 36037_viên _ốp 30*60</t>
  </si>
  <si>
    <t>SV13 -Viên</t>
  </si>
  <si>
    <t>2000122679175</t>
  </si>
  <si>
    <t>SV13 -Viên -Sân Vườn</t>
  </si>
  <si>
    <t>2000064976738</t>
  </si>
  <si>
    <t>Chống trơn 061</t>
  </si>
  <si>
    <t>2000033042921</t>
  </si>
  <si>
    <t>cước vận chuyển</t>
  </si>
  <si>
    <t>BJ9 - trắng /5L</t>
  </si>
  <si>
    <t>2000039536790</t>
  </si>
  <si>
    <t>V7324</t>
  </si>
  <si>
    <t>2000025192085</t>
  </si>
  <si>
    <t>Viền V7324</t>
  </si>
  <si>
    <t>V7306</t>
  </si>
  <si>
    <t>2000026532385</t>
  </si>
  <si>
    <t>Viền 7306</t>
  </si>
  <si>
    <t>PK gương</t>
  </si>
  <si>
    <t>2000026700470</t>
  </si>
  <si>
    <t>phụ kiện gương</t>
  </si>
  <si>
    <t>2000029717116</t>
  </si>
  <si>
    <t>A991/75YY87/137/18L</t>
  </si>
  <si>
    <t>HM3062 ( 1 hộp =1.44m) - Hồng Hải</t>
  </si>
  <si>
    <t>2000044157461</t>
  </si>
  <si>
    <t>HM3062 ( 1 hộp =1.44m)</t>
  </si>
  <si>
    <t>A991-19YY71/323/18l</t>
  </si>
  <si>
    <t>2000050328442</t>
  </si>
  <si>
    <t>A991-19YY71/323_sơn Dulux /18 lít</t>
  </si>
  <si>
    <t>2000180984624</t>
  </si>
  <si>
    <t>LUS-G02(30*60)</t>
  </si>
  <si>
    <t>2000186977712</t>
  </si>
  <si>
    <t>Gạch lát 60x60 ( 1 hộp = 1.44m2)</t>
  </si>
  <si>
    <t>FD36128</t>
  </si>
  <si>
    <t>2000024871769</t>
  </si>
  <si>
    <t>Gạch lát FD36128 ( 1 hộp = 1.08m2)</t>
  </si>
  <si>
    <t>V7308 - Viên</t>
  </si>
  <si>
    <t>2000026332398</t>
  </si>
  <si>
    <t>Viền V7308 - Viên</t>
  </si>
  <si>
    <t>66A-61YY89/040/5L</t>
  </si>
  <si>
    <t>2000029452529</t>
  </si>
  <si>
    <t>V7324 - V</t>
  </si>
  <si>
    <t>2000029531927</t>
  </si>
  <si>
    <t>Viền 7324 - Viên</t>
  </si>
  <si>
    <t>2000029532207</t>
  </si>
  <si>
    <t>a991-trắng\18l</t>
  </si>
  <si>
    <t>2000031178172</t>
  </si>
  <si>
    <t>mg-hợp kim 76418\5l</t>
  </si>
  <si>
    <t>2000031365145</t>
  </si>
  <si>
    <t>K771/4KG</t>
  </si>
  <si>
    <t>gạch cỏ lát sân</t>
  </si>
  <si>
    <t>2000039588478</t>
  </si>
  <si>
    <t>GS553</t>
  </si>
  <si>
    <t>2000045709102</t>
  </si>
  <si>
    <t>gạch nền 50*50 GS553-th</t>
  </si>
  <si>
    <t>2000051036841</t>
  </si>
  <si>
    <t>Chống trơn KS 374</t>
  </si>
  <si>
    <t>2000053116718</t>
  </si>
  <si>
    <t>ốp 30x60 GD36915 - TH</t>
  </si>
  <si>
    <t>2000058586844</t>
  </si>
  <si>
    <t>chống trơn KS 309</t>
  </si>
  <si>
    <t>2000066046033</t>
  </si>
  <si>
    <t>79AB-35yy78/269/18l</t>
  </si>
  <si>
    <t>2000111889790</t>
  </si>
  <si>
    <t>Gạch lát V5.17</t>
  </si>
  <si>
    <t>2000151237629</t>
  </si>
  <si>
    <t>Gạch trang trí (25*50) 1373NH</t>
  </si>
  <si>
    <t>V7362 - V</t>
  </si>
  <si>
    <t>2000029515743</t>
  </si>
  <si>
    <t>Viền 7362 - Viên</t>
  </si>
  <si>
    <t>CT371 - Viên</t>
  </si>
  <si>
    <t>2000034896134</t>
  </si>
  <si>
    <t>KQ606-V</t>
  </si>
  <si>
    <t>2000026379713</t>
  </si>
  <si>
    <t>KQ606-Viên</t>
  </si>
  <si>
    <t>K50x50</t>
  </si>
  <si>
    <t>2000029041914</t>
  </si>
  <si>
    <t>gạch 50x50 mẫu cũ</t>
  </si>
  <si>
    <t>BJ9-30YR10/314/1L</t>
  </si>
  <si>
    <t>2000027985937</t>
  </si>
  <si>
    <t>BJ9-30YR10/314/1L (màu đậm)</t>
  </si>
  <si>
    <t>Maxilite lót ngoài</t>
  </si>
  <si>
    <t>2000053001038</t>
  </si>
  <si>
    <t>sơn Maxilite lót ngoài /18 lít</t>
  </si>
  <si>
    <t>2000214249101</t>
  </si>
  <si>
    <t>CHÂN CẮT</t>
  </si>
  <si>
    <t>2000214251128</t>
  </si>
  <si>
    <t>công cắt 60x60 (1/3)</t>
  </si>
  <si>
    <t>80x80 (1/7)</t>
  </si>
  <si>
    <t>2000214254457</t>
  </si>
  <si>
    <t>công cắt gạch 80x80 (1/7)</t>
  </si>
  <si>
    <t>FV36100</t>
  </si>
  <si>
    <t>2000047625165</t>
  </si>
  <si>
    <t>Gạch ốp 30x60 FV36100</t>
  </si>
  <si>
    <t>TH3639 ( đậm)</t>
  </si>
  <si>
    <t>2000057308201</t>
  </si>
  <si>
    <t>ốp 30x60 TH3639</t>
  </si>
  <si>
    <t>FV3685</t>
  </si>
  <si>
    <t>2000025157145</t>
  </si>
  <si>
    <t>Ốp 30x60 FV 3685</t>
  </si>
  <si>
    <t>ECO-S604D04A1 ( Đuôi mới)</t>
  </si>
  <si>
    <t>2000035398057</t>
  </si>
  <si>
    <t>CT365</t>
  </si>
  <si>
    <t>2000024855202</t>
  </si>
  <si>
    <t>Gạch lát CT365</t>
  </si>
  <si>
    <t>2000129898135</t>
  </si>
  <si>
    <t>Kệ gỗ</t>
  </si>
  <si>
    <t>VI746</t>
  </si>
  <si>
    <t>2000028739218</t>
  </si>
  <si>
    <t>BJ9-23308L/1L</t>
  </si>
  <si>
    <t>2000026990512</t>
  </si>
  <si>
    <t>66A-52YY89/117/5L</t>
  </si>
  <si>
    <t>2000029490583</t>
  </si>
  <si>
    <t>Eco -M825 D10 A1</t>
  </si>
  <si>
    <t>2000039053044</t>
  </si>
  <si>
    <t>ECO -M825 D10 A1</t>
  </si>
  <si>
    <t>2000214251142</t>
  </si>
  <si>
    <t>công cắt 60x60 (1/6)</t>
  </si>
  <si>
    <t>FD36126</t>
  </si>
  <si>
    <t>2000025174104</t>
  </si>
  <si>
    <t>Ốp định hình 30x60 FD36126 ( 1 hộp = 1.08m2)</t>
  </si>
  <si>
    <t>Ốp TH3643 (Đậm)</t>
  </si>
  <si>
    <t>2000058707713</t>
  </si>
  <si>
    <t>Ốp TH3643 ( 1 hộp = 1.08m2)</t>
  </si>
  <si>
    <t>LXC6202(A1) vàng chấm men khô</t>
  </si>
  <si>
    <t>2000157311583</t>
  </si>
  <si>
    <t>LXC6202(A1)</t>
  </si>
  <si>
    <t>LX6001 (A1)</t>
  </si>
  <si>
    <t>2000124615362</t>
  </si>
  <si>
    <t>Lát LX6001 (A1) mã cũ hủy</t>
  </si>
  <si>
    <t>F368 - Viên</t>
  </si>
  <si>
    <t>2000047219531</t>
  </si>
  <si>
    <t>Gạch chống trơn F368 - Viên</t>
  </si>
  <si>
    <t>DC</t>
  </si>
  <si>
    <t>2000026507758</t>
  </si>
  <si>
    <t>Dây cấp</t>
  </si>
  <si>
    <t>79A/18L</t>
  </si>
  <si>
    <t>2000025583166</t>
  </si>
  <si>
    <t>Dulux Inspire ngoại thất 18L</t>
  </si>
  <si>
    <t>BJ9-25YY62/353/5L</t>
  </si>
  <si>
    <t>2000025773543</t>
  </si>
  <si>
    <t>CT3052</t>
  </si>
  <si>
    <t>2000026083597</t>
  </si>
  <si>
    <t>Chống trơn CT 3052</t>
  </si>
  <si>
    <t>BJ9-30BB45/049/5L</t>
  </si>
  <si>
    <t>2000026217510</t>
  </si>
  <si>
    <t>BJ9-30BB45/049/5L (Đặc biệt +5%)</t>
  </si>
  <si>
    <t>BJ9-21216/1L</t>
  </si>
  <si>
    <t>2000026614609</t>
  </si>
  <si>
    <t>BJ9-21216/1L (Đặc biệt+5%)</t>
  </si>
  <si>
    <t>BJ9-71743/1L</t>
  </si>
  <si>
    <t>2000026614715</t>
  </si>
  <si>
    <t>BJ9-90BG25/079/5L</t>
  </si>
  <si>
    <t>2000026637974</t>
  </si>
  <si>
    <t>ECO-S604D04A1 - Viên ( đuôi mới)</t>
  </si>
  <si>
    <t>2000035398064</t>
  </si>
  <si>
    <t>WBD 36037 - Viên</t>
  </si>
  <si>
    <t>2000044157041</t>
  </si>
  <si>
    <t>Điểm WBD 36037 - Viên</t>
  </si>
  <si>
    <t>(mã S148) - châu thành</t>
  </si>
  <si>
    <t>2000064041498</t>
  </si>
  <si>
    <t>chống trơn sỏi (mã S148)</t>
  </si>
  <si>
    <t>TQ8016- Viên</t>
  </si>
  <si>
    <t>2000122665963</t>
  </si>
  <si>
    <t>2000180984679</t>
  </si>
  <si>
    <t>THD-G03(30*60)</t>
  </si>
  <si>
    <t>gạch ốp VN50</t>
  </si>
  <si>
    <t>2000034206520</t>
  </si>
  <si>
    <t>VN4449 (Gỗ)</t>
  </si>
  <si>
    <t>2000036503627</t>
  </si>
  <si>
    <t>Gạch lát nền 40x40 VN4449 (Gỗ)</t>
  </si>
  <si>
    <t>O3061</t>
  </si>
  <si>
    <t>2000025429792</t>
  </si>
  <si>
    <t>Gạch ốp 3061</t>
  </si>
  <si>
    <t>CT319</t>
  </si>
  <si>
    <t>2000034371129</t>
  </si>
  <si>
    <t>Gạch chống trơn CT319</t>
  </si>
  <si>
    <t>F36108 - Viên</t>
  </si>
  <si>
    <t>2000041103522</t>
  </si>
  <si>
    <t>Điểm F36108 - Viên</t>
  </si>
  <si>
    <t>f6651-v</t>
  </si>
  <si>
    <t>2000042526702</t>
  </si>
  <si>
    <t>gạch lát nền 6651-viên</t>
  </si>
  <si>
    <t>VI6503 - V</t>
  </si>
  <si>
    <t>2000026211242</t>
  </si>
  <si>
    <t>VI6503 - Viên</t>
  </si>
  <si>
    <t>VI6709 - Viên</t>
  </si>
  <si>
    <t>2000139312775</t>
  </si>
  <si>
    <t>Sân vườn VI6709 - Viên</t>
  </si>
  <si>
    <t>GD6908</t>
  </si>
  <si>
    <t>2000047108378</t>
  </si>
  <si>
    <t>Gạch điểm 6908 (1h=6v)</t>
  </si>
  <si>
    <t>2000066504533</t>
  </si>
  <si>
    <t>Bs-3628(30*60) ốp</t>
  </si>
  <si>
    <t>TB803 - Viên (A)</t>
  </si>
  <si>
    <t>2000077002653</t>
  </si>
  <si>
    <t>Gạch Granit TB803 - Viên</t>
  </si>
  <si>
    <t>BJ9-70GY83/100/5L</t>
  </si>
  <si>
    <t>2000029313417</t>
  </si>
  <si>
    <t>2000031356396</t>
  </si>
  <si>
    <t>MG-SIÊU TRẮNG\4L</t>
  </si>
  <si>
    <t>2000031364643</t>
  </si>
  <si>
    <t>K5500/4KG -TRẮNG BÁN BÓNG</t>
  </si>
  <si>
    <t>2000031365169</t>
  </si>
  <si>
    <t>K871/4KG</t>
  </si>
  <si>
    <t>BJ9-52YY89/117/5L</t>
  </si>
  <si>
    <t>2000038279704</t>
  </si>
  <si>
    <t>gạch đỏ Hoàng Hà ( 50x50) - Viên</t>
  </si>
  <si>
    <t>2000039588232</t>
  </si>
  <si>
    <t>2000058734948</t>
  </si>
  <si>
    <t>66A-40YY83/043/5L</t>
  </si>
  <si>
    <t>2000101408123</t>
  </si>
  <si>
    <t>66AB67yy88/044/5l</t>
  </si>
  <si>
    <t>2000107571227</t>
  </si>
  <si>
    <t>chống trơn 3619</t>
  </si>
  <si>
    <t>chống trơn sỏi - Viên (MKD)</t>
  </si>
  <si>
    <t>2000153745191</t>
  </si>
  <si>
    <t>chống trơn sỏi - Viên</t>
  </si>
  <si>
    <t>VI5520A1</t>
  </si>
  <si>
    <t>2000024768151</t>
  </si>
  <si>
    <t>Gạch lát VI5520</t>
  </si>
  <si>
    <t>F626-V</t>
  </si>
  <si>
    <t>2000025179109</t>
  </si>
  <si>
    <t>Gạch lát 60x60 F626-V</t>
  </si>
  <si>
    <t>NS826 A1-V</t>
  </si>
  <si>
    <t>2000024921518</t>
  </si>
  <si>
    <t>Gạch lát NS826 A1 - V</t>
  </si>
  <si>
    <t>O3050 V</t>
  </si>
  <si>
    <t>2000025187869</t>
  </si>
  <si>
    <t>Gạch ốp 3050 - Viên</t>
  </si>
  <si>
    <t>CT11/4kg</t>
  </si>
  <si>
    <t>2000026469117</t>
  </si>
  <si>
    <t>Chống thấm CT11/4kg</t>
  </si>
  <si>
    <t>V7312</t>
  </si>
  <si>
    <t>2000026532378</t>
  </si>
  <si>
    <t>Viền 7312</t>
  </si>
  <si>
    <t>66A-71YY87/078/1L</t>
  </si>
  <si>
    <t>2000026829799</t>
  </si>
  <si>
    <t>BJ9-35YY81/233/5L</t>
  </si>
  <si>
    <t>2000027706358</t>
  </si>
  <si>
    <t>66A-35YY86/117/5L</t>
  </si>
  <si>
    <t>2000028409241</t>
  </si>
  <si>
    <t>2000031337340</t>
  </si>
  <si>
    <t>MG-9016/18L</t>
  </si>
  <si>
    <t>2000031337364</t>
  </si>
  <si>
    <t>MG-9017/18L</t>
  </si>
  <si>
    <t>Gạch chân tường</t>
  </si>
  <si>
    <t>2000036810480</t>
  </si>
  <si>
    <t>Gạch chân tường ( lấy hộ)</t>
  </si>
  <si>
    <t>CV 3648 - Viên</t>
  </si>
  <si>
    <t>2000049705629</t>
  </si>
  <si>
    <t>Gạch ốp 30x60 CV 3648 - Viên</t>
  </si>
  <si>
    <t>CT372 ( châu thành)</t>
  </si>
  <si>
    <t>2000065749447</t>
  </si>
  <si>
    <t>Chống trơn 372</t>
  </si>
  <si>
    <t>GJ8-67yy89/124/5l</t>
  </si>
  <si>
    <t>2000067499395</t>
  </si>
  <si>
    <t>GJ8-67yy89/124/5lit</t>
  </si>
  <si>
    <t>2000126417216</t>
  </si>
  <si>
    <t>Maxilite ME5-58YY88/180/18L</t>
  </si>
  <si>
    <t>2000180984457</t>
  </si>
  <si>
    <t>Sig-L8801-A1</t>
  </si>
  <si>
    <t>2000191840261</t>
  </si>
  <si>
    <t>Bệt két liền daisung</t>
  </si>
  <si>
    <t>TH3640 ( nhạt)</t>
  </si>
  <si>
    <t>2000057308225</t>
  </si>
  <si>
    <t>ốp 30x60 TH3640</t>
  </si>
  <si>
    <t>LX302 A1</t>
  </si>
  <si>
    <t>2000132382133</t>
  </si>
  <si>
    <t>Gạch chống trơn LX302 A1 ( mã hủy)</t>
  </si>
  <si>
    <t>Điểm TH3640 - Viên</t>
  </si>
  <si>
    <t>2000057308232</t>
  </si>
  <si>
    <t>VI5532-V</t>
  </si>
  <si>
    <t>2000027075201</t>
  </si>
  <si>
    <t>VI5532 - Viên</t>
  </si>
  <si>
    <t>UB8809 - Viên</t>
  </si>
  <si>
    <t>2000107898805</t>
  </si>
  <si>
    <t>LX3608 - Viên</t>
  </si>
  <si>
    <t>2000118768715</t>
  </si>
  <si>
    <t>Ốp LX3608 - Viên</t>
  </si>
  <si>
    <t>HD338 - Viên</t>
  </si>
  <si>
    <t>2000089346936</t>
  </si>
  <si>
    <t>Chống trơn HD338 - Viên</t>
  </si>
  <si>
    <t>F635</t>
  </si>
  <si>
    <t>2000025178850</t>
  </si>
  <si>
    <t>Gạch lát 60x60 F635</t>
  </si>
  <si>
    <t>MG kiềm ngoài/18L</t>
  </si>
  <si>
    <t>2000038806405</t>
  </si>
  <si>
    <t>16912 A1 - VIÊN</t>
  </si>
  <si>
    <t>2000214256482</t>
  </si>
  <si>
    <t>Gạch 60 Crytal TaKao mã 16912 A1 - VIÊN</t>
  </si>
  <si>
    <t>ECO - S620 D14 - Viên</t>
  </si>
  <si>
    <t>2000039265782</t>
  </si>
  <si>
    <t>Gạch Granite ECO - S620 D14 - Viên</t>
  </si>
  <si>
    <t>Y65 (M)/20kg</t>
  </si>
  <si>
    <t>2000145667753</t>
  </si>
  <si>
    <t>Sơn dulux chống thấm Y65 (M)/20kg</t>
  </si>
  <si>
    <t>V7309</t>
  </si>
  <si>
    <t>2000026532392</t>
  </si>
  <si>
    <t>Viền 7309</t>
  </si>
  <si>
    <t>2000028540890</t>
  </si>
  <si>
    <t>BJ9-43GY24/566/1L</t>
  </si>
  <si>
    <t>CT3616D-V</t>
  </si>
  <si>
    <t>2000029226731</t>
  </si>
  <si>
    <t>CT3616D-Viên</t>
  </si>
  <si>
    <t>2000029528910</t>
  </si>
  <si>
    <t>SP hủy</t>
  </si>
  <si>
    <t>Xitroy</t>
  </si>
  <si>
    <t>2000030878783</t>
  </si>
  <si>
    <t>xịt roy</t>
  </si>
  <si>
    <t>Bj9 trắng ngoại /5L</t>
  </si>
  <si>
    <t>2000033420309</t>
  </si>
  <si>
    <t>GD36908</t>
  </si>
  <si>
    <t>2000047108361</t>
  </si>
  <si>
    <t>Gạch ốp GD 36908 (30x60 - 1h=1,08m2)</t>
  </si>
  <si>
    <t>2000066710538</t>
  </si>
  <si>
    <t>chống trơn 189</t>
  </si>
  <si>
    <t>2000078663945</t>
  </si>
  <si>
    <t>Ốp 36802 ( Đậm)</t>
  </si>
  <si>
    <t>2000078663969</t>
  </si>
  <si>
    <t>Ốp 36802 ( Nhạt)</t>
  </si>
  <si>
    <t>2000180984600</t>
  </si>
  <si>
    <t>PHS-G01(30*60)</t>
  </si>
  <si>
    <t>ECO - M625 D18 A1</t>
  </si>
  <si>
    <t>2000039265812</t>
  </si>
  <si>
    <t>gạch Granite ECO - M625 D18 A1</t>
  </si>
  <si>
    <t>TN08-A2-V</t>
  </si>
  <si>
    <t>2000025179390</t>
  </si>
  <si>
    <t>Ốp 30x45 TN08-A ( Viên)</t>
  </si>
  <si>
    <t>VI5807 ( gỗ) - Viên</t>
  </si>
  <si>
    <t>2000144333154</t>
  </si>
  <si>
    <t>Gạch VI5807 ( gỗ) - Viên</t>
  </si>
  <si>
    <t>Gạch lát C6606 - Viên</t>
  </si>
  <si>
    <t>2000054182545</t>
  </si>
  <si>
    <t>C670 Viên</t>
  </si>
  <si>
    <t>2000054349238</t>
  </si>
  <si>
    <t>Gạch lát 60x60 - C670 Viên</t>
  </si>
  <si>
    <t>C651</t>
  </si>
  <si>
    <t>2000025179505</t>
  </si>
  <si>
    <t>Gạch lát 60x60 C651</t>
  </si>
  <si>
    <t>ECO - S803D04 A1 - Viên</t>
  </si>
  <si>
    <t>2000031589008</t>
  </si>
  <si>
    <t>Gạch Granite ECO - S803D04 A1 - Viên</t>
  </si>
  <si>
    <t>SK/5L</t>
  </si>
  <si>
    <t>2000025621868</t>
  </si>
  <si>
    <t>Chống thấm sika 5L</t>
  </si>
  <si>
    <t>V7321</t>
  </si>
  <si>
    <t>2000028957803</t>
  </si>
  <si>
    <t>Viền 7321</t>
  </si>
  <si>
    <t>LX3633  A1- Viên</t>
  </si>
  <si>
    <t>2000053744720</t>
  </si>
  <si>
    <t>ốp LX3633 ( hủy) - trùng tên  A1- Viên</t>
  </si>
  <si>
    <t>MGTLT/4L</t>
  </si>
  <si>
    <t>2000025589137</t>
  </si>
  <si>
    <t>Megatex lót trong 4L</t>
  </si>
  <si>
    <t>MGTLN/4L</t>
  </si>
  <si>
    <t>2000025589519</t>
  </si>
  <si>
    <t>Megatex lót ngoài 4L</t>
  </si>
  <si>
    <t>V7308</t>
  </si>
  <si>
    <t>2000025885277</t>
  </si>
  <si>
    <t>Viền V7308</t>
  </si>
  <si>
    <t>BJ9-00YY19/464/1L (màu đậm)</t>
  </si>
  <si>
    <t>2000026391876</t>
  </si>
  <si>
    <t>BJ9-00YY19/464/1L</t>
  </si>
  <si>
    <t>Lu to</t>
  </si>
  <si>
    <t>2000026554639</t>
  </si>
  <si>
    <t>VXPS</t>
  </si>
  <si>
    <t>2000026686248</t>
  </si>
  <si>
    <t>Vòi xịt Pesan</t>
  </si>
  <si>
    <t>BJ9-30YR12/292/1L</t>
  </si>
  <si>
    <t>2000027118267</t>
  </si>
  <si>
    <t>66A-50BG76/090/1L</t>
  </si>
  <si>
    <t>2000027524846</t>
  </si>
  <si>
    <t>2000031232010</t>
  </si>
  <si>
    <t>66A-BASE A/5L</t>
  </si>
  <si>
    <t>2000059806132</t>
  </si>
  <si>
    <t>BJ9-67YY89/124/5L</t>
  </si>
  <si>
    <t>2000180984969</t>
  </si>
  <si>
    <t>THD-G04(30*60)</t>
  </si>
  <si>
    <t>2000182367142</t>
  </si>
  <si>
    <t>Ốp 30x60 ( 1 hộp = 1.08m)</t>
  </si>
  <si>
    <t>Lx6003 - Viên</t>
  </si>
  <si>
    <t>2000127258146</t>
  </si>
  <si>
    <t>LX6003A_Viên</t>
  </si>
  <si>
    <t>LX6005 A- Viên</t>
  </si>
  <si>
    <t>2000121917155</t>
  </si>
  <si>
    <t>lát LX6005 (A) - Viên</t>
  </si>
  <si>
    <t>KF30-620-50</t>
  </si>
  <si>
    <t>2000026652359</t>
  </si>
  <si>
    <t>Vòi LVB+DC KF30-620-50</t>
  </si>
  <si>
    <t>DIC80722 - Viên</t>
  </si>
  <si>
    <t>2000131780817</t>
  </si>
  <si>
    <t>Gạch lát 80x80 - DIC80722 - Viên</t>
  </si>
  <si>
    <t>FV 3681-V</t>
  </si>
  <si>
    <t>2000025157077</t>
  </si>
  <si>
    <t>Ốp vát 30x60 FV 3681-V (hủy)</t>
  </si>
  <si>
    <t>2000057972457</t>
  </si>
  <si>
    <t>chống trơn KS329</t>
  </si>
  <si>
    <t>MG BNT 30BG76/107/5L</t>
  </si>
  <si>
    <t>2000025758762</t>
  </si>
  <si>
    <t>66A-30GG83/088/5L (xanh)</t>
  </si>
  <si>
    <t>2000026506515</t>
  </si>
  <si>
    <t>66A-30GG83/088/5L</t>
  </si>
  <si>
    <t>2000026715436</t>
  </si>
  <si>
    <t>BJ9-30YR17/341/1L</t>
  </si>
  <si>
    <t>2000026775911</t>
  </si>
  <si>
    <t>mg clear phủ bóng</t>
  </si>
  <si>
    <t>BJ9-35YY78/269/5L</t>
  </si>
  <si>
    <t>2000027620104</t>
  </si>
  <si>
    <t>BJ9-35YY78/269/5L (Đặc biệt)</t>
  </si>
  <si>
    <t>BJ9-90BG48/057/5L</t>
  </si>
  <si>
    <t>2000028756796</t>
  </si>
  <si>
    <t>BJ9-90BG48/057/5L (Đặc biệt+5%)</t>
  </si>
  <si>
    <t>2000031231433</t>
  </si>
  <si>
    <t>MG-SIÊU TRẮNG \18L</t>
  </si>
  <si>
    <t>2000031356310</t>
  </si>
  <si>
    <t>MG-HỢP KIM-8008\5L</t>
  </si>
  <si>
    <t>2000045900837</t>
  </si>
  <si>
    <t>Điểm - Viên</t>
  </si>
  <si>
    <t>2000046179508</t>
  </si>
  <si>
    <t>w603 (60x60 1 hộp = 1,44m2)</t>
  </si>
  <si>
    <t>30*45 cá vàng</t>
  </si>
  <si>
    <t>2000050132032</t>
  </si>
  <si>
    <t>tranh 30*45 cá vàng</t>
  </si>
  <si>
    <t>2000066504656</t>
  </si>
  <si>
    <t>VOG 05- 30*60</t>
  </si>
  <si>
    <t>2000078663976</t>
  </si>
  <si>
    <t>Điểm 36802 - Viên</t>
  </si>
  <si>
    <t>Lát 60x60 C650</t>
  </si>
  <si>
    <t>2000128009952</t>
  </si>
  <si>
    <t>C650</t>
  </si>
  <si>
    <t>LX302 (B) - Viên</t>
  </si>
  <si>
    <t>2000156178293</t>
  </si>
  <si>
    <t>Chống trơn LX302 (B) - Viên</t>
  </si>
  <si>
    <t>2000179204108</t>
  </si>
  <si>
    <t>Ốp LX3606 ( 1 hộp = 1.44m2)</t>
  </si>
  <si>
    <t>LX3632 (A2) - Viên</t>
  </si>
  <si>
    <t>2000191488869</t>
  </si>
  <si>
    <t>Ốp LX3632 (A) - Viên</t>
  </si>
  <si>
    <t>17152 (viên)</t>
  </si>
  <si>
    <t>2000214257427</t>
  </si>
  <si>
    <t>Gach 60 Takao Crystal mã 17152 (viên)</t>
  </si>
  <si>
    <t>F15</t>
  </si>
  <si>
    <t>2000025179017</t>
  </si>
  <si>
    <t>Ốp 30x45 F15</t>
  </si>
  <si>
    <t>FV3609 ( trắng)</t>
  </si>
  <si>
    <t>2000093771717</t>
  </si>
  <si>
    <t>Ốp trắng 30x60 - FV3609</t>
  </si>
  <si>
    <t>mdp622-v</t>
  </si>
  <si>
    <t>2000069030275</t>
  </si>
  <si>
    <t>MDP622-viên gạch 60*60</t>
  </si>
  <si>
    <t>N5-1306 A1 - Viên</t>
  </si>
  <si>
    <t>2000172294991</t>
  </si>
  <si>
    <t>Sân vườn (50x50) N5-1306 A1 - Viên</t>
  </si>
  <si>
    <t>2000111832048</t>
  </si>
  <si>
    <t>Sen cây Code 22</t>
  </si>
  <si>
    <t>2000191840353</t>
  </si>
  <si>
    <t>chậu rửa mặt Daisung</t>
  </si>
  <si>
    <t>2000029548468</t>
  </si>
  <si>
    <t>Chậu R5200A</t>
  </si>
  <si>
    <t>2000038496712</t>
  </si>
  <si>
    <t>a991-trắng/5l</t>
  </si>
  <si>
    <t>mdp821-v ( hủy)</t>
  </si>
  <si>
    <t>2000069030336</t>
  </si>
  <si>
    <t>MDP821-viên gạch 80*80 ( hủy)</t>
  </si>
  <si>
    <t>66A-50BG76/079/5L(xanh nhạt)</t>
  </si>
  <si>
    <t>2000025742679</t>
  </si>
  <si>
    <t>66A-50BG76/079/5L</t>
  </si>
  <si>
    <t>BJ9-22299/5L</t>
  </si>
  <si>
    <t>2000026263463</t>
  </si>
  <si>
    <t>66A-50GY83/160/5L</t>
  </si>
  <si>
    <t>2000026599241</t>
  </si>
  <si>
    <t>BJ9-30YR08/236/1L</t>
  </si>
  <si>
    <t>2000026699088</t>
  </si>
  <si>
    <t>66A-90YY83/071/5L</t>
  </si>
  <si>
    <t>2000029452499</t>
  </si>
  <si>
    <t>2000029675966</t>
  </si>
  <si>
    <t>BJ9-14YR10/434/1L</t>
  </si>
  <si>
    <t>2000031225470</t>
  </si>
  <si>
    <t>mg-siêu bóng nội -trắng\18l</t>
  </si>
  <si>
    <t>2000031227733</t>
  </si>
  <si>
    <t>MG-SIÊU BÓNG NỘI 9013/18L</t>
  </si>
  <si>
    <t>Hố ga kích thước 12x90</t>
  </si>
  <si>
    <t>2000031901893</t>
  </si>
  <si>
    <t>mg mịn 3077/18l</t>
  </si>
  <si>
    <t>2000041019168</t>
  </si>
  <si>
    <t>mega mịn 3077/18l</t>
  </si>
  <si>
    <t>2000187610427</t>
  </si>
  <si>
    <t>Ốp nhạt LX3628 (B) - Viên</t>
  </si>
  <si>
    <t>2000190487528</t>
  </si>
  <si>
    <t>mượn kệ gỗ ( nise)</t>
  </si>
  <si>
    <t>Gương bo siết</t>
  </si>
  <si>
    <t>2000214255263</t>
  </si>
  <si>
    <t>Vòi Penlaza</t>
  </si>
  <si>
    <t>2000214255300</t>
  </si>
  <si>
    <t>CT338</t>
  </si>
  <si>
    <t>2000089346912</t>
  </si>
  <si>
    <t>Chống trơn HD338</t>
  </si>
  <si>
    <t>Chống trơn LX329 A1 - Viên</t>
  </si>
  <si>
    <t>2000187610861</t>
  </si>
  <si>
    <t>LX6014 (A) - Viên</t>
  </si>
  <si>
    <t>2000125873013</t>
  </si>
  <si>
    <t>Lát LX6014 (A) - Viên</t>
  </si>
  <si>
    <t>VI6002</t>
  </si>
  <si>
    <t>2000025595831</t>
  </si>
  <si>
    <t>Gạch lát nền 60x60 VI6002</t>
  </si>
  <si>
    <t>2000083875005</t>
  </si>
  <si>
    <t>gạch lát VG6008 - Viên</t>
  </si>
  <si>
    <t>Lát LX8002 (A) - Viên</t>
  </si>
  <si>
    <t>2000173734717</t>
  </si>
  <si>
    <t>2000068660251</t>
  </si>
  <si>
    <t>Ke 1.5 ly</t>
  </si>
  <si>
    <t>VN4424 - Viên</t>
  </si>
  <si>
    <t>2000036503498</t>
  </si>
  <si>
    <t>Gạch lát nền 40x40 VN4424 - Viên</t>
  </si>
  <si>
    <t>CT305 - Viên</t>
  </si>
  <si>
    <t>2000032312636</t>
  </si>
  <si>
    <t>Chống trơn CT305 - Viên</t>
  </si>
  <si>
    <t>KS305V</t>
  </si>
  <si>
    <t>2000029118265</t>
  </si>
  <si>
    <t>KS305 - viên</t>
  </si>
  <si>
    <t>ke 1 ly</t>
  </si>
  <si>
    <t>2000214249965</t>
  </si>
  <si>
    <t>SBNo/5L</t>
  </si>
  <si>
    <t>2000025589151</t>
  </si>
  <si>
    <t>Megatex siêu bóng nội 5L</t>
  </si>
  <si>
    <t>BJ9-50YR10/151/1L(màu gỗ)</t>
  </si>
  <si>
    <t>2000027163380</t>
  </si>
  <si>
    <t>BJ9-50YR10/151/1L</t>
  </si>
  <si>
    <t>BJ9-10YR14/348/1L</t>
  </si>
  <si>
    <t>2000027708222</t>
  </si>
  <si>
    <t>BJ9-10YR14/348/1L (màu đậm)</t>
  </si>
  <si>
    <t>2000027730872</t>
  </si>
  <si>
    <t>M5012</t>
  </si>
  <si>
    <t>66A-19RR78/088/5L</t>
  </si>
  <si>
    <t>2000028830069</t>
  </si>
  <si>
    <t>BJ9-46YY86/166/5L</t>
  </si>
  <si>
    <t>2000029452505</t>
  </si>
  <si>
    <t>BJ9-46YY86/166/5L (Đặc biệt+5%)</t>
  </si>
  <si>
    <t>TS2-610</t>
  </si>
  <si>
    <t>2000029471544</t>
  </si>
  <si>
    <t>2000031246833</t>
  </si>
  <si>
    <t>MG-SIÊU BÓNG NỘI-9013\18L</t>
  </si>
  <si>
    <t>2000031363776</t>
  </si>
  <si>
    <t>K180-KV3450W/20KG (VÀNG MỊN)</t>
  </si>
  <si>
    <t>Bệt Vilacera 2 ấn</t>
  </si>
  <si>
    <t>2000031901626</t>
  </si>
  <si>
    <t>Bệt viglacera 2 ấn</t>
  </si>
  <si>
    <t>2000035784348</t>
  </si>
  <si>
    <t>viền dài 60</t>
  </si>
  <si>
    <t>mg-bnt-2002/18l</t>
  </si>
  <si>
    <t>2000041019441</t>
  </si>
  <si>
    <t>mega bóng ngọc trai-2002/18l</t>
  </si>
  <si>
    <t>MG mịn  ngoài trời 3076/18L</t>
  </si>
  <si>
    <t>2000043327179</t>
  </si>
  <si>
    <t>MG mịn ngoài trời 3076/18L</t>
  </si>
  <si>
    <t>Bệt két liền R 2465 ( nhập mới)</t>
  </si>
  <si>
    <t>2000044924285</t>
  </si>
  <si>
    <t>Bệt két liền R 2465 X-S</t>
  </si>
  <si>
    <t>1003 - 100*100*D60</t>
  </si>
  <si>
    <t>2000045991903</t>
  </si>
  <si>
    <t>thoát sàn 1003</t>
  </si>
  <si>
    <t>Điểm 36914</t>
  </si>
  <si>
    <t>2000050042287</t>
  </si>
  <si>
    <t>điểm 36914 -ốp 30*60</t>
  </si>
  <si>
    <t>2000054088045</t>
  </si>
  <si>
    <t>Roma sơn bóng ngoại thất hoàn hảo /5L- mã 027-5</t>
  </si>
  <si>
    <t>2000066504557</t>
  </si>
  <si>
    <t>VOG 04(30*60)</t>
  </si>
  <si>
    <t>83yy88/033/5l</t>
  </si>
  <si>
    <t>2000076059504</t>
  </si>
  <si>
    <t>66A-83yy88/033/5 lít</t>
  </si>
  <si>
    <t>FV3609 - Viên</t>
  </si>
  <si>
    <t>2000092552522</t>
  </si>
  <si>
    <t>2000119100606</t>
  </si>
  <si>
    <t>Kệ gương</t>
  </si>
  <si>
    <t>2000126227808</t>
  </si>
  <si>
    <t>Lót ngoài Maxilite 48C/18L</t>
  </si>
  <si>
    <t>2000126228737</t>
  </si>
  <si>
    <t>Sơn lót trong nhà ME5/18L - trắng trần</t>
  </si>
  <si>
    <t>2000154780245</t>
  </si>
  <si>
    <t>Sơn A991/18L ( trắng )</t>
  </si>
  <si>
    <t>2000171934287</t>
  </si>
  <si>
    <t>MOL M04/15*90/HÔP</t>
  </si>
  <si>
    <t>2000192139135</t>
  </si>
  <si>
    <t>Gương daisung</t>
  </si>
  <si>
    <t>2000214252842</t>
  </si>
  <si>
    <t>Công cắt 1mx1m (1/7)</t>
  </si>
  <si>
    <t>Sen Penlaza</t>
  </si>
  <si>
    <t>2000214255294</t>
  </si>
  <si>
    <t>F36651</t>
  </si>
  <si>
    <t>2000068313447</t>
  </si>
  <si>
    <t>Gạch ốp 30x60 F36651</t>
  </si>
  <si>
    <t>F626</t>
  </si>
  <si>
    <t>2000025179093</t>
  </si>
  <si>
    <t>Gạch lát 60x60 F626</t>
  </si>
  <si>
    <t>KS305A1</t>
  </si>
  <si>
    <t>2000025236550</t>
  </si>
  <si>
    <t>KS305A1 (30x30)</t>
  </si>
  <si>
    <t>NS410-V</t>
  </si>
  <si>
    <t>2000024812632</t>
  </si>
  <si>
    <t>Gạch lát NS410 A1 -V</t>
  </si>
  <si>
    <t>TB893(A1)-viên</t>
  </si>
  <si>
    <t>2000129146977</t>
  </si>
  <si>
    <t>Gạch lát TB893(A1)-viên</t>
  </si>
  <si>
    <t>Chống trơn D854 - Viên</t>
  </si>
  <si>
    <t>2000157948475</t>
  </si>
  <si>
    <t>D854 - Viên</t>
  </si>
  <si>
    <t>CT09 - Viên</t>
  </si>
  <si>
    <t>2000124861660</t>
  </si>
  <si>
    <t>chống trơn CT09 - Viên</t>
  </si>
  <si>
    <t>DIC80552 - Viên</t>
  </si>
  <si>
    <t>2000131780695</t>
  </si>
  <si>
    <t>Gạch lát 80x80 - DIC80552 - Viên</t>
  </si>
  <si>
    <t>SV6706-V</t>
  </si>
  <si>
    <t>2000138371025</t>
  </si>
  <si>
    <t>Sân vườn VI6706 - Viên</t>
  </si>
  <si>
    <t>ốp 30x60 HD3603(A1) - viên</t>
  </si>
  <si>
    <t>2000157948703</t>
  </si>
  <si>
    <t>HD3603 (A1) - viên</t>
  </si>
  <si>
    <t>VI6013-V</t>
  </si>
  <si>
    <t>2000026083542</t>
  </si>
  <si>
    <t>Gạch lát VI6013 - V</t>
  </si>
  <si>
    <t>MDP823 - Viên (A)</t>
  </si>
  <si>
    <t>2000077002783</t>
  </si>
  <si>
    <t>Gạch Granit MDP823 - Viên</t>
  </si>
  <si>
    <t>BJ9-76418/1L</t>
  </si>
  <si>
    <t>2000026391869</t>
  </si>
  <si>
    <t>BJ9-76418/1L (Đặc biệt+5%)</t>
  </si>
  <si>
    <t>2000026714705</t>
  </si>
  <si>
    <t>Bj9-70335\5l</t>
  </si>
  <si>
    <t>BJ9-90YY83/036/5L</t>
  </si>
  <si>
    <t>2000027165728</t>
  </si>
  <si>
    <t>BJ9-90BG08/075/1L</t>
  </si>
  <si>
    <t>2000027618637</t>
  </si>
  <si>
    <t>66A-25YY85/108/5L</t>
  </si>
  <si>
    <t>2000027985944</t>
  </si>
  <si>
    <t>66A-53RB76/067/5L</t>
  </si>
  <si>
    <t>2000027985951</t>
  </si>
  <si>
    <t>2000028772895</t>
  </si>
  <si>
    <t>bj9-05yy72\254\1l</t>
  </si>
  <si>
    <t>A991-71YY87/078/5L</t>
  </si>
  <si>
    <t>2000028965310</t>
  </si>
  <si>
    <t>2000029229299</t>
  </si>
  <si>
    <t>66A-60YY83/156/5l</t>
  </si>
  <si>
    <t>2000031231075</t>
  </si>
  <si>
    <t>MG-BÓNG NGỌC TRAI TRẮNG\5L</t>
  </si>
  <si>
    <t>2000031231600</t>
  </si>
  <si>
    <t>MG-BNT-66A-50YY83\114\5L</t>
  </si>
  <si>
    <t>ốp 30x60 - 2016 (MB)</t>
  </si>
  <si>
    <t>2000035240776</t>
  </si>
  <si>
    <t>CT374 - LH</t>
  </si>
  <si>
    <t>2000038119895</t>
  </si>
  <si>
    <t>chống trơn 374 Long Hầu</t>
  </si>
  <si>
    <t>FV36101 A1 - Viên</t>
  </si>
  <si>
    <t>2000040746102</t>
  </si>
  <si>
    <t>Gạch ốp 30x60 FV36101 A1 - Viên</t>
  </si>
  <si>
    <t>2000059218164</t>
  </si>
  <si>
    <t>66A-61YY89/135/5L</t>
  </si>
  <si>
    <t>2000092285284</t>
  </si>
  <si>
    <t>Sơn siêu bóng ngoại thất hoàn hảo base A/5L mã màu 095-3</t>
  </si>
  <si>
    <t>Chậu rửa bát</t>
  </si>
  <si>
    <t>2000134568153</t>
  </si>
  <si>
    <t>2000171933624</t>
  </si>
  <si>
    <t>PHSS I02/45*90/HỘP</t>
  </si>
  <si>
    <t>2000180984655</t>
  </si>
  <si>
    <t>LUS-G04(30*60)</t>
  </si>
  <si>
    <t>2000201215249</t>
  </si>
  <si>
    <t>Xịt Daisung</t>
  </si>
  <si>
    <t>Bệt DS liền khối mã 8808 to</t>
  </si>
  <si>
    <t>2000214254884</t>
  </si>
  <si>
    <t>CT305</t>
  </si>
  <si>
    <t>2000030600483</t>
  </si>
  <si>
    <t>chống trơn CT305</t>
  </si>
  <si>
    <t>VN 4447</t>
  </si>
  <si>
    <t>2000042411633</t>
  </si>
  <si>
    <t>gạch cẩm bình 40*40-4447</t>
  </si>
  <si>
    <t>FD36161-V</t>
  </si>
  <si>
    <t>2000025133941</t>
  </si>
  <si>
    <t>Ốp định hình 30x60 FD36161-V</t>
  </si>
  <si>
    <t>CT865 - Viên</t>
  </si>
  <si>
    <t>2000119475742</t>
  </si>
  <si>
    <t>chống trơn 865 - Viên</t>
  </si>
  <si>
    <t>FD36130-V</t>
  </si>
  <si>
    <t>2000025157268</t>
  </si>
  <si>
    <t>Ốp định hình 30x60 FD 36130-V</t>
  </si>
  <si>
    <t>MG Hợp kim ngoài Base B1/5L</t>
  </si>
  <si>
    <t>2000041169610</t>
  </si>
  <si>
    <t>LX6001 A1 - Viên</t>
  </si>
  <si>
    <t>2000125757474</t>
  </si>
  <si>
    <t>Gạch lát LX6001 A1 - Viên</t>
  </si>
  <si>
    <t>DIC80723 - Viên</t>
  </si>
  <si>
    <t>2000131781098</t>
  </si>
  <si>
    <t>Gạch lát 80x80 - DIC80723 - Viên</t>
  </si>
  <si>
    <t>ốp bộ 30x45 - 34583 ( đậm) - Viên</t>
  </si>
  <si>
    <t>2000035931254</t>
  </si>
  <si>
    <t>DIC80803(A1)-viên</t>
  </si>
  <si>
    <t>2000135748905</t>
  </si>
  <si>
    <t>SV-506 - Viên</t>
  </si>
  <si>
    <t>2000045900141</t>
  </si>
  <si>
    <t>Sân vườn SV-506 - Viên</t>
  </si>
  <si>
    <t>VN457 - Viên</t>
  </si>
  <si>
    <t>2000040682523</t>
  </si>
  <si>
    <t>Gạch lát 40x40 VN457 - Viên</t>
  </si>
  <si>
    <t>ECO - S603 D13 - Viên</t>
  </si>
  <si>
    <t>2000038557277</t>
  </si>
  <si>
    <t>Gạch grainite ECO - S603 D13 - Viên ( đuôi mới)</t>
  </si>
  <si>
    <t>73106/5L</t>
  </si>
  <si>
    <t>2000025641996</t>
  </si>
  <si>
    <t>66A-73106 (70GY83/100)/5L</t>
  </si>
  <si>
    <t>66A-30GY83/150/5L</t>
  </si>
  <si>
    <t>2000026044901</t>
  </si>
  <si>
    <t>A991-56YY86/241/5L</t>
  </si>
  <si>
    <t>2000026135524</t>
  </si>
  <si>
    <t>BJ9-71744/5L (xanh)</t>
  </si>
  <si>
    <t>2000026170075</t>
  </si>
  <si>
    <t>BJ9-71744/5L</t>
  </si>
  <si>
    <t>BJ9-10BB15/154/1L</t>
  </si>
  <si>
    <t>2000026410973</t>
  </si>
  <si>
    <t>BJ9-10BB15/154/1L (Đặc biệt+5%)</t>
  </si>
  <si>
    <t>BJ9-09BB51/218/1L</t>
  </si>
  <si>
    <t>2000026599210</t>
  </si>
  <si>
    <t>2000026820710</t>
  </si>
  <si>
    <t>lô to</t>
  </si>
  <si>
    <t>66A-80YR72/159/5L</t>
  </si>
  <si>
    <t>2000026989790</t>
  </si>
  <si>
    <t>BJ9-94RB64/182/1L</t>
  </si>
  <si>
    <t>2000026990529</t>
  </si>
  <si>
    <t>GJ8-60YY79/367/5L</t>
  </si>
  <si>
    <t>2000027165704</t>
  </si>
  <si>
    <t>GJ8-60YY79/367/5L(Đặc biệt+12%)</t>
  </si>
  <si>
    <t>66A-90GY83/104/5L</t>
  </si>
  <si>
    <t>2000027214662</t>
  </si>
  <si>
    <t>GJ8-50BG55/241/5L</t>
  </si>
  <si>
    <t>2000027544943</t>
  </si>
  <si>
    <t>66A-10GY83/150/5L</t>
  </si>
  <si>
    <t>2000027824526</t>
  </si>
  <si>
    <t>66A-90YR83/044/5L</t>
  </si>
  <si>
    <t>2000028391911</t>
  </si>
  <si>
    <t>Điểm hoa</t>
  </si>
  <si>
    <t>2000028604615</t>
  </si>
  <si>
    <t>2000028772918</t>
  </si>
  <si>
    <t>bj9-50gy39\536\1l</t>
  </si>
  <si>
    <t>BJ9-74BG61/206/5L</t>
  </si>
  <si>
    <t>2000028830083</t>
  </si>
  <si>
    <t>66A-78GG79/109/5L</t>
  </si>
  <si>
    <t>2000028831219</t>
  </si>
  <si>
    <t>BJ9-70YR27/404/1L</t>
  </si>
  <si>
    <t>2000028965297</t>
  </si>
  <si>
    <t>2000029104084</t>
  </si>
  <si>
    <t>66a-70bg70\131\5l</t>
  </si>
  <si>
    <t>66A-70BG70/131/1L</t>
  </si>
  <si>
    <t>2000029218101</t>
  </si>
  <si>
    <t>2000031231013</t>
  </si>
  <si>
    <t>MG-SIÊU BÓNG NỘI -TRẮNG\5L</t>
  </si>
  <si>
    <t>2000031360355</t>
  </si>
  <si>
    <t>MG-9016/4L</t>
  </si>
  <si>
    <t>2000031360379</t>
  </si>
  <si>
    <t>MG-9017/4L</t>
  </si>
  <si>
    <t>ruminê mạ trắng</t>
  </si>
  <si>
    <t>2000032495018</t>
  </si>
  <si>
    <t>BJ9-76418/1L ( màu đặc biệt + 5%)</t>
  </si>
  <si>
    <t>2000033483991</t>
  </si>
  <si>
    <t>BJ9-66BG68/157/5L</t>
  </si>
  <si>
    <t>2000034863235</t>
  </si>
  <si>
    <t>2000035523275</t>
  </si>
  <si>
    <t>66a-61yy85/050/5l</t>
  </si>
  <si>
    <t>2000037021953</t>
  </si>
  <si>
    <t>bj9-76594\1l</t>
  </si>
  <si>
    <t>2000037603890</t>
  </si>
  <si>
    <t>66a-90gg83\069\5l</t>
  </si>
  <si>
    <t>BJ9 35YY86/117/5L (Màu đặc biệt + 5%)</t>
  </si>
  <si>
    <t>2000038095557</t>
  </si>
  <si>
    <t>66A trắng trong/1L</t>
  </si>
  <si>
    <t>2000040384786</t>
  </si>
  <si>
    <t>66A-50RR83/040/5L</t>
  </si>
  <si>
    <t>2000040679509</t>
  </si>
  <si>
    <t>66A-70GY83/100/1L</t>
  </si>
  <si>
    <t>2000041464159</t>
  </si>
  <si>
    <t>2000041604944</t>
  </si>
  <si>
    <t>66a-98yr65/333/1l</t>
  </si>
  <si>
    <t>2000046232043</t>
  </si>
  <si>
    <t>ốp 40x80</t>
  </si>
  <si>
    <t>CS 3613</t>
  </si>
  <si>
    <t>2000048515106</t>
  </si>
  <si>
    <t>ốp 30*60 CS 3613_mikado</t>
  </si>
  <si>
    <t>2000056103753</t>
  </si>
  <si>
    <t>Gạch lát ECO-M622</t>
  </si>
  <si>
    <t>2000066046057</t>
  </si>
  <si>
    <t>bj9-40yy49/408/5l</t>
  </si>
  <si>
    <t>37YY78/312/5l</t>
  </si>
  <si>
    <t>2000099358844</t>
  </si>
  <si>
    <t>GJ8-37YY78/312/5 lít</t>
  </si>
  <si>
    <t>chậu rửa bát D8245</t>
  </si>
  <si>
    <t>2000110122270</t>
  </si>
  <si>
    <t>2000126417209</t>
  </si>
  <si>
    <t>Maxilite 28C-39YY71/413/18L</t>
  </si>
  <si>
    <t>2000185579825</t>
  </si>
  <si>
    <t>Ốp điểm 30x60 - Viên</t>
  </si>
  <si>
    <t>2000199143388</t>
  </si>
  <si>
    <t>Bộ sen</t>
  </si>
  <si>
    <t>Gạch 40x40 VN457</t>
  </si>
  <si>
    <t>2000037925442</t>
  </si>
  <si>
    <t>FV36101 A1</t>
  </si>
  <si>
    <t>2000040746096</t>
  </si>
  <si>
    <t>Gạch ốp 30x60 FV36101 A1</t>
  </si>
  <si>
    <t>ECO-S605D05A1 (Đuôi mới)</t>
  </si>
  <si>
    <t>2000035398170</t>
  </si>
  <si>
    <t>ECOS-605D05A1 (Đuôi mới)</t>
  </si>
  <si>
    <t>VI5006 - V</t>
  </si>
  <si>
    <t>2000029525025</t>
  </si>
  <si>
    <t>VI5006 - viên</t>
  </si>
  <si>
    <t>LX3607 - Viên</t>
  </si>
  <si>
    <t>2000110956776</t>
  </si>
  <si>
    <t>Ốp LX3607 - Viên</t>
  </si>
  <si>
    <t>FD36160-V</t>
  </si>
  <si>
    <t>2000025133965</t>
  </si>
  <si>
    <t>Ốp định hình 30x60 FD36160-V</t>
  </si>
  <si>
    <t>LX3609 - Viên</t>
  </si>
  <si>
    <t>2000118757238</t>
  </si>
  <si>
    <t>Ốp LX3609 - Viên</t>
  </si>
  <si>
    <t>HD305 - Viên</t>
  </si>
  <si>
    <t>2000089346561</t>
  </si>
  <si>
    <t>Gạch trang trí HD305 - Viên</t>
  </si>
  <si>
    <t>R-2950X</t>
  </si>
  <si>
    <t>2000026650324</t>
  </si>
  <si>
    <t>Bệt két rời Roy-2950X</t>
  </si>
  <si>
    <t>MK</t>
  </si>
  <si>
    <t>2000026968467</t>
  </si>
  <si>
    <t>Mượn kệ</t>
  </si>
  <si>
    <t>DIC80655 - Viên</t>
  </si>
  <si>
    <t>2000134167325</t>
  </si>
  <si>
    <t>Gạch DIC80655 - Viên</t>
  </si>
  <si>
    <t>Sân vườn VI26 A1 - Viên</t>
  </si>
  <si>
    <t>2000195185924</t>
  </si>
  <si>
    <t>ECO-602 A1 - Viên</t>
  </si>
  <si>
    <t>2000031588872</t>
  </si>
  <si>
    <t>Gạch Granite ECO-602 A1 - Viên</t>
  </si>
  <si>
    <t>ốp 30x60 - 2016 (MB) - Viên</t>
  </si>
  <si>
    <t>2000035240813</t>
  </si>
  <si>
    <t>Ốp M3062 - Viên</t>
  </si>
  <si>
    <t>2000040568797</t>
  </si>
  <si>
    <t>F3609 - V</t>
  </si>
  <si>
    <t>2000026599272</t>
  </si>
  <si>
    <t>F3609 - Viên</t>
  </si>
  <si>
    <t>CT 316 - Viên</t>
  </si>
  <si>
    <t>2000039160100</t>
  </si>
  <si>
    <t>Chống trơn 316 - Viên</t>
  </si>
  <si>
    <t>2000029548475</t>
  </si>
  <si>
    <t>Chân chậu 5200A</t>
  </si>
  <si>
    <t>ct 33038_chống trơn - hồng hải</t>
  </si>
  <si>
    <t>2000045076495</t>
  </si>
  <si>
    <t>chống trơn CT 33038</t>
  </si>
  <si>
    <t>Eco 803 - Viên</t>
  </si>
  <si>
    <t>2000045366848</t>
  </si>
  <si>
    <t>Chân lửng dai sung</t>
  </si>
  <si>
    <t>2000214250190</t>
  </si>
  <si>
    <t>F627-V</t>
  </si>
  <si>
    <t>2000025178881</t>
  </si>
  <si>
    <t>Gạch lát 60x60 F627-V</t>
  </si>
  <si>
    <t>2000026594185</t>
  </si>
  <si>
    <t>66a50gy83\160\5l</t>
  </si>
  <si>
    <t>A991-78GG79/109/18L</t>
  </si>
  <si>
    <t>2000026994169</t>
  </si>
  <si>
    <t>BJ9-10GY61/449/5L</t>
  </si>
  <si>
    <t>2000027163342</t>
  </si>
  <si>
    <t>BJ9-70YY21/335/1L</t>
  </si>
  <si>
    <t>2000027163366</t>
  </si>
  <si>
    <t>2000027450237</t>
  </si>
  <si>
    <t>CT7334 - Viên</t>
  </si>
  <si>
    <t>BJ9-10BB13/362/1L</t>
  </si>
  <si>
    <t>2000027544523</t>
  </si>
  <si>
    <t>BJ9-10BB13/362/1L (màu đậm)</t>
  </si>
  <si>
    <t>66A-10GY74/325/1L</t>
  </si>
  <si>
    <t>2000027824557</t>
  </si>
  <si>
    <t>2000029220852</t>
  </si>
  <si>
    <t>CT3616</t>
  </si>
  <si>
    <t>2000029220869</t>
  </si>
  <si>
    <t>CT3617</t>
  </si>
  <si>
    <t>2000029452567</t>
  </si>
  <si>
    <t>Chất chống thấm</t>
  </si>
  <si>
    <t>2000029553271</t>
  </si>
  <si>
    <t>BJ9-50YR15\377\1L</t>
  </si>
  <si>
    <t>MS 75007/18L</t>
  </si>
  <si>
    <t>2000030197303</t>
  </si>
  <si>
    <t>Lót trong ME4-75007/18L</t>
  </si>
  <si>
    <t>2000030751338</t>
  </si>
  <si>
    <t>bj9-00yy43\304\1l</t>
  </si>
  <si>
    <t>2000031225432</t>
  </si>
  <si>
    <t>mg-bóng ngọc trai-trắng\5l</t>
  </si>
  <si>
    <t>2000031286624</t>
  </si>
  <si>
    <t>bj9-80yr27/147/1l</t>
  </si>
  <si>
    <t>66A-50GY83/160/1L</t>
  </si>
  <si>
    <t>2000036503986</t>
  </si>
  <si>
    <t>BJ940YY49/408/5L</t>
  </si>
  <si>
    <t>2000038046429</t>
  </si>
  <si>
    <t>BJ9-70BG31/332/1L</t>
  </si>
  <si>
    <t>2000038116245</t>
  </si>
  <si>
    <t>mg-trắng 18l</t>
  </si>
  <si>
    <t>2000041019144</t>
  </si>
  <si>
    <t>mega trắng 18l</t>
  </si>
  <si>
    <t>pk 5200</t>
  </si>
  <si>
    <t>2000042344191</t>
  </si>
  <si>
    <t>Phụ kiện Inox 5200</t>
  </si>
  <si>
    <t>ốp 30x60 -  36803 (thiên hoàng)</t>
  </si>
  <si>
    <t>2000045900721</t>
  </si>
  <si>
    <t>ốp 30x60 - 36803</t>
  </si>
  <si>
    <t>ốp 30x60 -  36802 (TH)</t>
  </si>
  <si>
    <t>2000045900738</t>
  </si>
  <si>
    <t>ốp 30x60 - 36802</t>
  </si>
  <si>
    <t>2000047865721</t>
  </si>
  <si>
    <t>Gạch lát TS1-610 - Viên</t>
  </si>
  <si>
    <t>2000048878751</t>
  </si>
  <si>
    <t>Xi măng trắng</t>
  </si>
  <si>
    <t>2000055138466</t>
  </si>
  <si>
    <t>ốp 30x60 - 3604 Viên</t>
  </si>
  <si>
    <t>2000141392802</t>
  </si>
  <si>
    <t>Xịt nhựa</t>
  </si>
  <si>
    <t>2000200653295</t>
  </si>
  <si>
    <t>A991/61YY89/135/18L</t>
  </si>
  <si>
    <t>2000201869220</t>
  </si>
  <si>
    <t>gạch tồn 50x50 ( 1h=1.5m)</t>
  </si>
  <si>
    <t>2000214252798</t>
  </si>
  <si>
    <t>vòi chậu</t>
  </si>
  <si>
    <t>VI6031 A1 - 2022</t>
  </si>
  <si>
    <t>2000198511546</t>
  </si>
  <si>
    <t>Gạch lát VI6031 A1 ( 1 hộp = 1.44m2)</t>
  </si>
  <si>
    <t>SV13</t>
  </si>
  <si>
    <t>2000115510591</t>
  </si>
  <si>
    <t>Sân vườn SV13</t>
  </si>
  <si>
    <t>LX6003(A1)</t>
  </si>
  <si>
    <t>2000122492866</t>
  </si>
  <si>
    <t>Gạch lát LX6003 (A1)</t>
  </si>
  <si>
    <t>VG6002 - Viên</t>
  </si>
  <si>
    <t>2000082688255</t>
  </si>
  <si>
    <t>Gạch lát VG6002 - Viên</t>
  </si>
  <si>
    <t>LX3612 - Viên</t>
  </si>
  <si>
    <t>2000109878195</t>
  </si>
  <si>
    <t>Ốp 30x60 LX3612 - Viên</t>
  </si>
  <si>
    <t>TH3640 - Viên (thành hà)</t>
  </si>
  <si>
    <t>2000057339502</t>
  </si>
  <si>
    <t>ốp 30x60 TH3640 - Viên</t>
  </si>
  <si>
    <t>LX3606 (A) - Viên</t>
  </si>
  <si>
    <t>2000135500671</t>
  </si>
  <si>
    <t>Ốp LX3606 (A) - Viên</t>
  </si>
  <si>
    <t>R-2789X-S</t>
  </si>
  <si>
    <t>2000026650355</t>
  </si>
  <si>
    <t>Bệt két rời Roy-2789X-S</t>
  </si>
  <si>
    <t>HD308 - Viên</t>
  </si>
  <si>
    <t>2000089347094</t>
  </si>
  <si>
    <t>Gạch trang trí HD308 - Viên</t>
  </si>
  <si>
    <t>UB8820 - Viên (A)</t>
  </si>
  <si>
    <t>2000077002721</t>
  </si>
  <si>
    <t>Gạch Granit UB8820 - Viên</t>
  </si>
  <si>
    <t>Lát 60x60 LXC6201(A1) - Viên</t>
  </si>
  <si>
    <t>2000157746705</t>
  </si>
  <si>
    <t>LXC 6201 - Viên</t>
  </si>
  <si>
    <t>66AB/Base B/5L(M)</t>
  </si>
  <si>
    <t>2000147367477</t>
  </si>
  <si>
    <t>Sơn nước nội thât siêu cao cấp DULUX AMBIANCE 5IN1 siêu bóng 66AB/Base B/5L(M)</t>
  </si>
  <si>
    <t>0355-1305- A1 - Viên</t>
  </si>
  <si>
    <t>2000172293185</t>
  </si>
  <si>
    <t>Sân vườn (50x50) 0355-1305- A1 - Viên</t>
  </si>
  <si>
    <t>FV36106 - Viên</t>
  </si>
  <si>
    <t>2000041103270</t>
  </si>
  <si>
    <t>Gạch ốp 30x60 FV36106 - Viên</t>
  </si>
  <si>
    <t>ct317_v</t>
  </si>
  <si>
    <t>2000043966873</t>
  </si>
  <si>
    <t>gạch chống trơn 317-viên</t>
  </si>
  <si>
    <t>ECO-S822 D20 - Viên</t>
  </si>
  <si>
    <t>2000038748996</t>
  </si>
  <si>
    <t>Gạch Granite ECO-S822 D20 - Viên</t>
  </si>
  <si>
    <t>A991-2/5L (M)</t>
  </si>
  <si>
    <t>2000147617756</t>
  </si>
  <si>
    <t>Sơn nước nội thất cao cấp lau chùi hiệu quả A991-2/5L (M)</t>
  </si>
  <si>
    <t>C3609-V</t>
  </si>
  <si>
    <t>2000025179536</t>
  </si>
  <si>
    <t>Ốp 30x60 C3609-V</t>
  </si>
  <si>
    <t>Chân dài+ chậu pelaza</t>
  </si>
  <si>
    <t>2000214255287</t>
  </si>
  <si>
    <t>C380B-3</t>
  </si>
  <si>
    <t>2000028923815</t>
  </si>
  <si>
    <t>chậu B380 B-3</t>
  </si>
  <si>
    <t>Vòi xịt takura</t>
  </si>
  <si>
    <t>2000031901909</t>
  </si>
  <si>
    <t>2000067234309</t>
  </si>
  <si>
    <t>th-36918(30*60)</t>
  </si>
  <si>
    <t>GVS</t>
  </si>
  <si>
    <t>2000026686255</t>
  </si>
  <si>
    <t>Gương nhà VS</t>
  </si>
  <si>
    <t>BJ9-27YY78/255/1L</t>
  </si>
  <si>
    <t>2000029204418</t>
  </si>
  <si>
    <t>BJ9-27YY78/255/1L (Đặc biệt)</t>
  </si>
  <si>
    <t>Xi phông Roy</t>
  </si>
  <si>
    <t>2000035416607</t>
  </si>
  <si>
    <t>BJ9-50YR21/138/1L</t>
  </si>
  <si>
    <t>2000025773499</t>
  </si>
  <si>
    <t>A991-53RB76/067/5L</t>
  </si>
  <si>
    <t>2000026152415</t>
  </si>
  <si>
    <t>BJ9-90BG25/079/1L</t>
  </si>
  <si>
    <t>2000026217503</t>
  </si>
  <si>
    <t>BJ9-10YR37/143/1L</t>
  </si>
  <si>
    <t>2000026392996</t>
  </si>
  <si>
    <t>66A-06RB76/056/1L</t>
  </si>
  <si>
    <t>2000026599234</t>
  </si>
  <si>
    <t>2000026763604</t>
  </si>
  <si>
    <t>BJ9-77BG57/234/1l</t>
  </si>
  <si>
    <t>A991-35YY86/117/5L</t>
  </si>
  <si>
    <t>2000026775881</t>
  </si>
  <si>
    <t>BJ9-70BG56/061/1L</t>
  </si>
  <si>
    <t>2000027013104</t>
  </si>
  <si>
    <t>66A-90BG72/063/5L</t>
  </si>
  <si>
    <t>2000027035489</t>
  </si>
  <si>
    <t>2000027415694</t>
  </si>
  <si>
    <t>bj9-71743\5l</t>
  </si>
  <si>
    <t>66A-51YR83/054/5L (72119)</t>
  </si>
  <si>
    <t>2000027534685</t>
  </si>
  <si>
    <t>66A-51YR83/054/5L</t>
  </si>
  <si>
    <t>BJ9-19YY51/758/5L</t>
  </si>
  <si>
    <t>2000027915767</t>
  </si>
  <si>
    <t>BJ9-19YY51/758/5L (màu đậm)</t>
  </si>
  <si>
    <t>Megatex</t>
  </si>
  <si>
    <t>2000028317393</t>
  </si>
  <si>
    <t>siêu bóng nội 9013\18l</t>
  </si>
  <si>
    <t>BJ9-80YR72/159/5L</t>
  </si>
  <si>
    <t>2000028391669</t>
  </si>
  <si>
    <t>BJ9-80YR72/159/5L (Đặc biệt+5%)</t>
  </si>
  <si>
    <t>CK3403 - V</t>
  </si>
  <si>
    <t>2000028630454</t>
  </si>
  <si>
    <t>CK3403 - viên</t>
  </si>
  <si>
    <t>BJ9-71744/1L</t>
  </si>
  <si>
    <t>2000028727833</t>
  </si>
  <si>
    <t>CT3006-V</t>
  </si>
  <si>
    <t>2000028911386</t>
  </si>
  <si>
    <t>CT3006 - Viên</t>
  </si>
  <si>
    <t>2000029229282</t>
  </si>
  <si>
    <t>66A-69RB70/114/5l</t>
  </si>
  <si>
    <t>2000029350450</t>
  </si>
  <si>
    <t>66A-70RR83/040/1l</t>
  </si>
  <si>
    <t>BJ9-90YY58/424/1L</t>
  </si>
  <si>
    <t>2000029374845</t>
  </si>
  <si>
    <t>BJ9-90YY58/424/1L(Đặc biệt+10%)</t>
  </si>
  <si>
    <t>BJ9-30BB16/031/1L</t>
  </si>
  <si>
    <t>2000029487521</t>
  </si>
  <si>
    <t>2000029514371</t>
  </si>
  <si>
    <t>mg bóng ngoài trời</t>
  </si>
  <si>
    <t>66A-56GG64/258/5L</t>
  </si>
  <si>
    <t>2000029664700</t>
  </si>
  <si>
    <t>2000030751345</t>
  </si>
  <si>
    <t>bj9-76419\1l</t>
  </si>
  <si>
    <t>2000031164601</t>
  </si>
  <si>
    <t>bj9-86bg43\321\1l</t>
  </si>
  <si>
    <t>2000031178950</t>
  </si>
  <si>
    <t>bj9-50yy83\171/5l</t>
  </si>
  <si>
    <t>2000031227863</t>
  </si>
  <si>
    <t>A991-BASE A/5L</t>
  </si>
  <si>
    <t>CT384 - Viên</t>
  </si>
  <si>
    <t>2000032234235</t>
  </si>
  <si>
    <t>2000033126553</t>
  </si>
  <si>
    <t>bj9-35yy64\633\5l</t>
  </si>
  <si>
    <t>viền hoa quả - Viên</t>
  </si>
  <si>
    <t>2000034085323</t>
  </si>
  <si>
    <t>2000034450923</t>
  </si>
  <si>
    <t>a991-10gy83\150\5l</t>
  </si>
  <si>
    <t>Bình Ariton 20 lít</t>
  </si>
  <si>
    <t>2000034898459</t>
  </si>
  <si>
    <t>66A10GY83/075/5l</t>
  </si>
  <si>
    <t>2000038046658</t>
  </si>
  <si>
    <t>BJ9-20YY26/490/1L</t>
  </si>
  <si>
    <t>2000038774735</t>
  </si>
  <si>
    <t>66A-90GG 83/069/5L</t>
  </si>
  <si>
    <t>2000039535816</t>
  </si>
  <si>
    <t>BJ9-18RP78/088/1L</t>
  </si>
  <si>
    <t>2000041533275</t>
  </si>
  <si>
    <t>Chống trơn KF374 - (Long hầu)</t>
  </si>
  <si>
    <t>2000043240867</t>
  </si>
  <si>
    <t>Chống trơn KF 374</t>
  </si>
  <si>
    <t>36037 (nhạt) - Viên - Hồng Hải</t>
  </si>
  <si>
    <t>2000044369994</t>
  </si>
  <si>
    <t>ốp 30x60 - 36037 (nhạt) - Viên</t>
  </si>
  <si>
    <t>Đậm WB 3603/2</t>
  </si>
  <si>
    <t>2000044833174</t>
  </si>
  <si>
    <t>Nhạt WB 3603/1</t>
  </si>
  <si>
    <t>2000044833198</t>
  </si>
  <si>
    <t>KF372 - Viên</t>
  </si>
  <si>
    <t>2000044834836</t>
  </si>
  <si>
    <t>Chống trơn KF372 - Viên</t>
  </si>
  <si>
    <t>2000047170450</t>
  </si>
  <si>
    <t>Sân vườn GS559</t>
  </si>
  <si>
    <t>2000048442440</t>
  </si>
  <si>
    <t>Gạch lát 60x60 ECO 626</t>
  </si>
  <si>
    <t>ỐP MT 3632_v</t>
  </si>
  <si>
    <t>2000050636530</t>
  </si>
  <si>
    <t>Ốp 30*60 MT 3632_viên</t>
  </si>
  <si>
    <t>2000051061645</t>
  </si>
  <si>
    <t>bj9-79bg53/259/5l</t>
  </si>
  <si>
    <t>A901/YY 87118/18l</t>
  </si>
  <si>
    <t>2000053001076</t>
  </si>
  <si>
    <t>A901/YY 87118/18 lít-Maxilite</t>
  </si>
  <si>
    <t>2000054894899</t>
  </si>
  <si>
    <t>66A-30GY83/014/5L</t>
  </si>
  <si>
    <t>BJ9-40YY83/043/5l</t>
  </si>
  <si>
    <t>2000058678440</t>
  </si>
  <si>
    <t>BJ9-40YY83/043/5 lít</t>
  </si>
  <si>
    <t>2000061690279</t>
  </si>
  <si>
    <t>BJ9-30GY88/014/1L</t>
  </si>
  <si>
    <t>GJ8-30yy56/060/1l</t>
  </si>
  <si>
    <t>2000067499456</t>
  </si>
  <si>
    <t>GJ-30yy56/060/1lit</t>
  </si>
  <si>
    <t>73499</t>
  </si>
  <si>
    <t>2000073338572</t>
  </si>
  <si>
    <t>79A-73499/5 lit</t>
  </si>
  <si>
    <t>2000099123916</t>
  </si>
  <si>
    <t>Chống trơn hoàng hà</t>
  </si>
  <si>
    <t>10YY35/543/5l</t>
  </si>
  <si>
    <t>2000099358851</t>
  </si>
  <si>
    <t>GJ8-10YY35/543/5 lít</t>
  </si>
  <si>
    <t>82RR76/111/1l</t>
  </si>
  <si>
    <t>2000100456071</t>
  </si>
  <si>
    <t>66AB-82RR76/111/1 lít</t>
  </si>
  <si>
    <t>801 - Viên</t>
  </si>
  <si>
    <t>2000112838827</t>
  </si>
  <si>
    <t>Chống trơn 801 - Viên</t>
  </si>
  <si>
    <t>2000180984518</t>
  </si>
  <si>
    <t>PHS-G02(30*60)</t>
  </si>
  <si>
    <t>2000182604315</t>
  </si>
  <si>
    <t>GJ8/ màu 78YY87/078/5 lít</t>
  </si>
  <si>
    <t>2000214254013</t>
  </si>
  <si>
    <t>công cắt 1mx1m (1/6)</t>
  </si>
  <si>
    <t>Phụ Kiện nhà tắm 304 Đai Sung</t>
  </si>
  <si>
    <t>2000214255270</t>
  </si>
  <si>
    <t>HD306 - Viên</t>
  </si>
  <si>
    <t>2000089346660</t>
  </si>
  <si>
    <t>Gạch trang trí HD306 - Viên</t>
  </si>
  <si>
    <t>Base A ngoại thất bóng cao cấp /18L - Roma</t>
  </si>
  <si>
    <t>2000043467004</t>
  </si>
  <si>
    <t>Sơn bóng ngoại thất cao cấp Base A/18L</t>
  </si>
  <si>
    <t>VI5505A1-V</t>
  </si>
  <si>
    <t>2000024768267</t>
  </si>
  <si>
    <t>Gạch lát VI5505-V</t>
  </si>
  <si>
    <t>SV03 - Viên</t>
  </si>
  <si>
    <t>2000088302582</t>
  </si>
  <si>
    <t>Sân vườn 03 - Viên</t>
  </si>
  <si>
    <t>MDP 821 - V ( mới)</t>
  </si>
  <si>
    <t>2000128811005</t>
  </si>
  <si>
    <t>gạch MDP 821 - Viên</t>
  </si>
  <si>
    <t>mắc áo</t>
  </si>
  <si>
    <t>2000032495025</t>
  </si>
  <si>
    <t>K521-V</t>
  </si>
  <si>
    <t>2000025179260</t>
  </si>
  <si>
    <t>Gạch lát 50x50 K521-V</t>
  </si>
  <si>
    <t>2000078399523</t>
  </si>
  <si>
    <t>Sen vòi to peasan ( Cặp)</t>
  </si>
  <si>
    <t>VR01 - Viên</t>
  </si>
  <si>
    <t>2000089346974</t>
  </si>
  <si>
    <t>Gạch trắng 30x45 VR01 - Viên</t>
  </si>
  <si>
    <t>SV Pesan</t>
  </si>
  <si>
    <t>2000026578253</t>
  </si>
  <si>
    <t>Sen vòi Pesan</t>
  </si>
  <si>
    <t>WBD36038_ốp 30*60</t>
  </si>
  <si>
    <t>2000045076198</t>
  </si>
  <si>
    <t>WBD36038_hong hải -ốp 30*60</t>
  </si>
  <si>
    <t>A901-25272/18L</t>
  </si>
  <si>
    <t>2000033614302</t>
  </si>
  <si>
    <t>D-105 - Roy ( nhập mới)</t>
  </si>
  <si>
    <t>2000044924919</t>
  </si>
  <si>
    <t>Chậu âm lavalbol bàn đá D-105</t>
  </si>
  <si>
    <t>F51-V</t>
  </si>
  <si>
    <t>2000025179048</t>
  </si>
  <si>
    <t>Ốp 30x45 F51-V</t>
  </si>
  <si>
    <t>C.T 7315</t>
  </si>
  <si>
    <t>2000025420713</t>
  </si>
  <si>
    <t>Chân tường 7315</t>
  </si>
  <si>
    <t>ST/4L</t>
  </si>
  <si>
    <t>2000025583852</t>
  </si>
  <si>
    <t>Megatex siêu trắng 4L</t>
  </si>
  <si>
    <t>CK3402</t>
  </si>
  <si>
    <t>2000026060864</t>
  </si>
  <si>
    <t>CK3402-viên</t>
  </si>
  <si>
    <t>BJ9-80YR55/266/5L</t>
  </si>
  <si>
    <t>2000026468394</t>
  </si>
  <si>
    <t>BJ9-80YR55/266/5L (Đặc biệt+10%)</t>
  </si>
  <si>
    <t>Bệt 2 ấn</t>
  </si>
  <si>
    <t>2000026721871</t>
  </si>
  <si>
    <t>Bệt 2 ấn Vina</t>
  </si>
  <si>
    <t>chậu 1 lỗ</t>
  </si>
  <si>
    <t>2000026721949</t>
  </si>
  <si>
    <t>Chậu vina 1 lỗ</t>
  </si>
  <si>
    <t>CC</t>
  </si>
  <si>
    <t>2000026721970</t>
  </si>
  <si>
    <t>Chân chậu vina</t>
  </si>
  <si>
    <t>66A-53RB76/067/1L</t>
  </si>
  <si>
    <t>2000026829737</t>
  </si>
  <si>
    <t>2000026848479</t>
  </si>
  <si>
    <t>A901-GG0015/5L</t>
  </si>
  <si>
    <t>LX301</t>
  </si>
  <si>
    <t>2000026929376</t>
  </si>
  <si>
    <t>LX301 - mài cạnh</t>
  </si>
  <si>
    <t>BJ9-70BG56/061/5L</t>
  </si>
  <si>
    <t>2000027023240</t>
  </si>
  <si>
    <t>GJ8-76419/5L</t>
  </si>
  <si>
    <t>2000027141241</t>
  </si>
  <si>
    <t>GJ8-76419/5L (ĐB+5%)</t>
  </si>
  <si>
    <t>BNT-06RB76/056/5L</t>
  </si>
  <si>
    <t>2000027335138</t>
  </si>
  <si>
    <t>MG-BNT-06RB76/056/5L</t>
  </si>
  <si>
    <t>2000027706617</t>
  </si>
  <si>
    <t>BJ9-30GY88/014/5L</t>
  </si>
  <si>
    <t>2000027960040</t>
  </si>
  <si>
    <t>66A-BaseA/5L</t>
  </si>
  <si>
    <t>BJ9-05YY72/254/5L</t>
  </si>
  <si>
    <t>2000027985906</t>
  </si>
  <si>
    <t>BJ9-05YY72/254/5L (Đặc biệt)</t>
  </si>
  <si>
    <t>66A-70BB67/096/5L</t>
  </si>
  <si>
    <t>2000028993016</t>
  </si>
  <si>
    <t>BJ9-90YR38/239/1L</t>
  </si>
  <si>
    <t>2000029008733</t>
  </si>
  <si>
    <t>BKR2915</t>
  </si>
  <si>
    <t>2000029066146</t>
  </si>
  <si>
    <t>Bệt két rời Roy -2915</t>
  </si>
  <si>
    <t>2000029103216</t>
  </si>
  <si>
    <t>a991-70yy83\037\18l</t>
  </si>
  <si>
    <t>2000029229275</t>
  </si>
  <si>
    <t>66A-13RR728/121/5l</t>
  </si>
  <si>
    <t>BJ9-30BB45/049/1L</t>
  </si>
  <si>
    <t>2000029545108</t>
  </si>
  <si>
    <t>BJ9-30BB45/049/1L (Đặc biệt)</t>
  </si>
  <si>
    <t>2000029545344</t>
  </si>
  <si>
    <t>66a-50yy83\029\5l</t>
  </si>
  <si>
    <t>2000029553189</t>
  </si>
  <si>
    <t>BJ9-35yy71\74\5l(ĐB+15%)</t>
  </si>
  <si>
    <t>66A-55BG74/117/5L</t>
  </si>
  <si>
    <t>2000030166521</t>
  </si>
  <si>
    <t>2000030428452</t>
  </si>
  <si>
    <t>tranh ngưa(1.2 *1.8)</t>
  </si>
  <si>
    <t>2000031267753</t>
  </si>
  <si>
    <t>MG-9034/18L-MỊN</t>
  </si>
  <si>
    <t>2000031287126</t>
  </si>
  <si>
    <t>66a-19yy83/140/5l</t>
  </si>
  <si>
    <t>2000031287355</t>
  </si>
  <si>
    <t>MG-BNT-48YY77/529/5L</t>
  </si>
  <si>
    <t>2000031340098</t>
  </si>
  <si>
    <t>MG-LAU CHÙI-50YR83\040\18L</t>
  </si>
  <si>
    <t>2000031364438</t>
  </si>
  <si>
    <t>K5500/20KG -TRẮNG BÁN BÓNG</t>
  </si>
  <si>
    <t>2000031365152</t>
  </si>
  <si>
    <t>K871/20KG</t>
  </si>
  <si>
    <t>chậu Viglacera</t>
  </si>
  <si>
    <t>2000031901886</t>
  </si>
  <si>
    <t>ECO - SLZ -40</t>
  </si>
  <si>
    <t>2000032194508</t>
  </si>
  <si>
    <t>Sen tắm ECO - SLZ -40</t>
  </si>
  <si>
    <t>66A-46YY86/166/5L</t>
  </si>
  <si>
    <t>2000037108494</t>
  </si>
  <si>
    <t>2000037322449</t>
  </si>
  <si>
    <t>bj9-22yy71\347\1l</t>
  </si>
  <si>
    <t>BJ9-30BB63/097/5L( màu đặc biệt +5%)</t>
  </si>
  <si>
    <t>2000038313149</t>
  </si>
  <si>
    <t>MG ngoại bóng ngọc trai 3080/18L ( màu đậm +5%)</t>
  </si>
  <si>
    <t>2000038806467</t>
  </si>
  <si>
    <t>A991-53RB76/076/5L</t>
  </si>
  <si>
    <t>2000041080571</t>
  </si>
  <si>
    <t>2000041857395</t>
  </si>
  <si>
    <t>a991-73106/1l</t>
  </si>
  <si>
    <t>WBD36037-ốp 30*60</t>
  </si>
  <si>
    <t>2000045076174</t>
  </si>
  <si>
    <t>WBD_36037_hông hai _ốp 30*60</t>
  </si>
  <si>
    <t>2000045774841</t>
  </si>
  <si>
    <t>MG mịn ngoài 3077/18L</t>
  </si>
  <si>
    <t>SVS-502 - Viên</t>
  </si>
  <si>
    <t>2000045900134</t>
  </si>
  <si>
    <t>Sân vườn SVS-502 - Viên</t>
  </si>
  <si>
    <t>VR532 - Viên</t>
  </si>
  <si>
    <t>2000049917701</t>
  </si>
  <si>
    <t>Gạch lát 50x50 VR532 - Viên</t>
  </si>
  <si>
    <t>2000051304711</t>
  </si>
  <si>
    <t>MG siêu bóng ngoại thất ( pha màu)</t>
  </si>
  <si>
    <t>2000055571355</t>
  </si>
  <si>
    <t>Tranh KT1.2x1.8</t>
  </si>
  <si>
    <t>2000055847085</t>
  </si>
  <si>
    <t>Gạch lát ECO-626</t>
  </si>
  <si>
    <t>2000057089674</t>
  </si>
  <si>
    <t>FN33038</t>
  </si>
  <si>
    <t>2000059339470</t>
  </si>
  <si>
    <t>66A-30YY63/231/1L</t>
  </si>
  <si>
    <t>2000059806392</t>
  </si>
  <si>
    <t>BJ9-30YY56/060/5L</t>
  </si>
  <si>
    <t>9081 ( châu thành)</t>
  </si>
  <si>
    <t>2000064041481</t>
  </si>
  <si>
    <t>chống trơn ghi mã 9081</t>
  </si>
  <si>
    <t>2000065169443</t>
  </si>
  <si>
    <t>Màu chỉ A991-40YY49/408/5L</t>
  </si>
  <si>
    <t>lót trong maxi 18l</t>
  </si>
  <si>
    <t>2000071176428</t>
  </si>
  <si>
    <t>lót trong Maxilite 18l</t>
  </si>
  <si>
    <t>2000078390155</t>
  </si>
  <si>
    <t>Chống trơn KS328</t>
  </si>
  <si>
    <t>2000078663983</t>
  </si>
  <si>
    <t>Nền vệ sinh theo bộ</t>
  </si>
  <si>
    <t>2000079634517</t>
  </si>
  <si>
    <t>Bệt K32</t>
  </si>
  <si>
    <t>GD36904-36905</t>
  </si>
  <si>
    <t>2000080251277</t>
  </si>
  <si>
    <t>Điểm bộ 36904-36045</t>
  </si>
  <si>
    <t>2000088279488</t>
  </si>
  <si>
    <t>Roma nội thất mịn 18L/mã 100-2</t>
  </si>
  <si>
    <t>56BG81/023/1l</t>
  </si>
  <si>
    <t>2000100455937</t>
  </si>
  <si>
    <t>BJ9-56BG81/023/1 lít</t>
  </si>
  <si>
    <t>70YY83/037/1l</t>
  </si>
  <si>
    <t>2000100900260</t>
  </si>
  <si>
    <t>66AB-70YY83/037/1 lít</t>
  </si>
  <si>
    <t>TQ8002- Viên</t>
  </si>
  <si>
    <t>2000122647341</t>
  </si>
  <si>
    <t>Chống trơn LX327(B) - Viên</t>
  </si>
  <si>
    <t>2000158601461</t>
  </si>
  <si>
    <t>CT LX327(B) - viên</t>
  </si>
  <si>
    <t>2000195877119</t>
  </si>
  <si>
    <t>Mượn kệ Hoàng Hà</t>
  </si>
  <si>
    <t>2000201523955</t>
  </si>
  <si>
    <t>Chậu treo Roy</t>
  </si>
  <si>
    <t>KT400*600 (1/3)</t>
  </si>
  <si>
    <t>2000214253092</t>
  </si>
  <si>
    <t>Công cắt gạch KT400*600 (1/3)</t>
  </si>
  <si>
    <t>công cắt 50x50 (1/5)</t>
  </si>
  <si>
    <t>2000214253887</t>
  </si>
  <si>
    <t>80x80 (1/3)</t>
  </si>
  <si>
    <t>2000214254433</t>
  </si>
  <si>
    <t>Công cắt gạch 80x80 (1/3)</t>
  </si>
  <si>
    <t>2000214254761</t>
  </si>
  <si>
    <t>sân vườn 40x80 ( tồn) - VIÊN</t>
  </si>
  <si>
    <t>Bệt DS mã 8813- nhỏ</t>
  </si>
  <si>
    <t>2000214254891</t>
  </si>
  <si>
    <t>NH - 505</t>
  </si>
  <si>
    <t>2000049812167</t>
  </si>
  <si>
    <t>Gạch lát NH - 505</t>
  </si>
  <si>
    <t>CV 36001</t>
  </si>
  <si>
    <t>2000049705995</t>
  </si>
  <si>
    <t>Gạch ốp 30x60 CV 36001</t>
  </si>
  <si>
    <t>LSK3310 (A1)</t>
  </si>
  <si>
    <t>2000124608630</t>
  </si>
  <si>
    <t>Chống trơn LSK3310 (A1)</t>
  </si>
  <si>
    <t>VN52</t>
  </si>
  <si>
    <t>2000032556610</t>
  </si>
  <si>
    <t>Gạch ốp 30x45 VN52</t>
  </si>
  <si>
    <t>O3050</t>
  </si>
  <si>
    <t>2000024805092</t>
  </si>
  <si>
    <t>Gạch ốp 3050</t>
  </si>
  <si>
    <t>Ốp 30x60 TH3644 - Viên</t>
  </si>
  <si>
    <t>2000058707799</t>
  </si>
  <si>
    <t>Viên điểm F3695 - D</t>
  </si>
  <si>
    <t>2000026692997</t>
  </si>
  <si>
    <t>NH505 -  Viên</t>
  </si>
  <si>
    <t>2000049917756</t>
  </si>
  <si>
    <t>Gạch lát NH505 - Viên</t>
  </si>
  <si>
    <t>LX8005 (A) - Viên</t>
  </si>
  <si>
    <t>2000161062389</t>
  </si>
  <si>
    <t>Lát 80x80 - LX8005 (A) - Viên</t>
  </si>
  <si>
    <t>2000068313034</t>
  </si>
  <si>
    <t>Ốp bộ C36602 - Viên</t>
  </si>
  <si>
    <t>F15-V</t>
  </si>
  <si>
    <t>2000025179024</t>
  </si>
  <si>
    <t>Ốp 30x45 F15-V</t>
  </si>
  <si>
    <t>A991/5L</t>
  </si>
  <si>
    <t>2000025583203</t>
  </si>
  <si>
    <t>Dulux Easy Clean lau chùi hiệu quả 5L</t>
  </si>
  <si>
    <t>SV6705 - V</t>
  </si>
  <si>
    <t>2000138471220</t>
  </si>
  <si>
    <t>Sân vườn 6705-viên</t>
  </si>
  <si>
    <t>F36106 D - Viên</t>
  </si>
  <si>
    <t>2000041103294</t>
  </si>
  <si>
    <t>điểm F36106 D - Viên</t>
  </si>
  <si>
    <t>TB802 - Viên (A)</t>
  </si>
  <si>
    <t>2000077002530</t>
  </si>
  <si>
    <t>Gạch Granit TB802 - Viên</t>
  </si>
  <si>
    <t>FM4605 A1 - VIÊN</t>
  </si>
  <si>
    <t>2000214253955</t>
  </si>
  <si>
    <t>Gạch 40*60 Vĩnh thắng mã FM4605 A1 - VIÊN</t>
  </si>
  <si>
    <t>CT3615</t>
  </si>
  <si>
    <t>2000030361377</t>
  </si>
  <si>
    <t>HD3601AA(viên)</t>
  </si>
  <si>
    <t>2000148603666</t>
  </si>
  <si>
    <t>HD3601 AA - Viên</t>
  </si>
  <si>
    <t>Gạch ốp 3055 - Viên</t>
  </si>
  <si>
    <t>2000038167803</t>
  </si>
  <si>
    <t>2000200211631</t>
  </si>
  <si>
    <t>chân chậu daisung</t>
  </si>
  <si>
    <t>CC380B-3</t>
  </si>
  <si>
    <t>2000028923822</t>
  </si>
  <si>
    <t>chân chậu B380 B-3</t>
  </si>
  <si>
    <t>Sân vườn 04 - Viên</t>
  </si>
  <si>
    <t>2000035605551</t>
  </si>
  <si>
    <t>2000058828432</t>
  </si>
  <si>
    <t>Chống trơn KS 329 - Viên</t>
  </si>
  <si>
    <t>SV505  - Viên</t>
  </si>
  <si>
    <t>2000088985952</t>
  </si>
  <si>
    <t>Sân vườn 505 - Viên</t>
  </si>
  <si>
    <t>2000090080829</t>
  </si>
  <si>
    <t>Vòi rửa bát cắm tường</t>
  </si>
  <si>
    <t>C650-Viên</t>
  </si>
  <si>
    <t>2000128009969</t>
  </si>
  <si>
    <t>C650V</t>
  </si>
  <si>
    <t>Bệt + chậu Viglacera</t>
  </si>
  <si>
    <t>2000032311158</t>
  </si>
  <si>
    <t>2000032424438</t>
  </si>
  <si>
    <t>sen inox 304 sịn 68995-ko xiphong</t>
  </si>
  <si>
    <t>chống trơn CT315</t>
  </si>
  <si>
    <t>2000032494592</t>
  </si>
  <si>
    <t>ECO -S822 D21 A1 - Viên</t>
  </si>
  <si>
    <t>2000039267090</t>
  </si>
  <si>
    <t>Gạch Grainte ECO -S822 D21 A1 - Viên</t>
  </si>
  <si>
    <t>2000046397681</t>
  </si>
  <si>
    <t>bình nóng lạnh Ariton ngang 20 lít</t>
  </si>
  <si>
    <t>NS605</t>
  </si>
  <si>
    <t>2000024926650</t>
  </si>
  <si>
    <t>K3481-V</t>
  </si>
  <si>
    <t>2000025179321</t>
  </si>
  <si>
    <t>Ốp 30x45 K3481-V</t>
  </si>
  <si>
    <t>C651-V</t>
  </si>
  <si>
    <t>2000025179512</t>
  </si>
  <si>
    <t>Gạch lát 60x60 C651-V</t>
  </si>
  <si>
    <t>BJ9-04BB57/189/5L</t>
  </si>
  <si>
    <t>2000025758649</t>
  </si>
  <si>
    <t>BJ9-52BG38/320/1L</t>
  </si>
  <si>
    <t>2000026060802</t>
  </si>
  <si>
    <t>CT5520</t>
  </si>
  <si>
    <t>2000026218289</t>
  </si>
  <si>
    <t>Chân tường CT5520 (vân vàng - KT13x50)</t>
  </si>
  <si>
    <t>BJ9-00NN05/000/1L (đen)</t>
  </si>
  <si>
    <t>2000026381211</t>
  </si>
  <si>
    <t>BJ9-00NN05/000/1L</t>
  </si>
  <si>
    <t>Đá mài</t>
  </si>
  <si>
    <t>2000026554622</t>
  </si>
  <si>
    <t>66A-45YY83/125/5L</t>
  </si>
  <si>
    <t>2000026577270</t>
  </si>
  <si>
    <t>66A-25YY70/365/1L</t>
  </si>
  <si>
    <t>2000026577287</t>
  </si>
  <si>
    <t>BJ9-25YY62/353/1L</t>
  </si>
  <si>
    <t>2000026637967</t>
  </si>
  <si>
    <t>BJ9-00YY43/304/5L</t>
  </si>
  <si>
    <t>2000026637981</t>
  </si>
  <si>
    <t>2000026760948</t>
  </si>
  <si>
    <t>66a-75246\1l</t>
  </si>
  <si>
    <t>A991-70GY74/173/1L</t>
  </si>
  <si>
    <t>2000026848196</t>
  </si>
  <si>
    <t>BJ9-00YY28/352/1L</t>
  </si>
  <si>
    <t>2000026929437</t>
  </si>
  <si>
    <t>A991-90YY72/225/18L</t>
  </si>
  <si>
    <t>2000026944331</t>
  </si>
  <si>
    <t>BJ9-10GY61/449/1L</t>
  </si>
  <si>
    <t>2000027072194</t>
  </si>
  <si>
    <t>BJ9-70BG41/201/1L</t>
  </si>
  <si>
    <t>2000027147588</t>
  </si>
  <si>
    <t>BJ9-00YY19/464/5L</t>
  </si>
  <si>
    <t>2000027215027</t>
  </si>
  <si>
    <t>BJ9-00YY19/464/5L (màu đậm)</t>
  </si>
  <si>
    <t>BJ9-22295/1L</t>
  </si>
  <si>
    <t>2000027524860</t>
  </si>
  <si>
    <t>66A-10GY74/325/5L</t>
  </si>
  <si>
    <t>2000027525508</t>
  </si>
  <si>
    <t>BJ9-71761/1L</t>
  </si>
  <si>
    <t>2000027525515</t>
  </si>
  <si>
    <t>BJ9-71761/1L (Đặc biệt)</t>
  </si>
  <si>
    <t>BJ9-71760/5L</t>
  </si>
  <si>
    <t>2000027525522</t>
  </si>
  <si>
    <t>BJ9-71760/5L (Đặc biệt)</t>
  </si>
  <si>
    <t>A991-60YY83/219/1L</t>
  </si>
  <si>
    <t>2000027556793</t>
  </si>
  <si>
    <t>VI5733 -V</t>
  </si>
  <si>
    <t>2000027784790</t>
  </si>
  <si>
    <t>VI5733 - Viên</t>
  </si>
  <si>
    <t>2000028540869</t>
  </si>
  <si>
    <t>BJ9-50GY51/437/5L (Đặc biệt)</t>
  </si>
  <si>
    <t>BJ9-45YY71/664/5L</t>
  </si>
  <si>
    <t>2000028631963</t>
  </si>
  <si>
    <t>BJ9-45YY71/664/5L (đậm)</t>
  </si>
  <si>
    <t>O3065</t>
  </si>
  <si>
    <t>2000028786274</t>
  </si>
  <si>
    <t>Ốp 30x45 - 3065</t>
  </si>
  <si>
    <t>66A-89RR72/119/5L</t>
  </si>
  <si>
    <t>2000028830267</t>
  </si>
  <si>
    <t>66A-89RB72/119/5L</t>
  </si>
  <si>
    <t>BJ9-90GG74/108/1L</t>
  </si>
  <si>
    <t>2000028892807</t>
  </si>
  <si>
    <t>66A-30YR83/040/5L</t>
  </si>
  <si>
    <t>2000029021411</t>
  </si>
  <si>
    <t>66A-64RR80/073/5L</t>
  </si>
  <si>
    <t>2000029145100</t>
  </si>
  <si>
    <t>66A-10RB74/038/1L</t>
  </si>
  <si>
    <t>2000029210204</t>
  </si>
  <si>
    <t>BJ9-45YY67/662/1L</t>
  </si>
  <si>
    <t>2000029243868</t>
  </si>
  <si>
    <t>BJ9-45YY67/662/1L(Đặc biệt+10%)</t>
  </si>
  <si>
    <t>BJ9-65YY68/572/5L</t>
  </si>
  <si>
    <t>2000029243936</t>
  </si>
  <si>
    <t>BJ9-65YY68/572/5L(Đặc biệt)</t>
  </si>
  <si>
    <t>66A-95RB71/132/5L</t>
  </si>
  <si>
    <t>2000029343735</t>
  </si>
  <si>
    <t>2000029545351</t>
  </si>
  <si>
    <t>66a-baseC\5L</t>
  </si>
  <si>
    <t>2000029664717</t>
  </si>
  <si>
    <t>BJ9-53GG50/360/5L (Đặc biệt+5%)</t>
  </si>
  <si>
    <t>2000029668043</t>
  </si>
  <si>
    <t>BJ9-20YY23/246/1L</t>
  </si>
  <si>
    <t>2000029668104</t>
  </si>
  <si>
    <t>66A-70YR36/468/1L</t>
  </si>
  <si>
    <t>2000029675959</t>
  </si>
  <si>
    <t>BJ9-00NN07/000/1L</t>
  </si>
  <si>
    <t>2000029779985</t>
  </si>
  <si>
    <t>BJ9-90YY52/138/1L</t>
  </si>
  <si>
    <t>2000029781575</t>
  </si>
  <si>
    <t>66A-94RB64/182/1L</t>
  </si>
  <si>
    <t>2000029843068</t>
  </si>
  <si>
    <t>BJ9-25YY57/441/1L (Đặc biệt+20%)</t>
  </si>
  <si>
    <t>2000030035919</t>
  </si>
  <si>
    <t>A991-52YY89\117\5\</t>
  </si>
  <si>
    <t>2000031225401</t>
  </si>
  <si>
    <t>mg-hợp kim -8015/5l</t>
  </si>
  <si>
    <t>2000031225555</t>
  </si>
  <si>
    <t>66a-50yy83\117\5l</t>
  </si>
  <si>
    <t>2000031231228</t>
  </si>
  <si>
    <t>MG- BÓNG NGỌC TRAI-28YY86\106/5L</t>
  </si>
  <si>
    <t>2000031231617</t>
  </si>
  <si>
    <t>BJ9-50BB63/094/5L(ĐB)</t>
  </si>
  <si>
    <t>2000031231723</t>
  </si>
  <si>
    <t>BJ9-90BG30\073\1L</t>
  </si>
  <si>
    <t>2000031267760</t>
  </si>
  <si>
    <t>MG-9031/4L-MỊN</t>
  </si>
  <si>
    <t>2000031286662</t>
  </si>
  <si>
    <t>bj9-40yy69\112\5l</t>
  </si>
  <si>
    <t>chậu 282 innax</t>
  </si>
  <si>
    <t>2000032495209</t>
  </si>
  <si>
    <t>2000032827666</t>
  </si>
  <si>
    <t>a991-50rr83/040/1l</t>
  </si>
  <si>
    <t>BJ910GY41/600/1L</t>
  </si>
  <si>
    <t>2000033260646</t>
  </si>
  <si>
    <t>Vòi rửa bát vanta</t>
  </si>
  <si>
    <t>2000033277309</t>
  </si>
  <si>
    <t>66A-10GY86/138/5L</t>
  </si>
  <si>
    <t>2000033483878</t>
  </si>
  <si>
    <t>Mega-9016/18L</t>
  </si>
  <si>
    <t>2000033545286</t>
  </si>
  <si>
    <t>A991-19RR78/088/5L</t>
  </si>
  <si>
    <t>2000033614364</t>
  </si>
  <si>
    <t>dây cấp 2 sợi bình nóng lạnh</t>
  </si>
  <si>
    <t>2000034898428</t>
  </si>
  <si>
    <t>chống trơn CT 319 - Viên</t>
  </si>
  <si>
    <t>2000037447296</t>
  </si>
  <si>
    <t>BJ9-10GG51/125/5L</t>
  </si>
  <si>
    <t>2000037930118</t>
  </si>
  <si>
    <t>66A-10GY83/075/5L</t>
  </si>
  <si>
    <t>2000038168053</t>
  </si>
  <si>
    <t>BJ9-50YY51/519/5L</t>
  </si>
  <si>
    <t>2000038183445</t>
  </si>
  <si>
    <t>CT 364 - Viên</t>
  </si>
  <si>
    <t>2000039160124</t>
  </si>
  <si>
    <t>Chống trơn 364 - Viên</t>
  </si>
  <si>
    <t>Bóng ngoài 2382/18L</t>
  </si>
  <si>
    <t>2000039577830</t>
  </si>
  <si>
    <t>Bệt + chậu HC</t>
  </si>
  <si>
    <t>2000039588454</t>
  </si>
  <si>
    <t>Chống thấm Cika</t>
  </si>
  <si>
    <t>2000042843847</t>
  </si>
  <si>
    <t>BJ9 /1L</t>
  </si>
  <si>
    <t>2000043277931</t>
  </si>
  <si>
    <t>2000044249104</t>
  </si>
  <si>
    <t>sỏi vàng</t>
  </si>
  <si>
    <t>Chống trơn theo bộ</t>
  </si>
  <si>
    <t>2000044833204</t>
  </si>
  <si>
    <t>ct33038</t>
  </si>
  <si>
    <t>2000045079007</t>
  </si>
  <si>
    <t>chống trơn 33038</t>
  </si>
  <si>
    <t>3603/2 - Viên</t>
  </si>
  <si>
    <t>2000045278110</t>
  </si>
  <si>
    <t>ECO - 625</t>
  </si>
  <si>
    <t>2000045328266</t>
  </si>
  <si>
    <t>2000047728668</t>
  </si>
  <si>
    <t>Chống trơn KF3657</t>
  </si>
  <si>
    <t>ốp 36914_v</t>
  </si>
  <si>
    <t>2000050042065</t>
  </si>
  <si>
    <t>ốp 36914 -viên -ốp 30*60</t>
  </si>
  <si>
    <t>màu P4014(036-3)/18 lít</t>
  </si>
  <si>
    <t>2000052077829</t>
  </si>
  <si>
    <t>màu P4014(036-3 quạt)-Roma nội thất bóng cao cấp</t>
  </si>
  <si>
    <t>2000052356696</t>
  </si>
  <si>
    <t>GJ8-base A /5L</t>
  </si>
  <si>
    <t>A 901/5lit</t>
  </si>
  <si>
    <t>2000053001045</t>
  </si>
  <si>
    <t>A 901 trắng bóng /5 lít /Maxilite</t>
  </si>
  <si>
    <t>A 901/77165/5l</t>
  </si>
  <si>
    <t>2000053001083</t>
  </si>
  <si>
    <t>A 901/77165/5 lít -Maxilite bóng ngoại</t>
  </si>
  <si>
    <t>2000055163963</t>
  </si>
  <si>
    <t>Gạch lát 60x60 - ECO 626</t>
  </si>
  <si>
    <t>2000055163970</t>
  </si>
  <si>
    <t>Gạch lát ECO- 626 - Viên</t>
  </si>
  <si>
    <t>2000057202691</t>
  </si>
  <si>
    <t>Sen nóng lạnh Vanta</t>
  </si>
  <si>
    <t>2000057202745</t>
  </si>
  <si>
    <t>Vòi nóng lạnh Vanta</t>
  </si>
  <si>
    <t>2000057973461</t>
  </si>
  <si>
    <t>ốp 3632 - Viên</t>
  </si>
  <si>
    <t>lw1111-v</t>
  </si>
  <si>
    <t>2000069030350</t>
  </si>
  <si>
    <t>LW1111-viên gạch 80*80</t>
  </si>
  <si>
    <t>25YY79/240/5l</t>
  </si>
  <si>
    <t>2000069846517</t>
  </si>
  <si>
    <t>GJ8-25YY79/240/5 lít</t>
  </si>
  <si>
    <t>2000071514626</t>
  </si>
  <si>
    <t>tranh 60x60</t>
  </si>
  <si>
    <t>J8102</t>
  </si>
  <si>
    <t>2000072011643</t>
  </si>
  <si>
    <t>gạch 80*80 J8102-</t>
  </si>
  <si>
    <t>2000080930028</t>
  </si>
  <si>
    <t>Sen cây Kross 66886</t>
  </si>
  <si>
    <t>2000083553262</t>
  </si>
  <si>
    <t>bj9-27yy78/255/5l(màu đặc biệt+10%)</t>
  </si>
  <si>
    <t>2000092285314</t>
  </si>
  <si>
    <t>Sơn nội thất bóng cao cấp base A/18L ( mã màu 098-2)</t>
  </si>
  <si>
    <t>2000093931432</t>
  </si>
  <si>
    <t>gạch tồn 30x45 - viên</t>
  </si>
  <si>
    <t>40YY70/138/1l</t>
  </si>
  <si>
    <t>2000101222446</t>
  </si>
  <si>
    <t>BJ9/40YY70/138/1 lít</t>
  </si>
  <si>
    <t>2000109669342</t>
  </si>
  <si>
    <t>BJ930GY88/014/5L</t>
  </si>
  <si>
    <t>2000124709504</t>
  </si>
  <si>
    <t>Viền cá chép 30x45 ( Viên)</t>
  </si>
  <si>
    <t>2000193484012</t>
  </si>
  <si>
    <t>BJ9/67yy89/124/5L</t>
  </si>
  <si>
    <t>2000195851867</t>
  </si>
  <si>
    <t>BJ9/76418/5L</t>
  </si>
  <si>
    <t>gạch cắt 1m / 8</t>
  </si>
  <si>
    <t>2000214252958</t>
  </si>
  <si>
    <t>BS 3633 A- Viên</t>
  </si>
  <si>
    <t>2000214253306</t>
  </si>
  <si>
    <t>Gạch ốp 30x60 BS 3633 A- Viên</t>
  </si>
  <si>
    <t>2000214253337</t>
  </si>
  <si>
    <t>Công cắt 1mx1m (1/8)</t>
  </si>
  <si>
    <t>2000214255850</t>
  </si>
  <si>
    <t>Công cắt 40x60 ( 1/4)</t>
  </si>
  <si>
    <t>2000214257397</t>
  </si>
  <si>
    <t>Gạch Eurotlie KT30x60 - VC G02 (1h=6v=1.08m2)</t>
  </si>
  <si>
    <t>VI5553 A1</t>
  </si>
  <si>
    <t>2000025458969</t>
  </si>
  <si>
    <t>Gạch lát nền VI5553 A1</t>
  </si>
  <si>
    <t>CK3403 - A1</t>
  </si>
  <si>
    <t>2000024874104</t>
  </si>
  <si>
    <t>Gạch ốp 300*450 CK3403 A1</t>
  </si>
  <si>
    <t>VI6610 A1-2021</t>
  </si>
  <si>
    <t>2000188568918</t>
  </si>
  <si>
    <t>Gạch lát 60x60 - VI6610 A1 (1h=1.44m2)</t>
  </si>
  <si>
    <t>LX3613 ( Đậm)</t>
  </si>
  <si>
    <t>2000109878423</t>
  </si>
  <si>
    <t>Ốp 30x60 - LX3613 A1( 1 hộp =1.44m)</t>
  </si>
  <si>
    <t>LX2411</t>
  </si>
  <si>
    <t>2000027734580</t>
  </si>
  <si>
    <t>gạch ốp 250x400 LX2411 - màu đen</t>
  </si>
  <si>
    <t>CT3014</t>
  </si>
  <si>
    <t>2000026599463</t>
  </si>
  <si>
    <t>Chống trơn VI3014</t>
  </si>
  <si>
    <t>LV3600 (A)</t>
  </si>
  <si>
    <t>2000137752290</t>
  </si>
  <si>
    <t>Ốp 30x60 - LV3600 (A) - (1 hộp = 1.44m2)</t>
  </si>
  <si>
    <t>ốp TH3631 - Viên</t>
  </si>
  <si>
    <t>2000058044214</t>
  </si>
  <si>
    <t>VG6005 - Viên</t>
  </si>
  <si>
    <t>2000087489246</t>
  </si>
  <si>
    <t>KS310A1</t>
  </si>
  <si>
    <t>2000025236512</t>
  </si>
  <si>
    <t>KS310A1(30x30)</t>
  </si>
  <si>
    <t>MF6200 - Viên</t>
  </si>
  <si>
    <t>2000046859196</t>
  </si>
  <si>
    <t>Gạch lát MF6200 - Viên</t>
  </si>
  <si>
    <t>CV 3650 - viên</t>
  </si>
  <si>
    <t>2000049705964</t>
  </si>
  <si>
    <t>Gạch ốp - CV 3650 - viên</t>
  </si>
  <si>
    <t>2000057695103</t>
  </si>
  <si>
    <t>Gạch bóng đỏ coto 40x40</t>
  </si>
  <si>
    <t>KCB</t>
  </si>
  <si>
    <t>2000027715459</t>
  </si>
  <si>
    <t>Kệ cẩm bình</t>
  </si>
  <si>
    <t>CT370-V</t>
  </si>
  <si>
    <t>2000027449910</t>
  </si>
  <si>
    <t>CT 370 - Viên</t>
  </si>
  <si>
    <t>CT362 - Viên</t>
  </si>
  <si>
    <t>2000033677369</t>
  </si>
  <si>
    <t>Chống trơn CT362 - Viên</t>
  </si>
  <si>
    <t>F3694- V</t>
  </si>
  <si>
    <t>2000026769613</t>
  </si>
  <si>
    <t>F3694 - Viên</t>
  </si>
  <si>
    <t>ECO-S605D05A1 - Viên ( Đuôi mới)</t>
  </si>
  <si>
    <t>2000035398323</t>
  </si>
  <si>
    <t>F3697 - V</t>
  </si>
  <si>
    <t>2000026769699</t>
  </si>
  <si>
    <t>F3697 - Viên</t>
  </si>
  <si>
    <t>2000078399424</t>
  </si>
  <si>
    <t>Sen liền vòi ( Bộ)</t>
  </si>
  <si>
    <t>KR2779</t>
  </si>
  <si>
    <t>2000026507505</t>
  </si>
  <si>
    <t>Bệt Két rời 2779</t>
  </si>
  <si>
    <t>O3062</t>
  </si>
  <si>
    <t>2000025646960</t>
  </si>
  <si>
    <t>Ốp 3062</t>
  </si>
  <si>
    <t>F36130 - V</t>
  </si>
  <si>
    <t>2000026960140</t>
  </si>
  <si>
    <t>Điểm F36130 - Viên</t>
  </si>
  <si>
    <t>Roy KF23</t>
  </si>
  <si>
    <t>2000026507741</t>
  </si>
  <si>
    <t>Sen vòi Roy KF23</t>
  </si>
  <si>
    <t>CT376</t>
  </si>
  <si>
    <t>2000027100590</t>
  </si>
  <si>
    <t>BJ9-90BG21/302/1l</t>
  </si>
  <si>
    <t>2000053254199</t>
  </si>
  <si>
    <t>BJ9-90BG21/302/1 lít-Dulux</t>
  </si>
  <si>
    <t>2000057197331</t>
  </si>
  <si>
    <t>Chân chậu HC</t>
  </si>
  <si>
    <t>2000155748558</t>
  </si>
  <si>
    <t>Vòi rửa mặt cám chậu nóng lạnh</t>
  </si>
  <si>
    <t>A919/18L</t>
  </si>
  <si>
    <t>2000025583111</t>
  </si>
  <si>
    <t>Maxilite sơn nước ngoài trời/18l</t>
  </si>
  <si>
    <t>A991/1L</t>
  </si>
  <si>
    <t>2000025583210</t>
  </si>
  <si>
    <t>Dulux Easy Clean lau chùi hiệu quả 1L</t>
  </si>
  <si>
    <t>EH3/18L</t>
  </si>
  <si>
    <t>2000025583548</t>
  </si>
  <si>
    <t>Maxilite kinh tế 18L</t>
  </si>
  <si>
    <t>ST/18L</t>
  </si>
  <si>
    <t>2000025583845</t>
  </si>
  <si>
    <t>Megatex siêu trắng 18L</t>
  </si>
  <si>
    <t>66A-51RR68/146/5L (hồng)</t>
  </si>
  <si>
    <t>2000026210573</t>
  </si>
  <si>
    <t>66A-51RR68/146/5L</t>
  </si>
  <si>
    <t>66A-90YY83/143/5L</t>
  </si>
  <si>
    <t>2000026395478</t>
  </si>
  <si>
    <t>BJ9-89RB72/119/1L</t>
  </si>
  <si>
    <t>2000026410980</t>
  </si>
  <si>
    <t>BJ9-80YR20/488/1L</t>
  </si>
  <si>
    <t>2000026468370</t>
  </si>
  <si>
    <t>BJ9-80YR20/488/1L (Màu đậm)</t>
  </si>
  <si>
    <t>66A-57YR77/102/5L</t>
  </si>
  <si>
    <t>2000026687658</t>
  </si>
  <si>
    <t>BJ9-77BG57/234/5L</t>
  </si>
  <si>
    <t>2000026687665</t>
  </si>
  <si>
    <t>2000026775843</t>
  </si>
  <si>
    <t>bj9-30bb31\043\5l</t>
  </si>
  <si>
    <t>66A-69BG77/076/1L</t>
  </si>
  <si>
    <t>2000026829720</t>
  </si>
  <si>
    <t>2000026848219</t>
  </si>
  <si>
    <t>a901-yy0018\5l</t>
  </si>
  <si>
    <t>2000026848448</t>
  </si>
  <si>
    <t>a991-22yy71\347\1</t>
  </si>
  <si>
    <t>2000026848493</t>
  </si>
  <si>
    <t>a901-rb0009\5l</t>
  </si>
  <si>
    <t>BJ9-70334/5L</t>
  </si>
  <si>
    <t>2000026929413</t>
  </si>
  <si>
    <t>BJ9-70335/1L</t>
  </si>
  <si>
    <t>2000026929871</t>
  </si>
  <si>
    <t>BJ9-21YY60/577/1L</t>
  </si>
  <si>
    <t>2000026930563</t>
  </si>
  <si>
    <t>SMVANG/18L</t>
  </si>
  <si>
    <t>2000026968337</t>
  </si>
  <si>
    <t>Megatex nội thất láng mịn màu vàng/18L</t>
  </si>
  <si>
    <t>A991-67YY87/169/18L</t>
  </si>
  <si>
    <t>2000027056675</t>
  </si>
  <si>
    <t>BJ9-90BG72/100/5L</t>
  </si>
  <si>
    <t>2000027083404</t>
  </si>
  <si>
    <t>BJ9-90BG72/100/5L (ĐB+5%)</t>
  </si>
  <si>
    <t>GJ8-00YY19/464/5L</t>
  </si>
  <si>
    <t>2000027083428</t>
  </si>
  <si>
    <t>GJ8-00YY19/464/5L(màu đậm)</t>
  </si>
  <si>
    <t>BJ9-64RR80/073/5L</t>
  </si>
  <si>
    <t>2000027165711</t>
  </si>
  <si>
    <t>A901/4L</t>
  </si>
  <si>
    <t>2000027534302</t>
  </si>
  <si>
    <t>BJ9-22BB34/304/5L</t>
  </si>
  <si>
    <t>2000027544530</t>
  </si>
  <si>
    <t>BJ9-22BB34/304/5L(màu đậm)</t>
  </si>
  <si>
    <t>BJ9-30BB33/163/1L</t>
  </si>
  <si>
    <t>2000027544967</t>
  </si>
  <si>
    <t>BJ9-30BB33/163/1L (Đặc biệt)</t>
  </si>
  <si>
    <t>BJ9-70BG72/071/1L</t>
  </si>
  <si>
    <t>2000027726196</t>
  </si>
  <si>
    <t>A991-38BB69/096/5L</t>
  </si>
  <si>
    <t>2000027826087</t>
  </si>
  <si>
    <t>2000027911080</t>
  </si>
  <si>
    <t>66A-10GY83/150/1l</t>
  </si>
  <si>
    <t>GJ8-80YR17/406/5L</t>
  </si>
  <si>
    <t>2000027956388</t>
  </si>
  <si>
    <t>BJ9-30YR08/236/5L</t>
  </si>
  <si>
    <t>2000028078485</t>
  </si>
  <si>
    <t>BJ9-30YR08/236/5L (màu đậm)</t>
  </si>
  <si>
    <t>BJ9-39YR11/342/1L</t>
  </si>
  <si>
    <t>2000028352189</t>
  </si>
  <si>
    <t>BJ9-39YR11/342/1L (màu đậm)</t>
  </si>
  <si>
    <t>66A-82RR76/111/1L</t>
  </si>
  <si>
    <t>2000028391874</t>
  </si>
  <si>
    <t>BJ9-21216/5L</t>
  </si>
  <si>
    <t>2000028535636</t>
  </si>
  <si>
    <t>BJ9-21216/5L (Đặc biệt+5%)</t>
  </si>
  <si>
    <t>2000028539450</t>
  </si>
  <si>
    <t>BJ9-50YR15/377/5L (màu đậm)</t>
  </si>
  <si>
    <t>2000028573768</t>
  </si>
  <si>
    <t>Siêu bóng nội 66BG68/157/18L</t>
  </si>
  <si>
    <t>BJ9-30YY21/438/1L</t>
  </si>
  <si>
    <t>2000028632007</t>
  </si>
  <si>
    <t>BJ9-30BB63/084/5L</t>
  </si>
  <si>
    <t>2000028632700</t>
  </si>
  <si>
    <t>BJ9-30BB63/084/5L (Đặc biệt)</t>
  </si>
  <si>
    <t>2000028739515</t>
  </si>
  <si>
    <t>chậu inox 2 hố</t>
  </si>
  <si>
    <t>BJ9-10BB55/065/1L</t>
  </si>
  <si>
    <t>2000028830250</t>
  </si>
  <si>
    <t>2000028881320</t>
  </si>
  <si>
    <t>A991-90GG74/108/5L</t>
  </si>
  <si>
    <t>BJ9-60YY79/367/5L</t>
  </si>
  <si>
    <t>2000028894108</t>
  </si>
  <si>
    <t>BJ9-45YY69/614/1L</t>
  </si>
  <si>
    <t>2000028934880</t>
  </si>
  <si>
    <t>BJ9-45YY69/614/1L (Đặc biệt+15%)</t>
  </si>
  <si>
    <t>V7301</t>
  </si>
  <si>
    <t>2000028953096</t>
  </si>
  <si>
    <t>Viền 7301</t>
  </si>
  <si>
    <t>A991-06RB76/056/5L</t>
  </si>
  <si>
    <t>2000028965495</t>
  </si>
  <si>
    <t>BJ9-920BG41/040/5L</t>
  </si>
  <si>
    <t>2000028966249</t>
  </si>
  <si>
    <t>BJ9-90BG41/040/5L (ĐẶc biệt+5%)</t>
  </si>
  <si>
    <t>BJ9-30YR10/314/5L</t>
  </si>
  <si>
    <t>2000029008634</t>
  </si>
  <si>
    <t>BJ9-30YR10/314/5L(màu đậm)</t>
  </si>
  <si>
    <t>BJ9-7132/1L</t>
  </si>
  <si>
    <t>2000029008641</t>
  </si>
  <si>
    <t>BJ9-76132/1L</t>
  </si>
  <si>
    <t>BJ9-10YY78/146/1L</t>
  </si>
  <si>
    <t>2000029008726</t>
  </si>
  <si>
    <t>BJ9-60YR65/196/1L</t>
  </si>
  <si>
    <t>2000029021428</t>
  </si>
  <si>
    <t>BJ9-50GY32/046/1L</t>
  </si>
  <si>
    <t>2000029218095</t>
  </si>
  <si>
    <t>CT3616-V</t>
  </si>
  <si>
    <t>2000029226717</t>
  </si>
  <si>
    <t>CT3616-Viên</t>
  </si>
  <si>
    <t>CT3617-V</t>
  </si>
  <si>
    <t>2000029226724</t>
  </si>
  <si>
    <t>CT3617-Viên</t>
  </si>
  <si>
    <t>BJ9-65YY68/572/1L</t>
  </si>
  <si>
    <t>2000029228742</t>
  </si>
  <si>
    <t>BJ9-65YY68/572/1L (Đặc biệt+10%)</t>
  </si>
  <si>
    <t>BJ9-60YY83/187/5L</t>
  </si>
  <si>
    <t>2000029319075</t>
  </si>
  <si>
    <t>BJ9-60YY83/187/5L(Đsực biệt+5%)</t>
  </si>
  <si>
    <t>2000029350467</t>
  </si>
  <si>
    <t>66a-00nn25\000\1l</t>
  </si>
  <si>
    <t>2000029360312</t>
  </si>
  <si>
    <t>BJ9-90BG29/267/1L (ĐẶc biệt)</t>
  </si>
  <si>
    <t>BJ9-71755/5L</t>
  </si>
  <si>
    <t>2000029417955</t>
  </si>
  <si>
    <t>BJ9-71755/5L(Đặc biệt+5%)</t>
  </si>
  <si>
    <t>BJ9-12YY61/523/5L</t>
  </si>
  <si>
    <t>2000029433047</t>
  </si>
  <si>
    <t>BJ9-12YY61/523/5L(ĐẶc biệt+15%)</t>
  </si>
  <si>
    <t>BJ9-00YY37/221/1L</t>
  </si>
  <si>
    <t>2000029490606</t>
  </si>
  <si>
    <t>2000029524189</t>
  </si>
  <si>
    <t>BJ9-25YY83/103/1L (ĐẶc biệt)</t>
  </si>
  <si>
    <t>2000029532481</t>
  </si>
  <si>
    <t>a991-33r74\111\5l</t>
  </si>
  <si>
    <t>2000029553257</t>
  </si>
  <si>
    <t>BJ9-10YR14\348\1L</t>
  </si>
  <si>
    <t>2000029660474</t>
  </si>
  <si>
    <t>BJ9-90BG35/068/5L</t>
  </si>
  <si>
    <t>2000029707780</t>
  </si>
  <si>
    <t>a991-25yy78\232\1l</t>
  </si>
  <si>
    <t>2000029731808</t>
  </si>
  <si>
    <t>BJ9-35YY71/474/1L(ĐẶc biệt)</t>
  </si>
  <si>
    <t>VN42 - V</t>
  </si>
  <si>
    <t>2000029734069</t>
  </si>
  <si>
    <t>vn42 = viên</t>
  </si>
  <si>
    <t>2000029738180</t>
  </si>
  <si>
    <t>BJ9-33GY46/469/5L(đặc biệt+12%)</t>
  </si>
  <si>
    <t>2000030002379</t>
  </si>
  <si>
    <t>bj9-22295\5l</t>
  </si>
  <si>
    <t>BJ9-90YY83/071/5L</t>
  </si>
  <si>
    <t>2000030145298</t>
  </si>
  <si>
    <t>BJ9-90YY83/071/5L (Đặc biệt)</t>
  </si>
  <si>
    <t>BJ9-02RR35/376/1L</t>
  </si>
  <si>
    <t>2000030191608</t>
  </si>
  <si>
    <t>2000030389104</t>
  </si>
  <si>
    <t>66A-70BG67\096/1L</t>
  </si>
  <si>
    <t>2000030751505</t>
  </si>
  <si>
    <t>a991-71yy87\078\1l</t>
  </si>
  <si>
    <t>2000031188072</t>
  </si>
  <si>
    <t>bj9-09yr05\305\1l</t>
  </si>
  <si>
    <t>2000031227771</t>
  </si>
  <si>
    <t>BJ9-50BG62/133/1L</t>
  </si>
  <si>
    <t>2000031227887</t>
  </si>
  <si>
    <t>BJ9-45YY83\062/5L</t>
  </si>
  <si>
    <t>2000031231419</t>
  </si>
  <si>
    <t>66A-21316/5L</t>
  </si>
  <si>
    <t>2000031231792</t>
  </si>
  <si>
    <t>BJ9-30BB53\012\1L</t>
  </si>
  <si>
    <t>2000031246840</t>
  </si>
  <si>
    <t>MG-SIÊU BÓNG NỘI -55RR75\106\5L</t>
  </si>
  <si>
    <t>2000031246857</t>
  </si>
  <si>
    <t>MG-SIÊU BÓNG NỘI -10RR68\068\5L</t>
  </si>
  <si>
    <t>2000031246864</t>
  </si>
  <si>
    <t>MG-HỢP KIM -8015\5L</t>
  </si>
  <si>
    <t>2000031254289</t>
  </si>
  <si>
    <t>BJ9-60YR13/371/1L</t>
  </si>
  <si>
    <t>2000031254340</t>
  </si>
  <si>
    <t>66A-30GB83/150/5L</t>
  </si>
  <si>
    <t>2000031286648</t>
  </si>
  <si>
    <t>bj9-30yy33\047/1l</t>
  </si>
  <si>
    <t>2000031286655</t>
  </si>
  <si>
    <t>66a-10gy41\600\1</t>
  </si>
  <si>
    <t>2000031287706</t>
  </si>
  <si>
    <t>BJ9-89BG37\353\1L</t>
  </si>
  <si>
    <t>2000031287829</t>
  </si>
  <si>
    <t>MG-HỢP KIM -1113\1L</t>
  </si>
  <si>
    <t>2000031287850</t>
  </si>
  <si>
    <t>MG-BNT-10GY74\325\5L</t>
  </si>
  <si>
    <t>2000031290843</t>
  </si>
  <si>
    <t>66a-75246/5l</t>
  </si>
  <si>
    <t>2000031359212</t>
  </si>
  <si>
    <t>KV-K871/KV350/20KG</t>
  </si>
  <si>
    <t>đơn đặt hàng</t>
  </si>
  <si>
    <t>2000032203156</t>
  </si>
  <si>
    <t>Gạch lát F628 - Viên</t>
  </si>
  <si>
    <t>2000032517741</t>
  </si>
  <si>
    <t>2000032607749</t>
  </si>
  <si>
    <t>bj9-56yy86/241/5l</t>
  </si>
  <si>
    <t>2000032845165</t>
  </si>
  <si>
    <t>bj9-30gg57/217/5l</t>
  </si>
  <si>
    <t>2000033227113</t>
  </si>
  <si>
    <t>bj9-50rr83\040\1l</t>
  </si>
  <si>
    <t>BJ9-40RB 36/264/1L</t>
  </si>
  <si>
    <t>2000033788393</t>
  </si>
  <si>
    <t>2000033793472</t>
  </si>
  <si>
    <t>téc 1500 nằm</t>
  </si>
  <si>
    <t>BJ9-56YY86/241/1L ( đặc biệt)</t>
  </si>
  <si>
    <t>2000034055074</t>
  </si>
  <si>
    <t>66A/66YY77/407//1L</t>
  </si>
  <si>
    <t>2000034491650</t>
  </si>
  <si>
    <t>gạch đỏ đất việt - Viên</t>
  </si>
  <si>
    <t>2000034552436</t>
  </si>
  <si>
    <t>Nền chống trơn 5004 (bộ 2017-2018 MB)</t>
  </si>
  <si>
    <t>2000035239084</t>
  </si>
  <si>
    <t>2000035417062</t>
  </si>
  <si>
    <t>bj9-80yr32\339\1l</t>
  </si>
  <si>
    <t>BJ9-80YR32/339(1L)</t>
  </si>
  <si>
    <t>2000035483760</t>
  </si>
  <si>
    <t>66A-30GY75/251/1L</t>
  </si>
  <si>
    <t>2000035483784</t>
  </si>
  <si>
    <t>Viền 7364 ( 40 viên /hộp)</t>
  </si>
  <si>
    <t>2000036455698</t>
  </si>
  <si>
    <t>2000036805400</t>
  </si>
  <si>
    <t>tieu nam + van tieu nam</t>
  </si>
  <si>
    <t>2000037180117</t>
  </si>
  <si>
    <t>mg-m2002\4l(noi )</t>
  </si>
  <si>
    <t>2000037214751</t>
  </si>
  <si>
    <t>bj9-30yy67\194\5l</t>
  </si>
  <si>
    <t>KS 379</t>
  </si>
  <si>
    <t>2000037565969</t>
  </si>
  <si>
    <t>Gạch chống trơn Long Hầu KS 379</t>
  </si>
  <si>
    <t>C07 - Viên</t>
  </si>
  <si>
    <t>2000037587572</t>
  </si>
  <si>
    <t>2000037603883</t>
  </si>
  <si>
    <t>66a-56bg81\023\5l</t>
  </si>
  <si>
    <t>BJ9-11GG26/195/1L</t>
  </si>
  <si>
    <t>2000037931115</t>
  </si>
  <si>
    <t>BJ930YY41/700/1L</t>
  </si>
  <si>
    <t>2000038046467</t>
  </si>
  <si>
    <t>Vn 55 - viên</t>
  </si>
  <si>
    <t>2000039136754</t>
  </si>
  <si>
    <t>BJ9-90YY58/424/5L ( màu đặc biệt)</t>
  </si>
  <si>
    <t>2000039533638</t>
  </si>
  <si>
    <t>66A 19RR78/088/1L</t>
  </si>
  <si>
    <t>2000039538145</t>
  </si>
  <si>
    <t>BJ9 53RB76/067/1L</t>
  </si>
  <si>
    <t>2000039538503</t>
  </si>
  <si>
    <t>mg-bnt-3080/5l</t>
  </si>
  <si>
    <t>2000041018840</t>
  </si>
  <si>
    <t>mega bóng ngọc trai -3080/5l</t>
  </si>
  <si>
    <t>66A-79BG53/259/5L</t>
  </si>
  <si>
    <t>2000041628803</t>
  </si>
  <si>
    <t>BJ9- 00YR08/409/1L</t>
  </si>
  <si>
    <t>2000041855605</t>
  </si>
  <si>
    <t>A991 - 67YY89/124/18L</t>
  </si>
  <si>
    <t>2000041857166</t>
  </si>
  <si>
    <t>ct bóng đen</t>
  </si>
  <si>
    <t>2000042329587</t>
  </si>
  <si>
    <t>chống trơn bóng đen</t>
  </si>
  <si>
    <t>TM yollow-C</t>
  </si>
  <si>
    <t>2000042646523</t>
  </si>
  <si>
    <t>tinh màu Yollow-C-mega</t>
  </si>
  <si>
    <t>TM yollow-AN</t>
  </si>
  <si>
    <t>2000042646592</t>
  </si>
  <si>
    <t>tinh màu yollow_AN</t>
  </si>
  <si>
    <t>WBD 36037 điểm_ốp 30*60</t>
  </si>
  <si>
    <t>2000045076433</t>
  </si>
  <si>
    <t>WBD_điểm 36037_ốp 30*60</t>
  </si>
  <si>
    <t>3603/1 - Viên</t>
  </si>
  <si>
    <t>2000045278103</t>
  </si>
  <si>
    <t>Nội thất siêu bóng 100-2</t>
  </si>
  <si>
    <t>2000045355729</t>
  </si>
  <si>
    <t>Nội thất siêu bóng/5L- 100-2</t>
  </si>
  <si>
    <t>BJ9-30bb 21/056/1l</t>
  </si>
  <si>
    <t>2000045553750</t>
  </si>
  <si>
    <t>BJ9-30BB 21/056/1lit-dulux</t>
  </si>
  <si>
    <t>W6805-v</t>
  </si>
  <si>
    <t>2000045708747</t>
  </si>
  <si>
    <t>gạch nền 60*60 W6805_viên</t>
  </si>
  <si>
    <t>2000045825512</t>
  </si>
  <si>
    <t>Bộ phụ kiện Senica thường</t>
  </si>
  <si>
    <t>2000046289023</t>
  </si>
  <si>
    <t>Sơn nội thất mịn màu 089-2/18L</t>
  </si>
  <si>
    <t>CS 3613 -viên</t>
  </si>
  <si>
    <t>2000048515120</t>
  </si>
  <si>
    <t>Ốp 30*60_CS 3613 mikado _viên</t>
  </si>
  <si>
    <t>2000049915349</t>
  </si>
  <si>
    <t>MG siêu bóng ngoại thất /1L</t>
  </si>
  <si>
    <t>2000051007179</t>
  </si>
  <si>
    <t>66A-76245/5L</t>
  </si>
  <si>
    <t>2000052041400</t>
  </si>
  <si>
    <t>BJ9- 57/299/1L</t>
  </si>
  <si>
    <t>79A-25YY62/353/18l</t>
  </si>
  <si>
    <t>2000052146723</t>
  </si>
  <si>
    <t>79A-25YY62/353/18 lít _Dulux ( màu đb + 15% màu)</t>
  </si>
  <si>
    <t>2000052356702</t>
  </si>
  <si>
    <t>GJ8 - 98YR41/326/5L</t>
  </si>
  <si>
    <t>2000052940031</t>
  </si>
  <si>
    <t>MG sơn siêu bóng ngoại thất /2619/1L</t>
  </si>
  <si>
    <t>A991-20YY15/245/1l</t>
  </si>
  <si>
    <t>2000054053340</t>
  </si>
  <si>
    <t>A991-20YY15/245/1 lít</t>
  </si>
  <si>
    <t>2000054098921</t>
  </si>
  <si>
    <t>chậu Rửa bát Kross 28245-3G</t>
  </si>
  <si>
    <t>Roma trắng mịn nội /18L (kho Đông A)</t>
  </si>
  <si>
    <t>2000054387599</t>
  </si>
  <si>
    <t>Roma trắng mịn nội /18L</t>
  </si>
  <si>
    <t>2000056055304</t>
  </si>
  <si>
    <t>Gạch ECO-621 Viên</t>
  </si>
  <si>
    <t>MG 71YY87/078/5l</t>
  </si>
  <si>
    <t>2000056228869</t>
  </si>
  <si>
    <t>mega siêu bóng nội thất 71YY87/078-5 lít</t>
  </si>
  <si>
    <t>2000056386644</t>
  </si>
  <si>
    <t>Gạch EcoM-622 - Viên</t>
  </si>
  <si>
    <t>2000057835400</t>
  </si>
  <si>
    <t>Gạch lát 80x80 - ECO 820 - Viên</t>
  </si>
  <si>
    <t>Roma chống thấm 20kg (kho Đông A)</t>
  </si>
  <si>
    <t>2000057849292</t>
  </si>
  <si>
    <t>Roma chống thấm 20kg</t>
  </si>
  <si>
    <t>Roma lót nội /18L  ( kho Đông A)</t>
  </si>
  <si>
    <t>2000058180882</t>
  </si>
  <si>
    <t>Roma lót nội /18L</t>
  </si>
  <si>
    <t>BJ9-50BG30/384/1l</t>
  </si>
  <si>
    <t>2000058678501</t>
  </si>
  <si>
    <t>BJ9-50BG30/384/1 lít</t>
  </si>
  <si>
    <t>2000060674935</t>
  </si>
  <si>
    <t>BJ9-30YY-56/060/1L</t>
  </si>
  <si>
    <t>2000066046064</t>
  </si>
  <si>
    <t>bj9-30yr14/365/5l</t>
  </si>
  <si>
    <t>2000067217685</t>
  </si>
  <si>
    <t>A901/5L trắng mịn</t>
  </si>
  <si>
    <t>3612-v</t>
  </si>
  <si>
    <t>2000068713957</t>
  </si>
  <si>
    <t>BS3612_viên ốp 30*60</t>
  </si>
  <si>
    <t>71744/5l</t>
  </si>
  <si>
    <t>2000068840455</t>
  </si>
  <si>
    <t>GJ8-71744/5 lít</t>
  </si>
  <si>
    <t>8034-5</t>
  </si>
  <si>
    <t>2000069224131</t>
  </si>
  <si>
    <t>Sen cây 8034-5</t>
  </si>
  <si>
    <t>10YY53/337/1l</t>
  </si>
  <si>
    <t>2000069846548</t>
  </si>
  <si>
    <t>GJ8-10YY53/337/1 lít</t>
  </si>
  <si>
    <t>76924/18l</t>
  </si>
  <si>
    <t>2000072189359</t>
  </si>
  <si>
    <t>A991-76924/18 lít</t>
  </si>
  <si>
    <t>2000098675959</t>
  </si>
  <si>
    <t>Sơn nội thất mịn/18L ( màu 2010)</t>
  </si>
  <si>
    <t>35YY78/269/1l</t>
  </si>
  <si>
    <t>2000100900185</t>
  </si>
  <si>
    <t>66AB-35YY78/269/1 lít</t>
  </si>
  <si>
    <t>90RR83/030/1l</t>
  </si>
  <si>
    <t>2000101276562</t>
  </si>
  <si>
    <t>66AB-90RR83/030/1 lít</t>
  </si>
  <si>
    <t>2000103925451</t>
  </si>
  <si>
    <t>Sơn bóng ngoại thất /18L ( màu 136-3)</t>
  </si>
  <si>
    <t>2000107577694</t>
  </si>
  <si>
    <t>Sơn Roma ngoại thất mịn /18L</t>
  </si>
  <si>
    <t>2000109669366</t>
  </si>
  <si>
    <t>BJ9 -52YY89/117/5L</t>
  </si>
  <si>
    <t>8034</t>
  </si>
  <si>
    <t>2000111428340</t>
  </si>
  <si>
    <t>Bộ Sen cây 8034</t>
  </si>
  <si>
    <t>2000121782074</t>
  </si>
  <si>
    <t>nhập hộ hàng</t>
  </si>
  <si>
    <t>TQ8007- Viên</t>
  </si>
  <si>
    <t>2000122666625</t>
  </si>
  <si>
    <t>2000141360795</t>
  </si>
  <si>
    <t>chậu rửa mặt</t>
  </si>
  <si>
    <t>2000141364083</t>
  </si>
  <si>
    <t>chân chậu rửa mặt</t>
  </si>
  <si>
    <t>Y65(M)/6kg</t>
  </si>
  <si>
    <t>2000145780759</t>
  </si>
  <si>
    <t>Chất chống thấm dulux Y65(M)/6kg</t>
  </si>
  <si>
    <t>2000155734391</t>
  </si>
  <si>
    <t>Vòi rửa bát cắm chậu nóng lạnh</t>
  </si>
  <si>
    <t>2000155735145</t>
  </si>
  <si>
    <t>Vòi xả nước nhỏ</t>
  </si>
  <si>
    <t>2000184425048</t>
  </si>
  <si>
    <t>Gj8/71yy/87/078/1 lít</t>
  </si>
  <si>
    <t>2000191730418</t>
  </si>
  <si>
    <t>Sen Daisung (  bộ)</t>
  </si>
  <si>
    <t>2000191730487</t>
  </si>
  <si>
    <t>Vòi Daisung ( Bộ)</t>
  </si>
  <si>
    <t>2000191730609</t>
  </si>
  <si>
    <t>Phụ kiện gương Penzala PL1000 ( Bộ)</t>
  </si>
  <si>
    <t>2000201523900</t>
  </si>
  <si>
    <t>Bệt Roy PA1603</t>
  </si>
  <si>
    <t>2000201523979</t>
  </si>
  <si>
    <t>Sen + vòi Sitong ( cặp)</t>
  </si>
  <si>
    <t>Palet- MANGO</t>
  </si>
  <si>
    <t>2000214250404</t>
  </si>
  <si>
    <t>Cắt gạch 1m*1m (1v/5)</t>
  </si>
  <si>
    <t>2000214253559</t>
  </si>
  <si>
    <t>2000214254754</t>
  </si>
  <si>
    <t>sân vườn 40x80 ( tồn)</t>
  </si>
  <si>
    <t>5803(viên)</t>
  </si>
  <si>
    <t>2000214257441</t>
  </si>
  <si>
    <t>Gạch Flavio 50*80 ma 5803(viên)</t>
  </si>
  <si>
    <t>SV09 (A1) - hủy</t>
  </si>
  <si>
    <t>2000125754497</t>
  </si>
  <si>
    <t>Sân vườn SV09 (A1)</t>
  </si>
  <si>
    <t>VI6030 A1-2021</t>
  </si>
  <si>
    <t>2000176504638</t>
  </si>
  <si>
    <t>Gạch lát VI6030 A1 ( 1 hộp = 1.44m2)</t>
  </si>
  <si>
    <t>VI6605 ( mã cũ)</t>
  </si>
  <si>
    <t>2000119604296</t>
  </si>
  <si>
    <t>VI6605 A1 ( 1 hộp = 1.44m2)</t>
  </si>
  <si>
    <t>SV594</t>
  </si>
  <si>
    <t>2000084480130</t>
  </si>
  <si>
    <t>Sân vườn PCS-594</t>
  </si>
  <si>
    <t>TB602</t>
  </si>
  <si>
    <t>2000068870858</t>
  </si>
  <si>
    <t>TB602-60*60</t>
  </si>
  <si>
    <t>CT320</t>
  </si>
  <si>
    <t>2000034371105</t>
  </si>
  <si>
    <t>Gạch chống trơn CT320</t>
  </si>
  <si>
    <t>UTS5 - 606B11 A1 - Viên</t>
  </si>
  <si>
    <t>2000031534411</t>
  </si>
  <si>
    <t>Gạch Grainite UTS5 - 606B11 A1 - Viên</t>
  </si>
  <si>
    <t>VI6024 - Viên</t>
  </si>
  <si>
    <t>2000119193547</t>
  </si>
  <si>
    <t>ECO- S801 - Viên (A)</t>
  </si>
  <si>
    <t>2000077004220</t>
  </si>
  <si>
    <t>Gạch Granit ECO- S801 - Viên</t>
  </si>
  <si>
    <t>TH3683 - Viên (thanh hà)</t>
  </si>
  <si>
    <t>2000057338697</t>
  </si>
  <si>
    <t>ốp 30x60 TH3683 - Viên</t>
  </si>
  <si>
    <t>Điểm C36600 - Viên</t>
  </si>
  <si>
    <t>2000068313751</t>
  </si>
  <si>
    <t>Ốp TH3682 - Viên</t>
  </si>
  <si>
    <t>2000058708345</t>
  </si>
  <si>
    <t>2000084702218</t>
  </si>
  <si>
    <t>chống trơn 339 - Viên</t>
  </si>
  <si>
    <t>MG mịn base A/18L</t>
  </si>
  <si>
    <t>2000038427419</t>
  </si>
  <si>
    <t>LX 3402_v</t>
  </si>
  <si>
    <t>2000051660725</t>
  </si>
  <si>
    <t>LX 3402_viên _ốp 30*45 3402</t>
  </si>
  <si>
    <t>FT 3604 - Viên</t>
  </si>
  <si>
    <t>2000042011710</t>
  </si>
  <si>
    <t>ốp 30x60 FT 3604 - Viên</t>
  </si>
  <si>
    <t>F09-V</t>
  </si>
  <si>
    <t>2000025178911</t>
  </si>
  <si>
    <t>Ốp 30x45 F09-V</t>
  </si>
  <si>
    <t>SV553 - Viên</t>
  </si>
  <si>
    <t>2000047889468</t>
  </si>
  <si>
    <t>Sân vườn SV553 - Viên</t>
  </si>
  <si>
    <t>FV36107 - Viên</t>
  </si>
  <si>
    <t>2000041103485</t>
  </si>
  <si>
    <t>Gạch ốp 30x60 FV36107 - Viên</t>
  </si>
  <si>
    <t>TB806 - Viên</t>
  </si>
  <si>
    <t>2000151351172</t>
  </si>
  <si>
    <t>TB806</t>
  </si>
  <si>
    <t>Base B ngoại thất bóng/18L - Roma</t>
  </si>
  <si>
    <t>2000043467080</t>
  </si>
  <si>
    <t>Sơn ngoại thất cao cấp bóng - Base B/18L</t>
  </si>
  <si>
    <t>VI6008 - Viên</t>
  </si>
  <si>
    <t>2000036041174</t>
  </si>
  <si>
    <t>2000053116725</t>
  </si>
  <si>
    <t>ốp 30x60 36915 - Viên</t>
  </si>
  <si>
    <t>VI6501 - Viên</t>
  </si>
  <si>
    <t>2000032827031</t>
  </si>
  <si>
    <t>VI6002 - Viên</t>
  </si>
  <si>
    <t>2000035388768</t>
  </si>
  <si>
    <t>A901/5L</t>
  </si>
  <si>
    <t>2000025583500</t>
  </si>
  <si>
    <t>Maxilite sơn nước trong nhà 5L</t>
  </si>
  <si>
    <t>ĐHQ - V</t>
  </si>
  <si>
    <t>2000028945121</t>
  </si>
  <si>
    <t>Điểm hoa quả - Viên</t>
  </si>
  <si>
    <t>2000048434827</t>
  </si>
  <si>
    <t>Tranh 1.2x1.8 YG101</t>
  </si>
  <si>
    <t>2000200911432</t>
  </si>
  <si>
    <t>Vòi SUS304 (1 bộ)</t>
  </si>
  <si>
    <t>FD36128-V</t>
  </si>
  <si>
    <t>2000025157220</t>
  </si>
  <si>
    <t>Ốp định hình 30x60 FD 36128-V</t>
  </si>
  <si>
    <t>K520-V</t>
  </si>
  <si>
    <t>2000025179222</t>
  </si>
  <si>
    <t>Gạch lát 50x50 K520-V</t>
  </si>
  <si>
    <t>Z509-A2-V</t>
  </si>
  <si>
    <t>2000025179550</t>
  </si>
  <si>
    <t>Gạch lát 50x50 Z509-A-Viên</t>
  </si>
  <si>
    <t>A919/5L</t>
  </si>
  <si>
    <t>2000025583104</t>
  </si>
  <si>
    <t>Maxilite sơn nước ngoài trời/5L</t>
  </si>
  <si>
    <t>79A/5L</t>
  </si>
  <si>
    <t>2000025583142</t>
  </si>
  <si>
    <t>Dulux Inspire ngoại thất 5L</t>
  </si>
  <si>
    <t>BNTT/5L</t>
  </si>
  <si>
    <t>2000025586242</t>
  </si>
  <si>
    <t>Bóng ngọc trai trắng</t>
  </si>
  <si>
    <t>BJ9-46BG63/190/5L</t>
  </si>
  <si>
    <t>2000026060796</t>
  </si>
  <si>
    <t>BNT-64RR80/073/5L</t>
  </si>
  <si>
    <t>2000026127383</t>
  </si>
  <si>
    <t>A991-90YR43/101/1L</t>
  </si>
  <si>
    <t>2000026176657</t>
  </si>
  <si>
    <t>A991-76824/5L</t>
  </si>
  <si>
    <t>2000026176664</t>
  </si>
  <si>
    <t>2000026182351</t>
  </si>
  <si>
    <t>BJ9-30BB18/190/1l (Đặc biệt)</t>
  </si>
  <si>
    <t>BJ9-10YR65/059/1L (hồng)</t>
  </si>
  <si>
    <t>2000026380740</t>
  </si>
  <si>
    <t>BJ9-10YR65/059/1L</t>
  </si>
  <si>
    <t>BJ9-10YR57/080/1L (hồng)</t>
  </si>
  <si>
    <t>2000026380757</t>
  </si>
  <si>
    <t>BJ9-10YR57/080/1L</t>
  </si>
  <si>
    <t>BJ9-10YR37/143/5L (hồng)</t>
  </si>
  <si>
    <t>2000026381143</t>
  </si>
  <si>
    <t>BJ9-10YR37/143/5L</t>
  </si>
  <si>
    <t>66A-70GY74/149/5L</t>
  </si>
  <si>
    <t>2000026410997</t>
  </si>
  <si>
    <t>66A-60YR76/105/5L</t>
  </si>
  <si>
    <t>2000026468967</t>
  </si>
  <si>
    <t>66A-98RR80/078/5L</t>
  </si>
  <si>
    <t>2000026468998</t>
  </si>
  <si>
    <t>2000026760924</t>
  </si>
  <si>
    <t>mg bóng ngọc trai(66a-50gy83\160)</t>
  </si>
  <si>
    <t>2000026820703</t>
  </si>
  <si>
    <t>bj9-00yy15\371\1l</t>
  </si>
  <si>
    <t>2000026820734</t>
  </si>
  <si>
    <t>bj9-30bb21\056\1l</t>
  </si>
  <si>
    <t>Y53-70GY74/173/18L</t>
  </si>
  <si>
    <t>2000026848158</t>
  </si>
  <si>
    <t>2000026848486</t>
  </si>
  <si>
    <t>a991-30gg75\095\1l</t>
  </si>
  <si>
    <t>BNT-10YR83/025/5L</t>
  </si>
  <si>
    <t>2000026929406</t>
  </si>
  <si>
    <t>BJ9-50YR21/318/1L</t>
  </si>
  <si>
    <t>2000026929420</t>
  </si>
  <si>
    <t>66A-51RR68/146/1L</t>
  </si>
  <si>
    <t>2000026930396</t>
  </si>
  <si>
    <t>66A-30GY76/132/5L</t>
  </si>
  <si>
    <t>2000026932000</t>
  </si>
  <si>
    <t>66A-21313L/1L</t>
  </si>
  <si>
    <t>2000026932246</t>
  </si>
  <si>
    <t>66A-10YR42/250/5L</t>
  </si>
  <si>
    <t>2000026989806</t>
  </si>
  <si>
    <t>BJ9-21317L/5L</t>
  </si>
  <si>
    <t>2000026993544</t>
  </si>
  <si>
    <t>A991-72117/5L</t>
  </si>
  <si>
    <t>2000026994114</t>
  </si>
  <si>
    <t>66A-90BG72/063/1L</t>
  </si>
  <si>
    <t>2000027013098</t>
  </si>
  <si>
    <t>BJ9-50BG32/114/5L</t>
  </si>
  <si>
    <t>2000027023219</t>
  </si>
  <si>
    <t>66A-30YR17/341/1L</t>
  </si>
  <si>
    <t>2000027035472</t>
  </si>
  <si>
    <t>A991-95RB71/132/5L</t>
  </si>
  <si>
    <t>2000027069125</t>
  </si>
  <si>
    <t>66A-98YR65/333/5l</t>
  </si>
  <si>
    <t>2000027077762</t>
  </si>
  <si>
    <t>2000027107513</t>
  </si>
  <si>
    <t>kova k360 W392\20kg</t>
  </si>
  <si>
    <t>2000027107520</t>
  </si>
  <si>
    <t>kova k360w 327\20kg</t>
  </si>
  <si>
    <t>BJ9-10BB28/116/1L</t>
  </si>
  <si>
    <t>2000027141524</t>
  </si>
  <si>
    <t>BJ9-10BB28/116/1L(ĐB+5%)</t>
  </si>
  <si>
    <t>BJ9-70BG67/126/5L</t>
  </si>
  <si>
    <t>2000027147571</t>
  </si>
  <si>
    <t>BJ9-50BG32/114/1L</t>
  </si>
  <si>
    <t>2000027163588</t>
  </si>
  <si>
    <t>66A-30RR74/058/1L</t>
  </si>
  <si>
    <t>2000027214594</t>
  </si>
  <si>
    <t>66A-90GY70/221/1L</t>
  </si>
  <si>
    <t>2000027214785</t>
  </si>
  <si>
    <t>66A-71489/1L</t>
  </si>
  <si>
    <t>2000027524853</t>
  </si>
  <si>
    <t>A991-64RB58/179/5L</t>
  </si>
  <si>
    <t>2000027533855</t>
  </si>
  <si>
    <t>A991-10GY79/231/5L</t>
  </si>
  <si>
    <t>2000027533985</t>
  </si>
  <si>
    <t>66A-74101/5L</t>
  </si>
  <si>
    <t>2000027534678</t>
  </si>
  <si>
    <t>BJ9-25YY57/441/5L</t>
  </si>
  <si>
    <t>2000027716722</t>
  </si>
  <si>
    <t>BJ9-70BG70/113/1L</t>
  </si>
  <si>
    <t>2000027726189</t>
  </si>
  <si>
    <t>66A-90YY83/179/5L</t>
  </si>
  <si>
    <t>2000027802586</t>
  </si>
  <si>
    <t>A991-10YY83/100/1L</t>
  </si>
  <si>
    <t>2000027826056</t>
  </si>
  <si>
    <t>BJ9-48BB56/162/5L</t>
  </si>
  <si>
    <t>2000027826094</t>
  </si>
  <si>
    <t>BJ9-90BB21/220/1L</t>
  </si>
  <si>
    <t>2000027826117</t>
  </si>
  <si>
    <t>BJ9-90BB21/220/1L (đậm)</t>
  </si>
  <si>
    <t>BJ9-10YR67/100/5L</t>
  </si>
  <si>
    <t>2000027915750</t>
  </si>
  <si>
    <t>2000027932191</t>
  </si>
  <si>
    <t>Megatex siêu bóng nội 9042/18L</t>
  </si>
  <si>
    <t>GJ8-30BB18/318/5L</t>
  </si>
  <si>
    <t>2000027956395</t>
  </si>
  <si>
    <t>2000028301040</t>
  </si>
  <si>
    <t>BJ9-30YY81/123/1L (Đặc biệt)</t>
  </si>
  <si>
    <t>BJ9-71754/5L</t>
  </si>
  <si>
    <t>2000028318390</t>
  </si>
  <si>
    <t>BJ9-71754/5L (Màu Đặc biệt + 5%)</t>
  </si>
  <si>
    <t>BJ9-30YR17/511/1L</t>
  </si>
  <si>
    <t>2000028330422</t>
  </si>
  <si>
    <t>BJ9-72YY47/743/1L</t>
  </si>
  <si>
    <t>2000028352028</t>
  </si>
  <si>
    <t>BJ9-72YY47/743/1L (màu đậm)</t>
  </si>
  <si>
    <t>BJ9-20YY36/370/1L</t>
  </si>
  <si>
    <t>2000028391935</t>
  </si>
  <si>
    <t>BJ9-90BG56/088/1L</t>
  </si>
  <si>
    <t>2000028604639</t>
  </si>
  <si>
    <t>BJ9-90BG56/088/1L (Đặc biệt+5%)</t>
  </si>
  <si>
    <t>2000028739096</t>
  </si>
  <si>
    <t>bj9-90bg17\090-5l</t>
  </si>
  <si>
    <t>2000028739119</t>
  </si>
  <si>
    <t>66a-00yy43\304\1</t>
  </si>
  <si>
    <t>KQ608-V</t>
  </si>
  <si>
    <t>2000028739195</t>
  </si>
  <si>
    <t>KQ608 - viên</t>
  </si>
  <si>
    <t>2000028772925</t>
  </si>
  <si>
    <t>bj9-50gy69\306\5l</t>
  </si>
  <si>
    <t>2000028772987</t>
  </si>
  <si>
    <t>SƠN TRẮNG TRẦN KV -20KG- K10</t>
  </si>
  <si>
    <t>2000028881306</t>
  </si>
  <si>
    <t>A991-45YY79/367/1L</t>
  </si>
  <si>
    <t>BJ9-74BG61/206/1L</t>
  </si>
  <si>
    <t>2000028892838</t>
  </si>
  <si>
    <t>A991-90GG74/108/1L</t>
  </si>
  <si>
    <t>2000028927431</t>
  </si>
  <si>
    <t>BJ9-25YY49/757/1L</t>
  </si>
  <si>
    <t>2000028934897</t>
  </si>
  <si>
    <t>BJ9-25YY49/757/1L (Đặc biệt+15%)</t>
  </si>
  <si>
    <t>2000028956042</t>
  </si>
  <si>
    <t>a991-70yy83\037\5l</t>
  </si>
  <si>
    <t>BJ9-25YY78/232/5L</t>
  </si>
  <si>
    <t>2000028965280</t>
  </si>
  <si>
    <t>BJ9-25YY78/232/5L (Đặc biệt+5%)</t>
  </si>
  <si>
    <t>A991-60YY83/156/5L</t>
  </si>
  <si>
    <t>2000028965501</t>
  </si>
  <si>
    <t>BJ9-75RR06/129/1L</t>
  </si>
  <si>
    <t>2000029015809</t>
  </si>
  <si>
    <t>BJ9-75RR06/129/1L(màu đậm)</t>
  </si>
  <si>
    <t>66A-50YR83/035/5L</t>
  </si>
  <si>
    <t>2000029021404</t>
  </si>
  <si>
    <t>A991-61YY89/040/5L</t>
  </si>
  <si>
    <t>2000029064210</t>
  </si>
  <si>
    <t>2000029158407</t>
  </si>
  <si>
    <t>66a-97rb77\086\5l</t>
  </si>
  <si>
    <t>2000029158414</t>
  </si>
  <si>
    <t>66a-50rb69\078\5l</t>
  </si>
  <si>
    <t>BJ9-70GY72/025/5L</t>
  </si>
  <si>
    <t>2000029218088</t>
  </si>
  <si>
    <t>66A-70BG70/113/5L</t>
  </si>
  <si>
    <t>2000029262395</t>
  </si>
  <si>
    <t>BJ9-29YR19/621/1L</t>
  </si>
  <si>
    <t>2000029264795</t>
  </si>
  <si>
    <t>BJ9-29YR19/621/1L (màu đậm)</t>
  </si>
  <si>
    <t>2000029310874</t>
  </si>
  <si>
    <t>BJ9-35YY81/233/1L (Đặc biệt+5%)</t>
  </si>
  <si>
    <t>66A-70RR83/040/5L</t>
  </si>
  <si>
    <t>2000029313264</t>
  </si>
  <si>
    <t>66A-80YR31/419/1L</t>
  </si>
  <si>
    <t>2000029313271</t>
  </si>
  <si>
    <t>GJ8-35YY7/372/5L</t>
  </si>
  <si>
    <t>2000029313400</t>
  </si>
  <si>
    <t>GJ8-35YY7/372/5L(Đặc biệt+8%)</t>
  </si>
  <si>
    <t>2000029350849</t>
  </si>
  <si>
    <t>bj9-35yy74\372\5l</t>
  </si>
  <si>
    <t>2000029354755</t>
  </si>
  <si>
    <t>bj9-30yr07\157\1l</t>
  </si>
  <si>
    <t>2000029354762</t>
  </si>
  <si>
    <t>bj9-30yy46\036\5i</t>
  </si>
  <si>
    <t>66A-44Yy87/118/1L</t>
  </si>
  <si>
    <t>2000029363511</t>
  </si>
  <si>
    <t>BJ9-30BB16/031/5L</t>
  </si>
  <si>
    <t>2000029398414</t>
  </si>
  <si>
    <t>BJ9-30BB16/031/5L (màu đậm)</t>
  </si>
  <si>
    <t>BJ9-90BG21/032/1L</t>
  </si>
  <si>
    <t>2000029419805</t>
  </si>
  <si>
    <t>BJ9-90YR77/115/1L</t>
  </si>
  <si>
    <t>2000029452444</t>
  </si>
  <si>
    <t>BJ9-60YR40/297/1L</t>
  </si>
  <si>
    <t>2000029452512</t>
  </si>
  <si>
    <t>66A-60YR70/151/1L</t>
  </si>
  <si>
    <t>2000029452536</t>
  </si>
  <si>
    <t>2000029487514</t>
  </si>
  <si>
    <t>bj9-21216\5l</t>
  </si>
  <si>
    <t>66A-30GY72/196/5L</t>
  </si>
  <si>
    <t>2000029491580</t>
  </si>
  <si>
    <t>2000029513312</t>
  </si>
  <si>
    <t>BJ9-10BB17/269/1L (ĐẶc biệt+5%)</t>
  </si>
  <si>
    <t>a991-25yy78\232\18l</t>
  </si>
  <si>
    <t>2000029532214</t>
  </si>
  <si>
    <t>2000029532498</t>
  </si>
  <si>
    <t>a991-10rb68\081\5l</t>
  </si>
  <si>
    <t>BJ9-70GY31/304/1L</t>
  </si>
  <si>
    <t>2000029548376</t>
  </si>
  <si>
    <t>BJ9-30BB10/019/1L</t>
  </si>
  <si>
    <t>2000029552120</t>
  </si>
  <si>
    <t>BJ9-30BB10/019/5L</t>
  </si>
  <si>
    <t>2000029556784</t>
  </si>
  <si>
    <t>BJ9-70GY11/387/1L</t>
  </si>
  <si>
    <t>2000029599910</t>
  </si>
  <si>
    <t>BJ9-70GY11/387/1L (màu đậm)</t>
  </si>
  <si>
    <t>2000029624056</t>
  </si>
  <si>
    <t>bj9-42yy87\084\5l</t>
  </si>
  <si>
    <t>2000029624469</t>
  </si>
  <si>
    <t>bj9-30yy331\145\1l</t>
  </si>
  <si>
    <t>2000029668067</t>
  </si>
  <si>
    <t>BJ9-30YR11/393/1L</t>
  </si>
  <si>
    <t>2000029668074</t>
  </si>
  <si>
    <t>A991-50RR83/040/18L</t>
  </si>
  <si>
    <t>2000029668098</t>
  </si>
  <si>
    <t>A991-50YR83/035/18L</t>
  </si>
  <si>
    <t>2000029677113</t>
  </si>
  <si>
    <t>MG mịn 2741-P/18L</t>
  </si>
  <si>
    <t>2000029730368</t>
  </si>
  <si>
    <t>bj9-30bg33\207\1l</t>
  </si>
  <si>
    <t>2000029730474</t>
  </si>
  <si>
    <t>bóng ngọc trai (bj9-70bg53\164/5l)</t>
  </si>
  <si>
    <t>2000029738449</t>
  </si>
  <si>
    <t>BJ9-40YY73/028/5L</t>
  </si>
  <si>
    <t>2000029739545</t>
  </si>
  <si>
    <t>BJ9-04RB71/092/1L</t>
  </si>
  <si>
    <t>2000029778537</t>
  </si>
  <si>
    <t>66a-55yr24\666\1l</t>
  </si>
  <si>
    <t>2000029781063</t>
  </si>
  <si>
    <t>66a-06rb76\056\5l</t>
  </si>
  <si>
    <t>66A-67YY87/169/5L</t>
  </si>
  <si>
    <t>2000029909870</t>
  </si>
  <si>
    <t>66A-90Y31/605/1L</t>
  </si>
  <si>
    <t>2000029909894</t>
  </si>
  <si>
    <t>66A-90YR31/605/1L (đậm)</t>
  </si>
  <si>
    <t>2000030090932</t>
  </si>
  <si>
    <t>66a-50rr75\068\5l</t>
  </si>
  <si>
    <t>LU1-75400</t>
  </si>
  <si>
    <t>2000030196504</t>
  </si>
  <si>
    <t>Sơn ngoài bóng LU1-75400/5L</t>
  </si>
  <si>
    <t>2000030246049</t>
  </si>
  <si>
    <t>66a-58yy88\180/1l</t>
  </si>
  <si>
    <t>2000030848779</t>
  </si>
  <si>
    <t>bj9-71760\1</t>
  </si>
  <si>
    <t>2000031164779</t>
  </si>
  <si>
    <t>bj9-10yyy62\285\1l</t>
  </si>
  <si>
    <t>2000031181172</t>
  </si>
  <si>
    <t>bj9-30rr61/195/1l</t>
  </si>
  <si>
    <t>2000031225371</t>
  </si>
  <si>
    <t>mg-siêu bóng nội-9026\18l</t>
  </si>
  <si>
    <t>2000031225463</t>
  </si>
  <si>
    <t>mg-bóng ngọc trai-50bb83/020/5l</t>
  </si>
  <si>
    <t>2000031225487</t>
  </si>
  <si>
    <t>bj9-30yy67\084/1l</t>
  </si>
  <si>
    <t>2000031225524</t>
  </si>
  <si>
    <t>bj9-02yy55/518/1l</t>
  </si>
  <si>
    <t>2000031225548</t>
  </si>
  <si>
    <t>66a-57yr77\102/1l</t>
  </si>
  <si>
    <t>2000031227894</t>
  </si>
  <si>
    <t>BJ9-45YY83\062\1L</t>
  </si>
  <si>
    <t>2000031231426</t>
  </si>
  <si>
    <t>66A-33RR4/111/5L</t>
  </si>
  <si>
    <t>2000031231457</t>
  </si>
  <si>
    <t>BJ9-20YY54\342\5L</t>
  </si>
  <si>
    <t>2000031232768</t>
  </si>
  <si>
    <t>66A-90GG74\108\5L</t>
  </si>
  <si>
    <t>2000031246932</t>
  </si>
  <si>
    <t>MG-SIÊU BÓNG NỘI -9014\18L</t>
  </si>
  <si>
    <t>2000031247052</t>
  </si>
  <si>
    <t>MG-HỢP KIM-8002\1L</t>
  </si>
  <si>
    <t>2000031248691</t>
  </si>
  <si>
    <t>BJ9-70BG70/131/5L</t>
  </si>
  <si>
    <t>2000031268156</t>
  </si>
  <si>
    <t>BJ9-33GY46/469/1L</t>
  </si>
  <si>
    <t>2000031287430</t>
  </si>
  <si>
    <t>BJ9-30GY12\257\1L</t>
  </si>
  <si>
    <t>2000031287782</t>
  </si>
  <si>
    <t>A991-39YR11\342\1L</t>
  </si>
  <si>
    <t>2000031287812</t>
  </si>
  <si>
    <t>MG-HỢP KIM-1245/5L</t>
  </si>
  <si>
    <t>2000031303666</t>
  </si>
  <si>
    <t>MG-SIÊU BÓNG NỘI-50YY53/114/18L</t>
  </si>
  <si>
    <t>2000031337623</t>
  </si>
  <si>
    <t>MG-SIÊU BÓNG NỘI-06GB76\056\1L</t>
  </si>
  <si>
    <t>2000031338491</t>
  </si>
  <si>
    <t>MG-SIÊU BÓNG NỘI-50YY83\114\1L</t>
  </si>
  <si>
    <t>2000031356389</t>
  </si>
  <si>
    <t>MG-HỢP KIM-1113/5L</t>
  </si>
  <si>
    <t>2000031359229</t>
  </si>
  <si>
    <t>KV-360-KV365/4KG</t>
  </si>
  <si>
    <t>2000031359243</t>
  </si>
  <si>
    <t>KV-K871/KV326/4KG</t>
  </si>
  <si>
    <t>Tiền hóa đơn</t>
  </si>
  <si>
    <t>2000031903408</t>
  </si>
  <si>
    <t>BJ910GY74/325/5L</t>
  </si>
  <si>
    <t>2000033260622</t>
  </si>
  <si>
    <t>téc nước nằm 1 khôi</t>
  </si>
  <si>
    <t>2000033277293</t>
  </si>
  <si>
    <t>66A-83BB71/082/5L</t>
  </si>
  <si>
    <t>2000033483915</t>
  </si>
  <si>
    <t>66A-86YY77/295</t>
  </si>
  <si>
    <t>2000033742708</t>
  </si>
  <si>
    <t>2000034450947</t>
  </si>
  <si>
    <t>bj9-00yy23\557\1l</t>
  </si>
  <si>
    <t>2000034451050</t>
  </si>
  <si>
    <t>bj9-45yy74\383\1l</t>
  </si>
  <si>
    <t>Vòi bát đơn</t>
  </si>
  <si>
    <t>2000034653331</t>
  </si>
  <si>
    <t>NS835 - Viên</t>
  </si>
  <si>
    <t>2000034851508</t>
  </si>
  <si>
    <t>BJ9-10BB73/026/5L</t>
  </si>
  <si>
    <t>2000034862894</t>
  </si>
  <si>
    <t>màu đặc biệt</t>
  </si>
  <si>
    <t>2000034862931</t>
  </si>
  <si>
    <t>màu đậm</t>
  </si>
  <si>
    <t>BJ9-50BG55/241/1L</t>
  </si>
  <si>
    <t>2000035394301</t>
  </si>
  <si>
    <t>BJ9-90YR34/561/1L</t>
  </si>
  <si>
    <t>2000035395032</t>
  </si>
  <si>
    <t>GJ8-14BB39/289/5L</t>
  </si>
  <si>
    <t>2000035395681</t>
  </si>
  <si>
    <t>chống trơn 320 - Viên</t>
  </si>
  <si>
    <t>2000036275357</t>
  </si>
  <si>
    <t>VN4449 - Viên</t>
  </si>
  <si>
    <t>2000036503689</t>
  </si>
  <si>
    <t>Gạch lát nền 40x40 VN4449 - Viên</t>
  </si>
  <si>
    <t>Sen vòi Vanta</t>
  </si>
  <si>
    <t>2000036957321</t>
  </si>
  <si>
    <t>Sen vòi Vanta ( đầy đủ phụ kiện)</t>
  </si>
  <si>
    <t>Bình Rossi 20 lít</t>
  </si>
  <si>
    <t>2000036961229</t>
  </si>
  <si>
    <t>79A10.BB18/106/5L</t>
  </si>
  <si>
    <t>2000037029485</t>
  </si>
  <si>
    <t>BJ910.BB18/106/5L</t>
  </si>
  <si>
    <t>79A 10YR14/348/5L ( màu cực đậm)</t>
  </si>
  <si>
    <t>2000037029546</t>
  </si>
  <si>
    <t>BJ9/10YR14/348/5L ( màu cực đậm)</t>
  </si>
  <si>
    <t>BJ9 30YY67/194/1L</t>
  </si>
  <si>
    <t>2000037181435</t>
  </si>
  <si>
    <t>2000037322425</t>
  </si>
  <si>
    <t>BJ9-50ry18\223\1l</t>
  </si>
  <si>
    <t>66A-50GG 82/115/5L</t>
  </si>
  <si>
    <t>2000037895004</t>
  </si>
  <si>
    <t>BJ9 YY71/409/1L</t>
  </si>
  <si>
    <t>2000037895226</t>
  </si>
  <si>
    <t>A991-90yy78/334/5L</t>
  </si>
  <si>
    <t>2000038046580</t>
  </si>
  <si>
    <t>2000038347885</t>
  </si>
  <si>
    <t>bj9-50yy77/285/1l</t>
  </si>
  <si>
    <t>2000038509634</t>
  </si>
  <si>
    <t>66a-51yr83/054/1l</t>
  </si>
  <si>
    <t>BJ9-19BG61/207/5L ( ĐB+5%)</t>
  </si>
  <si>
    <t>2000038560437</t>
  </si>
  <si>
    <t>BJ9-50BG76/090/5L ( đặc biệt +5%)</t>
  </si>
  <si>
    <t>2000038560512</t>
  </si>
  <si>
    <t>Eco -M622 D18 A1</t>
  </si>
  <si>
    <t>2000039053082</t>
  </si>
  <si>
    <t>ECO -M 622 D18 A1</t>
  </si>
  <si>
    <t>BJ9 27/088/1L ( đậm + 10% màu)</t>
  </si>
  <si>
    <t>2000039533454</t>
  </si>
  <si>
    <t>BJ9-70YY39/613/1L</t>
  </si>
  <si>
    <t>2000039533676</t>
  </si>
  <si>
    <t>téc nước đứng 1000 khối</t>
  </si>
  <si>
    <t>2000040438489</t>
  </si>
  <si>
    <t>Bệt ấn Viglacera + chậu + Giá đỡ</t>
  </si>
  <si>
    <t>2000040438502</t>
  </si>
  <si>
    <t>BJ9-53YR17/504/1L</t>
  </si>
  <si>
    <t>2000041056019</t>
  </si>
  <si>
    <t>66A-73119/5L</t>
  </si>
  <si>
    <t>2000041056934</t>
  </si>
  <si>
    <t>FV36105 - Viên</t>
  </si>
  <si>
    <t>2000041103249</t>
  </si>
  <si>
    <t>Gacjk ốp 30x60 - FV36105 - Viên</t>
  </si>
  <si>
    <t>66A-70BG 70/131/5L</t>
  </si>
  <si>
    <t>2000041382033</t>
  </si>
  <si>
    <t>BJ9/79 BG-53/259/5L</t>
  </si>
  <si>
    <t>2000041780211</t>
  </si>
  <si>
    <t>2000041782987</t>
  </si>
  <si>
    <t>66a-22yy71/347/1l</t>
  </si>
  <si>
    <t>BJ9 - 30BG56/045/5L</t>
  </si>
  <si>
    <t>2000041855551</t>
  </si>
  <si>
    <t>2000042088514</t>
  </si>
  <si>
    <t>a991-67yy89/124/5l</t>
  </si>
  <si>
    <t>bệt 2440</t>
  </si>
  <si>
    <t>2000042344061</t>
  </si>
  <si>
    <t>bệt roy 2440</t>
  </si>
  <si>
    <t>MG mịn 3076/4l</t>
  </si>
  <si>
    <t>2000042407377</t>
  </si>
  <si>
    <t>mega mịn 3076-4l</t>
  </si>
  <si>
    <t>BJ9 10GY 41/600/5L</t>
  </si>
  <si>
    <t>2000042737856</t>
  </si>
  <si>
    <t>BJ9 10GY41/600/5L (Màu đb +400.000)</t>
  </si>
  <si>
    <t>Sen vòi</t>
  </si>
  <si>
    <t>2000043240812</t>
  </si>
  <si>
    <t>2000043533709</t>
  </si>
  <si>
    <t>bj9-25yy79/240/5l</t>
  </si>
  <si>
    <t>2000043533747</t>
  </si>
  <si>
    <t>bj9-20yy51/306/1l</t>
  </si>
  <si>
    <t>roma lau chùi hiệu quả T2003/5L</t>
  </si>
  <si>
    <t>2000043628092</t>
  </si>
  <si>
    <t>2000043802386</t>
  </si>
  <si>
    <t>Sơn nội thất bóng cao cấp /5L- 097</t>
  </si>
  <si>
    <t>Viền cũ Hoàng Hà</t>
  </si>
  <si>
    <t>2000043840500</t>
  </si>
  <si>
    <t>ECO 622 - Viên</t>
  </si>
  <si>
    <t>2000044112224</t>
  </si>
  <si>
    <t>Gạch lát Eco 622 - Viên</t>
  </si>
  <si>
    <t>Viền 7x60 - 7602 ( 48 viên/hộp) - H/hà</t>
  </si>
  <si>
    <t>2000044354143</t>
  </si>
  <si>
    <t>Viền 7x60 - 7602 ( 48 viên/hộp)</t>
  </si>
  <si>
    <t>Điểm WBĐ 3603 (HH)</t>
  </si>
  <si>
    <t>2000044787842</t>
  </si>
  <si>
    <t>Điểm WBĐ 3603</t>
  </si>
  <si>
    <t>ECO 625 - Viên</t>
  </si>
  <si>
    <t>2000045328433</t>
  </si>
  <si>
    <t>BJ9-30bb 45/049/5l</t>
  </si>
  <si>
    <t>2000045553743</t>
  </si>
  <si>
    <t>BJ9-30BB 45/049/5lit -dulux</t>
  </si>
  <si>
    <t>66A-39YY 85/156/5l</t>
  </si>
  <si>
    <t>2000045553958</t>
  </si>
  <si>
    <t>66A-39YY 85/156/5lit-dulux</t>
  </si>
  <si>
    <t>9039</t>
  </si>
  <si>
    <t>2000045825499</t>
  </si>
  <si>
    <t>Đuôi xi phông</t>
  </si>
  <si>
    <t>W6818-v</t>
  </si>
  <si>
    <t>2000045986244</t>
  </si>
  <si>
    <t>W6818 gạch 60*60t-h -viên</t>
  </si>
  <si>
    <t>2000045995406</t>
  </si>
  <si>
    <t>66A- 29YY84/067/1L</t>
  </si>
  <si>
    <t>2000046172820</t>
  </si>
  <si>
    <t>66A-25YY83/103/5L</t>
  </si>
  <si>
    <t>2000046317733</t>
  </si>
  <si>
    <t>Bộ vòi chậu ( đầy đủ phụ kiện)</t>
  </si>
  <si>
    <t>2000047170467</t>
  </si>
  <si>
    <t>Sân vườn GS559 - Viên</t>
  </si>
  <si>
    <t>2000048442464</t>
  </si>
  <si>
    <t>ECO 626 - Viên</t>
  </si>
  <si>
    <t>2000049915165</t>
  </si>
  <si>
    <t>MG chống kiềm ngoại thất cao cấp/4L</t>
  </si>
  <si>
    <t>2000051153562</t>
  </si>
  <si>
    <t>BJ9-12YY61/523/1L</t>
  </si>
  <si>
    <t>2000052571488</t>
  </si>
  <si>
    <t>MG chống kiềm nội /4L</t>
  </si>
  <si>
    <t>2000052940000</t>
  </si>
  <si>
    <t>MG Sơn nội thất siêu bóng 2018/1L</t>
  </si>
  <si>
    <t>2000053117982</t>
  </si>
  <si>
    <t>66A - 25YY62/353/1L</t>
  </si>
  <si>
    <t>2000053220125</t>
  </si>
  <si>
    <t>Tranh hoa (0.57x1.89)</t>
  </si>
  <si>
    <t>( kho ĐA)</t>
  </si>
  <si>
    <t>2000055176369</t>
  </si>
  <si>
    <t>Roma nội thất mịn trắng /5L ( kho ĐA)</t>
  </si>
  <si>
    <t>Roma ngoại SBHH 71743/1l</t>
  </si>
  <si>
    <t>2000056228883</t>
  </si>
  <si>
    <t>Roma ngoại siêu bóng hoàn hảo 71743/1 lít</t>
  </si>
  <si>
    <t>Roma lót nội 18L ( Đông A)</t>
  </si>
  <si>
    <t>2000056274651</t>
  </si>
  <si>
    <t>Roma lót nội 18L</t>
  </si>
  <si>
    <t>Roma chống kiềm nội /5L ( Đông A)</t>
  </si>
  <si>
    <t>2000056274682</t>
  </si>
  <si>
    <t>Roma chống kiềm ngoại thất 5L</t>
  </si>
  <si>
    <t>2000056601013</t>
  </si>
  <si>
    <t>chậu innax</t>
  </si>
  <si>
    <t>2000056927298</t>
  </si>
  <si>
    <t>BJ9 - màu gụ/1 lít</t>
  </si>
  <si>
    <t>2000057658733</t>
  </si>
  <si>
    <t>ốp WB36038 - Viên</t>
  </si>
  <si>
    <t>2000057695141</t>
  </si>
  <si>
    <t>tranh KT80x80 (1 viên/bộ)</t>
  </si>
  <si>
    <t>2000057837909</t>
  </si>
  <si>
    <t>Roma sơn nội thất bóng trắng/18L (kho Đông A)</t>
  </si>
  <si>
    <t>2000057851240</t>
  </si>
  <si>
    <t>Roma ngoại thất siêu bóng h/ hảo 049-3/5L</t>
  </si>
  <si>
    <t>2000057851370</t>
  </si>
  <si>
    <t>ngoại thất siêu bóng h/hảo 046-5/1 lít (chỉ)</t>
  </si>
  <si>
    <t>2000057851387</t>
  </si>
  <si>
    <t>Roma Ngoại thất siêu bóng h/hảo 028-4/5L</t>
  </si>
  <si>
    <t>2000057851424</t>
  </si>
  <si>
    <t>Roma ngoại thất siêu bóng h/hảo 026-5 / lít (chỉ)</t>
  </si>
  <si>
    <t>2000058051281</t>
  </si>
  <si>
    <t>Sơn Roma nội thất bóng 024-1/18L</t>
  </si>
  <si>
    <t>2000058051298</t>
  </si>
  <si>
    <t>Sơn Roma nội thất bóng 031-2/18L</t>
  </si>
  <si>
    <t>Roma nội thất bóng/5L ( kho Đông A)</t>
  </si>
  <si>
    <t>2000058181148</t>
  </si>
  <si>
    <t>Roma nội thất bóng/5L</t>
  </si>
  <si>
    <t>2000058830350</t>
  </si>
  <si>
    <t>66A-58YY88/180/5L</t>
  </si>
  <si>
    <t>2000059339654</t>
  </si>
  <si>
    <t>66A-30YY75/145/5L</t>
  </si>
  <si>
    <t>2000060126113</t>
  </si>
  <si>
    <t>79A-25YY62/353/5L</t>
  </si>
  <si>
    <t>2000060670289</t>
  </si>
  <si>
    <t>BJ9-00YY34/5625L</t>
  </si>
  <si>
    <t>2000060673846</t>
  </si>
  <si>
    <t>BJ9-màu mận chín /1L</t>
  </si>
  <si>
    <t>2000061181135</t>
  </si>
  <si>
    <t>Tranh KT 80x80 (KT1.6x2.4)</t>
  </si>
  <si>
    <t>2000061689877</t>
  </si>
  <si>
    <t>BJ9-90YR26/147/1L</t>
  </si>
  <si>
    <t>2000065005536</t>
  </si>
  <si>
    <t>Tranh 0.8x1.6 hoa đào</t>
  </si>
  <si>
    <t>2000065169481</t>
  </si>
  <si>
    <t>Màu chân cột A991 - 30YR 14/365/5L</t>
  </si>
  <si>
    <t>2000065169665</t>
  </si>
  <si>
    <t>Màu nâu A991 - 50YR10/151/1L</t>
  </si>
  <si>
    <t>2000066505028</t>
  </si>
  <si>
    <t>Bs 3627(30*60)-viên</t>
  </si>
  <si>
    <t>2000066505226</t>
  </si>
  <si>
    <t>VOG 04 -viên</t>
  </si>
  <si>
    <t>2000067957147</t>
  </si>
  <si>
    <t>ECo -621 - Viên</t>
  </si>
  <si>
    <t>bj9-90bg63/043/5l</t>
  </si>
  <si>
    <t>2000068396518</t>
  </si>
  <si>
    <t>Bj9-90BG63/043/5l</t>
  </si>
  <si>
    <t>bj9-10gg38/038/1l</t>
  </si>
  <si>
    <t>2000068396525</t>
  </si>
  <si>
    <t>BJ9-10GG38/038/1lit</t>
  </si>
  <si>
    <t>39ab-52yy89/117/18l</t>
  </si>
  <si>
    <t>2000068397003</t>
  </si>
  <si>
    <t>39AB-52YY89/117/18l</t>
  </si>
  <si>
    <t>39ab-19rr78/088/5l</t>
  </si>
  <si>
    <t>2000068397065</t>
  </si>
  <si>
    <t>39AB-19RR78/088/5lit</t>
  </si>
  <si>
    <t>2000068577061</t>
  </si>
  <si>
    <t>gj8-11yy70/356</t>
  </si>
  <si>
    <t>90bg21/302/1l</t>
  </si>
  <si>
    <t>2000068840745</t>
  </si>
  <si>
    <t>GJ8-90BG21/302/1 lít</t>
  </si>
  <si>
    <t>Bj9 trắng</t>
  </si>
  <si>
    <t>2000068933331</t>
  </si>
  <si>
    <t>BJ9 Trắng1lit</t>
  </si>
  <si>
    <t>90BB83/011/5l</t>
  </si>
  <si>
    <t>2000069635173</t>
  </si>
  <si>
    <t>66AB -90BB83/011/5 lít</t>
  </si>
  <si>
    <t>30RB74/038/5l</t>
  </si>
  <si>
    <t>2000069663008</t>
  </si>
  <si>
    <t>66AB- 30RB74/038/5 lít</t>
  </si>
  <si>
    <t>90BG72/088/5l</t>
  </si>
  <si>
    <t>2000069664593</t>
  </si>
  <si>
    <t>A991-90BG72/088/5 lít</t>
  </si>
  <si>
    <t>50gy77/195/5l</t>
  </si>
  <si>
    <t>2000071303084</t>
  </si>
  <si>
    <t>A991-50gy77/195/5 lit</t>
  </si>
  <si>
    <t>35yy88/050/18l</t>
  </si>
  <si>
    <t>2000072379828</t>
  </si>
  <si>
    <t>39AB -35YY88/050/18l</t>
  </si>
  <si>
    <t>2000078399660</t>
  </si>
  <si>
    <t>Chậu Z78-43</t>
  </si>
  <si>
    <t>2000080814823</t>
  </si>
  <si>
    <t>chậu + chân viglacera</t>
  </si>
  <si>
    <t>sen cây 1238</t>
  </si>
  <si>
    <t>2000087159996</t>
  </si>
  <si>
    <t>2000088279495</t>
  </si>
  <si>
    <t>Roma nội thất mịn 18L/ mã 56-1</t>
  </si>
  <si>
    <t>D78-43 ( chậu đúc)</t>
  </si>
  <si>
    <t>2000090547476</t>
  </si>
  <si>
    <t>Chậu rửa bát D78-43</t>
  </si>
  <si>
    <t>K901</t>
  </si>
  <si>
    <t>2000090547544</t>
  </si>
  <si>
    <t>Bệt K901</t>
  </si>
  <si>
    <t>2000092285291</t>
  </si>
  <si>
    <t>Sơn siêu bóng ngoại thất hoàn hảo base D/1 lít ( mã màu 182-6)</t>
  </si>
  <si>
    <t>2000096538799</t>
  </si>
  <si>
    <t>Sơn bóng ngoại thất hoàn hảo baseB/1L ( 031-5)</t>
  </si>
  <si>
    <t>30Bg72/017/5l</t>
  </si>
  <si>
    <t>2000100455968</t>
  </si>
  <si>
    <t>Bj9-30BG72/017/5 lít</t>
  </si>
  <si>
    <t>2000101593010</t>
  </si>
  <si>
    <t>Sơn Roma bóng nội thất OW3-2/18L</t>
  </si>
  <si>
    <t>75056/5l</t>
  </si>
  <si>
    <t>2000105202888</t>
  </si>
  <si>
    <t>A991-75056/5 lít</t>
  </si>
  <si>
    <t>A991/65YY90/062/5l</t>
  </si>
  <si>
    <t>2000105449146</t>
  </si>
  <si>
    <t>A991-65YY90/062/5 lít</t>
  </si>
  <si>
    <t>2000107898324</t>
  </si>
  <si>
    <t>gạch vân gỗ 60x60</t>
  </si>
  <si>
    <t>2000110280604</t>
  </si>
  <si>
    <t>Sen cây 66681</t>
  </si>
  <si>
    <t>2000148028810</t>
  </si>
  <si>
    <t>Bệt HC két rời</t>
  </si>
  <si>
    <t>2000151571594</t>
  </si>
  <si>
    <t>66AB màu 39YY85/156/1L</t>
  </si>
  <si>
    <t>2000153946314</t>
  </si>
  <si>
    <t>BJ9/ 80GG63/184/1L</t>
  </si>
  <si>
    <t>2000174949325</t>
  </si>
  <si>
    <t>Sơn lót kháng kiềm ngoài trời kova K209/20kg</t>
  </si>
  <si>
    <t>2000174949349</t>
  </si>
  <si>
    <t>Sơn lót kháng kiềm trong nhà Kova K109/20kg</t>
  </si>
  <si>
    <t>2000184196207</t>
  </si>
  <si>
    <t>Bộ tranh Kt( 80x80 ) - 6 viên/bộ</t>
  </si>
  <si>
    <t>2000194242819</t>
  </si>
  <si>
    <t>Màu trong nhà A991/5 lít</t>
  </si>
  <si>
    <t>2000199143395</t>
  </si>
  <si>
    <t>Bộ vòi</t>
  </si>
  <si>
    <t>2000200653318</t>
  </si>
  <si>
    <t>BJ9/35YY/78/269/5L</t>
  </si>
  <si>
    <t>2000200653356</t>
  </si>
  <si>
    <t>BJ9/bóng trắng/5L</t>
  </si>
  <si>
    <t>2000201523894</t>
  </si>
  <si>
    <t>Bệt két liền Roy 2614</t>
  </si>
  <si>
    <t>2000201524181</t>
  </si>
  <si>
    <t>Ga thoát sàn</t>
  </si>
  <si>
    <t>GẠCH VIGLA CL510 ( VIÊN)</t>
  </si>
  <si>
    <t>2000201703128</t>
  </si>
  <si>
    <t>Bệt két  rời rẻ</t>
  </si>
  <si>
    <t>2000202634568</t>
  </si>
  <si>
    <t>2000214247787</t>
  </si>
  <si>
    <t>ke lát gạch 1 ly</t>
  </si>
  <si>
    <t>2000214248234</t>
  </si>
  <si>
    <t>Bệt Roy 1679</t>
  </si>
  <si>
    <t>TQ8009 - VIÊN</t>
  </si>
  <si>
    <t>2000214252545</t>
  </si>
  <si>
    <t>Gạch TQ8009 - VIÊN</t>
  </si>
  <si>
    <t>bệt</t>
  </si>
  <si>
    <t>2000214255980</t>
  </si>
  <si>
    <t>2000214256055</t>
  </si>
  <si>
    <t>công cắt gạch 1mx1m (1/7)</t>
  </si>
  <si>
    <t>VI5804</t>
  </si>
  <si>
    <t>2000029009723</t>
  </si>
  <si>
    <t>VI5804 - 5 A1</t>
  </si>
  <si>
    <t>LX6012 (A)</t>
  </si>
  <si>
    <t>2000124615072</t>
  </si>
  <si>
    <t>Gạch lát LX6012 (A)</t>
  </si>
  <si>
    <t>F631</t>
  </si>
  <si>
    <t>2000036323041</t>
  </si>
  <si>
    <t>Gạch lát 60x60 F631</t>
  </si>
  <si>
    <t>VN39</t>
  </si>
  <si>
    <t>2000032556603</t>
  </si>
  <si>
    <t>gạch ốp 30x45 VN39</t>
  </si>
  <si>
    <t>TN03</t>
  </si>
  <si>
    <t>2000025179406</t>
  </si>
  <si>
    <t>Ốp 30x45 TN03</t>
  </si>
  <si>
    <t>LX3606 (A)</t>
  </si>
  <si>
    <t>2000135500619</t>
  </si>
  <si>
    <t>Ốp LX3606 (A) - 1 hộp = 1.44m2)</t>
  </si>
  <si>
    <t>HD305</t>
  </si>
  <si>
    <t>2000089346523</t>
  </si>
  <si>
    <t>Gạch trang trí HD305</t>
  </si>
  <si>
    <t>Gạch ốp 30x60 FM3662</t>
  </si>
  <si>
    <t>2000036093845</t>
  </si>
  <si>
    <t>Sơn chống kiềm NT/18L - Roma ( Lót nội)</t>
  </si>
  <si>
    <t>2000042265915</t>
  </si>
  <si>
    <t>Sơn chống kiềm nội thất plus/18L</t>
  </si>
  <si>
    <t>LX3606 - Viên</t>
  </si>
  <si>
    <t>2000110956806</t>
  </si>
  <si>
    <t>HF651 - Viên</t>
  </si>
  <si>
    <t>2000046859042</t>
  </si>
  <si>
    <t>Gạch lát 60x60 HF651 - Viên</t>
  </si>
  <si>
    <t>SVS-502</t>
  </si>
  <si>
    <t>2000045899995</t>
  </si>
  <si>
    <t>Sân vườn - 502</t>
  </si>
  <si>
    <t>LX 3401_v</t>
  </si>
  <si>
    <t>2000051660688</t>
  </si>
  <si>
    <t>LX 3401_viên _ốp 30*45 3401</t>
  </si>
  <si>
    <t>VI5802 - V</t>
  </si>
  <si>
    <t>2000029499081</t>
  </si>
  <si>
    <t>VI5802 - Viêr</t>
  </si>
  <si>
    <t>CV 36001 - Viên</t>
  </si>
  <si>
    <t>2000049707074</t>
  </si>
  <si>
    <t>Gạch ốp - CV 36001 - Viên</t>
  </si>
  <si>
    <t>C661 - Viên</t>
  </si>
  <si>
    <t>2000054182569</t>
  </si>
  <si>
    <t>Gạch lát C661 - Viên</t>
  </si>
  <si>
    <t>F36651 - Viên</t>
  </si>
  <si>
    <t>2000068313607</t>
  </si>
  <si>
    <t>Ốp 30x60 F36651 - Viên</t>
  </si>
  <si>
    <t>FV36100 - Viên</t>
  </si>
  <si>
    <t>2000047625226</t>
  </si>
  <si>
    <t>Gạch ốp 30x60 FV36100 - Viên</t>
  </si>
  <si>
    <t>Ecos830-v</t>
  </si>
  <si>
    <t>2000073715472</t>
  </si>
  <si>
    <t>ECOS830-gạch 80*80-viên</t>
  </si>
  <si>
    <t>F641- A1 (V)</t>
  </si>
  <si>
    <t>2000025178904</t>
  </si>
  <si>
    <t>Gạch lát 60x60 F641 A1 -Viên</t>
  </si>
  <si>
    <t>R-5300C</t>
  </si>
  <si>
    <t>2000026650447</t>
  </si>
  <si>
    <t>Chậu liền chân treo tường R-5300C</t>
  </si>
  <si>
    <t>Roy-2779X-S</t>
  </si>
  <si>
    <t>2000031357362</t>
  </si>
  <si>
    <t>bkl (3/6 lít ) ROY - 2779 X - S</t>
  </si>
  <si>
    <t>34589 - viên</t>
  </si>
  <si>
    <t>2000039135757</t>
  </si>
  <si>
    <t>34589- viên</t>
  </si>
  <si>
    <t>FV3699 - Viên</t>
  </si>
  <si>
    <t>2000092552287</t>
  </si>
  <si>
    <t>xi phông nhựa</t>
  </si>
  <si>
    <t>2000033563471</t>
  </si>
  <si>
    <t>TECO - 622D11 A1 - viên</t>
  </si>
  <si>
    <t>2000031534626</t>
  </si>
  <si>
    <t>Gạch Granite ECO - 622D11 A1 - Viên</t>
  </si>
  <si>
    <t>Plus bóng nội 2003/18L - Roma</t>
  </si>
  <si>
    <t>2000042266011</t>
  </si>
  <si>
    <t>Plus bóng nội 2003/18L</t>
  </si>
  <si>
    <t>Sân vườn 09 - viên</t>
  </si>
  <si>
    <t>2000132732075</t>
  </si>
  <si>
    <t>SV 09 - viên</t>
  </si>
  <si>
    <t>KR164</t>
  </si>
  <si>
    <t>2000094881750</t>
  </si>
  <si>
    <t>Bệt Kross - KR164</t>
  </si>
  <si>
    <t>CT316 - Viên</t>
  </si>
  <si>
    <t>2000041800810</t>
  </si>
  <si>
    <t>Chống trơn CT316 - Viên</t>
  </si>
  <si>
    <t>kìm nêm</t>
  </si>
  <si>
    <t>2000214253115</t>
  </si>
  <si>
    <t>SC</t>
  </si>
  <si>
    <t>2000026158523</t>
  </si>
  <si>
    <t>Sen cây</t>
  </si>
  <si>
    <t>BKL2465</t>
  </si>
  <si>
    <t>2000026507499</t>
  </si>
  <si>
    <t>Bộ két liền 2465</t>
  </si>
  <si>
    <t>Sơn NT lau chùi vượt bậc Base A/18L - Roma ( hủy)</t>
  </si>
  <si>
    <t>Sơn nội thất lau chùi vượt bậc Base A/18L</t>
  </si>
  <si>
    <t>2000043532245</t>
  </si>
  <si>
    <t>sơn nội thất lau chùi vượt bậc P2003/18l</t>
  </si>
  <si>
    <t>TB606-v</t>
  </si>
  <si>
    <t>2000068870940</t>
  </si>
  <si>
    <t>TB602-60*60-viên</t>
  </si>
  <si>
    <t>2000180752490</t>
  </si>
  <si>
    <t>80x80 vân đen</t>
  </si>
  <si>
    <t>2000201524174</t>
  </si>
  <si>
    <t>Sen sứ + vòi sứ ( 1 cặp)</t>
  </si>
  <si>
    <t>BJ9-44YY87/118/5L</t>
  </si>
  <si>
    <t>2000026395485</t>
  </si>
  <si>
    <t>BJ9-44YY87/118/5L (Đặc biệt+5%)</t>
  </si>
  <si>
    <t>2000032424506</t>
  </si>
  <si>
    <t>chậu rửa tròn</t>
  </si>
  <si>
    <t>Tranh bộ YG 1118A - KT 1.6x2.4 (80x80)</t>
  </si>
  <si>
    <t>2000040083627</t>
  </si>
  <si>
    <t>Tranh bộ YG 1118A - KT 1.6x2.4 (2 hộp x3 viên)</t>
  </si>
  <si>
    <t>2000090081185</t>
  </si>
  <si>
    <t>Sen vòi trắng sứ ( Cặp)</t>
  </si>
  <si>
    <t>2000108890426</t>
  </si>
  <si>
    <t>Bộ thảm 1.6x2.4</t>
  </si>
  <si>
    <t>Ceramic N0366-1008 A1 - Viên</t>
  </si>
  <si>
    <t>2000171991327</t>
  </si>
  <si>
    <t>Gạch Ceramic N6-1008 A1 - Viên</t>
  </si>
  <si>
    <t>10046</t>
  </si>
  <si>
    <t>2000214249460</t>
  </si>
  <si>
    <t>CRB DS 2 hố đúc inox có hố rác ở giữa mã 10046</t>
  </si>
  <si>
    <t>CRB đúc 1 hố DUNKAL</t>
  </si>
  <si>
    <t>2000214249491</t>
  </si>
  <si>
    <t>F635-V</t>
  </si>
  <si>
    <t>2000025178867</t>
  </si>
  <si>
    <t>Gạch lát 60x60 F635-V</t>
  </si>
  <si>
    <t>F05-V</t>
  </si>
  <si>
    <t>2000025178935</t>
  </si>
  <si>
    <t>Ốp 30x45 F05-V</t>
  </si>
  <si>
    <t>V7315</t>
  </si>
  <si>
    <t>2000025186084</t>
  </si>
  <si>
    <t>Viền V7315</t>
  </si>
  <si>
    <t>CT310</t>
  </si>
  <si>
    <t>2000025408667</t>
  </si>
  <si>
    <t>Chống trơn 310</t>
  </si>
  <si>
    <t>GJ8B-25155/5L</t>
  </si>
  <si>
    <t>2000025586235</t>
  </si>
  <si>
    <t>Dulux wheathershield powerflexx bề mặt bóng - màu trắng 25155/5L</t>
  </si>
  <si>
    <t>BB/10kg</t>
  </si>
  <si>
    <t>2000025621875</t>
  </si>
  <si>
    <t>30RB53/117/1L</t>
  </si>
  <si>
    <t>2000025642016</t>
  </si>
  <si>
    <t>BJ9-30RB53/117/1L</t>
  </si>
  <si>
    <t>BJ9-30BB18/190/5L</t>
  </si>
  <si>
    <t>2000025758687</t>
  </si>
  <si>
    <t>BJ9-30BB18/190/5L (Đặc biệt)</t>
  </si>
  <si>
    <t>66A-50BG69/117/5L (base A -&gt;base B)</t>
  </si>
  <si>
    <t>2000025769140</t>
  </si>
  <si>
    <t>66A-50BG69/117/5L</t>
  </si>
  <si>
    <t>05YR15/555/1L (+60YY83/119)</t>
  </si>
  <si>
    <t>2000025901540</t>
  </si>
  <si>
    <t>05YR15/555/1L</t>
  </si>
  <si>
    <t>BJ9-76RR08/316/1L</t>
  </si>
  <si>
    <t>2000026060819</t>
  </si>
  <si>
    <t>V6504 - V</t>
  </si>
  <si>
    <t>2000026129646</t>
  </si>
  <si>
    <t>VI6504 - Viên</t>
  </si>
  <si>
    <t>2000026129660</t>
  </si>
  <si>
    <t>VI6504</t>
  </si>
  <si>
    <t>2000026177043</t>
  </si>
  <si>
    <t>a991-50yr55\201</t>
  </si>
  <si>
    <t>2000026177050</t>
  </si>
  <si>
    <t>Bj9-90yr43\101</t>
  </si>
  <si>
    <t>BJ9-22619/5L (vàng)</t>
  </si>
  <si>
    <t>2000026220602</t>
  </si>
  <si>
    <t>BJ9-22619/5L (Đặc biệt+5%)</t>
  </si>
  <si>
    <t>GJ8-90BG35/068/5L (Base A)</t>
  </si>
  <si>
    <t>2000026410966</t>
  </si>
  <si>
    <t>GJ8-90BG35/068/5L</t>
  </si>
  <si>
    <t>A991-74312/18L</t>
  </si>
  <si>
    <t>2000026468226</t>
  </si>
  <si>
    <t>66A-61YR60/282/1L</t>
  </si>
  <si>
    <t>2000026469001</t>
  </si>
  <si>
    <t>2000026665694</t>
  </si>
  <si>
    <t>A 901-BG0022\18L</t>
  </si>
  <si>
    <t>F3697 D - Viên</t>
  </si>
  <si>
    <t>2000026769767</t>
  </si>
  <si>
    <t>2000026775904</t>
  </si>
  <si>
    <t>bj9-30bb21\056\5l</t>
  </si>
  <si>
    <t>2000026820727</t>
  </si>
  <si>
    <t>bj9-30bb45\049\1l</t>
  </si>
  <si>
    <t>BJ9-60YY83/219/1L</t>
  </si>
  <si>
    <t>2000026829843</t>
  </si>
  <si>
    <t>2000026829850</t>
  </si>
  <si>
    <t>BJ9-90YR16/406/1L</t>
  </si>
  <si>
    <t>35yy86\117</t>
  </si>
  <si>
    <t>2000026831792</t>
  </si>
  <si>
    <t>mg bóng ngọc trai</t>
  </si>
  <si>
    <t>A991-13RR72/121/1L</t>
  </si>
  <si>
    <t>2000026848929</t>
  </si>
  <si>
    <t>80DB100-Nano-V</t>
  </si>
  <si>
    <t>2000026850885</t>
  </si>
  <si>
    <t>80DB100-Nano - Viên</t>
  </si>
  <si>
    <t>BNT-70BB73/035/5L</t>
  </si>
  <si>
    <t>2000026929390</t>
  </si>
  <si>
    <t>66A-21313L/5L</t>
  </si>
  <si>
    <t>2000026929444</t>
  </si>
  <si>
    <t>66A-50YY80/455/1L</t>
  </si>
  <si>
    <t>2000026929451</t>
  </si>
  <si>
    <t>LN</t>
  </si>
  <si>
    <t>2000026932406</t>
  </si>
  <si>
    <t>Lu nhỏ</t>
  </si>
  <si>
    <t>A991-10GY74/325/5L</t>
  </si>
  <si>
    <t>2000026944355</t>
  </si>
  <si>
    <t>79A-10BB64/052/18L</t>
  </si>
  <si>
    <t>2000026944447</t>
  </si>
  <si>
    <t>79A-10BB64/052/18L (Đặc biệt+8%)</t>
  </si>
  <si>
    <t>79A-10BB57/115/5L</t>
  </si>
  <si>
    <t>2000026944454</t>
  </si>
  <si>
    <t>79A-10BB57/115/5L (Đặc biệt+5%)</t>
  </si>
  <si>
    <t>CBX60x60</t>
  </si>
  <si>
    <t>2000026969761</t>
  </si>
  <si>
    <t>cước bốc xếp (60x60)</t>
  </si>
  <si>
    <t>BJ9-90YR38/239/5l</t>
  </si>
  <si>
    <t>2000026994077</t>
  </si>
  <si>
    <t>A991-12YY61/523/5L</t>
  </si>
  <si>
    <t>2000026994145</t>
  </si>
  <si>
    <t>A991-12YY61/523/5L(ĐB)</t>
  </si>
  <si>
    <t>79A-10BB64/052/5L</t>
  </si>
  <si>
    <t>2000027013074</t>
  </si>
  <si>
    <t>79A-10BB64/052/5L (Đặc biệt+5%)</t>
  </si>
  <si>
    <t>2000027055906</t>
  </si>
  <si>
    <t>a991-50bg76\090</t>
  </si>
  <si>
    <t>2000027055913</t>
  </si>
  <si>
    <t>vòi chậu 705</t>
  </si>
  <si>
    <t>2000027055944</t>
  </si>
  <si>
    <t>bệt 117 inax + chậu</t>
  </si>
  <si>
    <t>2000027056705</t>
  </si>
  <si>
    <t>a991-60yy83\219\5l</t>
  </si>
  <si>
    <t>BJ9-16BB41/268/1L</t>
  </si>
  <si>
    <t>2000027141555</t>
  </si>
  <si>
    <t>BJ9-44YY87/118L</t>
  </si>
  <si>
    <t>2000027151363</t>
  </si>
  <si>
    <t>BJ9-44YY87/118/1L(ĐB)</t>
  </si>
  <si>
    <t>66A-10GY79/231/5L</t>
  </si>
  <si>
    <t>2000027205554</t>
  </si>
  <si>
    <t>A901-10GY79/231/5L</t>
  </si>
  <si>
    <t>2000027205950</t>
  </si>
  <si>
    <t>66A-30RR74/058/5L</t>
  </si>
  <si>
    <t>2000027214556</t>
  </si>
  <si>
    <t>R-2888X-S</t>
  </si>
  <si>
    <t>2000027236206</t>
  </si>
  <si>
    <t>Bệt két rời Roy-2888X-S</t>
  </si>
  <si>
    <t>BJ9-00YY12/279/1L</t>
  </si>
  <si>
    <t>2000027347452</t>
  </si>
  <si>
    <t>BJ9-00YY12/279/1L(màu đậm)</t>
  </si>
  <si>
    <t>BJ9-30BB53/012/1L</t>
  </si>
  <si>
    <t>2000027355761</t>
  </si>
  <si>
    <t>66A-36YY66/349/5L</t>
  </si>
  <si>
    <t>2000027378258</t>
  </si>
  <si>
    <t>66A-36YY66/349/5L (màu đậm)</t>
  </si>
  <si>
    <t>A991-50BG76/090/18L</t>
  </si>
  <si>
    <t>2000027524839</t>
  </si>
  <si>
    <t>66A-56GG77/156/1L</t>
  </si>
  <si>
    <t>2000027524884</t>
  </si>
  <si>
    <t>SBN 75246/18L</t>
  </si>
  <si>
    <t>2000027524891</t>
  </si>
  <si>
    <t>Siêu bóng nội Mega 75246/18L</t>
  </si>
  <si>
    <t>A991-20YY83/075/18L</t>
  </si>
  <si>
    <t>2000027533862</t>
  </si>
  <si>
    <t>A991-70YR33/175/5L</t>
  </si>
  <si>
    <t>2000027533886</t>
  </si>
  <si>
    <t>BJ9-40BG70/146/5L</t>
  </si>
  <si>
    <t>2000027534128</t>
  </si>
  <si>
    <t>BJ9-18BG54/244/1L</t>
  </si>
  <si>
    <t>2000027534241</t>
  </si>
  <si>
    <t>A991-20YY83/075/5L</t>
  </si>
  <si>
    <t>2000027534326</t>
  </si>
  <si>
    <t>A991-35YY86/117/18L</t>
  </si>
  <si>
    <t>2000027543984</t>
  </si>
  <si>
    <t>BJ9-30BB46/124/5L</t>
  </si>
  <si>
    <t>2000027544950</t>
  </si>
  <si>
    <t>BJ9-30BB46/124/5L(Đặc biệt)</t>
  </si>
  <si>
    <t>BJ9-19YR14/629/1L</t>
  </si>
  <si>
    <t>2000027547104</t>
  </si>
  <si>
    <t>BJ9-19YR14/629/1L (Màu đậm)</t>
  </si>
  <si>
    <t>BJ9-90GG66/157/1L</t>
  </si>
  <si>
    <t>2000027620111</t>
  </si>
  <si>
    <t>2000027706372</t>
  </si>
  <si>
    <t>bj9-25yy27\441\5i</t>
  </si>
  <si>
    <t>BJ9-90BG56/088/5L</t>
  </si>
  <si>
    <t>2000027708086</t>
  </si>
  <si>
    <t>BJ9-90BG56/088/5L (Đặc biệt)</t>
  </si>
  <si>
    <t>BJ9-70YR18/184/1L</t>
  </si>
  <si>
    <t>2000027824601</t>
  </si>
  <si>
    <t>BJ9-98RR12/480/1L</t>
  </si>
  <si>
    <t>2000027932252</t>
  </si>
  <si>
    <t>BJ9-78YR39/593/1L</t>
  </si>
  <si>
    <t>2000028005092</t>
  </si>
  <si>
    <t>BJ9-78YR39/593/1L (màu đậm)</t>
  </si>
  <si>
    <t>2000028294458</t>
  </si>
  <si>
    <t>BJ9-30YY81/123/5L (Đặc biệt)</t>
  </si>
  <si>
    <t>BJ9-98YR65/333/5L</t>
  </si>
  <si>
    <t>2000028391867</t>
  </si>
  <si>
    <t>BJ9-98YR65/333/5L (Đặc biệt+ 8%)</t>
  </si>
  <si>
    <t>2000028574710</t>
  </si>
  <si>
    <t>Siêu bóng nội 86BG-43/321/5L</t>
  </si>
  <si>
    <t>BJ9-27088/1L</t>
  </si>
  <si>
    <t>2000028604653</t>
  </si>
  <si>
    <t>BJ9-27088/1L (Đặc biệt+5%)</t>
  </si>
  <si>
    <t>A991-70RR83/040/18L</t>
  </si>
  <si>
    <t>2000028632090</t>
  </si>
  <si>
    <t>2000028739522</t>
  </si>
  <si>
    <t>dung dịch keo dán gạch9(10)</t>
  </si>
  <si>
    <t>A991-44YY87/118/18L</t>
  </si>
  <si>
    <t>2000028750541</t>
  </si>
  <si>
    <t>A919-BB64052/18L</t>
  </si>
  <si>
    <t>2000028750626</t>
  </si>
  <si>
    <t>A919-BB64052/18L (Đặc biệt)</t>
  </si>
  <si>
    <t>BJ9-90BG16/060/5L</t>
  </si>
  <si>
    <t>2000028756895</t>
  </si>
  <si>
    <t>BJ9-90BG16/060/5L (màu đậm)</t>
  </si>
  <si>
    <t>BJ9-80YR16/193/1L</t>
  </si>
  <si>
    <t>2000028756918</t>
  </si>
  <si>
    <t>BJ9-50YR23/365/1L</t>
  </si>
  <si>
    <t>2000028901219</t>
  </si>
  <si>
    <t>BJ9-45YY69/614/5L</t>
  </si>
  <si>
    <t>2000028934873</t>
  </si>
  <si>
    <t>BJ9-45YY69/614/5L (Đặc biệt+15%)</t>
  </si>
  <si>
    <t>V7302 -  (dài 60)</t>
  </si>
  <si>
    <t>2000028953072</t>
  </si>
  <si>
    <t>Viền 7302 - dài 60cm</t>
  </si>
  <si>
    <t>BJ9-10YY46/515/1L</t>
  </si>
  <si>
    <t>2000028965303</t>
  </si>
  <si>
    <t>2000028965518</t>
  </si>
  <si>
    <t>A991-03RB63/122/1L</t>
  </si>
  <si>
    <t>A991-60YY77/332/1L</t>
  </si>
  <si>
    <t>2000028976163</t>
  </si>
  <si>
    <t>A991-61YY89/040/18L</t>
  </si>
  <si>
    <t>2000029064203</t>
  </si>
  <si>
    <t>66A-50YR83/035/1L</t>
  </si>
  <si>
    <t>2000029096020</t>
  </si>
  <si>
    <t>66A-90RR08/311/1L</t>
  </si>
  <si>
    <t>2000029151729</t>
  </si>
  <si>
    <t>66A-96RR08/311/1L</t>
  </si>
  <si>
    <t>66A-50BG74/130/1L</t>
  </si>
  <si>
    <t>2000029159732</t>
  </si>
  <si>
    <t>66A-13RR728/121/1L</t>
  </si>
  <si>
    <t>2000029159923</t>
  </si>
  <si>
    <t>66A-69RB70/114/1L</t>
  </si>
  <si>
    <t>2000029160035</t>
  </si>
  <si>
    <t>66A-60YY83/156/1L</t>
  </si>
  <si>
    <t>2000029160042</t>
  </si>
  <si>
    <t>BJ9-30GG18/450/1L</t>
  </si>
  <si>
    <t>2000029212376</t>
  </si>
  <si>
    <t>BJ9-30GG18/450/1L (Đặc biệt+5%)</t>
  </si>
  <si>
    <t>BJ9-10BB11/126/1L</t>
  </si>
  <si>
    <t>2000029214035</t>
  </si>
  <si>
    <t>BJ9-10BB11/126/1L (Đặc biệt+8%)</t>
  </si>
  <si>
    <t>2000029220937</t>
  </si>
  <si>
    <t>CT3616D</t>
  </si>
  <si>
    <t>BJ9-60YY48/748/1L</t>
  </si>
  <si>
    <t>2000029228759</t>
  </si>
  <si>
    <t>BJ9-60YY48/748/1L (Đặc biệt+12%)</t>
  </si>
  <si>
    <t>BJ9-60YY59/604/5L</t>
  </si>
  <si>
    <t>2000029243967</t>
  </si>
  <si>
    <t>BJ9-60YY59/604/5L(Đặc biệt)</t>
  </si>
  <si>
    <t>A991-70YR49/332/1L</t>
  </si>
  <si>
    <t>2000029263507</t>
  </si>
  <si>
    <t>BJ9-53YY83/348/5L</t>
  </si>
  <si>
    <t>2000029263514</t>
  </si>
  <si>
    <t>BJ9-53YY83/348/5L (ĐẶc biệt+10%)</t>
  </si>
  <si>
    <t>BJ9-06YY49/797/1L</t>
  </si>
  <si>
    <t>2000029264788</t>
  </si>
  <si>
    <t>BJ9-06YY49/797/1L (màu đậm)</t>
  </si>
  <si>
    <t>A991-51YR83/054/5L</t>
  </si>
  <si>
    <t>2000029419799</t>
  </si>
  <si>
    <t>2000029487507</t>
  </si>
  <si>
    <t>bj9-39yy85\156\5l</t>
  </si>
  <si>
    <t>2000029514388</t>
  </si>
  <si>
    <t>mg bóng ngoài trời(18l)</t>
  </si>
  <si>
    <t>BJ9-25YY83/103/5L</t>
  </si>
  <si>
    <t>2000029514845</t>
  </si>
  <si>
    <t>bj9-30bb54\120\5l</t>
  </si>
  <si>
    <t>2000029532177</t>
  </si>
  <si>
    <t>bj9-30bb54\120\5l(giá ĐB+5%)</t>
  </si>
  <si>
    <t>BJ9-10BB73/039/5L</t>
  </si>
  <si>
    <t>2000029545092</t>
  </si>
  <si>
    <t>2000029553202</t>
  </si>
  <si>
    <t>BJ9-01YY36\694\1L</t>
  </si>
  <si>
    <t>2000029563928</t>
  </si>
  <si>
    <t>BJ9-23308L/5L</t>
  </si>
  <si>
    <t>2000029581533</t>
  </si>
  <si>
    <t>bj9-60yr40\297\5l</t>
  </si>
  <si>
    <t>BU01-05</t>
  </si>
  <si>
    <t>2000029581540</t>
  </si>
  <si>
    <t>Vòi xịt mạ Bu01-50</t>
  </si>
  <si>
    <t>A901-YY0020/18L</t>
  </si>
  <si>
    <t>2000029600937</t>
  </si>
  <si>
    <t>BJ9-90BG30/073/5L</t>
  </si>
  <si>
    <t>2000029668036</t>
  </si>
  <si>
    <t>2000029675942</t>
  </si>
  <si>
    <t>BJ9-80YR17/406/5L (đậm)</t>
  </si>
  <si>
    <t>MG min 2741-P/4L</t>
  </si>
  <si>
    <t>2000029737275</t>
  </si>
  <si>
    <t>2000029737367</t>
  </si>
  <si>
    <t>A991-73408/1L</t>
  </si>
  <si>
    <t>2000029738234</t>
  </si>
  <si>
    <t>BJ9-90BG17/090/5L</t>
  </si>
  <si>
    <t>2000029780929</t>
  </si>
  <si>
    <t>td 2120n(vòi rửa bát nl)</t>
  </si>
  <si>
    <t>2000029781056</t>
  </si>
  <si>
    <t>bình feroli 30l</t>
  </si>
  <si>
    <t>2000029781223</t>
  </si>
  <si>
    <t>bj9-78yr39\593\1l</t>
  </si>
  <si>
    <t>2000029807701</t>
  </si>
  <si>
    <t>MG 9031/18L</t>
  </si>
  <si>
    <t>2000029988325</t>
  </si>
  <si>
    <t>bj9-22295\1l</t>
  </si>
  <si>
    <t>2000029988332</t>
  </si>
  <si>
    <t>bj9-22299\1l</t>
  </si>
  <si>
    <t>66A-70RB83/021/1L</t>
  </si>
  <si>
    <t>2000030145281</t>
  </si>
  <si>
    <t>HI-COVER-75485/5L</t>
  </si>
  <si>
    <t>2000030197150</t>
  </si>
  <si>
    <t>SMOOTH-75480/18L</t>
  </si>
  <si>
    <t>2000030197266</t>
  </si>
  <si>
    <t>48C-75450/18L</t>
  </si>
  <si>
    <t>2000030197594</t>
  </si>
  <si>
    <t>Lót ngoài 48C-75450/18L</t>
  </si>
  <si>
    <t>66A-70GY74/173/1L</t>
  </si>
  <si>
    <t>2000030220780</t>
  </si>
  <si>
    <t>2000030268584</t>
  </si>
  <si>
    <t>bj9-71761/5l(màu đặc biệt)</t>
  </si>
  <si>
    <t>Tranh h/quả</t>
  </si>
  <si>
    <t>2000030436808</t>
  </si>
  <si>
    <t>Bộ tranh hoa quả</t>
  </si>
  <si>
    <t>2000030751369</t>
  </si>
  <si>
    <t>a991-60yy83\156\1l</t>
  </si>
  <si>
    <t>2000030783438</t>
  </si>
  <si>
    <t>79aa-38yy81\156\5l</t>
  </si>
  <si>
    <t>2000030830460</t>
  </si>
  <si>
    <t>66a-50yy83\029\1l</t>
  </si>
  <si>
    <t>2000030830477</t>
  </si>
  <si>
    <t>66a-30gy\83\043\1l</t>
  </si>
  <si>
    <t>2000030832525</t>
  </si>
  <si>
    <t>tranh 2.1 * 2,3</t>
  </si>
  <si>
    <t>2000031164649</t>
  </si>
  <si>
    <t>bj9-50yr15\377\5l</t>
  </si>
  <si>
    <t>2000031180168</t>
  </si>
  <si>
    <t>bj9-30rr61/195/5l</t>
  </si>
  <si>
    <t>2000031225364</t>
  </si>
  <si>
    <t>mg-bóng ngọc trai-90bg42\106\5l</t>
  </si>
  <si>
    <t>2000031225388</t>
  </si>
  <si>
    <t>mg-siêu bóng nội -70rb36/156/5l</t>
  </si>
  <si>
    <t>2000031225395</t>
  </si>
  <si>
    <t>mg-siêu bóng nội-70rb36\156/1l</t>
  </si>
  <si>
    <t>2000031225418</t>
  </si>
  <si>
    <t>mg-hợp kim-8002\5l (màu đậm)</t>
  </si>
  <si>
    <t>2000031225425</t>
  </si>
  <si>
    <t>mg-bóng ngọc trai-8008/5l</t>
  </si>
  <si>
    <t>2000031225449</t>
  </si>
  <si>
    <t>bj9-40yy70\138\1l</t>
  </si>
  <si>
    <t>2000031225531</t>
  </si>
  <si>
    <t>bj9-39yr11/342/1l</t>
  </si>
  <si>
    <t>2000031225562</t>
  </si>
  <si>
    <t>bj9-30yy67/084/5l</t>
  </si>
  <si>
    <t>2000031225579</t>
  </si>
  <si>
    <t>66a-30yy67/084/1l</t>
  </si>
  <si>
    <t>2000031225593</t>
  </si>
  <si>
    <t>bj9-10yy64\048\1l</t>
  </si>
  <si>
    <t>2000031225623</t>
  </si>
  <si>
    <t>bj9-10yr64\048/1l</t>
  </si>
  <si>
    <t>2000031225739</t>
  </si>
  <si>
    <t>bj9-10yr49\082\1l</t>
  </si>
  <si>
    <t>2000031225951</t>
  </si>
  <si>
    <t>GJ8-90BG48/057/1L</t>
  </si>
  <si>
    <t>2000031227672</t>
  </si>
  <si>
    <t>66A-70BG70/117/1L</t>
  </si>
  <si>
    <t>2000031227788</t>
  </si>
  <si>
    <t>BJ9-50BG30/235/1L</t>
  </si>
  <si>
    <t>2000031227856</t>
  </si>
  <si>
    <t>66A-50RR76\062/5L</t>
  </si>
  <si>
    <t>2000031230832</t>
  </si>
  <si>
    <t>MG-BÓNG NGỌC TRAI -9045/18L</t>
  </si>
  <si>
    <t>2000031231259</t>
  </si>
  <si>
    <t>66A-30BG33\207\1L</t>
  </si>
  <si>
    <t>2000031231273</t>
  </si>
  <si>
    <t>MG-BÓNG NGỌC TRAI-50BG6\090\5L</t>
  </si>
  <si>
    <t>2000031231532</t>
  </si>
  <si>
    <t>MG-BNT-66A01BB69/098/5L</t>
  </si>
  <si>
    <t>2000031231761</t>
  </si>
  <si>
    <t>BJ9-30BB53\012\5L</t>
  </si>
  <si>
    <t>2000031248707</t>
  </si>
  <si>
    <t>66A-40YY75/216/5L</t>
  </si>
  <si>
    <t>2000031249780</t>
  </si>
  <si>
    <t>66A-45YY67/120/5L</t>
  </si>
  <si>
    <t>2000031253879</t>
  </si>
  <si>
    <t>66A-40YY75/216/1L</t>
  </si>
  <si>
    <t>2000031254470</t>
  </si>
  <si>
    <t>MG-BNT-38YY81/256/5L</t>
  </si>
  <si>
    <t>2000031267951</t>
  </si>
  <si>
    <t>A901-10GY40/296/5L</t>
  </si>
  <si>
    <t>2000031268026</t>
  </si>
  <si>
    <t>BJ9-30GY27/514/1L</t>
  </si>
  <si>
    <t>2000031286679</t>
  </si>
  <si>
    <t>bj9-90yr43\101\1l</t>
  </si>
  <si>
    <t>2000031287133</t>
  </si>
  <si>
    <t>MG-BNT-40YY83\129\5L</t>
  </si>
  <si>
    <t>2000031287164</t>
  </si>
  <si>
    <t>66A-60YR40\423\1L</t>
  </si>
  <si>
    <t>2000031287454</t>
  </si>
  <si>
    <t>BJ9-50GY52\263\1L</t>
  </si>
  <si>
    <t>2000031287669</t>
  </si>
  <si>
    <t>BJ9-04YR11/537/1L</t>
  </si>
  <si>
    <t>2000031287775</t>
  </si>
  <si>
    <t>A901-74071\5L</t>
  </si>
  <si>
    <t>2000031287799</t>
  </si>
  <si>
    <t>MG-BNT-30BB63\084\5L</t>
  </si>
  <si>
    <t>2000031289113</t>
  </si>
  <si>
    <t>bj9-10bb07\150\1l (đb + 5%)</t>
  </si>
  <si>
    <t>2000031289144</t>
  </si>
  <si>
    <t>bj9-70bg47\182\5l</t>
  </si>
  <si>
    <t>2000031290850</t>
  </si>
  <si>
    <t>74a-73409/1</t>
  </si>
  <si>
    <t>2000031291246</t>
  </si>
  <si>
    <t>a991-50yr55\201/1l</t>
  </si>
  <si>
    <t>2000031291253</t>
  </si>
  <si>
    <t>bj9-90yr43/101\1l</t>
  </si>
  <si>
    <t>2000031294520</t>
  </si>
  <si>
    <t>MG-BNT-70BB73\035/5L</t>
  </si>
  <si>
    <t>2000031336220</t>
  </si>
  <si>
    <t>bj9-70bg67\126\1l</t>
  </si>
  <si>
    <t>2000031336473</t>
  </si>
  <si>
    <t>bj9-30bg37/110/1l</t>
  </si>
  <si>
    <t>2000031336480</t>
  </si>
  <si>
    <t>bj9-50bg62/133/5l</t>
  </si>
  <si>
    <t>2000031337418</t>
  </si>
  <si>
    <t>MG-SIÊU BÓNG NỘI-06GB76\056/5L</t>
  </si>
  <si>
    <t>2000031339245</t>
  </si>
  <si>
    <t>A991-90GG57\146\1L</t>
  </si>
  <si>
    <t>2000031353548</t>
  </si>
  <si>
    <t>MG-BÓNG NGOÀI TRỜI-70335/18L</t>
  </si>
  <si>
    <t>2000031534954</t>
  </si>
  <si>
    <t>a991-70gy83/100/1l</t>
  </si>
  <si>
    <t>2000032193785</t>
  </si>
  <si>
    <t>bj9-00nn5/000/5l</t>
  </si>
  <si>
    <t>2000032517437</t>
  </si>
  <si>
    <t>bj9-37yy61/867/5l</t>
  </si>
  <si>
    <t>2000032573808</t>
  </si>
  <si>
    <t>a991-90gy54/334/18l</t>
  </si>
  <si>
    <t>2000032845172</t>
  </si>
  <si>
    <t>bj9-10bb57/115/1l</t>
  </si>
  <si>
    <t>2000032845189</t>
  </si>
  <si>
    <t>bj9-10bb30/203/1l</t>
  </si>
  <si>
    <t>2000033126591</t>
  </si>
  <si>
    <t>66a-35yy74/732/5l</t>
  </si>
  <si>
    <t>2000033227106</t>
  </si>
  <si>
    <t>bj9-50rr83\040\5l</t>
  </si>
  <si>
    <t>2000033277316</t>
  </si>
  <si>
    <t>bj9-72yy07/173/1l</t>
  </si>
  <si>
    <t>66A50BG76/009/1L</t>
  </si>
  <si>
    <t>2000033548379</t>
  </si>
  <si>
    <t>BJ9-35YY78/269/1L</t>
  </si>
  <si>
    <t>2000033643333</t>
  </si>
  <si>
    <t>2000034451036</t>
  </si>
  <si>
    <t>bj9-50yr15\243\1l</t>
  </si>
  <si>
    <t>BJ9-62BB08/369/5L</t>
  </si>
  <si>
    <t>2000034862887</t>
  </si>
  <si>
    <t>BJ9-80YR28/650/1L</t>
  </si>
  <si>
    <t>2000034862900</t>
  </si>
  <si>
    <t>BJ9-30BB33/163/5L (đặc biệt)</t>
  </si>
  <si>
    <t>2000034863242</t>
  </si>
  <si>
    <t>66A30YR12/122/1L</t>
  </si>
  <si>
    <t>2000034896011</t>
  </si>
  <si>
    <t>Bộ ốc vít treo chậu Roy</t>
  </si>
  <si>
    <t>2000035184995</t>
  </si>
  <si>
    <t>BJ9-01YR07/180/1L</t>
  </si>
  <si>
    <t>2000035395650</t>
  </si>
  <si>
    <t>GJ8-30BB-08/263/5L</t>
  </si>
  <si>
    <t>2000035395711</t>
  </si>
  <si>
    <t>2000035416904</t>
  </si>
  <si>
    <t>bj9-30yr14\365\1l</t>
  </si>
  <si>
    <t>2000035416911</t>
  </si>
  <si>
    <t>bj9-40yy65\263\1l</t>
  </si>
  <si>
    <t>2000035417086</t>
  </si>
  <si>
    <t>66a-10gy83\100\1l</t>
  </si>
  <si>
    <t>BJ9-40YY65/263/5L</t>
  </si>
  <si>
    <t>2000035483777</t>
  </si>
  <si>
    <t>66A-33RR74/111/5L</t>
  </si>
  <si>
    <t>2000036148408</t>
  </si>
  <si>
    <t>BJ9-00NN05/000/5L ( màu đậm)</t>
  </si>
  <si>
    <t>2000036504037</t>
  </si>
  <si>
    <t>BJ9-00NN5/000/5L ( màu đậm)</t>
  </si>
  <si>
    <t>2000036732072</t>
  </si>
  <si>
    <t>79a-40yy65\263\18l</t>
  </si>
  <si>
    <t>Vòi chậu rửa mặt</t>
  </si>
  <si>
    <t>2000036957338</t>
  </si>
  <si>
    <t>Sen liền vòi ( chậu rửa mặt - đầy đủ phụ kiện)</t>
  </si>
  <si>
    <t>Chậu 285 innax</t>
  </si>
  <si>
    <t>2000036961687</t>
  </si>
  <si>
    <t>2000037180124</t>
  </si>
  <si>
    <t>mg-3077\4l(ngoai that)</t>
  </si>
  <si>
    <t>2000037180131</t>
  </si>
  <si>
    <t>mg-3080\4l(ngoai that)</t>
  </si>
  <si>
    <t>66A 90YY83/071/1L</t>
  </si>
  <si>
    <t>2000037181459</t>
  </si>
  <si>
    <t>2000037542441</t>
  </si>
  <si>
    <t>66a-50gg83\034\1l</t>
  </si>
  <si>
    <t>2000037542458</t>
  </si>
  <si>
    <t>66a-90gg83\069\1l</t>
  </si>
  <si>
    <t>C07</t>
  </si>
  <si>
    <t>2000037587541</t>
  </si>
  <si>
    <t>Gạch 30x45 C07</t>
  </si>
  <si>
    <t>66A-80YY 81/230/1L</t>
  </si>
  <si>
    <t>2000037895196</t>
  </si>
  <si>
    <t>A991 10GY 40/296/5L</t>
  </si>
  <si>
    <t>2000037895257</t>
  </si>
  <si>
    <t>BJ9-10GG66/098/1L</t>
  </si>
  <si>
    <t>2000037931122</t>
  </si>
  <si>
    <t>A991-60YY71/409/5L</t>
  </si>
  <si>
    <t>2000038046573</t>
  </si>
  <si>
    <t>BJ9-70BG44/129/5L ( màu đặc biệt +5%)</t>
  </si>
  <si>
    <t>2000038313163</t>
  </si>
  <si>
    <t>66A25YY78/255/5L</t>
  </si>
  <si>
    <t>2000038313187</t>
  </si>
  <si>
    <t>2000038347861</t>
  </si>
  <si>
    <t>bj9-50yy77/285/5l</t>
  </si>
  <si>
    <t>BJ9-50YY60/538/1L</t>
  </si>
  <si>
    <t>2000038416475</t>
  </si>
  <si>
    <t>BJ9 70BG44/129/1L ( màu đặc biệt +5%)</t>
  </si>
  <si>
    <t>2000038749306</t>
  </si>
  <si>
    <t>66A-10GY 83/075/1L</t>
  </si>
  <si>
    <t>2000038830486</t>
  </si>
  <si>
    <t>BJ9-19BG 61/207/1L ( ĐB +10%)</t>
  </si>
  <si>
    <t>2000039332088</t>
  </si>
  <si>
    <t>Bệt ấn HC</t>
  </si>
  <si>
    <t>2000039588447</t>
  </si>
  <si>
    <t>Vòi Rb cắm tường kép</t>
  </si>
  <si>
    <t>2000040438526</t>
  </si>
  <si>
    <t>Sơn mịn ngoài 2938 A/18L</t>
  </si>
  <si>
    <t>2000040490111</t>
  </si>
  <si>
    <t>Sơn mịn ngoài 2938 A/18L ( màu đậm + 20% màu)</t>
  </si>
  <si>
    <t>mg-bnt-18/l</t>
  </si>
  <si>
    <t>2000041019519</t>
  </si>
  <si>
    <t>meag bóng ngọc trai -3080/18l</t>
  </si>
  <si>
    <t>BJ9-40YY46/587/5L ( rất đặc biệt)</t>
  </si>
  <si>
    <t>2000041097463</t>
  </si>
  <si>
    <t>66A-72119/5L</t>
  </si>
  <si>
    <t>2000041097500</t>
  </si>
  <si>
    <t>BJ9-66BG68/157/1L</t>
  </si>
  <si>
    <t>2000041381647</t>
  </si>
  <si>
    <t>79A - 76554/18L</t>
  </si>
  <si>
    <t>2000041628711</t>
  </si>
  <si>
    <t>A991 - 15330/5L</t>
  </si>
  <si>
    <t>2000041628735</t>
  </si>
  <si>
    <t>66A-90BG22/432/5L</t>
  </si>
  <si>
    <t>2000041628827</t>
  </si>
  <si>
    <t>BJ9 99BG22/432/5L</t>
  </si>
  <si>
    <t>2000041780228</t>
  </si>
  <si>
    <t>2000041782918</t>
  </si>
  <si>
    <t>66a-74bg61/206/1</t>
  </si>
  <si>
    <t>2000041782932</t>
  </si>
  <si>
    <t>66a-10gy79/231/1l</t>
  </si>
  <si>
    <t>2000041783397</t>
  </si>
  <si>
    <t>bj9-10yr10/151/1l</t>
  </si>
  <si>
    <t>BJ9 -50GG23/085/5L</t>
  </si>
  <si>
    <t>2000041856657</t>
  </si>
  <si>
    <t>2000041857173</t>
  </si>
  <si>
    <t>A991-76876/5l</t>
  </si>
  <si>
    <t>2000041857319</t>
  </si>
  <si>
    <t>a991-73106/5l</t>
  </si>
  <si>
    <t>2000041857470</t>
  </si>
  <si>
    <t>a991-42rb53/176/1l</t>
  </si>
  <si>
    <t>Bình Ariton ngang /30 lít</t>
  </si>
  <si>
    <t>2000042276454</t>
  </si>
  <si>
    <t>Sc RSW14</t>
  </si>
  <si>
    <t>2000042344184</t>
  </si>
  <si>
    <t>sen cây RSW14 (đầy đủ phụ kiện)</t>
  </si>
  <si>
    <t>VN 4447-viên</t>
  </si>
  <si>
    <t>2000042411657</t>
  </si>
  <si>
    <t>gạch cẩm bình 40*40-4447-viên</t>
  </si>
  <si>
    <t>BJ9 10GY33/525/1L</t>
  </si>
  <si>
    <t>2000042843854</t>
  </si>
  <si>
    <t>MG mịn ngoại 3078/4L</t>
  </si>
  <si>
    <t>2000042911751</t>
  </si>
  <si>
    <t>bj9-10gg23/485/1l</t>
  </si>
  <si>
    <t>2000043096013</t>
  </si>
  <si>
    <t>BJ9 10GG23/485/1lít</t>
  </si>
  <si>
    <t>sơn Mega mịn 3063/4L</t>
  </si>
  <si>
    <t>2000043191459</t>
  </si>
  <si>
    <t>Sơn mega mịn 3070/4L</t>
  </si>
  <si>
    <t>2000043191466</t>
  </si>
  <si>
    <t>BJ9-90BG55/051/5L</t>
  </si>
  <si>
    <t>2000043192869</t>
  </si>
  <si>
    <t>A991-10BB73/039/18L</t>
  </si>
  <si>
    <t>2000043192951</t>
  </si>
  <si>
    <t>Chậu 2 hố Tân Á</t>
  </si>
  <si>
    <t>2000043240720</t>
  </si>
  <si>
    <t>BJ9 - (5L) + 5% màu</t>
  </si>
  <si>
    <t>2000043277917</t>
  </si>
  <si>
    <t>BJ9-50YY83/144/1L</t>
  </si>
  <si>
    <t>2000043279911</t>
  </si>
  <si>
    <t>BJ9-60YR30/094/1L</t>
  </si>
  <si>
    <t>2000043279928</t>
  </si>
  <si>
    <t>VI763 - Viên</t>
  </si>
  <si>
    <t>2000043854248</t>
  </si>
  <si>
    <t>Gạch lát VI763 - Viên</t>
  </si>
  <si>
    <t>BJ9-00YY23/557/1L</t>
  </si>
  <si>
    <t>2000043988417</t>
  </si>
  <si>
    <t>Sơn nội thất bóng cao cấp 092 - 2/5L</t>
  </si>
  <si>
    <t>2000044051523</t>
  </si>
  <si>
    <t>BJ9 50BG 44/184/5L</t>
  </si>
  <si>
    <t>2000044389428</t>
  </si>
  <si>
    <t>2000044730657</t>
  </si>
  <si>
    <t>Nội thất bóng cao cấp 087-2/5L</t>
  </si>
  <si>
    <t>2000044730664</t>
  </si>
  <si>
    <t>Màu chỉ 087-4/1L</t>
  </si>
  <si>
    <t>Bệt gạt Viglacera + chậu + giá đỡ</t>
  </si>
  <si>
    <t>2000044816313</t>
  </si>
  <si>
    <t>6505 - Viên</t>
  </si>
  <si>
    <t>2000044833150</t>
  </si>
  <si>
    <t>Gạch 60x60 - 6505 - Viên</t>
  </si>
  <si>
    <t>Tranh 3D ( 1m2 x1m8)</t>
  </si>
  <si>
    <t>2000045000056</t>
  </si>
  <si>
    <t>màu 086-1/18L - Roma</t>
  </si>
  <si>
    <t>2000045028685</t>
  </si>
  <si>
    <t>Bóng nội thất cao cấp - màu 086-1/18L</t>
  </si>
  <si>
    <t>VN56 - viên</t>
  </si>
  <si>
    <t>2000045146303</t>
  </si>
  <si>
    <t>2000045236578</t>
  </si>
  <si>
    <t>Sơn nội thất bóng cao cấp 116-2</t>
  </si>
  <si>
    <t>chậu gương bàn</t>
  </si>
  <si>
    <t>2000045240551</t>
  </si>
  <si>
    <t>chậu gương bàn karat</t>
  </si>
  <si>
    <t>2000045641914</t>
  </si>
  <si>
    <t>bj9- 10gg51\125\1l</t>
  </si>
  <si>
    <t>68885</t>
  </si>
  <si>
    <t>2000045825444</t>
  </si>
  <si>
    <t>Sen vòi lavabo 2 lỗ 68885</t>
  </si>
  <si>
    <t>68995</t>
  </si>
  <si>
    <t>2000045825451</t>
  </si>
  <si>
    <t>Sen tắm thường 68995</t>
  </si>
  <si>
    <t>KR-5071</t>
  </si>
  <si>
    <t>2000045825468</t>
  </si>
  <si>
    <t>Gương vuông thường</t>
  </si>
  <si>
    <t>14700</t>
  </si>
  <si>
    <t>2000045825475</t>
  </si>
  <si>
    <t>Bộ vòi xịt nhựa tim đồng</t>
  </si>
  <si>
    <t>9001</t>
  </si>
  <si>
    <t>2000045825482</t>
  </si>
  <si>
    <t>Đầu xi phông nhấn có lỗ</t>
  </si>
  <si>
    <t>UTS605 - Viên</t>
  </si>
  <si>
    <t>2000045899711</t>
  </si>
  <si>
    <t>SVS-501 - Viên</t>
  </si>
  <si>
    <t>2000045900202</t>
  </si>
  <si>
    <t>Sân vườn SVS-501 - Viên</t>
  </si>
  <si>
    <t>2000045943605</t>
  </si>
  <si>
    <t>ngoại thất hoàn hảo 182-6/1L</t>
  </si>
  <si>
    <t>Kross 2098</t>
  </si>
  <si>
    <t>2000045986251</t>
  </si>
  <si>
    <t>bệt Két liền KROSS 2098</t>
  </si>
  <si>
    <t>Nội thất bóng cao cấp 137-5/1L</t>
  </si>
  <si>
    <t>2000045986268</t>
  </si>
  <si>
    <t>1005 - 100*100*D60-D76</t>
  </si>
  <si>
    <t>2000045991934</t>
  </si>
  <si>
    <t>thoát sàn 1005</t>
  </si>
  <si>
    <t>2000045995376</t>
  </si>
  <si>
    <t>A991 - 29YY84/067/5L</t>
  </si>
  <si>
    <t>2000045995567</t>
  </si>
  <si>
    <t>A991-70GY/74/149/5L</t>
  </si>
  <si>
    <t>2000046115612</t>
  </si>
  <si>
    <t>79A-25yy70\365\18l</t>
  </si>
  <si>
    <t>2000046115872</t>
  </si>
  <si>
    <t>bj9-16yr16\594\1l</t>
  </si>
  <si>
    <t>2000046317719</t>
  </si>
  <si>
    <t>Bộ sen ( đầy đủ phụ kiện)</t>
  </si>
  <si>
    <t>2000048603711</t>
  </si>
  <si>
    <t>bộ tranh 30x60 - 6 viên</t>
  </si>
  <si>
    <t>2000048603728</t>
  </si>
  <si>
    <t>Bộ tranh 30x45</t>
  </si>
  <si>
    <t>tranh 60*2m4</t>
  </si>
  <si>
    <t>2000049088074</t>
  </si>
  <si>
    <t>tranh ngựa 60*2m4</t>
  </si>
  <si>
    <t>2000049535851</t>
  </si>
  <si>
    <t>Tranh 1.2x1.8 YG1808</t>
  </si>
  <si>
    <t>2000049915325</t>
  </si>
  <si>
    <t>MG Siêu bóng ngoại thất /5L</t>
  </si>
  <si>
    <t>2000050844607</t>
  </si>
  <si>
    <t>A991/18L - 76245</t>
  </si>
  <si>
    <t>2000051006950</t>
  </si>
  <si>
    <t>A991-13RR72/121/18L</t>
  </si>
  <si>
    <t>2000051007018</t>
  </si>
  <si>
    <t>A991-90YY83/071/18L</t>
  </si>
  <si>
    <t>2000051304629</t>
  </si>
  <si>
    <t>BJ9/50GY69/306/5L ( màu đậm + 10% tiền màu)</t>
  </si>
  <si>
    <t>2000051304636</t>
  </si>
  <si>
    <t>BJ9/57GY28/292/1L</t>
  </si>
  <si>
    <t>2000051304643</t>
  </si>
  <si>
    <t>BJ9/50GY69/306/1L</t>
  </si>
  <si>
    <t>2000052109384</t>
  </si>
  <si>
    <t>BJ9/77YR26/391/1L</t>
  </si>
  <si>
    <t>Eco 621-v</t>
  </si>
  <si>
    <t>2000052241244</t>
  </si>
  <si>
    <t>gạch Eco 621 -viên</t>
  </si>
  <si>
    <t>2000052356115</t>
  </si>
  <si>
    <t>Bệt HC 2 ấn</t>
  </si>
  <si>
    <t>2000052356726</t>
  </si>
  <si>
    <t>GJ8-24YY82/118/5L</t>
  </si>
  <si>
    <t>2000052356795</t>
  </si>
  <si>
    <t>GJ8-70YY18/152/5L</t>
  </si>
  <si>
    <t>2000052571495</t>
  </si>
  <si>
    <t>MG bóng nội thất /2038</t>
  </si>
  <si>
    <t>2000052940017</t>
  </si>
  <si>
    <t>MG sơn chống thấm 4L</t>
  </si>
  <si>
    <t>2000052940710</t>
  </si>
  <si>
    <t>MG chống kiềm ngoại thất đa năng/4L</t>
  </si>
  <si>
    <t>2000053118330</t>
  </si>
  <si>
    <t>66A ( tầng 1)/5L</t>
  </si>
  <si>
    <t>2000053220071</t>
  </si>
  <si>
    <t>Tranh phong cảnh (2.1x1.22m)</t>
  </si>
  <si>
    <t>2000053226264</t>
  </si>
  <si>
    <t>MG siêu bóng nội 2003/5L</t>
  </si>
  <si>
    <t>66A-60YY 83/156/5l</t>
  </si>
  <si>
    <t>2000053252904</t>
  </si>
  <si>
    <t>66A-60YY 83/156/5 lít _dulux</t>
  </si>
  <si>
    <t>2000053469210</t>
  </si>
  <si>
    <t>BJ9- 90YY48/500/5L ( màu đặc biệt)</t>
  </si>
  <si>
    <t>2000054389272</t>
  </si>
  <si>
    <t>maxilite màu ngoài trời/5L</t>
  </si>
  <si>
    <t>2000054405620</t>
  </si>
  <si>
    <t>maxilite lót ngoại /5L</t>
  </si>
  <si>
    <t>2000054894868</t>
  </si>
  <si>
    <t>BJ9-70YY83/037/5L</t>
  </si>
  <si>
    <t>2000056101087</t>
  </si>
  <si>
    <t>ECO626 - Viên</t>
  </si>
  <si>
    <t>MG hợp kim 71744/5l</t>
  </si>
  <si>
    <t>2000056228876</t>
  </si>
  <si>
    <t>Mega hợp kim 71744/ 5 lít</t>
  </si>
  <si>
    <t>66A-27YY78/255/5l</t>
  </si>
  <si>
    <t>2000056566770</t>
  </si>
  <si>
    <t>66A-27YY78/255/5 lít</t>
  </si>
  <si>
    <t>2000056601006</t>
  </si>
  <si>
    <t>bệt innax</t>
  </si>
  <si>
    <t>2000056927632</t>
  </si>
  <si>
    <t>BJ9-25YY81/177/5L</t>
  </si>
  <si>
    <t>2000057202813</t>
  </si>
  <si>
    <t>Vòi chậu đơn</t>
  </si>
  <si>
    <t>2000057695158</t>
  </si>
  <si>
    <t>Tranh hoa KT 80x1.6m</t>
  </si>
  <si>
    <t>2000057695165</t>
  </si>
  <si>
    <t>Tranh KT 60x1.2m</t>
  </si>
  <si>
    <t>2000057838005</t>
  </si>
  <si>
    <t>Roma lót ngoại /18L (kho Đông A)</t>
  </si>
  <si>
    <t>Roma chống kiềm ngoại/18L (kho Đông A)</t>
  </si>
  <si>
    <t>2000057878674</t>
  </si>
  <si>
    <t>Roma chống kiềm ngoại/18L</t>
  </si>
  <si>
    <t>2000058056569</t>
  </si>
  <si>
    <t>Vòi rửa bát Roy KF28-924-50</t>
  </si>
  <si>
    <t>Roma nội thất bóng /18L ( kho Đông A)</t>
  </si>
  <si>
    <t>2000058180899</t>
  </si>
  <si>
    <t>Roma nội thất bóng /18L</t>
  </si>
  <si>
    <t>2000058398591</t>
  </si>
  <si>
    <t>clear phủ bóng kova/1L</t>
  </si>
  <si>
    <t>2000058805938</t>
  </si>
  <si>
    <t>tranh KT 2.85x1.25</t>
  </si>
  <si>
    <t>2000059260040</t>
  </si>
  <si>
    <t>chậu innax bé 282</t>
  </si>
  <si>
    <t>2000059295707</t>
  </si>
  <si>
    <t>BJ9-25YY81/177/1L</t>
  </si>
  <si>
    <t>2000059339401</t>
  </si>
  <si>
    <t>66A-30YY63/231/5L</t>
  </si>
  <si>
    <t>2000059339722</t>
  </si>
  <si>
    <t>66A-30YY65/171/1L</t>
  </si>
  <si>
    <t>2000059339746</t>
  </si>
  <si>
    <t>66A-45YY74/073/5L</t>
  </si>
  <si>
    <t>2000059807627</t>
  </si>
  <si>
    <t>BJ9-00YY41/475/5L</t>
  </si>
  <si>
    <t>2000059807658</t>
  </si>
  <si>
    <t>BJ9-50YR12/406/1L</t>
  </si>
  <si>
    <t>2000061637472</t>
  </si>
  <si>
    <t>BJ9-90YR26/147/5L ( màu đặc biệt)</t>
  </si>
  <si>
    <t>2000061690255</t>
  </si>
  <si>
    <t>BJ9-10YR 17/184/1L</t>
  </si>
  <si>
    <t>2000061860702</t>
  </si>
  <si>
    <t>66A-73106/5L</t>
  </si>
  <si>
    <t>2000066737122</t>
  </si>
  <si>
    <t>Gạch ECO-620 Viên</t>
  </si>
  <si>
    <t>2000067972294</t>
  </si>
  <si>
    <t>Viền 30x30</t>
  </si>
  <si>
    <t>39ab-25yy79/240/5l</t>
  </si>
  <si>
    <t>2000068397041</t>
  </si>
  <si>
    <t>39AB-25YY79/240/5lit</t>
  </si>
  <si>
    <t>gj8-76419/1l</t>
  </si>
  <si>
    <t>2000068840912</t>
  </si>
  <si>
    <t>GJ8-76419/1 lít</t>
  </si>
  <si>
    <t>304</t>
  </si>
  <si>
    <t>2000069224537</t>
  </si>
  <si>
    <t>Sen Thường inox 304</t>
  </si>
  <si>
    <t>90BB83/011/1l</t>
  </si>
  <si>
    <t>2000069635166</t>
  </si>
  <si>
    <t>66AB-90BB83/011/1 lít</t>
  </si>
  <si>
    <t>30Rb74/038/1l</t>
  </si>
  <si>
    <t>2000069643284</t>
  </si>
  <si>
    <t>66AB-30RB74/038/1lit</t>
  </si>
  <si>
    <t>53RB76/076/18l</t>
  </si>
  <si>
    <t>2000069664210</t>
  </si>
  <si>
    <t>A991-53RB76/076/18 lít</t>
  </si>
  <si>
    <t>thảm</t>
  </si>
  <si>
    <t>2000069967823</t>
  </si>
  <si>
    <t>Thảm 009-kt 1,8*2,4</t>
  </si>
  <si>
    <t>43yy74/339/5l</t>
  </si>
  <si>
    <t>2000071304296</t>
  </si>
  <si>
    <t>A991-43YY74/339/5 lit</t>
  </si>
  <si>
    <t>CT14/18l</t>
  </si>
  <si>
    <t>2000072268511</t>
  </si>
  <si>
    <t>Kova _Chống thấm CT14/18 lít</t>
  </si>
  <si>
    <t>71800/18l</t>
  </si>
  <si>
    <t>2000072379668</t>
  </si>
  <si>
    <t>Maxilite ngoài trời 71800/18 lít</t>
  </si>
  <si>
    <t>70BG28/169/5l</t>
  </si>
  <si>
    <t>2000072601288</t>
  </si>
  <si>
    <t>BJ9-70BG28/169/5 lít</t>
  </si>
  <si>
    <t>2000073211363</t>
  </si>
  <si>
    <t>bj9-62yr13/217/1l</t>
  </si>
  <si>
    <t>2000073909642</t>
  </si>
  <si>
    <t>Eco W609- Viên</t>
  </si>
  <si>
    <t>2000075596888</t>
  </si>
  <si>
    <t>BJ9 trắng/5L</t>
  </si>
  <si>
    <t>BJ9-83yy88/033/5l</t>
  </si>
  <si>
    <t>2000076059535</t>
  </si>
  <si>
    <t>BJ9-83yy88/033/5 lít</t>
  </si>
  <si>
    <t>2000079546742</t>
  </si>
  <si>
    <t>Bệt Kross K88</t>
  </si>
  <si>
    <t>2000079626604</t>
  </si>
  <si>
    <t>Chậu Z92-45-20</t>
  </si>
  <si>
    <t>2000079634647</t>
  </si>
  <si>
    <t>Bệt xả 4 chiều K63</t>
  </si>
  <si>
    <t>2000082591241</t>
  </si>
  <si>
    <t>chậu rửa bát Z81-43</t>
  </si>
  <si>
    <t>2000083553293</t>
  </si>
  <si>
    <t>bj9-90yr19/487/5l(màu đậm +15%)</t>
  </si>
  <si>
    <t>2000083553422</t>
  </si>
  <si>
    <t>a991-45yr83/076/5l</t>
  </si>
  <si>
    <t>2000086209685</t>
  </si>
  <si>
    <t>siêu bóng ngoại thất /5L mã 32-4</t>
  </si>
  <si>
    <t>2000090080720</t>
  </si>
  <si>
    <t>chậu D100-46</t>
  </si>
  <si>
    <t>2000090547582</t>
  </si>
  <si>
    <t>vòi cắm chậu rửa bát</t>
  </si>
  <si>
    <t>2000092042290</t>
  </si>
  <si>
    <t>siêu bóng ngoại thất hoàn hảo /1L ( mã màu 095-3)</t>
  </si>
  <si>
    <t>2000092042443</t>
  </si>
  <si>
    <t>sơn siêu bóng ngoại thất hoàn hảo/1L ( mã màu 094-3)</t>
  </si>
  <si>
    <t>2000092042771</t>
  </si>
  <si>
    <t>siêu bóng ngoại thất hoàn hảo /1L ( mã màu 106-6)</t>
  </si>
  <si>
    <t>2000092285369</t>
  </si>
  <si>
    <t>Sơn siêu bóng ngoại thất hoàn hảo base D/ 5 lít ( mã màu 096-6)</t>
  </si>
  <si>
    <t>2000093061498</t>
  </si>
  <si>
    <t>Sơn bóng ngoại thất hoàn hảo 031-3/5L</t>
  </si>
  <si>
    <t>2000093062228</t>
  </si>
  <si>
    <t>Sơn bóng ngoại thất 143-3/5L</t>
  </si>
  <si>
    <t>2000093068039</t>
  </si>
  <si>
    <t>Sơn bóng nội /18L (031-3)</t>
  </si>
  <si>
    <t>2000093069210</t>
  </si>
  <si>
    <t>Sơn nội thất minh base A/18L ( mã 096-3)</t>
  </si>
  <si>
    <t>2000093818122</t>
  </si>
  <si>
    <t>Sơn nội thất bóng cao cấp base A/5L ( mã màu 098-2)</t>
  </si>
  <si>
    <t>2000096539277</t>
  </si>
  <si>
    <t>sơn bóng ngoại thất /5L ( màu OW-3-2)</t>
  </si>
  <si>
    <t>TQ803 - Viên</t>
  </si>
  <si>
    <t>2000096838332</t>
  </si>
  <si>
    <t>gạch TQ803 - Viên</t>
  </si>
  <si>
    <t>TQ807 - Viên</t>
  </si>
  <si>
    <t>2000096838349</t>
  </si>
  <si>
    <t>Gạch TQ807 - Viên</t>
  </si>
  <si>
    <t>2000098389269</t>
  </si>
  <si>
    <t>sơn bóng ngoài base B/18L ( mã 31-5)</t>
  </si>
  <si>
    <t>2000098672231</t>
  </si>
  <si>
    <t>Sơn nội thất mịn /18L ( màu 2034)</t>
  </si>
  <si>
    <t>2000098674990</t>
  </si>
  <si>
    <t>Sơn bóng nội thất /18L ( màu OW22)</t>
  </si>
  <si>
    <t>38YY81/256/1l</t>
  </si>
  <si>
    <t>2000098990816</t>
  </si>
  <si>
    <t>BJ9-38YY81/256/1 lit</t>
  </si>
  <si>
    <t>37yy78/312/1l</t>
  </si>
  <si>
    <t>2000098990878</t>
  </si>
  <si>
    <t>BJ9-37YY78/312/1 lít</t>
  </si>
  <si>
    <t>10YY35/543/1l</t>
  </si>
  <si>
    <t>2000098990991</t>
  </si>
  <si>
    <t>BJ9-10YY35/543/1 lít</t>
  </si>
  <si>
    <t>10BB83/017/1l</t>
  </si>
  <si>
    <t>2000100455876</t>
  </si>
  <si>
    <t>BJ9-10BB83/017/1 lít</t>
  </si>
  <si>
    <t>56BG81/023/5l</t>
  </si>
  <si>
    <t>2000100500224</t>
  </si>
  <si>
    <t>GJ8-56BG81/023/5 lít</t>
  </si>
  <si>
    <t>Ánh kim 8803 - Viên</t>
  </si>
  <si>
    <t>2000100799789</t>
  </si>
  <si>
    <t>00NN37/100/1 l</t>
  </si>
  <si>
    <t>2000100900178</t>
  </si>
  <si>
    <t>BJ9-00NN37/100/1 lít</t>
  </si>
  <si>
    <t>70YY83/037/5l</t>
  </si>
  <si>
    <t>2000100900277</t>
  </si>
  <si>
    <t>66AB-70YY83/037/5 lít</t>
  </si>
  <si>
    <t>67YY88/044/1l</t>
  </si>
  <si>
    <t>2000101022237</t>
  </si>
  <si>
    <t>66AB-67YY88/044/1 lít</t>
  </si>
  <si>
    <t>65YY90/062/1l</t>
  </si>
  <si>
    <t>2000101022244</t>
  </si>
  <si>
    <t>66AB-65YY90/062/1 lít</t>
  </si>
  <si>
    <t>2000101408079</t>
  </si>
  <si>
    <t>66AB-63yy80\051\1l</t>
  </si>
  <si>
    <t>tranh 60*60 kt 1.8*3.0</t>
  </si>
  <si>
    <t>2000102844111</t>
  </si>
  <si>
    <t>Tranh 60*60 KT 1.8*3.0</t>
  </si>
  <si>
    <t>2000103925505</t>
  </si>
  <si>
    <t>Sơn bóng ngoại thất /18L ( màu 137-5)</t>
  </si>
  <si>
    <t>2000103925574</t>
  </si>
  <si>
    <t>Sơn siêu bóng ngoại thất hoàn hảo /5 lít ( màu 179-6)</t>
  </si>
  <si>
    <t>2000103925956</t>
  </si>
  <si>
    <t>sơn siêu bóng ngoại thất hoàn hảo màu đồng vàng /5L ( mã 096-6)</t>
  </si>
  <si>
    <t>30yy56/060/5l</t>
  </si>
  <si>
    <t>2000103984069</t>
  </si>
  <si>
    <t>GJ8-30yy56/060/5 lít</t>
  </si>
  <si>
    <t>75056/18l</t>
  </si>
  <si>
    <t>2000104158407</t>
  </si>
  <si>
    <t>A991-75056/18 lít</t>
  </si>
  <si>
    <t>2000104211065</t>
  </si>
  <si>
    <t>Sơn nội thất bóng cao cấp /5L ( màu 083-2)</t>
  </si>
  <si>
    <t>2000104211331</t>
  </si>
  <si>
    <t>Nội thất bóng cao cấp /5L ( màu 002-2)</t>
  </si>
  <si>
    <t>A991-65YY90/062/1l</t>
  </si>
  <si>
    <t>2000105449153</t>
  </si>
  <si>
    <t>A991/65YY90/062/1 lít</t>
  </si>
  <si>
    <t>2000107899512</t>
  </si>
  <si>
    <t>gạch vân gỗ 60x60 - Viên</t>
  </si>
  <si>
    <t>2000109669427</t>
  </si>
  <si>
    <t>maxilight ngoại thất bóng /18L</t>
  </si>
  <si>
    <t>2000110818043</t>
  </si>
  <si>
    <t>Gạch 8007 - Viên</t>
  </si>
  <si>
    <t>2000111831997</t>
  </si>
  <si>
    <t>Sen vòi nhỏ ( cặp)</t>
  </si>
  <si>
    <t>2000121146906</t>
  </si>
  <si>
    <t>Vòi rửa 66144</t>
  </si>
  <si>
    <t>2000127439279</t>
  </si>
  <si>
    <t>Vòi chậu rửa mặt Kross</t>
  </si>
  <si>
    <t>2000132404378</t>
  </si>
  <si>
    <t>Vòi cắm chậu rửa mặt</t>
  </si>
  <si>
    <t>2000153946291</t>
  </si>
  <si>
    <t>Sơn ngoài thất BJ9/10BG83/061/5L</t>
  </si>
  <si>
    <t>2000155734322</t>
  </si>
  <si>
    <t>Bình nóng lạnh Feroli - 20 lít ngang</t>
  </si>
  <si>
    <t>Kross ( trong nhà giá 3.500.000)</t>
  </si>
  <si>
    <t>2000155748923</t>
  </si>
  <si>
    <t>Bệt đúc Kross</t>
  </si>
  <si>
    <t>ốp HD3601(A1) - viên</t>
  </si>
  <si>
    <t>2000157948789</t>
  </si>
  <si>
    <t>HD3601 (A1) - Viên</t>
  </si>
  <si>
    <t>2000161419893</t>
  </si>
  <si>
    <t>BJ9/74BG61/206/5L</t>
  </si>
  <si>
    <t>2000161571126</t>
  </si>
  <si>
    <t>Sen chậu rửa mặt</t>
  </si>
  <si>
    <t>2000161571157</t>
  </si>
  <si>
    <t>Dây + bát sen</t>
  </si>
  <si>
    <t>2000162069257</t>
  </si>
  <si>
    <t>Công làm thợ sơn</t>
  </si>
  <si>
    <t>2000171933808</t>
  </si>
  <si>
    <t>PHSS I02/45*90/VIÊN</t>
  </si>
  <si>
    <t>2000171936847</t>
  </si>
  <si>
    <t>MOL MO4/15*90/VIÊN</t>
  </si>
  <si>
    <t>2000174654007</t>
  </si>
  <si>
    <t>mua hộ chụp kính</t>
  </si>
  <si>
    <t>2000174951038</t>
  </si>
  <si>
    <t>Sơn lau chùi vượt bậc A991-3/5L</t>
  </si>
  <si>
    <t>2000188905829</t>
  </si>
  <si>
    <t>bồn cầu 1 khối ( bên anh sơn)</t>
  </si>
  <si>
    <t>2000191730623</t>
  </si>
  <si>
    <t>Sen cây Daisung 105 ( nhiệt độ)</t>
  </si>
  <si>
    <t>2000193483688</t>
  </si>
  <si>
    <t>A991/67/062/18 lít</t>
  </si>
  <si>
    <t>2000193698983</t>
  </si>
  <si>
    <t>A991B/18L - màu trong nhà</t>
  </si>
  <si>
    <t>Chậu Daisung ( tốt)</t>
  </si>
  <si>
    <t>2000193969052</t>
  </si>
  <si>
    <t>Chậu đúc Daisung</t>
  </si>
  <si>
    <t>2000194242871</t>
  </si>
  <si>
    <t>Trắng trong nhà A991/5L</t>
  </si>
  <si>
    <t>2000194337027</t>
  </si>
  <si>
    <t>Maixiligh trong nhà 30CB/ màu78188/5L</t>
  </si>
  <si>
    <t>2000195852017</t>
  </si>
  <si>
    <t>BJ9/50YR10/151/1 lít</t>
  </si>
  <si>
    <t>2000196747992</t>
  </si>
  <si>
    <t>Nhập hộ hít kính</t>
  </si>
  <si>
    <t>2000200653301</t>
  </si>
  <si>
    <t>BJ9- 35YY78/269/15L</t>
  </si>
  <si>
    <t>2000200653332</t>
  </si>
  <si>
    <t>BJ9/10yy53/337/5L</t>
  </si>
  <si>
    <t>chậu 1 lỗ tròn Kross ( nhà trong)</t>
  </si>
  <si>
    <t>2000200911425</t>
  </si>
  <si>
    <t>chậu 1 lỗ tròn Kross</t>
  </si>
  <si>
    <t>2000200911449</t>
  </si>
  <si>
    <t>Chậu tròn bé Kross</t>
  </si>
  <si>
    <t>2000201044733</t>
  </si>
  <si>
    <t>vòi rửa bát cắm chậu Daisung</t>
  </si>
  <si>
    <t>2000201561803</t>
  </si>
  <si>
    <t>Vòi rửa bát paffoni</t>
  </si>
  <si>
    <t>2000214248210</t>
  </si>
  <si>
    <t>BNL kang 30l</t>
  </si>
  <si>
    <t>2000214248227</t>
  </si>
  <si>
    <t>BNL kang 22l</t>
  </si>
  <si>
    <t>2000214248845</t>
  </si>
  <si>
    <t>gạch chân tường</t>
  </si>
  <si>
    <t>2000214249606</t>
  </si>
  <si>
    <t>công cắt gạch 30x60 (1/4)</t>
  </si>
  <si>
    <t>2000214249613</t>
  </si>
  <si>
    <t>công cắt gạch 40x80 (1/4)</t>
  </si>
  <si>
    <t>ke chữ thập</t>
  </si>
  <si>
    <t>2000214252194</t>
  </si>
  <si>
    <t>2000214252491</t>
  </si>
  <si>
    <t>nắp bệt V65</t>
  </si>
  <si>
    <t>Chiếu nghỉ cầu thang</t>
  </si>
  <si>
    <t>2000214252880</t>
  </si>
  <si>
    <t>Công cắt 60*120 (1/5)</t>
  </si>
  <si>
    <t>2000214253085</t>
  </si>
  <si>
    <t>Công cắt gạch 600*1200 (1/5)</t>
  </si>
  <si>
    <t>2000214253948</t>
  </si>
  <si>
    <t>công cắt 50x50 (1/3)</t>
  </si>
  <si>
    <t>Lưỡi cắt gạch</t>
  </si>
  <si>
    <t>2000214254006</t>
  </si>
  <si>
    <t>2000214254129</t>
  </si>
  <si>
    <t>Công cắt gạch ốp (1/2)</t>
  </si>
  <si>
    <t>Bệt liền khối 707</t>
  </si>
  <si>
    <t>2000214255492</t>
  </si>
  <si>
    <t>2000214256178</t>
  </si>
  <si>
    <t>công cắt 40x80 (1/8)</t>
  </si>
  <si>
    <t>80x80 (1/2)</t>
  </si>
  <si>
    <t>2000214256260</t>
  </si>
  <si>
    <t>công cắt gạch 80x80 (1/2)</t>
  </si>
  <si>
    <t>2000214256307</t>
  </si>
  <si>
    <t>công cắt 50x50 (1/2)</t>
  </si>
  <si>
    <t>VN517</t>
  </si>
  <si>
    <t>2000024854410</t>
  </si>
  <si>
    <t>Gạch lát VN517</t>
  </si>
  <si>
    <t>VI5001</t>
  </si>
  <si>
    <t>2000040291770</t>
  </si>
  <si>
    <t>Gạch lát nền VI5001</t>
  </si>
  <si>
    <t>NH-503</t>
  </si>
  <si>
    <t>2000049812051</t>
  </si>
  <si>
    <t>Gạch lát NH-503</t>
  </si>
  <si>
    <t>VI5802 A1</t>
  </si>
  <si>
    <t>2000028966966</t>
  </si>
  <si>
    <t>Gạch lát nền VI5802 A1</t>
  </si>
  <si>
    <t>VI- SV05</t>
  </si>
  <si>
    <t>2000078205367</t>
  </si>
  <si>
    <t>VI - sân vườn 05 ( cũ)</t>
  </si>
  <si>
    <t>Lát  VI6031(A1) - mã cũ ( hủy)</t>
  </si>
  <si>
    <t>2000159079412</t>
  </si>
  <si>
    <t>VI6031(A1)</t>
  </si>
  <si>
    <t>SV5501</t>
  </si>
  <si>
    <t>2000111068041</t>
  </si>
  <si>
    <t>Sân vườn 5501</t>
  </si>
  <si>
    <t>LX2409</t>
  </si>
  <si>
    <t>2000027734559</t>
  </si>
  <si>
    <t>Gạch ốp 250x400 LX2409 - trắng</t>
  </si>
  <si>
    <t>VN523</t>
  </si>
  <si>
    <t>2000030307795</t>
  </si>
  <si>
    <t>Gạch lát 50x50 VN523</t>
  </si>
  <si>
    <t>Ốp 30x45 - M3068</t>
  </si>
  <si>
    <t>2000035931469</t>
  </si>
  <si>
    <t>SV17</t>
  </si>
  <si>
    <t>2000125752226</t>
  </si>
  <si>
    <t>Sân vườn SV17</t>
  </si>
  <si>
    <t>TH3682</t>
  </si>
  <si>
    <t>2000058707874</t>
  </si>
  <si>
    <t>Ốp 30x60 TH3682 ( 1 hộp =1.08m)</t>
  </si>
  <si>
    <t>VN4439</t>
  </si>
  <si>
    <t>2000036503535</t>
  </si>
  <si>
    <t>Gạch lát nền 40x40 VN4439</t>
  </si>
  <si>
    <t>SV17 (A1)-2021 ( mới)</t>
  </si>
  <si>
    <t>2000188119967</t>
  </si>
  <si>
    <t>Sân vườn VI - SV17 (A1)</t>
  </si>
  <si>
    <t>NS810 A1</t>
  </si>
  <si>
    <t>2000024924700</t>
  </si>
  <si>
    <t>Gạch lát NS810 A1</t>
  </si>
  <si>
    <t>LX 3401</t>
  </si>
  <si>
    <t>2000051659750</t>
  </si>
  <si>
    <t>LX 3401 _ốp 30*45 3401</t>
  </si>
  <si>
    <t>VI5512-A</t>
  </si>
  <si>
    <t>2000027248520</t>
  </si>
  <si>
    <t>VI5512 - A</t>
  </si>
  <si>
    <t>VI6024 ( hủy)</t>
  </si>
  <si>
    <t>2000118935049</t>
  </si>
  <si>
    <t>Gạch lát VI6024 ( 1 hộp = 1.44m2) hủy</t>
  </si>
  <si>
    <t>SV15</t>
  </si>
  <si>
    <t>2000115510843</t>
  </si>
  <si>
    <t>Sân vườn SV15</t>
  </si>
  <si>
    <t>FV3686</t>
  </si>
  <si>
    <t>2000025157121</t>
  </si>
  <si>
    <t>Ốp 30x60 FV 3686</t>
  </si>
  <si>
    <t>VI5504A1</t>
  </si>
  <si>
    <t>2000024839851</t>
  </si>
  <si>
    <t>Gạch lát VI5504</t>
  </si>
  <si>
    <t>HD309</t>
  </si>
  <si>
    <t>2000089346776</t>
  </si>
  <si>
    <t>Gạch trang trí HD309</t>
  </si>
  <si>
    <t>LX6008(A1)</t>
  </si>
  <si>
    <t>2000159083679</t>
  </si>
  <si>
    <t>Lát 60x60 LX6008(A1) 1h=1.44m2</t>
  </si>
  <si>
    <t>Gạch ốp VN56</t>
  </si>
  <si>
    <t>2000034206544</t>
  </si>
  <si>
    <t>HD307</t>
  </si>
  <si>
    <t>2000089346738</t>
  </si>
  <si>
    <t>Gạch trang trí HD307</t>
  </si>
  <si>
    <t>TS2- 626 B05A1</t>
  </si>
  <si>
    <t>2000034351619</t>
  </si>
  <si>
    <t>Gạch lát TS2- 626 B05A1(60*60)</t>
  </si>
  <si>
    <t>FV3682</t>
  </si>
  <si>
    <t>2000025157107</t>
  </si>
  <si>
    <t>Ốp 30x60 FV 3682</t>
  </si>
  <si>
    <t>VN523 - Viên</t>
  </si>
  <si>
    <t>2000030879780</t>
  </si>
  <si>
    <t>gạch lát nền VN523 - Viên</t>
  </si>
  <si>
    <t>F3696</t>
  </si>
  <si>
    <t>2000026692942</t>
  </si>
  <si>
    <t>Gạch ốp 30x60 F3696</t>
  </si>
  <si>
    <t>FT3604 - Nhạt</t>
  </si>
  <si>
    <t>2000042011703</t>
  </si>
  <si>
    <t>ốp 30x60 FT3604 ( 7 viên/hộp = 1.26m2)</t>
  </si>
  <si>
    <t>C6605</t>
  </si>
  <si>
    <t>2000054594379</t>
  </si>
  <si>
    <t>Gạch lát 60x60 - C6605</t>
  </si>
  <si>
    <t>UTS5-606B11 A1</t>
  </si>
  <si>
    <t>2000031534374</t>
  </si>
  <si>
    <t>Gạch Grainite UTS5-606B11 A1</t>
  </si>
  <si>
    <t>FTĐ 3604 - Đậm</t>
  </si>
  <si>
    <t>2000042011741</t>
  </si>
  <si>
    <t>ốp 30x60 FTĐ 3604 ( 7 hộp / Viên = 1.26m2)</t>
  </si>
  <si>
    <t>gạch ốp VN55</t>
  </si>
  <si>
    <t>2000034206537</t>
  </si>
  <si>
    <t>LX36805 D - (A3) - Viên</t>
  </si>
  <si>
    <t>2000134754853</t>
  </si>
  <si>
    <t>Điểm LX36805 - Viên (B)</t>
  </si>
  <si>
    <t>CT384</t>
  </si>
  <si>
    <t>2000030600520</t>
  </si>
  <si>
    <t>Chống trơn CT384</t>
  </si>
  <si>
    <t>LX7308</t>
  </si>
  <si>
    <t>2000030108781</t>
  </si>
  <si>
    <t>Gạch viền 70*300 LX7308 (20v/h)</t>
  </si>
  <si>
    <t>FV 3681</t>
  </si>
  <si>
    <t>2000025157060</t>
  </si>
  <si>
    <t>Ốp vát 30x60 FV 3681 - (nhầm)</t>
  </si>
  <si>
    <t>VI5512A1</t>
  </si>
  <si>
    <t>2000024839837</t>
  </si>
  <si>
    <t>Gạch lát VI5512</t>
  </si>
  <si>
    <t>VI5520-A</t>
  </si>
  <si>
    <t>2000043942037</t>
  </si>
  <si>
    <t>gạch lát nền VI5520_A</t>
  </si>
  <si>
    <t>CK3402 - A1</t>
  </si>
  <si>
    <t>2000024873718</t>
  </si>
  <si>
    <t>Gạch ốp 300*450 CK3402 A1</t>
  </si>
  <si>
    <t>CT364</t>
  </si>
  <si>
    <t>2000034371327</t>
  </si>
  <si>
    <t>Gạch chống trơn CT364</t>
  </si>
  <si>
    <t>CT363</t>
  </si>
  <si>
    <t>2000030600513</t>
  </si>
  <si>
    <t>Chống trơn CT363</t>
  </si>
  <si>
    <t>LX3651 (A)</t>
  </si>
  <si>
    <t>2000132279372</t>
  </si>
  <si>
    <t>Ốp LX3651 (A) - (1 hộp =1.44m2)</t>
  </si>
  <si>
    <t>TN08</t>
  </si>
  <si>
    <t>2000025179383</t>
  </si>
  <si>
    <t>Ốp 30x45 TN08</t>
  </si>
  <si>
    <t>VR 519</t>
  </si>
  <si>
    <t>2000051524324</t>
  </si>
  <si>
    <t>gạch Cẩm BìnhVR 519 lát 50*50</t>
  </si>
  <si>
    <t>ECO-S622 D08 A1</t>
  </si>
  <si>
    <t>2000031294582</t>
  </si>
  <si>
    <t>Gạch Granite ECO-S622 D08 A1</t>
  </si>
  <si>
    <t>SV09(A)</t>
  </si>
  <si>
    <t>2000159237157</t>
  </si>
  <si>
    <t>Sân vườn 09(A)</t>
  </si>
  <si>
    <t>F04</t>
  </si>
  <si>
    <t>2000025179055</t>
  </si>
  <si>
    <t>Ốp 30x45 F04</t>
  </si>
  <si>
    <t>VN511</t>
  </si>
  <si>
    <t>2000024854472</t>
  </si>
  <si>
    <t>Gạch lát VN511</t>
  </si>
  <si>
    <t>Điểm TH3682</t>
  </si>
  <si>
    <t>2000058707881</t>
  </si>
  <si>
    <t>CT370</t>
  </si>
  <si>
    <t>2000025202807</t>
  </si>
  <si>
    <t>Gạch CT370</t>
  </si>
  <si>
    <t>FV3684</t>
  </si>
  <si>
    <t>2000025157084</t>
  </si>
  <si>
    <t>Ốp vát 30x60 FV 3684</t>
  </si>
  <si>
    <t>LX3616 - viên</t>
  </si>
  <si>
    <t>2000139664928</t>
  </si>
  <si>
    <t>LX3616 A1 - viên</t>
  </si>
  <si>
    <t>VI6603 - Viên (mã cũ - hủy)</t>
  </si>
  <si>
    <t>2000120048966</t>
  </si>
  <si>
    <t>VI6603 - Viên</t>
  </si>
  <si>
    <t>SVS-501</t>
  </si>
  <si>
    <t>2000045900042</t>
  </si>
  <si>
    <t>Sân vườn SVS-501</t>
  </si>
  <si>
    <t>LX6008(A1) - viên</t>
  </si>
  <si>
    <t>2000159083846</t>
  </si>
  <si>
    <t>LX3620(A)</t>
  </si>
  <si>
    <t>2000139667462</t>
  </si>
  <si>
    <t>Ốp LX3620 (A) -nhạt - (1 hộp =1.44m2)</t>
  </si>
  <si>
    <t>FB3608 A2(1h=8V=1.44m2)</t>
  </si>
  <si>
    <t>2000214251838</t>
  </si>
  <si>
    <t>Gạch Vĩnh Thắng ốp 30*60 mã FB3608 A2(1h=8V=1.44m2)</t>
  </si>
  <si>
    <t>LSK3310(A1) 1h=1.44m</t>
  </si>
  <si>
    <t>2000158884253</t>
  </si>
  <si>
    <t>LSK 3310(A1) - 1 hộp = 16v = 1.44m</t>
  </si>
  <si>
    <t>LSK3310 (B)</t>
  </si>
  <si>
    <t>2000125601357</t>
  </si>
  <si>
    <t>Chống trơn LSK3310 (B)</t>
  </si>
  <si>
    <t>VI6604 - Viên</t>
  </si>
  <si>
    <t>2000120049123</t>
  </si>
  <si>
    <t>LX6008 - Viên(A)</t>
  </si>
  <si>
    <t>2000122639780</t>
  </si>
  <si>
    <t>Lát LX6008 - Viên (A)</t>
  </si>
  <si>
    <t>5501 - Viên</t>
  </si>
  <si>
    <t>2000110509392</t>
  </si>
  <si>
    <t>Sân vườn 5501 - Viên</t>
  </si>
  <si>
    <t>2000047186437</t>
  </si>
  <si>
    <t>Gạch lát 60x60 UTS605</t>
  </si>
  <si>
    <t>LX36805 - D ( A3)</t>
  </si>
  <si>
    <t>2000134754532</t>
  </si>
  <si>
    <t>Điểm LX36805 ( B) - (1 hộp=8v)</t>
  </si>
  <si>
    <t>Điểm TH3644</t>
  </si>
  <si>
    <t>2000058707805</t>
  </si>
  <si>
    <t>Gạch lát 60x60 F631 CZ5</t>
  </si>
  <si>
    <t>2000033592808</t>
  </si>
  <si>
    <t>keo trà mạch ( 1 kg/gói)</t>
  </si>
  <si>
    <t>2000200082378</t>
  </si>
  <si>
    <t>Lát LX6015 (A)</t>
  </si>
  <si>
    <t>2000131639047</t>
  </si>
  <si>
    <t>Lát LX6015 - (A)( 1 hộp =1.44m2)</t>
  </si>
  <si>
    <t>LX36000 B</t>
  </si>
  <si>
    <t>2000151852792</t>
  </si>
  <si>
    <t>Ốp LX36000 B ( 1h=1.44m2)</t>
  </si>
  <si>
    <t>Z509 A1</t>
  </si>
  <si>
    <t>2000033500070</t>
  </si>
  <si>
    <t>Gạch lát 50x50 Z509 A1</t>
  </si>
  <si>
    <t>VI5553 - V</t>
  </si>
  <si>
    <t>2000025753699</t>
  </si>
  <si>
    <t>Gạch lát nền VI5553 - viên</t>
  </si>
  <si>
    <t>VI5001 - Viên</t>
  </si>
  <si>
    <t>2000040291787</t>
  </si>
  <si>
    <t>Gạch lát nền VI5001 - Viên</t>
  </si>
  <si>
    <t>ECO - S603D05 A1 - Viên</t>
  </si>
  <si>
    <t>2000030965735</t>
  </si>
  <si>
    <t>gạch Granite ECO - S603D05 A1 - Viên</t>
  </si>
  <si>
    <t>VI5510</t>
  </si>
  <si>
    <t>2000024768090</t>
  </si>
  <si>
    <t>Gạch lát VI5510</t>
  </si>
  <si>
    <t>ECO-M622 D20</t>
  </si>
  <si>
    <t>2000037877772</t>
  </si>
  <si>
    <t>TECO - 622D11 A1</t>
  </si>
  <si>
    <t>2000031534558</t>
  </si>
  <si>
    <t>Gạch Granite ECO - 622D11 A1 (cắt hủy)</t>
  </si>
  <si>
    <t>Ốp LX3621(A) - đậm</t>
  </si>
  <si>
    <t>2000139667585</t>
  </si>
  <si>
    <t>Ốp LX3621 (A) đậm - (1 hộp =1.44m2)</t>
  </si>
  <si>
    <t>VI6605 - Viên</t>
  </si>
  <si>
    <t>2000120049147</t>
  </si>
  <si>
    <t>F36161 D</t>
  </si>
  <si>
    <t>2000025178812</t>
  </si>
  <si>
    <t>điểm F36161D</t>
  </si>
  <si>
    <t>Điểm 3604D ( 7 viên/hộp)</t>
  </si>
  <si>
    <t>2000042011680</t>
  </si>
  <si>
    <t>Điểm 3604 ( 7 viên/hộp)</t>
  </si>
  <si>
    <t>UTS5-606</t>
  </si>
  <si>
    <t>2000044849786</t>
  </si>
  <si>
    <t>Gạch 60x60 - UTS5-606</t>
  </si>
  <si>
    <t>ECO - 621D11</t>
  </si>
  <si>
    <t>2000042200985</t>
  </si>
  <si>
    <t>Gạch Granite ECO - 621D11</t>
  </si>
  <si>
    <t>Ốp TH3642 - Viên</t>
  </si>
  <si>
    <t>2000058044726</t>
  </si>
  <si>
    <t>TUTS5 - 605B18 A1 - Viên</t>
  </si>
  <si>
    <t>2000030965780</t>
  </si>
  <si>
    <t>Gạch Granite UTS5 - 605B18 A1 - Viên</t>
  </si>
  <si>
    <t>Gạch lát 60x60 F631 BZ5</t>
  </si>
  <si>
    <t>2000033592747</t>
  </si>
  <si>
    <t>N6-6029 (A) - Viên</t>
  </si>
  <si>
    <t>2000181064929</t>
  </si>
  <si>
    <t>Gạch Pocelain N6-6029 (A) - Viên</t>
  </si>
  <si>
    <t>VN42 - M</t>
  </si>
  <si>
    <t>2000025454008</t>
  </si>
  <si>
    <t>VN42 - Gạch mẫu</t>
  </si>
  <si>
    <t>ECO - M825D04</t>
  </si>
  <si>
    <t>2000032007945</t>
  </si>
  <si>
    <t>Gạch Grainite ECO - M825 D04</t>
  </si>
  <si>
    <t>CT375</t>
  </si>
  <si>
    <t>2000024855264</t>
  </si>
  <si>
    <t>Gạch lát CT375</t>
  </si>
  <si>
    <t>LX6001 - Viên(A)</t>
  </si>
  <si>
    <t>2000122645088</t>
  </si>
  <si>
    <t>Lát LX6001 - Viên(A)</t>
  </si>
  <si>
    <t>LX3602 (A)</t>
  </si>
  <si>
    <t>2000134164973</t>
  </si>
  <si>
    <t>Ốp trang trí LX3602 (A)</t>
  </si>
  <si>
    <t>Điểm 3604V - Viên</t>
  </si>
  <si>
    <t>2000042011697</t>
  </si>
  <si>
    <t>Keo dán gạch - GK22(bao 20 kg)</t>
  </si>
  <si>
    <t>2000214252279</t>
  </si>
  <si>
    <t>Keo dán gạch - GK22(bao 20kg)</t>
  </si>
  <si>
    <t>LXB315 - Viên  - 2021</t>
  </si>
  <si>
    <t>2000179719640</t>
  </si>
  <si>
    <t>Gạch chống trơn LX315 - Viên</t>
  </si>
  <si>
    <t>C7602 (20v/h)</t>
  </si>
  <si>
    <t>2000030617009</t>
  </si>
  <si>
    <t>Viền KT 70x600 - C7602 ( 20 viên/hộp)</t>
  </si>
  <si>
    <t>C7601 (24v/h)</t>
  </si>
  <si>
    <t>2000030617078</t>
  </si>
  <si>
    <t>Viền KT 70x600 C7601 (24 viên/hộp)</t>
  </si>
  <si>
    <t>ECO-622D11A1</t>
  </si>
  <si>
    <t>2000034387847</t>
  </si>
  <si>
    <t>Gạch lát ECO-622D11A1</t>
  </si>
  <si>
    <t>LX6015(A)-viên</t>
  </si>
  <si>
    <t>2000134894788</t>
  </si>
  <si>
    <t>K3480-Viên</t>
  </si>
  <si>
    <t>2000024841786</t>
  </si>
  <si>
    <t>Ốp 30x45 LK3480-Viên</t>
  </si>
  <si>
    <t>ECOS603D08 -  A</t>
  </si>
  <si>
    <t>2000035156374</t>
  </si>
  <si>
    <t>ECOS603D08 - A</t>
  </si>
  <si>
    <t>ECO - 603D22A1</t>
  </si>
  <si>
    <t>2000034370429</t>
  </si>
  <si>
    <t>Gạch lát ECO - 603D22A1</t>
  </si>
  <si>
    <t>LX3615(A)-V</t>
  </si>
  <si>
    <t>2000132376910</t>
  </si>
  <si>
    <t>LX3615(A)-viên</t>
  </si>
  <si>
    <t>LX3628D B - Viên</t>
  </si>
  <si>
    <t>2000183308458</t>
  </si>
  <si>
    <t>Điểm LX3628D B - Viên</t>
  </si>
  <si>
    <t>Keo trà mạch</t>
  </si>
  <si>
    <t>2000198533463</t>
  </si>
  <si>
    <t>Keo trà mạch ( 1 thùng = 20 kg)</t>
  </si>
  <si>
    <t>LX3614(A)-v</t>
  </si>
  <si>
    <t>2000132376866</t>
  </si>
  <si>
    <t>LX3614(A)-viên</t>
  </si>
  <si>
    <t>F36160D</t>
  </si>
  <si>
    <t>2000025179116</t>
  </si>
  <si>
    <t>điểm F36160D (hủy)</t>
  </si>
  <si>
    <t>Viền KT7x60 Y6405A ( 24 viên/hộp)</t>
  </si>
  <si>
    <t>2000040083696</t>
  </si>
  <si>
    <t>KR61</t>
  </si>
  <si>
    <t>2000094881248</t>
  </si>
  <si>
    <t>Bệt KRoss- KR61</t>
  </si>
  <si>
    <t>ECO - S822 D20</t>
  </si>
  <si>
    <t>2000037877710</t>
  </si>
  <si>
    <t>VI3003 - Viên</t>
  </si>
  <si>
    <t>2000026532446</t>
  </si>
  <si>
    <t>Chống trơn VI3003 - Viên</t>
  </si>
  <si>
    <t>N6-6007 A2  - Viên</t>
  </si>
  <si>
    <t>2000172428921</t>
  </si>
  <si>
    <t>Gạch Pocelain N6-6007 A2  - Viên</t>
  </si>
  <si>
    <t>Gạch lát 60x60 F631 AZ5</t>
  </si>
  <si>
    <t>2000033595694</t>
  </si>
  <si>
    <t>Sơn siêu trắng Plus/4L - Roma ( Trong nhà)</t>
  </si>
  <si>
    <t>2000042266240</t>
  </si>
  <si>
    <t>Sơn siêu trắng Plus/4L</t>
  </si>
  <si>
    <t>F631 CZ5 - Viên</t>
  </si>
  <si>
    <t>2000033595663</t>
  </si>
  <si>
    <t>LX36805 - Viên (A2)</t>
  </si>
  <si>
    <t>2000134567644</t>
  </si>
  <si>
    <t>Ốp LX36805 - Viên (A2)</t>
  </si>
  <si>
    <t>0366-6026 (A) - Viên</t>
  </si>
  <si>
    <t>2000176391887</t>
  </si>
  <si>
    <t>Gạch Pocelain 0366-6026 (A) - Viên</t>
  </si>
  <si>
    <t>VI5004 - V</t>
  </si>
  <si>
    <t>2000029487538</t>
  </si>
  <si>
    <t>VI5004 - Viên</t>
  </si>
  <si>
    <t>SV15 - Viên</t>
  </si>
  <si>
    <t>2000122356830</t>
  </si>
  <si>
    <t>F52</t>
  </si>
  <si>
    <t>2000029417139</t>
  </si>
  <si>
    <t>M3068 - Viên</t>
  </si>
  <si>
    <t>2000037864765</t>
  </si>
  <si>
    <t>LX6004 - (A)Viên</t>
  </si>
  <si>
    <t>2000121917308</t>
  </si>
  <si>
    <t>Gạch lát LX6004 - Viên</t>
  </si>
  <si>
    <t>NY5-8801(1h=1.92m2)</t>
  </si>
  <si>
    <t>2000214255898</t>
  </si>
  <si>
    <t>Gạch 80 Vigla mã NY5-8801(1h=1.92m2)</t>
  </si>
  <si>
    <t>VN43</t>
  </si>
  <si>
    <t>2000025152348</t>
  </si>
  <si>
    <t>H6154 (2 viên/bộ)</t>
  </si>
  <si>
    <t>2000036097034</t>
  </si>
  <si>
    <t>Tranh 30x45 H6154 - Viên</t>
  </si>
  <si>
    <t>LX3614(B)-viên</t>
  </si>
  <si>
    <t>2000134935405</t>
  </si>
  <si>
    <t>Điểm LX3614(A3)-viên</t>
  </si>
  <si>
    <t>6011 (A) - Viên</t>
  </si>
  <si>
    <t>2000146757170</t>
  </si>
  <si>
    <t>Lát 6011 (A) - Viên</t>
  </si>
  <si>
    <t>Gạch 40*80 TS Granit men lụa a1(1h=5v=1.6m2)</t>
  </si>
  <si>
    <t>2000214256666</t>
  </si>
  <si>
    <t>KR92</t>
  </si>
  <si>
    <t>2000094881392</t>
  </si>
  <si>
    <t>Bệt Kross - KR92</t>
  </si>
  <si>
    <t>LX3802(A3) - Viên</t>
  </si>
  <si>
    <t>2000137696594</t>
  </si>
  <si>
    <t>chống trơn LX3802(B) - Viên</t>
  </si>
  <si>
    <t>F36160</t>
  </si>
  <si>
    <t>2000025179154</t>
  </si>
  <si>
    <t>Ốp 30x60 F36160 (hủy)</t>
  </si>
  <si>
    <t>CT05 - Viên</t>
  </si>
  <si>
    <t>2000127448103</t>
  </si>
  <si>
    <t>Chống trơn CT05 - Viên</t>
  </si>
  <si>
    <t>FV3682-V</t>
  </si>
  <si>
    <t>2000025157114</t>
  </si>
  <si>
    <t>Ốp 30x60 FV 3682-V</t>
  </si>
  <si>
    <t>F6020-V</t>
  </si>
  <si>
    <t>2000025178966</t>
  </si>
  <si>
    <t>Gạch F6020-V</t>
  </si>
  <si>
    <t>Gạch ốp FM3663 - Viên</t>
  </si>
  <si>
    <t>2000036094460</t>
  </si>
  <si>
    <t>keo 20kg(hoàn)</t>
  </si>
  <si>
    <t>2000214253108</t>
  </si>
  <si>
    <t>VI5536 - V</t>
  </si>
  <si>
    <t>2000027072156</t>
  </si>
  <si>
    <t>VI5536 - Viên</t>
  </si>
  <si>
    <t>VI5512A1-V</t>
  </si>
  <si>
    <t>2000024839844</t>
  </si>
  <si>
    <t>Gạch lát VI5512-V</t>
  </si>
  <si>
    <t>VN511-V</t>
  </si>
  <si>
    <t>2000024854489</t>
  </si>
  <si>
    <t>Gạch lát VN511-V</t>
  </si>
  <si>
    <t>ECO-S622 D08 A1 -Viên</t>
  </si>
  <si>
    <t>2000031294605</t>
  </si>
  <si>
    <t>Gạch Granite ECO-S622 D08 A1 -Viên</t>
  </si>
  <si>
    <t>RB403(1h=9v=1.44m2)</t>
  </si>
  <si>
    <t>2000214256475</t>
  </si>
  <si>
    <t>Gạch 40*40 mã RB403(1h=9v=1.44m2)</t>
  </si>
  <si>
    <t>LX3616 D- Viên (B)</t>
  </si>
  <si>
    <t>2000171045488</t>
  </si>
  <si>
    <t>Điểm LX3616 D- Viên (B)</t>
  </si>
  <si>
    <t>RB408 A1(1h=9v=1.44m2)</t>
  </si>
  <si>
    <t>2000214256048</t>
  </si>
  <si>
    <t>Gạch 40*40 mã RB408 A1(1h=9v=1.44m2)</t>
  </si>
  <si>
    <t>R-5300 AS</t>
  </si>
  <si>
    <t>2000031358192</t>
  </si>
  <si>
    <t>Chậu LVB R-5300 ÁS</t>
  </si>
  <si>
    <t>Ốp Lx3621 (A) - viên</t>
  </si>
  <si>
    <t>2000139667622</t>
  </si>
  <si>
    <t>LX3621(A) - V</t>
  </si>
  <si>
    <t>LV3651 (A) - Viên</t>
  </si>
  <si>
    <t>2000146872156</t>
  </si>
  <si>
    <t>ốp LV3651 (A) - Viên</t>
  </si>
  <si>
    <t>ECO - S622 D22 (Đuôi mới) - Viên</t>
  </si>
  <si>
    <t>2000038557338</t>
  </si>
  <si>
    <t>gạch Granite ECO - S622 D22 (Đuôi mới) - Viên</t>
  </si>
  <si>
    <t>F367 - Viên</t>
  </si>
  <si>
    <t>2000047219500</t>
  </si>
  <si>
    <t>Gạch chống trơn F367 - Viên</t>
  </si>
  <si>
    <t>Lau chùi Base A /18L- Roma</t>
  </si>
  <si>
    <t>2000043705120</t>
  </si>
  <si>
    <t>Sơn NT lau chùi v/bậc Base A /18L</t>
  </si>
  <si>
    <t>2000054597806</t>
  </si>
  <si>
    <t>Sơn Roma ngoại thất mịn Base A/18L</t>
  </si>
  <si>
    <t>CT3052 - Viên</t>
  </si>
  <si>
    <t>2000026558583</t>
  </si>
  <si>
    <t>Chống trơn 3052 - Viên</t>
  </si>
  <si>
    <t>R- 2045A</t>
  </si>
  <si>
    <t>2000032142110</t>
  </si>
  <si>
    <t>Gương Roy R- 2045A</t>
  </si>
  <si>
    <t>SV14 - Viên</t>
  </si>
  <si>
    <t>2000117437810</t>
  </si>
  <si>
    <t>Sân vườn SV14 - Viên</t>
  </si>
  <si>
    <t>VI6506-V</t>
  </si>
  <si>
    <t>2000026063629</t>
  </si>
  <si>
    <t>VI6506 - Viên</t>
  </si>
  <si>
    <t>KF30-720-50A</t>
  </si>
  <si>
    <t>2000026665953</t>
  </si>
  <si>
    <t>Sen tắm KF30-720-50A (có DS+BS_cài)</t>
  </si>
  <si>
    <t>FV36108 - Viên</t>
  </si>
  <si>
    <t>2000041103508</t>
  </si>
  <si>
    <t>Gạch ốp 30x60 FV36108 - Viên</t>
  </si>
  <si>
    <t>N336.6007 A2 - VIÊN</t>
  </si>
  <si>
    <t>2000214254655</t>
  </si>
  <si>
    <t>Ốp 30*60 nise mã N336.6007 A2 - VIÊN</t>
  </si>
  <si>
    <t>F50-V</t>
  </si>
  <si>
    <t>2000025179000</t>
  </si>
  <si>
    <t>Ốp 30x45 F50-V</t>
  </si>
  <si>
    <t>C15 - Viên</t>
  </si>
  <si>
    <t>2000033679288</t>
  </si>
  <si>
    <t>Ốp 30x45 C15 - Viên</t>
  </si>
  <si>
    <t>Gương 6002</t>
  </si>
  <si>
    <t>2000033015314</t>
  </si>
  <si>
    <t>Gương R6002</t>
  </si>
  <si>
    <t>R5070</t>
  </si>
  <si>
    <t>2000034683697</t>
  </si>
  <si>
    <t>mặt gương R5070</t>
  </si>
  <si>
    <t>LX8006 (A) - Viên</t>
  </si>
  <si>
    <t>2000166296031</t>
  </si>
  <si>
    <t>Lát LX8006 (A) - Viên</t>
  </si>
  <si>
    <t>Chậu + chân lửng v23 vigla</t>
  </si>
  <si>
    <t>2000214252118</t>
  </si>
  <si>
    <t>FM4602 A1 - VIÊN</t>
  </si>
  <si>
    <t>2000214252743</t>
  </si>
  <si>
    <t>Gạch 40*60 vĩnh thắng mã FM4602 A1 - VIÊN</t>
  </si>
  <si>
    <t>Gạch NY5-8801 (viên)</t>
  </si>
  <si>
    <t>2000214256154</t>
  </si>
  <si>
    <t>Gạch 40 mã rb403(viên)</t>
  </si>
  <si>
    <t>2000214256505</t>
  </si>
  <si>
    <t>MG mịm 9004/18L</t>
  </si>
  <si>
    <t>2000035299941</t>
  </si>
  <si>
    <t>VI5803 - Viên</t>
  </si>
  <si>
    <t>2000044906106</t>
  </si>
  <si>
    <t>Gạch lát VI5803 - Viên</t>
  </si>
  <si>
    <t>VR530 - Viên</t>
  </si>
  <si>
    <t>2000049917725</t>
  </si>
  <si>
    <t>Gạch lát 50x50 VR530 - Viên</t>
  </si>
  <si>
    <t>Sơn Roma ngoại thất mịn Base B/4L</t>
  </si>
  <si>
    <t>2000058145973</t>
  </si>
  <si>
    <t>F36160D-V</t>
  </si>
  <si>
    <t>2000025179123</t>
  </si>
  <si>
    <t>Viên điểm F36160D-V (hủy)</t>
  </si>
  <si>
    <t>C05-V</t>
  </si>
  <si>
    <t>2000025179451</t>
  </si>
  <si>
    <t>Ốp 30x45 C05-V</t>
  </si>
  <si>
    <t>F639A1 - V</t>
  </si>
  <si>
    <t>2000025179574</t>
  </si>
  <si>
    <t>Gạch F639 A1 - V</t>
  </si>
  <si>
    <t>Chậu +tủ</t>
  </si>
  <si>
    <t>2000202634575</t>
  </si>
  <si>
    <t>RB410(1h=9v=1.44m2)</t>
  </si>
  <si>
    <t>2000214255713</t>
  </si>
  <si>
    <t>Gạch 40*40 mã RB410(1h=9v=1.44m2)</t>
  </si>
  <si>
    <t>F36160-V</t>
  </si>
  <si>
    <t>2000025179161</t>
  </si>
  <si>
    <t>Ốp 30x60 F36160-V (hủy)</t>
  </si>
  <si>
    <t>SBNo/18L</t>
  </si>
  <si>
    <t>2000025589144</t>
  </si>
  <si>
    <t>Megatex siêu bóng nội 18L</t>
  </si>
  <si>
    <t>Vòi &amp;SP HO90-50</t>
  </si>
  <si>
    <t>2000033442776</t>
  </si>
  <si>
    <t>ECO - 622 D15 - Viên</t>
  </si>
  <si>
    <t>2000038748958</t>
  </si>
  <si>
    <t>Gạch Granite ECO - 622 D15 - Viên</t>
  </si>
  <si>
    <t>ngoại mịn trắng 18L</t>
  </si>
  <si>
    <t>2000039801782</t>
  </si>
  <si>
    <t>VR 519-v</t>
  </si>
  <si>
    <t>2000051524331</t>
  </si>
  <si>
    <t>gạch Cẩm BìnhVR 519 -viên lát 50*50</t>
  </si>
  <si>
    <t>Bệt V37 + Xịt vigla</t>
  </si>
  <si>
    <t>2000214252040</t>
  </si>
  <si>
    <t>Bệt V65 + Xịt Vigla</t>
  </si>
  <si>
    <t>2000214252064</t>
  </si>
  <si>
    <t>RB410 viên</t>
  </si>
  <si>
    <t>2000214255720</t>
  </si>
  <si>
    <t>Gạch 40*40 mã RB410 viên</t>
  </si>
  <si>
    <t>BJ9/1L</t>
  </si>
  <si>
    <t>2000025589823</t>
  </si>
  <si>
    <t>Dulux weathershield bề mặt bóng - Màu chuẩn/1L</t>
  </si>
  <si>
    <t>SC 67B47</t>
  </si>
  <si>
    <t>2000026666011</t>
  </si>
  <si>
    <t>Bộ sen cây nhiệt độ 67B47 EV1</t>
  </si>
  <si>
    <t>BJ9-30BB62/044/1L</t>
  </si>
  <si>
    <t>2000027378302</t>
  </si>
  <si>
    <t>BJ9-30BB62/044/1L (Đặc biệt+5%)</t>
  </si>
  <si>
    <t>Rumine</t>
  </si>
  <si>
    <t>2000029581557</t>
  </si>
  <si>
    <t>Vòi đồng</t>
  </si>
  <si>
    <t>ROY - 2431 X-S</t>
  </si>
  <si>
    <t>2000031357515</t>
  </si>
  <si>
    <t>Bệt BKL ROY - 2431 X-S</t>
  </si>
  <si>
    <t>VL - KF23-620-50</t>
  </si>
  <si>
    <t>2000031359052</t>
  </si>
  <si>
    <t>Vòi LVB + DC KF23-620-50</t>
  </si>
  <si>
    <t>VB- KF23-924-50</t>
  </si>
  <si>
    <t>2000031359083</t>
  </si>
  <si>
    <t>Vòi rửa bát +DC KF23-924-50</t>
  </si>
  <si>
    <t>Chậu 248</t>
  </si>
  <si>
    <t>2000031388410</t>
  </si>
  <si>
    <t>Roy -2999X-S</t>
  </si>
  <si>
    <t>2000032142042</t>
  </si>
  <si>
    <t>Bệt két liền Roy -2999X-S</t>
  </si>
  <si>
    <t>2000032424636</t>
  </si>
  <si>
    <t>bồn cầu men nano -2082 (hủy)</t>
  </si>
  <si>
    <t>sen liền chậu</t>
  </si>
  <si>
    <t>2000032495056</t>
  </si>
  <si>
    <t>2000036805295</t>
  </si>
  <si>
    <t>chau goc + giá chậu góc</t>
  </si>
  <si>
    <t>YG 1157 (60x60)</t>
  </si>
  <si>
    <t>2000040051404</t>
  </si>
  <si>
    <t>Tranh bộ YG 1157 - KT 1.8x1.2 (2 hộp x3 viên)</t>
  </si>
  <si>
    <t>Tranh bộ YG1029C - KT 1.2x1.8 (60x60)</t>
  </si>
  <si>
    <t>2000040083597</t>
  </si>
  <si>
    <t>Tranh bộ YG1029C - KT 1.2x1.8 ( 2 hộp x 3 viên)</t>
  </si>
  <si>
    <t>MG sơn ngoài mịn Base A/18L</t>
  </si>
  <si>
    <t>2000041169634</t>
  </si>
  <si>
    <t>2000043533174</t>
  </si>
  <si>
    <t>roma bóng ngoài trời-T4010/18l</t>
  </si>
  <si>
    <t>2000043533242</t>
  </si>
  <si>
    <t>roma bóng ngoại-p4023/5l</t>
  </si>
  <si>
    <t>Điểm 3603 -  Viên</t>
  </si>
  <si>
    <t>2000045278127</t>
  </si>
  <si>
    <t>Điểm 3603 - Viên</t>
  </si>
  <si>
    <t>2000048434803</t>
  </si>
  <si>
    <t>Tranh 12x1.8 YG1083</t>
  </si>
  <si>
    <t>2000048434810</t>
  </si>
  <si>
    <t>Tranh 1.2x1.8 YG844</t>
  </si>
  <si>
    <t>2000048434834</t>
  </si>
  <si>
    <t>Tranh 1.2x1.8 YG974</t>
  </si>
  <si>
    <t>2000058211906</t>
  </si>
  <si>
    <t>Bình Ariton /30L</t>
  </si>
  <si>
    <t>BJ9/Base C/5L (M)</t>
  </si>
  <si>
    <t>2000147607429</t>
  </si>
  <si>
    <t>Sơn ngoại thất cao cấp DULUX WEATHERSHIELD BJ9/Base C/5L (M)</t>
  </si>
  <si>
    <t>CRB đúc DUNKAL 2 hố tròn</t>
  </si>
  <si>
    <t>2000214249477</t>
  </si>
  <si>
    <t>CRB  DUNKAL đúc 2 hố vuông</t>
  </si>
  <si>
    <t>2000214249484</t>
  </si>
  <si>
    <t>CRB DUNKAL đúc 2 hố vuông</t>
  </si>
  <si>
    <t>DS607 (bộ)</t>
  </si>
  <si>
    <t>2000214250176</t>
  </si>
  <si>
    <t>Bệt liền khối Dai Sung mã DS607 (bộ)</t>
  </si>
  <si>
    <t>DS600 (bộ)</t>
  </si>
  <si>
    <t>2000214250183</t>
  </si>
  <si>
    <t>Bệt liền khối Dai Sung mã DS600 (bộ)</t>
  </si>
  <si>
    <t>Bệt V39 + Xịt Vigla</t>
  </si>
  <si>
    <t>2000214252057</t>
  </si>
  <si>
    <t>Bệt V72 + xịt Vigla</t>
  </si>
  <si>
    <t>2000214252071</t>
  </si>
  <si>
    <t>Bệt V816 + xịt vigla</t>
  </si>
  <si>
    <t>2000214252088</t>
  </si>
  <si>
    <t>Bệt V848 + xịt vigla</t>
  </si>
  <si>
    <t>2000214252095</t>
  </si>
  <si>
    <t>Chậu + chân dài 58 vigla</t>
  </si>
  <si>
    <t>2000214252101</t>
  </si>
  <si>
    <t>Chậu V63 vigla</t>
  </si>
  <si>
    <t>2000214252125</t>
  </si>
  <si>
    <t>Bệt HC-1021</t>
  </si>
  <si>
    <t>2000214252712</t>
  </si>
  <si>
    <t>Phụ Kiện Nhà Tắm</t>
  </si>
  <si>
    <t>2000214255508</t>
  </si>
  <si>
    <t>FV3665-V</t>
  </si>
  <si>
    <t>2000025157176</t>
  </si>
  <si>
    <t>Ốp vát 30x60 FV 3665-V</t>
  </si>
  <si>
    <t>FV3609-V</t>
  </si>
  <si>
    <t>2000025157190</t>
  </si>
  <si>
    <t>Ốp vát 30x60 FV 3609-V</t>
  </si>
  <si>
    <t>F632-V</t>
  </si>
  <si>
    <t>2000025178843</t>
  </si>
  <si>
    <t>Gạch lát 60x60 F632-V</t>
  </si>
  <si>
    <t>F6309-V</t>
  </si>
  <si>
    <t>2000025178959</t>
  </si>
  <si>
    <t>Gạch F6309-V</t>
  </si>
  <si>
    <t>F516-V</t>
  </si>
  <si>
    <t>2000025178980</t>
  </si>
  <si>
    <t>Gạch lát 50x50 F516-V</t>
  </si>
  <si>
    <t>F04-V</t>
  </si>
  <si>
    <t>2000025179062</t>
  </si>
  <si>
    <t>Ốp 30x45 F04-V</t>
  </si>
  <si>
    <t>F3680-V</t>
  </si>
  <si>
    <t>2000025179086</t>
  </si>
  <si>
    <t>Ốp 30x60 F3680-V</t>
  </si>
  <si>
    <t>F604-V</t>
  </si>
  <si>
    <t>2000025179147</t>
  </si>
  <si>
    <t>Gạch lát 60x60 F604-V</t>
  </si>
  <si>
    <t>F3665-V</t>
  </si>
  <si>
    <t>2000025179185</t>
  </si>
  <si>
    <t>Ốp 30x60 F3665-V</t>
  </si>
  <si>
    <t>F363-V</t>
  </si>
  <si>
    <t>2000025179208</t>
  </si>
  <si>
    <t>Chống trơn 30x30 F363-V</t>
  </si>
  <si>
    <t>K519-V</t>
  </si>
  <si>
    <t>2000025179246</t>
  </si>
  <si>
    <t>Gạch lát 50x50 K519-V</t>
  </si>
  <si>
    <t>K509-V</t>
  </si>
  <si>
    <t>2000025179284</t>
  </si>
  <si>
    <t>Gạch lát 50x50 K509-V</t>
  </si>
  <si>
    <t>K510-V</t>
  </si>
  <si>
    <t>2000025179307</t>
  </si>
  <si>
    <t>Gạch lat 50x50 K510-V</t>
  </si>
  <si>
    <t>K3481</t>
  </si>
  <si>
    <t>2000025179314</t>
  </si>
  <si>
    <t>Ốp 30x45 K3481</t>
  </si>
  <si>
    <t>TN07-V</t>
  </si>
  <si>
    <t>2000025179352</t>
  </si>
  <si>
    <t>Ốp 30x45 TN07-V</t>
  </si>
  <si>
    <t>C03</t>
  </si>
  <si>
    <t>2000025179468</t>
  </si>
  <si>
    <t>Ốp 30x45 C03</t>
  </si>
  <si>
    <t>C03-V</t>
  </si>
  <si>
    <t>2000025179475</t>
  </si>
  <si>
    <t>Ốp 30x45 C03-V</t>
  </si>
  <si>
    <t>BJ8-25155/1L</t>
  </si>
  <si>
    <t>2000025583029</t>
  </si>
  <si>
    <t>Dulux weathershield bề mặt mờ - Màu trắng 25155</t>
  </si>
  <si>
    <t>BJ8/5l</t>
  </si>
  <si>
    <t>2000025583043</t>
  </si>
  <si>
    <t>Dulux weathershield bề mặt mờ - Màu chuẩn</t>
  </si>
  <si>
    <t>BJ9-25155/1L</t>
  </si>
  <si>
    <t>2000025583050</t>
  </si>
  <si>
    <t>Dulux weathershield bề mặt bóng - Màu trắng 25155</t>
  </si>
  <si>
    <t>BJ9/5L</t>
  </si>
  <si>
    <t>2000025583081</t>
  </si>
  <si>
    <t>Dulux weathershield bề mặt bóng - Màu chuẩn</t>
  </si>
  <si>
    <t>66A/1L</t>
  </si>
  <si>
    <t>2000025583180</t>
  </si>
  <si>
    <t>Dulux Ambiance 5 in 1/1L</t>
  </si>
  <si>
    <t>74A/5L</t>
  </si>
  <si>
    <t>2000025583289</t>
  </si>
  <si>
    <t>Dulux Easy Clean lau chùi vượt bậc mới 5L</t>
  </si>
  <si>
    <t>Y53/4L</t>
  </si>
  <si>
    <t>2000025583302</t>
  </si>
  <si>
    <t>Dulux Inspire sơn nội thất 4L</t>
  </si>
  <si>
    <t>EH3/5L</t>
  </si>
  <si>
    <t>2000025583531</t>
  </si>
  <si>
    <t>Maxilite kinh tế 5L</t>
  </si>
  <si>
    <t>CLPB/18L</t>
  </si>
  <si>
    <t>2000025583869</t>
  </si>
  <si>
    <t>Clear phủ bóng 18L</t>
  </si>
  <si>
    <t>GJ8B-25155/1L</t>
  </si>
  <si>
    <t>2000025586228</t>
  </si>
  <si>
    <t>Dulux wheathershield powerflexx bề mặt bóng - màu trắng 25155/1L</t>
  </si>
  <si>
    <t>BNTPCT/5L</t>
  </si>
  <si>
    <t>2000025586259</t>
  </si>
  <si>
    <t>Bóng ngọc trai pha tại công ty</t>
  </si>
  <si>
    <t>BNTNS/5L</t>
  </si>
  <si>
    <t>2000025586266</t>
  </si>
  <si>
    <t>Bóng ngọc trai pha tại NS</t>
  </si>
  <si>
    <t>HKN/5L</t>
  </si>
  <si>
    <t>2000025586358</t>
  </si>
  <si>
    <t>Hợp kim ngoài 5L</t>
  </si>
  <si>
    <t>HKN/1L</t>
  </si>
  <si>
    <t>2000025588468</t>
  </si>
  <si>
    <t>Hợp kim ngoài 1L</t>
  </si>
  <si>
    <t>SM00/4L</t>
  </si>
  <si>
    <t>2000025589342</t>
  </si>
  <si>
    <t>Megatex siêu mịn 00/4L</t>
  </si>
  <si>
    <t>BNT-30BG76/107/5L</t>
  </si>
  <si>
    <t>2000026127390</t>
  </si>
  <si>
    <t>BJ9-90RTR39/226/1L (đen)</t>
  </si>
  <si>
    <t>2000026380825</t>
  </si>
  <si>
    <t>BJ9-90RTR39/226/1L</t>
  </si>
  <si>
    <t>BJ9-90RR39/226/5L (đỏ hồng)</t>
  </si>
  <si>
    <t>2000026380887</t>
  </si>
  <si>
    <t>BJ9-90RR39/226/5L (Đặc biệt+12%)</t>
  </si>
  <si>
    <t>2000026652304</t>
  </si>
  <si>
    <t>Vòi bếp cắm chậu đen ECO-SKZ-01=</t>
  </si>
  <si>
    <t>A901-BG0022/18L</t>
  </si>
  <si>
    <t>2000026665434</t>
  </si>
  <si>
    <t>2000026763789</t>
  </si>
  <si>
    <t>66a-90rr83\009\5l</t>
  </si>
  <si>
    <t>2000026763796</t>
  </si>
  <si>
    <t>66a-90rr83\009\1lit</t>
  </si>
  <si>
    <t>2000026763802</t>
  </si>
  <si>
    <t>66a-10rr83\009\5l</t>
  </si>
  <si>
    <t>2000026775850</t>
  </si>
  <si>
    <t>bj9-30bb13\068\5l</t>
  </si>
  <si>
    <t>2000026775898</t>
  </si>
  <si>
    <t>bj9-70yr11\279\5l</t>
  </si>
  <si>
    <t>2000026823124</t>
  </si>
  <si>
    <t>66a-75060\1l</t>
  </si>
  <si>
    <t>2000026848509</t>
  </si>
  <si>
    <t>a991-13rr72\121\5l</t>
  </si>
  <si>
    <t>66A-30G76/132/5L</t>
  </si>
  <si>
    <t>2000026929468</t>
  </si>
  <si>
    <t>CVCHH (60x60)</t>
  </si>
  <si>
    <t>2000026969754</t>
  </si>
  <si>
    <t>cước vận chuyển Hoàng Hà (60x60)</t>
  </si>
  <si>
    <t>2000027056583</t>
  </si>
  <si>
    <t>a901-7-67yy87\169</t>
  </si>
  <si>
    <t>2000027056606</t>
  </si>
  <si>
    <t>a901-7-60yy83\219\5l</t>
  </si>
  <si>
    <t>2000027069118</t>
  </si>
  <si>
    <t>991-95RB71\132\5L</t>
  </si>
  <si>
    <t>VMN vàng</t>
  </si>
  <si>
    <t>2000027143405</t>
  </si>
  <si>
    <t>Viền mắt ngọc vàng</t>
  </si>
  <si>
    <t>2000027260478</t>
  </si>
  <si>
    <t>66A -</t>
  </si>
  <si>
    <t>LFY</t>
  </si>
  <si>
    <t>2000027260577</t>
  </si>
  <si>
    <t>chất màu LFY</t>
  </si>
  <si>
    <t>OXR</t>
  </si>
  <si>
    <t>2000027260584</t>
  </si>
  <si>
    <t>Chất maug OXR</t>
  </si>
  <si>
    <t>A991-71484/18L</t>
  </si>
  <si>
    <t>2000027524808</t>
  </si>
  <si>
    <t>66A-73412/1L</t>
  </si>
  <si>
    <t>2000027524877</t>
  </si>
  <si>
    <t>A901-10YY83/100/1L</t>
  </si>
  <si>
    <t>2000027543977</t>
  </si>
  <si>
    <t>BJ9-48BG54/244/1L</t>
  </si>
  <si>
    <t>2000027544615</t>
  </si>
  <si>
    <t>2000028772901</t>
  </si>
  <si>
    <t>bj9-50gy69\309\5l</t>
  </si>
  <si>
    <t>Viền 9656</t>
  </si>
  <si>
    <t>2000028953256</t>
  </si>
  <si>
    <t>2000029354748</t>
  </si>
  <si>
    <t>BJ9-30GG18/450/5 (Đặc biệt+5%)</t>
  </si>
  <si>
    <t>2000029532221</t>
  </si>
  <si>
    <t>a99133rr74\111\5l</t>
  </si>
  <si>
    <t>2000029532238</t>
  </si>
  <si>
    <t>a991-rb68\081\5l</t>
  </si>
  <si>
    <t>2000029553165</t>
  </si>
  <si>
    <t>35yy71\74\5l(ĐB+15%)</t>
  </si>
  <si>
    <t>2000029553226</t>
  </si>
  <si>
    <t>BJ9-59YR15\377\1L</t>
  </si>
  <si>
    <t>2000029664694</t>
  </si>
  <si>
    <t>66a-5664\58\5l</t>
  </si>
  <si>
    <t>2000029716768</t>
  </si>
  <si>
    <t>a991-75yy87\137\18l</t>
  </si>
  <si>
    <t>2000029768989</t>
  </si>
  <si>
    <t>vòi đơn 7124 vatta</t>
  </si>
  <si>
    <t>2000029781070</t>
  </si>
  <si>
    <t>66a-50g76\090\5l</t>
  </si>
  <si>
    <t>2000029781087</t>
  </si>
  <si>
    <t>66a-05yy72\254\5l</t>
  </si>
  <si>
    <t>2000029781094</t>
  </si>
  <si>
    <t>bj9-78yr39\593\5l</t>
  </si>
  <si>
    <t>2000029781124</t>
  </si>
  <si>
    <t>bj9-94rb64\182\1l</t>
  </si>
  <si>
    <t>HI-COVER-75485/18L</t>
  </si>
  <si>
    <t>2000030197129</t>
  </si>
  <si>
    <t>2000030245868</t>
  </si>
  <si>
    <t>66a-50yy88\180\5l</t>
  </si>
  <si>
    <t>2000030245936</t>
  </si>
  <si>
    <t>66a-58yy88\180\5l</t>
  </si>
  <si>
    <t>Roy 2429</t>
  </si>
  <si>
    <t>2000030613575</t>
  </si>
  <si>
    <t>Bệt đúc Roy 2429</t>
  </si>
  <si>
    <t>Bệt Roy2431</t>
  </si>
  <si>
    <t>2000030629309</t>
  </si>
  <si>
    <t>Bệt Roy 2431</t>
  </si>
  <si>
    <t>2000030751222</t>
  </si>
  <si>
    <t>991-71yy87\078\1l</t>
  </si>
  <si>
    <t>2000030751321</t>
  </si>
  <si>
    <t>a991-0yy83\156\1l</t>
  </si>
  <si>
    <t>2000030848762</t>
  </si>
  <si>
    <t>j9-71761\1l</t>
  </si>
  <si>
    <t>2000031164748</t>
  </si>
  <si>
    <t>bj9-6bg43\321\1l</t>
  </si>
  <si>
    <t>2000031172347</t>
  </si>
  <si>
    <t>mg- hợp kim 76418/5l</t>
  </si>
  <si>
    <t>2000031225456</t>
  </si>
  <si>
    <t>bj9-30yy67\184\1l</t>
  </si>
  <si>
    <t>2000031225494</t>
  </si>
  <si>
    <t>bj9-0yy67/084/5l</t>
  </si>
  <si>
    <t>2000031225500</t>
  </si>
  <si>
    <t>66a-0yy67/084/1l</t>
  </si>
  <si>
    <t>2000031227795</t>
  </si>
  <si>
    <t>45YY83\062/5L</t>
  </si>
  <si>
    <t>2000031227832</t>
  </si>
  <si>
    <t>BJ9-5YY83\062\1L</t>
  </si>
  <si>
    <t>2000031231495</t>
  </si>
  <si>
    <t>MG -BNT-66A01BB69\098/5L</t>
  </si>
  <si>
    <t>2000031246871</t>
  </si>
  <si>
    <t>MG-HỢP KIM-8015\1L</t>
  </si>
  <si>
    <t>2000031286617</t>
  </si>
  <si>
    <t>bj9-40yy69\112/1l</t>
  </si>
  <si>
    <t>2000031286631</t>
  </si>
  <si>
    <t>bj9-30yy67\087\1l</t>
  </si>
  <si>
    <t>2000031286754</t>
  </si>
  <si>
    <t>66a-10gy41\600\5l</t>
  </si>
  <si>
    <t>2000031287690</t>
  </si>
  <si>
    <t>BJ9-98BG37\353\1L</t>
  </si>
  <si>
    <t>2000031294544</t>
  </si>
  <si>
    <t>MG-BNT-10YR83\025\5L</t>
  </si>
  <si>
    <t>2000031338507</t>
  </si>
  <si>
    <t>MG-SIÊU BÓNG NỘI-66BG68/157/18I</t>
  </si>
  <si>
    <t>2000031338538</t>
  </si>
  <si>
    <t>MG-SIÊU BÓNG NỘI- 86BG43\321\5L</t>
  </si>
  <si>
    <t>VB- KF23-620-50</t>
  </si>
  <si>
    <t>2000031358918</t>
  </si>
  <si>
    <t>Vòi LVB + DC KF23-620-50 ( đầy đủ phụ kiện)</t>
  </si>
  <si>
    <t>2000031534947</t>
  </si>
  <si>
    <t>a991-70gy83/200/1l</t>
  </si>
  <si>
    <t>ECOM - 822 Viên</t>
  </si>
  <si>
    <t>2000031940656</t>
  </si>
  <si>
    <t>gạch lát ECOM - 822 Viên</t>
  </si>
  <si>
    <t>ECO-M825 D04- Viên</t>
  </si>
  <si>
    <t>2000032011348</t>
  </si>
  <si>
    <t>Gạch Granite ECO-M825 D04- Viên</t>
  </si>
  <si>
    <t>2000032584095</t>
  </si>
  <si>
    <t>eco-s604</t>
  </si>
  <si>
    <t>Dây Ngọc Sơn</t>
  </si>
  <si>
    <t>2000033057833</t>
  </si>
  <si>
    <t>trừ theo biên bản họp Việt Ý</t>
  </si>
  <si>
    <t>2000033118329</t>
  </si>
  <si>
    <t>Bệt + chậu + chân (HC)</t>
  </si>
  <si>
    <t>2000033443162</t>
  </si>
  <si>
    <t>ECO822 D03</t>
  </si>
  <si>
    <t>2000034268580</t>
  </si>
  <si>
    <t>NS 835 - Viên</t>
  </si>
  <si>
    <t>2000034851492</t>
  </si>
  <si>
    <t>tường ốp 2018 màu đậm</t>
  </si>
  <si>
    <t>2000035231309</t>
  </si>
  <si>
    <t>Y6468 G - Viên</t>
  </si>
  <si>
    <t>2000036097669</t>
  </si>
  <si>
    <t>Viền 7x30 Y6468 G - Viên</t>
  </si>
  <si>
    <t>BJ935YY64/633/5L</t>
  </si>
  <si>
    <t>2000036148842</t>
  </si>
  <si>
    <t>Sân vườn 02 - Viên</t>
  </si>
  <si>
    <t>2000037713612</t>
  </si>
  <si>
    <t>A66/5L</t>
  </si>
  <si>
    <t>2000038278592</t>
  </si>
  <si>
    <t>66A-82RR76/111/5L</t>
  </si>
  <si>
    <t>2000038850682</t>
  </si>
  <si>
    <t>66A 52YY89/117/5L</t>
  </si>
  <si>
    <t>2000039332361</t>
  </si>
  <si>
    <t>F6661 A1 - Viên</t>
  </si>
  <si>
    <t>2000040746263</t>
  </si>
  <si>
    <t>Gạch lát 60x60 F6661 A1 - Viên</t>
  </si>
  <si>
    <t>VN50 - Viên</t>
  </si>
  <si>
    <t>2000041652396</t>
  </si>
  <si>
    <t>66A 67YY89/124/18L</t>
  </si>
  <si>
    <t>2000041855438</t>
  </si>
  <si>
    <t>66A - 76876/5L</t>
  </si>
  <si>
    <t>2000041855445</t>
  </si>
  <si>
    <t>66A - 73106/5L</t>
  </si>
  <si>
    <t>2000041855483</t>
  </si>
  <si>
    <t>66A-73106/1L</t>
  </si>
  <si>
    <t>2000041855506</t>
  </si>
  <si>
    <t>66A 42RB 53/176/1L</t>
  </si>
  <si>
    <t>2000041855520</t>
  </si>
  <si>
    <t>BJ9 - chỉ ngoại thất 50GG23/85/5L</t>
  </si>
  <si>
    <t>2000041855575</t>
  </si>
  <si>
    <t>MG màu mịn ngoài 3077/18L</t>
  </si>
  <si>
    <t>2000042106744</t>
  </si>
  <si>
    <t>MG màu mịn ngoài 3080/18L</t>
  </si>
  <si>
    <t>2000042106751</t>
  </si>
  <si>
    <t>ECO-621D11 - Viên</t>
  </si>
  <si>
    <t>2000042201005</t>
  </si>
  <si>
    <t>Gạch Granite ECO-621D11 - Viên</t>
  </si>
  <si>
    <t>gương mảnh Karat</t>
  </si>
  <si>
    <t>2000042759285</t>
  </si>
  <si>
    <t>2000043466922</t>
  </si>
  <si>
    <t>2000044117199</t>
  </si>
  <si>
    <t>WBĐ-36037</t>
  </si>
  <si>
    <t>2000044117212</t>
  </si>
  <si>
    <t>W-36038</t>
  </si>
  <si>
    <t>2000044117229</t>
  </si>
  <si>
    <t>W-36037</t>
  </si>
  <si>
    <t>2000044117236</t>
  </si>
  <si>
    <t>HM-3061</t>
  </si>
  <si>
    <t>Điểm WB3603</t>
  </si>
  <si>
    <t>2000044833167</t>
  </si>
  <si>
    <t>W6218 - viên</t>
  </si>
  <si>
    <t>2000045007536</t>
  </si>
  <si>
    <t>gạch lát W6218 - viên</t>
  </si>
  <si>
    <t>2000045370647</t>
  </si>
  <si>
    <t>gỗ 15x86 - 6112 Viên</t>
  </si>
  <si>
    <t>TS2-612 - Viên</t>
  </si>
  <si>
    <t>2000045394254</t>
  </si>
  <si>
    <t>GS553-v</t>
  </si>
  <si>
    <t>2000045709423</t>
  </si>
  <si>
    <t>gạch nền GS553 _viên</t>
  </si>
  <si>
    <t>w602</t>
  </si>
  <si>
    <t>2000045986473</t>
  </si>
  <si>
    <t>w602 - vân gỗ kẻ thô</t>
  </si>
  <si>
    <t>2000046179539</t>
  </si>
  <si>
    <t>36803 - gạch ốp 30x60 (1h=1,08m2)</t>
  </si>
  <si>
    <t>2000046179546</t>
  </si>
  <si>
    <t>36802 - gạch ốp 30x60 (1h=1,08m2)</t>
  </si>
  <si>
    <t>Viền điểm 6405</t>
  </si>
  <si>
    <t>2000047108330</t>
  </si>
  <si>
    <t>ct 3665</t>
  </si>
  <si>
    <t>2000048515090</t>
  </si>
  <si>
    <t>chống trơn KF3665</t>
  </si>
  <si>
    <t>2000049535868</t>
  </si>
  <si>
    <t>Tranh 1.2x1.8 YG 101</t>
  </si>
  <si>
    <t>2000050261251</t>
  </si>
  <si>
    <t>A991-76419/18L</t>
  </si>
  <si>
    <t>2000053117876</t>
  </si>
  <si>
    <t>A991-19RR78/078/5L</t>
  </si>
  <si>
    <t>2000053117883</t>
  </si>
  <si>
    <t>A991-B53RB76/067/5L</t>
  </si>
  <si>
    <t>2000055139883</t>
  </si>
  <si>
    <t>ốp BS3603 - Viên</t>
  </si>
  <si>
    <t>2000065169412</t>
  </si>
  <si>
    <t>A991- 75YY87/137/18L</t>
  </si>
  <si>
    <t>2000068627544</t>
  </si>
  <si>
    <t>ốp 30x60 màu nâu</t>
  </si>
  <si>
    <t>79bg53/259/5l</t>
  </si>
  <si>
    <t>2000068867247</t>
  </si>
  <si>
    <t>GJ8-79Bg53/259/5 lít</t>
  </si>
  <si>
    <t>90bg17/090/1l</t>
  </si>
  <si>
    <t>2000068867643</t>
  </si>
  <si>
    <t>GJ8-90Bg17/090/1 lít</t>
  </si>
  <si>
    <t>17yr13/463/1l</t>
  </si>
  <si>
    <t>2000068867704</t>
  </si>
  <si>
    <t>BJ9-17YR13/463/1 lít</t>
  </si>
  <si>
    <t>52yy89/117/5l</t>
  </si>
  <si>
    <t>2000069031920</t>
  </si>
  <si>
    <t>39AB-52yy89/117/5 lít</t>
  </si>
  <si>
    <t>a991/1l trắng</t>
  </si>
  <si>
    <t>2000069032170</t>
  </si>
  <si>
    <t>A991-Trắng bóng 1 lít</t>
  </si>
  <si>
    <t>601</t>
  </si>
  <si>
    <t>2000069663657</t>
  </si>
  <si>
    <t>UTB 601-60*60</t>
  </si>
  <si>
    <t>601-v</t>
  </si>
  <si>
    <t>2000069663671</t>
  </si>
  <si>
    <t>UTB 601-viên</t>
  </si>
  <si>
    <t>thảm 1m6*1m6</t>
  </si>
  <si>
    <t>2000072011469</t>
  </si>
  <si>
    <t>Thảm _KT 1m6*1m6</t>
  </si>
  <si>
    <t>2000072050178</t>
  </si>
  <si>
    <t>GJ8-35yy78/269/5l</t>
  </si>
  <si>
    <t>2000072050185</t>
  </si>
  <si>
    <t>GJ8-20yy46/515/1l</t>
  </si>
  <si>
    <t>xi phông</t>
  </si>
  <si>
    <t>2000072371877</t>
  </si>
  <si>
    <t>Xi phông tiểu nam</t>
  </si>
  <si>
    <t>bậc thềm</t>
  </si>
  <si>
    <t>2000072600274</t>
  </si>
  <si>
    <t>gạch bậc thềm</t>
  </si>
  <si>
    <t>2000072624430</t>
  </si>
  <si>
    <t>bậc thềm - Viên</t>
  </si>
  <si>
    <t>1,2*1,.8m</t>
  </si>
  <si>
    <t>2000076629806</t>
  </si>
  <si>
    <t>Thảm kt 1,2*1,8m</t>
  </si>
  <si>
    <t>2000077058216</t>
  </si>
  <si>
    <t>a901-18l trắng</t>
  </si>
  <si>
    <t>2000084480154</t>
  </si>
  <si>
    <t>Sân vườn PCS-595</t>
  </si>
  <si>
    <t>2000093061474</t>
  </si>
  <si>
    <t>Sơn bóng nội 031-3/18L</t>
  </si>
  <si>
    <t>2000093062006</t>
  </si>
  <si>
    <t>Sơn nội thất mịn 100-2/18L</t>
  </si>
  <si>
    <t>2000101407959</t>
  </si>
  <si>
    <t>66AB-63yy80\051\5l</t>
  </si>
  <si>
    <t>65YY90/062/5l</t>
  </si>
  <si>
    <t>2000102513666</t>
  </si>
  <si>
    <t>66AB-65YY90/062/5 lít</t>
  </si>
  <si>
    <t>2000103926083</t>
  </si>
  <si>
    <t>Chổi lăn sơn</t>
  </si>
  <si>
    <t>2000103926113</t>
  </si>
  <si>
    <t>Chổi sơn nhỏ</t>
  </si>
  <si>
    <t>2000110833107</t>
  </si>
  <si>
    <t>Sơn bóng nội thất/1L ( pha màu thử)</t>
  </si>
  <si>
    <t>2000111077678</t>
  </si>
  <si>
    <t>2000111302473</t>
  </si>
  <si>
    <t>Nội thất bóng cao cấp/1L ( pha màu thử)</t>
  </si>
  <si>
    <t>LX3602 (A) - Viên</t>
  </si>
  <si>
    <t>2000134164997</t>
  </si>
  <si>
    <t>Ốp trang trí LX3602 (A) - Viên</t>
  </si>
  <si>
    <t>LX3615 (B) - Viên</t>
  </si>
  <si>
    <t>2000135499562</t>
  </si>
  <si>
    <t>Ốp LX3615 (B) - Viên</t>
  </si>
  <si>
    <t>BJ9/Base D/5L (M)</t>
  </si>
  <si>
    <t>2000147616971</t>
  </si>
  <si>
    <t>Sơn nước ngoại thất cao cấp dulux BJ9/Base D/5L (M)</t>
  </si>
  <si>
    <t>2000171934737</t>
  </si>
  <si>
    <t>MOL M04/15*90/VIÊN</t>
  </si>
  <si>
    <t>2000171935215</t>
  </si>
  <si>
    <t>PHSS OI/45*90/VIÊN</t>
  </si>
  <si>
    <t>2000171936625</t>
  </si>
  <si>
    <t>MOC M03/15*90/VIÊN</t>
  </si>
  <si>
    <t>2000171936786</t>
  </si>
  <si>
    <t>MOL MO4/15*90/HỘP</t>
  </si>
  <si>
    <t>66143</t>
  </si>
  <si>
    <t>2000174644893</t>
  </si>
  <si>
    <t>Cắm chậu - 66143</t>
  </si>
  <si>
    <t>2000174949301</t>
  </si>
  <si>
    <t>Chống thấm Kova CT11/20kg</t>
  </si>
  <si>
    <t>2000182223721</t>
  </si>
  <si>
    <t>THD H02</t>
  </si>
  <si>
    <t>2000182223738</t>
  </si>
  <si>
    <t>THD H02(viên)</t>
  </si>
  <si>
    <t>2000182223752</t>
  </si>
  <si>
    <t>NGC I01</t>
  </si>
  <si>
    <t>2000182224018</t>
  </si>
  <si>
    <t>NCI 01(viên)</t>
  </si>
  <si>
    <t>N6-1015 A1 - Viên</t>
  </si>
  <si>
    <t>2000183367219</t>
  </si>
  <si>
    <t>Gạch 60x60 - N6-1015 A1 - Viên</t>
  </si>
  <si>
    <t>2000194242963</t>
  </si>
  <si>
    <t>Màu Maxilight/5L</t>
  </si>
  <si>
    <t>2000199463769</t>
  </si>
  <si>
    <t>gạch chống trơn tồn - Viên</t>
  </si>
  <si>
    <t>2000200052302</t>
  </si>
  <si>
    <t>MOL k04/A1(20*1,2)</t>
  </si>
  <si>
    <t>2000200358671</t>
  </si>
  <si>
    <t>sân vườn 50x50</t>
  </si>
  <si>
    <t>2000201524006</t>
  </si>
  <si>
    <t>chậu rửa mặt vuông  Roy 212</t>
  </si>
  <si>
    <t>2000201959457</t>
  </si>
  <si>
    <t>ốp 30x60 - Viên</t>
  </si>
  <si>
    <t>PK gương Penzala PL1000 (bộ)</t>
  </si>
  <si>
    <t>2000214250169</t>
  </si>
  <si>
    <t>Bệt DS 8088</t>
  </si>
  <si>
    <t>2000214255157</t>
  </si>
  <si>
    <t>ốp vigla(6v/h)=1.08m</t>
  </si>
  <si>
    <t>2000214255232</t>
  </si>
  <si>
    <t>VI6603 A1- 2022</t>
  </si>
  <si>
    <t>2000175979031</t>
  </si>
  <si>
    <t>Gạch lát VI6603 A1 - ( 1 hộp = 1.44m)</t>
  </si>
  <si>
    <t>VI - SV20 ( hủy)</t>
  </si>
  <si>
    <t>2000160888508</t>
  </si>
  <si>
    <t>Gạch sân vườn SV20</t>
  </si>
  <si>
    <t>VI6603 ( mã cũ) hủy</t>
  </si>
  <si>
    <t>2000119034857</t>
  </si>
  <si>
    <t>Gạch lát VI6603</t>
  </si>
  <si>
    <t>SG301</t>
  </si>
  <si>
    <t>2000117156780</t>
  </si>
  <si>
    <t>Chống trơn SG301</t>
  </si>
  <si>
    <t>SV23 (A1)-2021</t>
  </si>
  <si>
    <t>2000176506571</t>
  </si>
  <si>
    <t>Sân vườn SV23 (A1)</t>
  </si>
  <si>
    <t>LXC6203(A1)</t>
  </si>
  <si>
    <t>2000157311606</t>
  </si>
  <si>
    <t>LXC6203(A1) ( 1 hộp =1.44m2)</t>
  </si>
  <si>
    <t>VI6034 A1 -2021</t>
  </si>
  <si>
    <t>2000194688532</t>
  </si>
  <si>
    <t>Gạch lát VI6034 A1 (1 hộp = 1.44m2)</t>
  </si>
  <si>
    <t>NS835</t>
  </si>
  <si>
    <t>2000024873510</t>
  </si>
  <si>
    <t>Gạch lát NS835</t>
  </si>
  <si>
    <t>VI5556 A1</t>
  </si>
  <si>
    <t>2000024768137</t>
  </si>
  <si>
    <t>Gạch lát VI5556</t>
  </si>
  <si>
    <t>VI3003</t>
  </si>
  <si>
    <t>2000026453079</t>
  </si>
  <si>
    <t>Chống trơn 30x30 - VI3003</t>
  </si>
  <si>
    <t>SV05 (A2)</t>
  </si>
  <si>
    <t>2000161676951</t>
  </si>
  <si>
    <t>Sân vườn 05 (A2)</t>
  </si>
  <si>
    <t>F367</t>
  </si>
  <si>
    <t>2000047219401</t>
  </si>
  <si>
    <t>Gạch chống trơn F367</t>
  </si>
  <si>
    <t>FV36107 A1</t>
  </si>
  <si>
    <t>2000041103447</t>
  </si>
  <si>
    <t>Gạch 30x60 FV36107 A1</t>
  </si>
  <si>
    <t>TB893(A1)</t>
  </si>
  <si>
    <t>2000129146922</t>
  </si>
  <si>
    <t>Gạch lát 80x80 TB893(A1)</t>
  </si>
  <si>
    <t>VI6505</t>
  </si>
  <si>
    <t>2000025595848</t>
  </si>
  <si>
    <t>Gạch lát nền 60x60 VI6505</t>
  </si>
  <si>
    <t>VI05 - Viên</t>
  </si>
  <si>
    <t>2000088302605</t>
  </si>
  <si>
    <t>Sân vườn 05 A1 - Viên</t>
  </si>
  <si>
    <t>TH 3632 - Viên</t>
  </si>
  <si>
    <t>2000058043798</t>
  </si>
  <si>
    <t>Ốp 30x60 TH 3632 - Viên</t>
  </si>
  <si>
    <t>VI5804 - V</t>
  </si>
  <si>
    <t>2000030375077</t>
  </si>
  <si>
    <t>VI5804 - Viên</t>
  </si>
  <si>
    <t>LK7304 (20v/h)</t>
  </si>
  <si>
    <t>2000030617238</t>
  </si>
  <si>
    <t>Viền LK7304 (20 viên/hộp)</t>
  </si>
  <si>
    <t>LSK3310 (A)</t>
  </si>
  <si>
    <t>2000124608524</t>
  </si>
  <si>
    <t>Chống trơn LSK3310 (A)</t>
  </si>
  <si>
    <t>Điểm 34590 - viên</t>
  </si>
  <si>
    <t>2000038730236</t>
  </si>
  <si>
    <t>TB892(A1)-Viên</t>
  </si>
  <si>
    <t>2000129146793</t>
  </si>
  <si>
    <t>Gạch lát TB892(A1)-viên</t>
  </si>
  <si>
    <t>Y6695 - G (40 viên/hộp) - quả trám</t>
  </si>
  <si>
    <t>2000036096846</t>
  </si>
  <si>
    <t>Viền 7x30 Y6695 - G (40 viên/hộp)</t>
  </si>
  <si>
    <t>Viền C7610 - Viên</t>
  </si>
  <si>
    <t>2000031633633</t>
  </si>
  <si>
    <t>HF656 - Viên</t>
  </si>
  <si>
    <t>2000047107852</t>
  </si>
  <si>
    <t>Gạch lát 60x60 HF656 - Viên</t>
  </si>
  <si>
    <t>F363</t>
  </si>
  <si>
    <t>2000025179192</t>
  </si>
  <si>
    <t>Chống trơn 30x30 F363</t>
  </si>
  <si>
    <t>plus siêu bóng ngoại Base A /5L - Roma</t>
  </si>
  <si>
    <t>2000043467134</t>
  </si>
  <si>
    <t>Sơn siêu bóng ngoại thất hoàn hảo - Base A/5L</t>
  </si>
  <si>
    <t>VN4457</t>
  </si>
  <si>
    <t>2000043249631</t>
  </si>
  <si>
    <t>Gạch lát (40x40) - VN4457</t>
  </si>
  <si>
    <t>Ốp TH3643 - Viên</t>
  </si>
  <si>
    <t>2000058707720</t>
  </si>
  <si>
    <t>VI25 A1 - Viên</t>
  </si>
  <si>
    <t>2000198568014</t>
  </si>
  <si>
    <t>Sân vườn VI25 A1 - Viên</t>
  </si>
  <si>
    <t>VI6007-V</t>
  </si>
  <si>
    <t>2000026085669</t>
  </si>
  <si>
    <t>Gạch lát 60x60 VI6007-V</t>
  </si>
  <si>
    <t>C6605 - Viên</t>
  </si>
  <si>
    <t>2000054349245</t>
  </si>
  <si>
    <t>Gạch lát C6605 - Viên</t>
  </si>
  <si>
    <t>FD36126 - V</t>
  </si>
  <si>
    <t>2000025174135</t>
  </si>
  <si>
    <t>Ốp định hình 30x60 FD36126- (Viên)</t>
  </si>
  <si>
    <t>fv36104-v</t>
  </si>
  <si>
    <t>2000043103995</t>
  </si>
  <si>
    <t>fv36104-viên -gạch ốp 30*60 36104</t>
  </si>
  <si>
    <t>R-2465X-S ( hủy)</t>
  </si>
  <si>
    <t>2000026650348</t>
  </si>
  <si>
    <t>Bệt két liền Roy-2465X-S</t>
  </si>
  <si>
    <t>2000111782909</t>
  </si>
  <si>
    <t>Sân vườn 591 - Viên</t>
  </si>
  <si>
    <t>A934(M)/18L</t>
  </si>
  <si>
    <t>2000145667364</t>
  </si>
  <si>
    <t>Sơn lót nội A934(M)/18L</t>
  </si>
  <si>
    <t>VI5512 A - V</t>
  </si>
  <si>
    <t>2000027335305</t>
  </si>
  <si>
    <t>VI5512 A - Viên</t>
  </si>
  <si>
    <t>D006 (30 viên/hộp)</t>
  </si>
  <si>
    <t>2000036096969</t>
  </si>
  <si>
    <t>Viền 7x60 D006 (30 viên/hộp)</t>
  </si>
  <si>
    <t>ốp bộ 30x45 - 34584 - Viên</t>
  </si>
  <si>
    <t>2000035931186</t>
  </si>
  <si>
    <t>F3696 - V</t>
  </si>
  <si>
    <t>2000026730026</t>
  </si>
  <si>
    <t>F3696 - Viên</t>
  </si>
  <si>
    <t>MD-P822 - Viên (A1)</t>
  </si>
  <si>
    <t>2000076482340</t>
  </si>
  <si>
    <t>Gạch Granit MD-P822 - Viên</t>
  </si>
  <si>
    <t>CK3401 - V</t>
  </si>
  <si>
    <t>2000029210990</t>
  </si>
  <si>
    <t>CK3401 - Viên</t>
  </si>
  <si>
    <t>ROY - 2915 X- S</t>
  </si>
  <si>
    <t>2000031357584</t>
  </si>
  <si>
    <t>Bệt BKL ROY - 2915 X- S</t>
  </si>
  <si>
    <t>TECO-S822 D13 A1 - Viên</t>
  </si>
  <si>
    <t>2000031294568</t>
  </si>
  <si>
    <t>Gạch Granite ECO-S822 D13 A1 - Viên</t>
  </si>
  <si>
    <t>336 - Viên</t>
  </si>
  <si>
    <t>2000077414067</t>
  </si>
  <si>
    <t>Chống trơn 336 - Viên</t>
  </si>
  <si>
    <t>FV3684-V</t>
  </si>
  <si>
    <t>2000025157091</t>
  </si>
  <si>
    <t>Ốp vát 30x60 FV 3684-V</t>
  </si>
  <si>
    <t>VR351 - Viên</t>
  </si>
  <si>
    <t>2000071919100</t>
  </si>
  <si>
    <t>Gạch trang trí VR351 - Viên</t>
  </si>
  <si>
    <t>KF23-720-50</t>
  </si>
  <si>
    <t>2000026652236</t>
  </si>
  <si>
    <t>Sen tăm ko dây KF23-720-50</t>
  </si>
  <si>
    <t>ốp 2017 ( 30x60) - Viên</t>
  </si>
  <si>
    <t>2000035240219</t>
  </si>
  <si>
    <t>A934 (M)/5L</t>
  </si>
  <si>
    <t>2000145667845</t>
  </si>
  <si>
    <t>Sơn lót nội dulux A934 (M)/5L</t>
  </si>
  <si>
    <t>RSW14</t>
  </si>
  <si>
    <t>2000026652267</t>
  </si>
  <si>
    <t>Sen cây cần trượt RSW14</t>
  </si>
  <si>
    <t>ECO - M625 D18 A1 - Viên</t>
  </si>
  <si>
    <t>2000039265843</t>
  </si>
  <si>
    <t>Gạch Granite ECO - M625 D18 A1 - Viên</t>
  </si>
  <si>
    <t>vòi Ruminee</t>
  </si>
  <si>
    <t>2000042344597</t>
  </si>
  <si>
    <t>VI5016 - Viên</t>
  </si>
  <si>
    <t>2000037928825</t>
  </si>
  <si>
    <t>PCS-593 - Viên</t>
  </si>
  <si>
    <t>2000045900189</t>
  </si>
  <si>
    <t>Sân vườn PCS-593 - Viên</t>
  </si>
  <si>
    <t>2000067170683</t>
  </si>
  <si>
    <t>tasa 6411 - Viên</t>
  </si>
  <si>
    <t>LX6007 (A) mới - Viên- 2021</t>
  </si>
  <si>
    <t>2000170638285</t>
  </si>
  <si>
    <t>Lát LX6007 (A)  Viên - (mới  vân trắng)</t>
  </si>
  <si>
    <t>O3064</t>
  </si>
  <si>
    <t>2000025167939</t>
  </si>
  <si>
    <t>Ốp 3064</t>
  </si>
  <si>
    <t>FD36161D-V</t>
  </si>
  <si>
    <t>2000025178829</t>
  </si>
  <si>
    <t>Viên điểm F36161D-Viên</t>
  </si>
  <si>
    <t>ROY-2429X-S</t>
  </si>
  <si>
    <t>2000031357508</t>
  </si>
  <si>
    <t>Bệt BKL ROY-2429X-S</t>
  </si>
  <si>
    <t>Kona</t>
  </si>
  <si>
    <t>2000026507727</t>
  </si>
  <si>
    <t>Sen vòi Kona</t>
  </si>
  <si>
    <t>BLK</t>
  </si>
  <si>
    <t>2000027260553</t>
  </si>
  <si>
    <t>Chất màu BLK</t>
  </si>
  <si>
    <t>VI528</t>
  </si>
  <si>
    <t>2000027272433</t>
  </si>
  <si>
    <t>LXT2402</t>
  </si>
  <si>
    <t>2000027734481</t>
  </si>
  <si>
    <t>Gạch ốp 250x400 - LXT2402</t>
  </si>
  <si>
    <t>LX2403</t>
  </si>
  <si>
    <t>2000027734511</t>
  </si>
  <si>
    <t>Gạch ốp 250x400 LX2403</t>
  </si>
  <si>
    <t>LX2410</t>
  </si>
  <si>
    <t>2000027734573</t>
  </si>
  <si>
    <t>Gạch ốp 250x400xLX2410</t>
  </si>
  <si>
    <t>ST- KF22-720-50</t>
  </si>
  <si>
    <t>2000031358611</t>
  </si>
  <si>
    <t>Sen tắm KF22-720-50 (đầy đủ phụ kiện)</t>
  </si>
  <si>
    <t>VL- KF22-620-50A</t>
  </si>
  <si>
    <t>2000031358680</t>
  </si>
  <si>
    <t>Vòi LVB + DC KF22-620-50A ( đầy đủ phụ kiện)</t>
  </si>
  <si>
    <t>ST - KF23-720-50</t>
  </si>
  <si>
    <t>2000031358796</t>
  </si>
  <si>
    <t>Sen tắm KF23-720-50 ( đầy đủ phụ kiện)</t>
  </si>
  <si>
    <t>VB-MJ61-50A</t>
  </si>
  <si>
    <t>2000031359076</t>
  </si>
  <si>
    <t>Vòi bếp VB-MJ61-50A</t>
  </si>
  <si>
    <t>Roy -2688X-S</t>
  </si>
  <si>
    <t>2000032141953</t>
  </si>
  <si>
    <t>Bệt két liền Roy -2688X-S</t>
  </si>
  <si>
    <t>Roy 2699 X-S</t>
  </si>
  <si>
    <t>2000032142080</t>
  </si>
  <si>
    <t>Bệt két liền Roy 2699 X-S</t>
  </si>
  <si>
    <t>2000032424360</t>
  </si>
  <si>
    <t>sv 1090+1091</t>
  </si>
  <si>
    <t>2000032424490</t>
  </si>
  <si>
    <t>vòi inox vuông-6610</t>
  </si>
  <si>
    <t>2000032424513</t>
  </si>
  <si>
    <t>chậu rửa hình elip</t>
  </si>
  <si>
    <t>2000032424667</t>
  </si>
  <si>
    <t>tuyết sả 4 chiều -2083</t>
  </si>
  <si>
    <t>2000032424698</t>
  </si>
  <si>
    <t>bồn cầu xả 2 chiều -2036</t>
  </si>
  <si>
    <t>Tranh bộ YG 607  KT 1.2x1.8 (60x60)</t>
  </si>
  <si>
    <t>2000040083085</t>
  </si>
  <si>
    <t>Tranh bộ YG 607 KT 1.2x1.8 - (2 hộp x3 viên)</t>
  </si>
  <si>
    <t>Tranh bộ YG 1103 - KT 1.2x1.8 (60x60)</t>
  </si>
  <si>
    <t>2000040083207</t>
  </si>
  <si>
    <t>Tranh bộ YG 1103 - KT 1.2x1.8 ( 2 hộp x3 viên)</t>
  </si>
  <si>
    <t>Tranh bộ YG1029C - KT 1.6x 2.4 (80x80)</t>
  </si>
  <si>
    <t>2000040083603</t>
  </si>
  <si>
    <t>Tranh bộ YG1029C - KT 1.6x 2.4 (2 hộp x3 viên)</t>
  </si>
  <si>
    <t>Tranh bộ YG 1118A - KT 1.2 x1.8 ( 60x60)</t>
  </si>
  <si>
    <t>2000040083610</t>
  </si>
  <si>
    <t>Tranh bộ YG 1118A - KT 1.2 x1.8 - (2 hộp x3 viên)</t>
  </si>
  <si>
    <t>Tranh bộ YG 1156 - KT3.0x 1.8 (60x60)</t>
  </si>
  <si>
    <t>2000040083634</t>
  </si>
  <si>
    <t>Tranh bộ YG 1156 - KT3.0x 1.8 ( 3 hộp x 5 viên)</t>
  </si>
  <si>
    <t>Tranh bộ YG1021- KT 3x1.2 - (60x60)</t>
  </si>
  <si>
    <t>2000040083641</t>
  </si>
  <si>
    <t>Tranh bộ YG1021- KT 3x1.2 - ( 2 hộp x5 viên)</t>
  </si>
  <si>
    <t>Tranh bộ YG 642 - KT 1.8x3.0 - ( 60x60)</t>
  </si>
  <si>
    <t>2000040083658</t>
  </si>
  <si>
    <t>Tranh bộ YG 642 - KT 1.8x3.0 - ( 3 hộp x5 viên)</t>
  </si>
  <si>
    <t>Tranh bộ YG1071 - KT1.8x3.0 - (60x60)</t>
  </si>
  <si>
    <t>2000040083665</t>
  </si>
  <si>
    <t>Tranh bộ YG1071 - KT1.8x3.0 - ( 3 hộp x5 viên)</t>
  </si>
  <si>
    <t>Tranh 3DUV phẳng 55630, 1800*1200; 60*60 ( 3v/h) - Vỡ</t>
  </si>
  <si>
    <t>2000041099764</t>
  </si>
  <si>
    <t>Tranh 3DUV phẳng 55630, 1800*1200; 60*60 ( 3v/h)</t>
  </si>
  <si>
    <t>Tinh màu - Roma</t>
  </si>
  <si>
    <t>2000043572067</t>
  </si>
  <si>
    <t>2000068627537</t>
  </si>
  <si>
    <t>Điểm 36919</t>
  </si>
  <si>
    <t>2000092012217</t>
  </si>
  <si>
    <t>tinh màu</t>
  </si>
  <si>
    <t>LX5505</t>
  </si>
  <si>
    <t>2000130722115</t>
  </si>
  <si>
    <t>Sân vườn LX5505</t>
  </si>
  <si>
    <t>39AB Base B(M)/5L</t>
  </si>
  <si>
    <t>2000146262889</t>
  </si>
  <si>
    <t>Sơn nội thất dulux inspire bóng 39AB Base B (M)/5L</t>
  </si>
  <si>
    <t>BJ9/25155/(M)/5L</t>
  </si>
  <si>
    <t>2000147359472</t>
  </si>
  <si>
    <t>Sơn ngoại thất bóng BJ9/25155/(M)/5L</t>
  </si>
  <si>
    <t>GJ8B/base B/5L(M)</t>
  </si>
  <si>
    <t>2000147362571</t>
  </si>
  <si>
    <t>Sơn ngoại thất cao cấp bề mặt bóng GJ8B/base B/5L(M)</t>
  </si>
  <si>
    <t>Y53/15330/5L(M)</t>
  </si>
  <si>
    <t>2000147364667</t>
  </si>
  <si>
    <t>66A Base B/5L (M)</t>
  </si>
  <si>
    <t>2000147365879</t>
  </si>
  <si>
    <t>Sơn nước nội thất siêu cao cấp DULUX AMBIANCE 5IN1 bóng mờ 66A Base B/5L (M)</t>
  </si>
  <si>
    <t>A991/base A/5L(M)</t>
  </si>
  <si>
    <t>2000147610337</t>
  </si>
  <si>
    <t>Sơn nước nội thất lau chùi hiệu quả A991/base A/5L(M)</t>
  </si>
  <si>
    <t>A991-1/5L(M)</t>
  </si>
  <si>
    <t>2000147610580</t>
  </si>
  <si>
    <t>Sơn nội thất cao cấp Dulux lau chùi hiệu quả A991-1/5L(M)</t>
  </si>
  <si>
    <t>BJ9/DSWHC 71754/5L(M)</t>
  </si>
  <si>
    <t>2000147610955</t>
  </si>
  <si>
    <t>Sơn nước ngoại thất DULUX BJ9/DSWHC 71754/5L(M)</t>
  </si>
  <si>
    <t>A991/Base A/1L (M)</t>
  </si>
  <si>
    <t>2000147615189</t>
  </si>
  <si>
    <t>Sơn nước nội thất cao cấp Dulux/ A991/Base A/1L (M)</t>
  </si>
  <si>
    <t>Điều chỉnh công nợ nhập lại so với giá vốn</t>
  </si>
  <si>
    <t>2000165183578</t>
  </si>
  <si>
    <t>2000176040587</t>
  </si>
  <si>
    <t>Điều chỉnh giảm sơn theo năm</t>
  </si>
  <si>
    <t>Phụ kiện gương Penzala PL1000(bộ)</t>
  </si>
  <si>
    <t>2000214249668</t>
  </si>
  <si>
    <t>2000214253634</t>
  </si>
  <si>
    <t>xi phông chậu rửa bát</t>
  </si>
  <si>
    <t>VI5801 A1</t>
  </si>
  <si>
    <t>2000028967864</t>
  </si>
  <si>
    <t>Gạch lát nền VI5801 - 5 A1</t>
  </si>
  <si>
    <t>VG6004</t>
  </si>
  <si>
    <t>2000084511254</t>
  </si>
  <si>
    <t>Gạch lát VG6004</t>
  </si>
  <si>
    <t>2000130722085</t>
  </si>
  <si>
    <t>Ốp LV3650 hủy ( 1 hộp = 1.44m2)</t>
  </si>
  <si>
    <t>FD36160</t>
  </si>
  <si>
    <t>2000025133958</t>
  </si>
  <si>
    <t>Ốp định hình 30x60 FD36160</t>
  </si>
  <si>
    <t>HD306</t>
  </si>
  <si>
    <t>2000089346578</t>
  </si>
  <si>
    <t>Gạch trang trí HD306</t>
  </si>
  <si>
    <t>C6607</t>
  </si>
  <si>
    <t>2000121650656</t>
  </si>
  <si>
    <t>Lát C6607</t>
  </si>
  <si>
    <t>Sân vườn 5502 - 6V</t>
  </si>
  <si>
    <t>2000127713898</t>
  </si>
  <si>
    <t>Sân vườn 5502 ( 6 viên /hộp = 1.5m2)</t>
  </si>
  <si>
    <t>MF6200</t>
  </si>
  <si>
    <t>2000046859172</t>
  </si>
  <si>
    <t>Gạch lát 60x60 MF6200</t>
  </si>
  <si>
    <t>F368</t>
  </si>
  <si>
    <t>2000047219418</t>
  </si>
  <si>
    <t>Gạch chống trơn F368</t>
  </si>
  <si>
    <t>LX3601 (A)</t>
  </si>
  <si>
    <t>2000134164881</t>
  </si>
  <si>
    <t>Gạch trang trí LX3601 (A)</t>
  </si>
  <si>
    <t>VI6603 - Viên (A1)-2021</t>
  </si>
  <si>
    <t>2000175992580</t>
  </si>
  <si>
    <t>Gạch lát VI6603 - Viên (A1)</t>
  </si>
  <si>
    <t>chống trơn 326</t>
  </si>
  <si>
    <t>2000038842601</t>
  </si>
  <si>
    <t>VR-532</t>
  </si>
  <si>
    <t>2000049811962</t>
  </si>
  <si>
    <t>Gạch lát VR-532</t>
  </si>
  <si>
    <t>LX3608</t>
  </si>
  <si>
    <t>2000110033576</t>
  </si>
  <si>
    <t>ốp LX3608 ( 1 hộp = 1.44m)</t>
  </si>
  <si>
    <t>2000083550858</t>
  </si>
  <si>
    <t>VG6003 - Viên</t>
  </si>
  <si>
    <t>HC601</t>
  </si>
  <si>
    <t>2000047107920</t>
  </si>
  <si>
    <t>Gạch lát 60x60 - HC601</t>
  </si>
  <si>
    <t>FV36108</t>
  </si>
  <si>
    <t>2000041103492</t>
  </si>
  <si>
    <t>Gạch ốp 30x60 FV36108 ( đậm)</t>
  </si>
  <si>
    <t>MC6100 - Viên</t>
  </si>
  <si>
    <t>2000047107838</t>
  </si>
  <si>
    <t>Gạch lát 60x60-MC6100 - Viên</t>
  </si>
  <si>
    <t>LX6014 (A1)</t>
  </si>
  <si>
    <t>2000124615379</t>
  </si>
  <si>
    <t>Lát LX6014 (A1)</t>
  </si>
  <si>
    <t>TUTS5 - 605B18 A1</t>
  </si>
  <si>
    <t>2000030965711</t>
  </si>
  <si>
    <t>Gạch Granite UTS5 - 605B18 A1</t>
  </si>
  <si>
    <t>ECO-622 D15 A1</t>
  </si>
  <si>
    <t>2000038748941</t>
  </si>
  <si>
    <t>Gạch Granite ECO-622 D15 A1</t>
  </si>
  <si>
    <t>VI6610 A1 - Viên -2021</t>
  </si>
  <si>
    <t>2000188568956</t>
  </si>
  <si>
    <t>Gạch lát 60x60 - VI6610 A1 - Viên</t>
  </si>
  <si>
    <t>VI6034 A1 - Viên</t>
  </si>
  <si>
    <t>2000198564801</t>
  </si>
  <si>
    <t>Gạch lát VI6034 A1 - Viên</t>
  </si>
  <si>
    <t>Sơn plus nội bóng Base A/5L - Roma</t>
  </si>
  <si>
    <t>2000043466830</t>
  </si>
  <si>
    <t>Sơn nội thất cao cấp bóng Base A/5L</t>
  </si>
  <si>
    <t>Gạch lát ECO - 803D16</t>
  </si>
  <si>
    <t>2000044648617</t>
  </si>
  <si>
    <t>Gạch lát ECO - 803D07</t>
  </si>
  <si>
    <t>LX8009 A2 - Viên</t>
  </si>
  <si>
    <t>2000199328310</t>
  </si>
  <si>
    <t>Gạch lát LX8009 A2 - Viên</t>
  </si>
  <si>
    <t>UB8810 - Viên</t>
  </si>
  <si>
    <t>2000105019295</t>
  </si>
  <si>
    <t>VI5801 - V</t>
  </si>
  <si>
    <t>2000030302912</t>
  </si>
  <si>
    <t>VI5801 - Viên</t>
  </si>
  <si>
    <t>EcoS - 601</t>
  </si>
  <si>
    <t>2000032943663</t>
  </si>
  <si>
    <t>Gạch lát EcoS - 601</t>
  </si>
  <si>
    <t>N8-6040VT A2(Viên)</t>
  </si>
  <si>
    <t>2000214253122</t>
  </si>
  <si>
    <t>Gạch 80*80 mã N8-6040VT A2(Viên)</t>
  </si>
  <si>
    <t>FTĐ3604 - Viên ( Đậm)</t>
  </si>
  <si>
    <t>2000042011772</t>
  </si>
  <si>
    <t>Ốp 30x60 FTĐ3604 - Viên</t>
  </si>
  <si>
    <t>D002 ( 30 viên/ hộp)</t>
  </si>
  <si>
    <t>2000036096952</t>
  </si>
  <si>
    <t>Viền 7x60 D002 ( 30 viên/ hộp)</t>
  </si>
  <si>
    <t>380 (B- 538)</t>
  </si>
  <si>
    <t>2000031357935</t>
  </si>
  <si>
    <t>Chậu LVB Roy -380 (B538) ( KT 415x415x160mm)</t>
  </si>
  <si>
    <t>A936(M)/5L</t>
  </si>
  <si>
    <t>2000145667852</t>
  </si>
  <si>
    <t>Sơn lót ngoại dulux A936(M)/5L</t>
  </si>
  <si>
    <t>TN03-V</t>
  </si>
  <si>
    <t>2000025179413</t>
  </si>
  <si>
    <t>Ốp 30x45 TN03-V</t>
  </si>
  <si>
    <t>Sen i KC 50-50</t>
  </si>
  <si>
    <t>2000033015291</t>
  </si>
  <si>
    <t>Sen KC 50-50</t>
  </si>
  <si>
    <t>GD36908vien</t>
  </si>
  <si>
    <t>2000047108422</t>
  </si>
  <si>
    <t>Gạch ốp GD 36908 (30x60) viên</t>
  </si>
  <si>
    <t>ECO801- Viên</t>
  </si>
  <si>
    <t>2000122669480</t>
  </si>
  <si>
    <t>ECO801- Viên- gạch Granit ECo801- viên</t>
  </si>
  <si>
    <t>66A/Base A/1L (M)</t>
  </si>
  <si>
    <t>2000147611761</t>
  </si>
  <si>
    <t>Sơn nước nội thất siêu cao cấp 5in1 bóng mờ 66A/Base A/1L (M)</t>
  </si>
  <si>
    <t>FV3609</t>
  </si>
  <si>
    <t>2000025157183</t>
  </si>
  <si>
    <t>Ốp vát 30x60 FV 3609</t>
  </si>
  <si>
    <t>VI733-V</t>
  </si>
  <si>
    <t>2000025857557</t>
  </si>
  <si>
    <t>VI733 - viên</t>
  </si>
  <si>
    <t>VI5002</t>
  </si>
  <si>
    <t>2000028966997</t>
  </si>
  <si>
    <t>Gạch lát nền VI5002 A1</t>
  </si>
  <si>
    <t>DS WSH2G Base A 5L (BJ9)</t>
  </si>
  <si>
    <t>2000035182519</t>
  </si>
  <si>
    <t>2000045926844</t>
  </si>
  <si>
    <t>HM20013 - điểm 40x80 Hoàn mỹ hồng xanh - viên</t>
  </si>
  <si>
    <t>Z060/18L (M)</t>
  </si>
  <si>
    <t>2000147616698</t>
  </si>
  <si>
    <t>Sơn lót ngoại thất siêu cao cấp Dulux Z060/18L (M)</t>
  </si>
  <si>
    <t>97-661 A1 - VIÊN</t>
  </si>
  <si>
    <t>2000214256857</t>
  </si>
  <si>
    <t>Gạch Takao-Vasary Sân vườn 60*60 mã 97-661 A1 - VIÊN</t>
  </si>
  <si>
    <t>VI20  A1 - 2021</t>
  </si>
  <si>
    <t>2000194688334</t>
  </si>
  <si>
    <t>Sân vườn VI20  A1</t>
  </si>
  <si>
    <t>Ốp 30x45 -  M3062</t>
  </si>
  <si>
    <t>2000035931445</t>
  </si>
  <si>
    <t>Ốp 30x45 - M3062</t>
  </si>
  <si>
    <t>3602 ( độc quyền)</t>
  </si>
  <si>
    <t>2000125390343</t>
  </si>
  <si>
    <t>trắng 30x60 A2 - AN3602 (1 hộp = 1.44m2)</t>
  </si>
  <si>
    <t>VI6007</t>
  </si>
  <si>
    <t>2000025583128</t>
  </si>
  <si>
    <t>Gạch lát nền 60x60 VI6007</t>
  </si>
  <si>
    <t>F05</t>
  </si>
  <si>
    <t>2000025178928</t>
  </si>
  <si>
    <t>Ốp 30x45 F05</t>
  </si>
  <si>
    <t>PCS-593</t>
  </si>
  <si>
    <t>2000045900035</t>
  </si>
  <si>
    <t>Sân vườn PCS-593</t>
  </si>
  <si>
    <t>F627</t>
  </si>
  <si>
    <t>2000025178874</t>
  </si>
  <si>
    <t>Gạch lát 60x60 F627</t>
  </si>
  <si>
    <t>Lát LX6007 mới (A)-2021</t>
  </si>
  <si>
    <t>2000170602323</t>
  </si>
  <si>
    <t>Lát LX6007 mới ( A) - (1 hộp =1.44m2)</t>
  </si>
  <si>
    <t>chống trơn 325</t>
  </si>
  <si>
    <t>2000038902688</t>
  </si>
  <si>
    <t>TH3642 - Viên</t>
  </si>
  <si>
    <t>2000058044887</t>
  </si>
  <si>
    <t>Điểm TH3642 - Viên</t>
  </si>
  <si>
    <t>F36653 - (nhạt)</t>
  </si>
  <si>
    <t>2000124610565</t>
  </si>
  <si>
    <t>Ốp F36653 ( 1 hộp =1.44m2)</t>
  </si>
  <si>
    <t>VI5520A1-V</t>
  </si>
  <si>
    <t>2000024768168</t>
  </si>
  <si>
    <t>Gạch lát VI5520-V</t>
  </si>
  <si>
    <t>MDP821 mới) - A</t>
  </si>
  <si>
    <t>2000128810947</t>
  </si>
  <si>
    <t>Gạch lát MDP821 (A) - 1 hộp = 1.92m2</t>
  </si>
  <si>
    <t>Gạch lát ECO-822D03A1</t>
  </si>
  <si>
    <t>2000032949054</t>
  </si>
  <si>
    <t>F36106 D</t>
  </si>
  <si>
    <t>2000041103287</t>
  </si>
  <si>
    <t>điểm F36106 D</t>
  </si>
  <si>
    <t>Gạch lát ECOM - 822D02 A1</t>
  </si>
  <si>
    <t>2000031940632</t>
  </si>
  <si>
    <t>Gạch lát ECOM - 822 D02A1</t>
  </si>
  <si>
    <t>F9656 (20v/h)</t>
  </si>
  <si>
    <t>2000030617122</t>
  </si>
  <si>
    <t>Viền KT 70x600 F9656 (20 viên/hộp)</t>
  </si>
  <si>
    <t>CV3643 - Viên</t>
  </si>
  <si>
    <t>2000049801482</t>
  </si>
  <si>
    <t>Gạch ốp CV3643 - Viên</t>
  </si>
  <si>
    <t>FV3681-Viên</t>
  </si>
  <si>
    <t>2000025068366</t>
  </si>
  <si>
    <t>Ốp vát 30x60 FV3681-Viên</t>
  </si>
  <si>
    <t>F3675 -V</t>
  </si>
  <si>
    <t>2000028349950</t>
  </si>
  <si>
    <t>F3675 - Viên</t>
  </si>
  <si>
    <t>Gạch Điểm FM3662 - Viên</t>
  </si>
  <si>
    <t>2000036093883</t>
  </si>
  <si>
    <t>VI5510 A1 -V</t>
  </si>
  <si>
    <t>2000024768106</t>
  </si>
  <si>
    <t>Gạch lát VI5510-V</t>
  </si>
  <si>
    <t>SV506-Viên</t>
  </si>
  <si>
    <t>2000045900172</t>
  </si>
  <si>
    <t>Sân vườn - 504 - Viên</t>
  </si>
  <si>
    <t>Viền  KT7 x 60-  Y6608  ( 24 viên/hộp)</t>
  </si>
  <si>
    <t>2000040083672</t>
  </si>
  <si>
    <t>Viền KT7 x 60- Y6608 ( 24 viên/hộp)</t>
  </si>
  <si>
    <t>PC 302 - Viên</t>
  </si>
  <si>
    <t>2000091563772</t>
  </si>
  <si>
    <t>555 - Viên</t>
  </si>
  <si>
    <t>2000101555476</t>
  </si>
  <si>
    <t>Sân vườn 555 - Viên</t>
  </si>
  <si>
    <t>LX7323 - Viên</t>
  </si>
  <si>
    <t>2000032104521</t>
  </si>
  <si>
    <t>Viền LX7323 - Viên</t>
  </si>
  <si>
    <t>Sơn Roma ngoại thất mịn Base D/4L</t>
  </si>
  <si>
    <t>2000058145980</t>
  </si>
  <si>
    <t>Vòi 30-50</t>
  </si>
  <si>
    <t>2000033015307</t>
  </si>
  <si>
    <t>Vòi KC30-50</t>
  </si>
  <si>
    <t>KF23-620-50</t>
  </si>
  <si>
    <t>2000026652335</t>
  </si>
  <si>
    <t>Vòi LVB+DC KF23-620-50 (không SF)</t>
  </si>
  <si>
    <t>2000056276488</t>
  </si>
  <si>
    <t>Sơn ngoại thất men sứ hợp kim Base B2/5L</t>
  </si>
  <si>
    <t>C09-V</t>
  </si>
  <si>
    <t>2000025179499</t>
  </si>
  <si>
    <t>Ốp 30x45 C09-V</t>
  </si>
  <si>
    <t>TT435</t>
  </si>
  <si>
    <t>2000025284247</t>
  </si>
  <si>
    <t>Gạch ốp (30x40) TT435</t>
  </si>
  <si>
    <t>VI5805 A1</t>
  </si>
  <si>
    <t>2000029227349</t>
  </si>
  <si>
    <t>VI5805 - A1</t>
  </si>
  <si>
    <t>VR 523_v</t>
  </si>
  <si>
    <t>2000051525093</t>
  </si>
  <si>
    <t>VR 523_viên _gạch lát 50*50 VR 523</t>
  </si>
  <si>
    <t>SV594 - Viên</t>
  </si>
  <si>
    <t>2000098337956</t>
  </si>
  <si>
    <t>Sân vườn 594 - Viên</t>
  </si>
  <si>
    <t>2000133150922</t>
  </si>
  <si>
    <t>gạch mẫu</t>
  </si>
  <si>
    <t>79A/DSNMC 77134/5L (M)</t>
  </si>
  <si>
    <t>2000147365367</t>
  </si>
  <si>
    <t>Sơn nước ngoại thất DULUX INSPIRE 79A/DSNMC 77134/5L (M)</t>
  </si>
  <si>
    <t>A991-15330S-N/5L(M)</t>
  </si>
  <si>
    <t>2000147609126</t>
  </si>
  <si>
    <t>Sơn nội thất Dulux lau chùi hiệu quả A991-15330S-N/5L(M)</t>
  </si>
  <si>
    <t>VI- SV03</t>
  </si>
  <si>
    <t>2000078205282</t>
  </si>
  <si>
    <t>VI- Sân vườn 03</t>
  </si>
  <si>
    <t>VI6025 ( mã cũ hủy)</t>
  </si>
  <si>
    <t>2000118103509</t>
  </si>
  <si>
    <t>Gạch lát VI6025 ( 1 hộp = 1.44m2)</t>
  </si>
  <si>
    <t>C15</t>
  </si>
  <si>
    <t>2000029779169</t>
  </si>
  <si>
    <t>Gạch ốp 30x45 C15</t>
  </si>
  <si>
    <t>VI6024 A1 - 2021</t>
  </si>
  <si>
    <t>2000177076004</t>
  </si>
  <si>
    <t>Gạch lát VI6024 A1 (1 hộp = 1.44m2)</t>
  </si>
  <si>
    <t>VI6604 ( mã cũ) - hủy</t>
  </si>
  <si>
    <t>2000119604227</t>
  </si>
  <si>
    <t>VI6604</t>
  </si>
  <si>
    <t>N0355-1008C A1 ( xanh)</t>
  </si>
  <si>
    <t>2000166291791</t>
  </si>
  <si>
    <t>Gạch Nise (50x50) 5-1008C A1 ( 1 hộp =1.5m2)</t>
  </si>
  <si>
    <t>VI5004 A1</t>
  </si>
  <si>
    <t>2000028967000</t>
  </si>
  <si>
    <t>Gạch lát nền VI5004 A1</t>
  </si>
  <si>
    <t>VI6605 A1 -2021</t>
  </si>
  <si>
    <t>2000188568864</t>
  </si>
  <si>
    <t>Gạch lát 60x60 - VI6605 A1 (1 h=1.44m2)</t>
  </si>
  <si>
    <t>VG6008</t>
  </si>
  <si>
    <t>2000082688606</t>
  </si>
  <si>
    <t>Gạch lát VG6008</t>
  </si>
  <si>
    <t>C661</t>
  </si>
  <si>
    <t>2000054182552</t>
  </si>
  <si>
    <t>Gạch lát 60x60 C661</t>
  </si>
  <si>
    <t>VI3004</t>
  </si>
  <si>
    <t>2000026497042</t>
  </si>
  <si>
    <t>Chống trơn VI3004</t>
  </si>
  <si>
    <t>Điểm TH3640</t>
  </si>
  <si>
    <t>2000057316503</t>
  </si>
  <si>
    <t>Điểm TH3684 - Viên</t>
  </si>
  <si>
    <t>2000057316497</t>
  </si>
  <si>
    <t>CT801</t>
  </si>
  <si>
    <t>2000104955129</t>
  </si>
  <si>
    <t>Chống trơn 801</t>
  </si>
  <si>
    <t>TECO- S605D04 A1 -Viên</t>
  </si>
  <si>
    <t>2000030965766</t>
  </si>
  <si>
    <t>Gạch Granite ECO- S605D04 A1 -Viên</t>
  </si>
  <si>
    <t>F36652 (A1)- đậm</t>
  </si>
  <si>
    <t>2000124609965</t>
  </si>
  <si>
    <t>Ốp F36652 ( 1 hộp =1.44m2)</t>
  </si>
  <si>
    <t>F631 - Viên</t>
  </si>
  <si>
    <t>2000033592761</t>
  </si>
  <si>
    <t>Điểm F36108 D</t>
  </si>
  <si>
    <t>2000041103515</t>
  </si>
  <si>
    <t>F3697 - D</t>
  </si>
  <si>
    <t>2000026692959</t>
  </si>
  <si>
    <t>Điểm F3697 - D</t>
  </si>
  <si>
    <t>VI20 - Viên</t>
  </si>
  <si>
    <t>2000160888539</t>
  </si>
  <si>
    <t>Sân vườn SV20 - Viên</t>
  </si>
  <si>
    <t>Ốp TH3641 - Viên</t>
  </si>
  <si>
    <t>2000058044788</t>
  </si>
  <si>
    <t>SV17 - Viên</t>
  </si>
  <si>
    <t>2000129476449</t>
  </si>
  <si>
    <t>Sân vườn 17 - Viên</t>
  </si>
  <si>
    <t>FV3688 - Viên</t>
  </si>
  <si>
    <t>2000047625936</t>
  </si>
  <si>
    <t>Gạch ốp 30x60 FV3688 - Viên</t>
  </si>
  <si>
    <t>36601 - Viên</t>
  </si>
  <si>
    <t>2000069970984</t>
  </si>
  <si>
    <t>Ốp 36601 - Viên</t>
  </si>
  <si>
    <t>DIC80802(A1)-viên</t>
  </si>
  <si>
    <t>2000135098406</t>
  </si>
  <si>
    <t>DIC 80802(A1) - Viên</t>
  </si>
  <si>
    <t>FV3685-V</t>
  </si>
  <si>
    <t>2000025157152</t>
  </si>
  <si>
    <t>Ốp 30x60 FV 3685-V</t>
  </si>
  <si>
    <t>34590 -viên</t>
  </si>
  <si>
    <t>2000039135740</t>
  </si>
  <si>
    <t>34590 - viên</t>
  </si>
  <si>
    <t>CT332 - Viên</t>
  </si>
  <si>
    <t>2000092240443</t>
  </si>
  <si>
    <t>Chống trơn 332 - Viên</t>
  </si>
  <si>
    <t>VN515-V</t>
  </si>
  <si>
    <t>2000024854465</t>
  </si>
  <si>
    <t>Gạch lát VN515-V</t>
  </si>
  <si>
    <t>LX2409 - V</t>
  </si>
  <si>
    <t>2000027880034</t>
  </si>
  <si>
    <t>LX2409- viên</t>
  </si>
  <si>
    <t>D005 (30 viên/hộp)</t>
  </si>
  <si>
    <t>2000036096976</t>
  </si>
  <si>
    <t>Viền 7x60 D005 (30 viên/hộp)</t>
  </si>
  <si>
    <t>C3646 - Viên</t>
  </si>
  <si>
    <t>2000136375759</t>
  </si>
  <si>
    <t>Ốp C3646 - Viên</t>
  </si>
  <si>
    <t>R-5300AS-P</t>
  </si>
  <si>
    <t>2000031358345</t>
  </si>
  <si>
    <t>Chân dài R-5300AS-P</t>
  </si>
  <si>
    <t>R-2910X-S</t>
  </si>
  <si>
    <t>2000026650287</t>
  </si>
  <si>
    <t>Bệt két rời Roy-2910X-S</t>
  </si>
  <si>
    <t>Gạch ốp FM3664 - Viên</t>
  </si>
  <si>
    <t>2000036094491</t>
  </si>
  <si>
    <t>2000054597448</t>
  </si>
  <si>
    <t>Sơn Roma ngoại thất mịn base A/4L</t>
  </si>
  <si>
    <t>ECO-SSZ-01-PWW</t>
  </si>
  <si>
    <t>2000026651062</t>
  </si>
  <si>
    <t>Sen tắm trắng ECO-SSZ-01-PWW</t>
  </si>
  <si>
    <t>A991-1/18L</t>
  </si>
  <si>
    <t>2000026260660</t>
  </si>
  <si>
    <t>R-2487X-S</t>
  </si>
  <si>
    <t>2000026650379</t>
  </si>
  <si>
    <t>Bệt két rời Roy-2780X-S</t>
  </si>
  <si>
    <t>2000055140018</t>
  </si>
  <si>
    <t>Gạch ốp BS3634- Viên</t>
  </si>
  <si>
    <t>LX3600 A - Viên</t>
  </si>
  <si>
    <t>2000138891325</t>
  </si>
  <si>
    <t>Trắng LX3600 A - Viên</t>
  </si>
  <si>
    <t>F36653 - Viên</t>
  </si>
  <si>
    <t>2000139496260</t>
  </si>
  <si>
    <t>Ốp F36653 - Viên</t>
  </si>
  <si>
    <t>BỆT BLK ROY-8166 X-S</t>
  </si>
  <si>
    <t>2000214254174</t>
  </si>
  <si>
    <t>2000055638379</t>
  </si>
  <si>
    <t>Sơn MG bóng ngọc trai nội ngoại thất trắng/1L</t>
  </si>
  <si>
    <t>A991-2/1L(M)</t>
  </si>
  <si>
    <t>2000147616094</t>
  </si>
  <si>
    <t>Sơn nước nội thất cao cấp Dulux lau chùi hiệu quả A991-2/1L(M)</t>
  </si>
  <si>
    <t>ECO-SKZ-01-PWW</t>
  </si>
  <si>
    <t>2000026652328</t>
  </si>
  <si>
    <t>Vòi bếp cắm chậu trắng ECO-SKZ-01-PWW + DC</t>
  </si>
  <si>
    <t>2000026397687</t>
  </si>
  <si>
    <t>BJ9 - Base C/5L</t>
  </si>
  <si>
    <t>quạt làm mát</t>
  </si>
  <si>
    <t>2000037455215</t>
  </si>
  <si>
    <t>A991-15330S/5L(M)</t>
  </si>
  <si>
    <t>2000147608587</t>
  </si>
  <si>
    <t>Sơn nội thất DULUX lau chùi hiệu quả A991-15330S/5L(M)</t>
  </si>
  <si>
    <t>GJ8B/Base B/1L(M)</t>
  </si>
  <si>
    <t>2000147614465</t>
  </si>
  <si>
    <t>Sơn nước ngoại thất Dulux bề mặt bóng GJ8B/Base B/1L(M)</t>
  </si>
  <si>
    <t>SV23 - Viên (A1)</t>
  </si>
  <si>
    <t>2000176506656</t>
  </si>
  <si>
    <t>Sân vườn SV23 - Viên (A1)</t>
  </si>
  <si>
    <t>2000214256987</t>
  </si>
  <si>
    <t>Gạch 60 toko mã 632605 A1 - VIÊN</t>
  </si>
  <si>
    <t>HD3601AA</t>
  </si>
  <si>
    <t>2000147879130</t>
  </si>
  <si>
    <t>Gạch ốp trắng 30x60 HD3601 AA( 1hộp =1.26m2)</t>
  </si>
  <si>
    <t>TH3644 (nhạt)</t>
  </si>
  <si>
    <t>2000058707775</t>
  </si>
  <si>
    <t>Ốp 30x60 - TH3644</t>
  </si>
  <si>
    <t>K521</t>
  </si>
  <si>
    <t>2000025179253</t>
  </si>
  <si>
    <t>Gạch lát 50x50 K521</t>
  </si>
  <si>
    <t>VN4424</t>
  </si>
  <si>
    <t>2000036503474</t>
  </si>
  <si>
    <t>gạch lát nền 40x40 VN4424</t>
  </si>
  <si>
    <t>CT09</t>
  </si>
  <si>
    <t>2000122977912</t>
  </si>
  <si>
    <t>chống trơn CT09</t>
  </si>
  <si>
    <t>FV36104</t>
  </si>
  <si>
    <t>2000041103751</t>
  </si>
  <si>
    <t>Gạch ốp 30x60 FV36104</t>
  </si>
  <si>
    <t>VI6503</t>
  </si>
  <si>
    <t>2000025583074</t>
  </si>
  <si>
    <t>Gạch lát nền 60x60 VI6503</t>
  </si>
  <si>
    <t>FV3688</t>
  </si>
  <si>
    <t>2000047625905</t>
  </si>
  <si>
    <t>ốp 30x60 FV3688</t>
  </si>
  <si>
    <t>FV36105 A1</t>
  </si>
  <si>
    <t>2000041103232</t>
  </si>
  <si>
    <t>Gạch ốp 30x60 - FV36105 A1</t>
  </si>
  <si>
    <t>VR 523</t>
  </si>
  <si>
    <t>2000051525055</t>
  </si>
  <si>
    <t>VR 523_gạch lát 50*50 VR 523</t>
  </si>
  <si>
    <t>VG6004 - Viên</t>
  </si>
  <si>
    <t>2000087062739</t>
  </si>
  <si>
    <t>HF653 - Viên</t>
  </si>
  <si>
    <t>2000046859141</t>
  </si>
  <si>
    <t>Gạch lát 60x60 HF653 - Viên</t>
  </si>
  <si>
    <t>NH503 - Viên</t>
  </si>
  <si>
    <t>2000049917817</t>
  </si>
  <si>
    <t>Gạch lát NH503 - Viên</t>
  </si>
  <si>
    <t>F3680</t>
  </si>
  <si>
    <t>2000025179079</t>
  </si>
  <si>
    <t>Ốp 30x60 F3680</t>
  </si>
  <si>
    <t>34589</t>
  </si>
  <si>
    <t>2000038541771</t>
  </si>
  <si>
    <t>ốp 30x45 - 34589</t>
  </si>
  <si>
    <t>TQ8009</t>
  </si>
  <si>
    <t>2000124700433</t>
  </si>
  <si>
    <t>Gạch TQ8009</t>
  </si>
  <si>
    <t>Điểm TH3644 - Viên</t>
  </si>
  <si>
    <t>2000058708222</t>
  </si>
  <si>
    <t>Roma nội thất mịn Base A/18L</t>
  </si>
  <si>
    <t>2000054892888</t>
  </si>
  <si>
    <t>Sơn Roma nội thất mịn Base A/18L</t>
  </si>
  <si>
    <t>Y6150 - G (40 viên/hộp)</t>
  </si>
  <si>
    <t>2000036096921</t>
  </si>
  <si>
    <t>Viền 7x30 Y6150 - G (40 viên/hộp)</t>
  </si>
  <si>
    <t>LX3613 - Viên</t>
  </si>
  <si>
    <t>2000110956288</t>
  </si>
  <si>
    <t>Ốp LX3613 - Viên</t>
  </si>
  <si>
    <t>LX3608D</t>
  </si>
  <si>
    <t>2000110033583</t>
  </si>
  <si>
    <t>Điểm LX3608D ( 1 hộp = 8 viên)</t>
  </si>
  <si>
    <t>A936 (M)/18L</t>
  </si>
  <si>
    <t>2000145667548</t>
  </si>
  <si>
    <t>Sơn lót ngoại dulux A936 (M)/18L</t>
  </si>
  <si>
    <t>LX7323 (20v/hộp)</t>
  </si>
  <si>
    <t>2000030617245</t>
  </si>
  <si>
    <t>Viền LX7323 (20 viên/hộp)</t>
  </si>
  <si>
    <t>Bệt xả đẩy 2 chiều Kross - 2088</t>
  </si>
  <si>
    <t>2000037108395</t>
  </si>
  <si>
    <t>Bệt xả đẩy 2 chiều Kross 2088</t>
  </si>
  <si>
    <t>380P (B538P)</t>
  </si>
  <si>
    <t>2000031358048</t>
  </si>
  <si>
    <t>Chân dài chậu Roy - 380P (B538P)</t>
  </si>
  <si>
    <t>HD307 - Viên</t>
  </si>
  <si>
    <t>2000089346752</t>
  </si>
  <si>
    <t>Gạch trang trí HD307 - Viên</t>
  </si>
  <si>
    <t>FV3686-V</t>
  </si>
  <si>
    <t>2000025157138</t>
  </si>
  <si>
    <t>Ốp 30x60 FV 3686-V</t>
  </si>
  <si>
    <t>TN06-V</t>
  </si>
  <si>
    <t>2000025179338</t>
  </si>
  <si>
    <t>Ốp 30x45 TN06-V</t>
  </si>
  <si>
    <t>N0366-1007 - Viên</t>
  </si>
  <si>
    <t>2000171991297</t>
  </si>
  <si>
    <t>Gạch ceramic N6-1007 A1 - Viên</t>
  </si>
  <si>
    <t>ốp 2017 (30x60 - MB)</t>
  </si>
  <si>
    <t>2000035231422</t>
  </si>
  <si>
    <t>ECO-SSZ-01-PBB</t>
  </si>
  <si>
    <t>2000026651055</t>
  </si>
  <si>
    <t>Sen tắm đen ECO-SSZ-01-PBB</t>
  </si>
  <si>
    <t>ECO-SKZ-01-PBB</t>
  </si>
  <si>
    <t>2000026652311</t>
  </si>
  <si>
    <t>Vòi bếp cắm chậu đen ECO-SKZ-01-PBB + DC</t>
  </si>
  <si>
    <t>SF-A38</t>
  </si>
  <si>
    <t>2000026652380</t>
  </si>
  <si>
    <t>Đầu SiFong A38</t>
  </si>
  <si>
    <t>SF-2S-50</t>
  </si>
  <si>
    <t>2000026652465</t>
  </si>
  <si>
    <t>Đuôi SiFong BAT 2S-50</t>
  </si>
  <si>
    <t>DS-SO-01</t>
  </si>
  <si>
    <t>2000026652472</t>
  </si>
  <si>
    <t>Dây sen SO-01</t>
  </si>
  <si>
    <t>BS8774</t>
  </si>
  <si>
    <t>2000026652489</t>
  </si>
  <si>
    <t>Bát sen 8774</t>
  </si>
  <si>
    <t>Nhập mẫu Đông A</t>
  </si>
  <si>
    <t>2000038866553</t>
  </si>
  <si>
    <t>VI05 -2021</t>
  </si>
  <si>
    <t>2000176713788</t>
  </si>
  <si>
    <t>Sân vườn SV05</t>
  </si>
  <si>
    <t>HD802</t>
  </si>
  <si>
    <t>2000101554806</t>
  </si>
  <si>
    <t>Chống trơn HD802</t>
  </si>
  <si>
    <t>NS816</t>
  </si>
  <si>
    <t>2000024907307</t>
  </si>
  <si>
    <t>Gạch ốp 40x40 NS816</t>
  </si>
  <si>
    <t>VI25 (A1) - 2022</t>
  </si>
  <si>
    <t>2000191253269</t>
  </si>
  <si>
    <t>Sân vườn VI25 (A1)</t>
  </si>
  <si>
    <t>ốp 30x45 - M3055</t>
  </si>
  <si>
    <t>2000035931452</t>
  </si>
  <si>
    <t>LX5502</t>
  </si>
  <si>
    <t>2000115310795</t>
  </si>
  <si>
    <t>Sân vườn LX5502</t>
  </si>
  <si>
    <t>34590</t>
  </si>
  <si>
    <t>2000038541788</t>
  </si>
  <si>
    <t>ốp 30x45 - 34590</t>
  </si>
  <si>
    <t>C3609</t>
  </si>
  <si>
    <t>2000025179529</t>
  </si>
  <si>
    <t>Ốp 30x60 C3609 (trắng)</t>
  </si>
  <si>
    <t>ECO-S603 D13</t>
  </si>
  <si>
    <t>2000038557260</t>
  </si>
  <si>
    <t>Gạch Grainnte ECO-S603 D13 ( đuôi mới)</t>
  </si>
  <si>
    <t>TT435 A1</t>
  </si>
  <si>
    <t>2000024905938</t>
  </si>
  <si>
    <t>Gạch ốp 30x45 TT435 A1</t>
  </si>
  <si>
    <t>ECO-S620 D14 A1</t>
  </si>
  <si>
    <t>2000039265775</t>
  </si>
  <si>
    <t>Gạch Grainite ECO-S620 D14 A1</t>
  </si>
  <si>
    <t>CT3006</t>
  </si>
  <si>
    <t>2000026599432</t>
  </si>
  <si>
    <t>chống trơn VI3006</t>
  </si>
  <si>
    <t>ECO-S822 D13 A1</t>
  </si>
  <si>
    <t>2000031294551</t>
  </si>
  <si>
    <t>Gạch Granite ECO-S822 D13 A1</t>
  </si>
  <si>
    <t>VI6022  A1</t>
  </si>
  <si>
    <t>2000196110123</t>
  </si>
  <si>
    <t>Gạch lát VI6022  A1 - Viên</t>
  </si>
  <si>
    <t>F6020</t>
  </si>
  <si>
    <t>2000024873596</t>
  </si>
  <si>
    <t>Gạch lát F6020</t>
  </si>
  <si>
    <t>TN07</t>
  </si>
  <si>
    <t>2000025179345</t>
  </si>
  <si>
    <t>Ốp 30x45 TN07</t>
  </si>
  <si>
    <t>F9656 - Viên</t>
  </si>
  <si>
    <t>2000028615475</t>
  </si>
  <si>
    <t>3606 - (B) - Viên</t>
  </si>
  <si>
    <t>2000135500749</t>
  </si>
  <si>
    <t>Điểm 3606 - (B) - Viên</t>
  </si>
  <si>
    <t>VN514-V</t>
  </si>
  <si>
    <t>2000024854564</t>
  </si>
  <si>
    <t>Gạch lát VN514-V</t>
  </si>
  <si>
    <t>LHK46055 A1 - VIÊN</t>
  </si>
  <si>
    <t>2000214256215</t>
  </si>
  <si>
    <t>Gạch 40*60 HH mã LHK46055 A1 - VIÊN</t>
  </si>
  <si>
    <t>ốp 30x60 HD3609 - Viên</t>
  </si>
  <si>
    <t>2000157748426</t>
  </si>
  <si>
    <t>HD3609(A1)-viên</t>
  </si>
  <si>
    <t>Tranh lớn 1,25x1,8m</t>
  </si>
  <si>
    <t>2000026555582</t>
  </si>
  <si>
    <t>ECO-SLZ-40-PBB</t>
  </si>
  <si>
    <t>2000026652298</t>
  </si>
  <si>
    <t>Vòi LVB đen ECO-SLZ-40-PBB</t>
  </si>
  <si>
    <t>plus siêu bóng ngoại 093-4-01</t>
  </si>
  <si>
    <t>2000043711497</t>
  </si>
  <si>
    <t>2000044159205</t>
  </si>
  <si>
    <t>ốp HM3061 - Viên</t>
  </si>
  <si>
    <t>A991-4/1L (M)</t>
  </si>
  <si>
    <t>2000147615783</t>
  </si>
  <si>
    <t>Sơn nước nội thất Dulux lau chùi hiệu quả A991-4/1L (M)</t>
  </si>
  <si>
    <t>FV36102 A1</t>
  </si>
  <si>
    <t>2000040746119</t>
  </si>
  <si>
    <t>Gạch ốp 30x30 FV36102 A1</t>
  </si>
  <si>
    <t>VG6003</t>
  </si>
  <si>
    <t>2000082688613</t>
  </si>
  <si>
    <t>Gạch lát VG6003</t>
  </si>
  <si>
    <t>ốp 30x45 - 34584 ( nhạt)</t>
  </si>
  <si>
    <t>2000035931162</t>
  </si>
  <si>
    <t>ốp bộ 30x45 - 34584 (nhạt)</t>
  </si>
  <si>
    <t>ECOS-801 (A)</t>
  </si>
  <si>
    <t>2000077004176</t>
  </si>
  <si>
    <t>Gạch Granit ECOS-801</t>
  </si>
  <si>
    <t>HD308</t>
  </si>
  <si>
    <t>2000089346998</t>
  </si>
  <si>
    <t>Gạch trang trí HD308</t>
  </si>
  <si>
    <t>ct05</t>
  </si>
  <si>
    <t>2000118389484</t>
  </si>
  <si>
    <t>Chống trơn CT05</t>
  </si>
  <si>
    <t>VI6011</t>
  </si>
  <si>
    <t>2000025583135</t>
  </si>
  <si>
    <t>Gạch lát nền 60x60 VI6011</t>
  </si>
  <si>
    <t>N6-6026 A1 - Viên</t>
  </si>
  <si>
    <t>2000175773141</t>
  </si>
  <si>
    <t>Gạch Pocelain N6-6026 (A1) - Viên</t>
  </si>
  <si>
    <t>ECO - S822 D21 A1</t>
  </si>
  <si>
    <t>2000039267076</t>
  </si>
  <si>
    <t>Gạch Granite ECO - S822 D21 A1</t>
  </si>
  <si>
    <t>F36160D-Viên</t>
  </si>
  <si>
    <t>2000025133989</t>
  </si>
  <si>
    <t>điểm F36160D-Viên</t>
  </si>
  <si>
    <t>CT381-V</t>
  </si>
  <si>
    <t>2000024855233</t>
  </si>
  <si>
    <t>Gạch lát CT381-V</t>
  </si>
  <si>
    <t>Gạch ốp 30x60 FM3661 - Viên</t>
  </si>
  <si>
    <t>2000036093838</t>
  </si>
  <si>
    <t>BJ9-A/1L</t>
  </si>
  <si>
    <t>2000026699125</t>
  </si>
  <si>
    <t>BJ9 - Base A/1L</t>
  </si>
  <si>
    <t>NS810-V</t>
  </si>
  <si>
    <t>2000025391372</t>
  </si>
  <si>
    <t>HD309 - Viên</t>
  </si>
  <si>
    <t>2000089346813</t>
  </si>
  <si>
    <t>Gạch trang trí HD309 - Viên</t>
  </si>
  <si>
    <t>VN4439 - Viên</t>
  </si>
  <si>
    <t>2000036503573</t>
  </si>
  <si>
    <t>Gạch lát nền 40x40 VN4439 - Viên</t>
  </si>
  <si>
    <t>SV555 - Viên</t>
  </si>
  <si>
    <t>2000130753065</t>
  </si>
  <si>
    <t>YG130 (220 viên/hộp)</t>
  </si>
  <si>
    <t>2000036097010</t>
  </si>
  <si>
    <t>Viền 1x30 - YG130 (220 viên/hộp)</t>
  </si>
  <si>
    <t>BỆT BLK ROY-8177 X-S</t>
  </si>
  <si>
    <t>2000214254150</t>
  </si>
  <si>
    <t>A991B(M)/1L</t>
  </si>
  <si>
    <t>2000146262629</t>
  </si>
  <si>
    <t>Sơn nội thất lau chùi vượt bậc bóng A991B(M)/1L</t>
  </si>
  <si>
    <t>C16-V</t>
  </si>
  <si>
    <t>2000025179437</t>
  </si>
  <si>
    <t>Ốp 30x45 C16-V</t>
  </si>
  <si>
    <t>VI6604 A1 - 2022</t>
  </si>
  <si>
    <t>2000188569014</t>
  </si>
  <si>
    <t>Gạch lát 60x60 - VI6604 A1 (1h=1.44m2)</t>
  </si>
  <si>
    <t>SV591</t>
  </si>
  <si>
    <t>2000108550740</t>
  </si>
  <si>
    <t>Sân vườn 591</t>
  </si>
  <si>
    <t>D854</t>
  </si>
  <si>
    <t>2000155899793</t>
  </si>
  <si>
    <t>chống trơn D854</t>
  </si>
  <si>
    <t>VI6025 - Viên</t>
  </si>
  <si>
    <t>2000119237982</t>
  </si>
  <si>
    <t>MD-P822 (A1)</t>
  </si>
  <si>
    <t>2000076482326</t>
  </si>
  <si>
    <t>Gạch Granit MD-P822</t>
  </si>
  <si>
    <t>DIC80552 (pancera)</t>
  </si>
  <si>
    <t>2000131780053</t>
  </si>
  <si>
    <t>Gạch lát 80X80 - DIC80552</t>
  </si>
  <si>
    <t>KS3310 (A1) - Viên</t>
  </si>
  <si>
    <t>2000129867124</t>
  </si>
  <si>
    <t>chống trơn KS3310 (A1) - Viên</t>
  </si>
  <si>
    <t>V6284B-G (40 viên/hộp)</t>
  </si>
  <si>
    <t>2000036096815</t>
  </si>
  <si>
    <t>Viền 7x30 V6284B-G (40 viên/hộp) - Zic zắc</t>
  </si>
  <si>
    <t>Sơn chống kiềm ngoại thất plus/18L - Roma (Lót ngoại)</t>
  </si>
  <si>
    <t>2000042265991</t>
  </si>
  <si>
    <t>Sơn chống kiềm ngoại thất plus/18L</t>
  </si>
  <si>
    <t>ECO-602D07 A1</t>
  </si>
  <si>
    <t>2000031588858</t>
  </si>
  <si>
    <t>Gạch Granite ECO-602D07 A1</t>
  </si>
  <si>
    <t>FV36102 - Viên</t>
  </si>
  <si>
    <t>2000040746126</t>
  </si>
  <si>
    <t>Gạch ốp 30x60 FV36102 - Viên</t>
  </si>
  <si>
    <t>NS816-V</t>
  </si>
  <si>
    <t>2000024907932</t>
  </si>
  <si>
    <t>Gạch lát 40x40 NS816-V</t>
  </si>
  <si>
    <t>Sơn chống kiềm NT/5L - Roma ( Lót nội)</t>
  </si>
  <si>
    <t>2000042265922</t>
  </si>
  <si>
    <t>Sơn chống kiềm nội thất plus/5L</t>
  </si>
  <si>
    <t>plus siêu bóng ngoại Base D /5L - Roma</t>
  </si>
  <si>
    <t>2000043467370</t>
  </si>
  <si>
    <t>Sơn siêu bóng ngoại thất hoàn hảo Base D/5L</t>
  </si>
  <si>
    <t>552 - Viên</t>
  </si>
  <si>
    <t>2000047889499</t>
  </si>
  <si>
    <t>Sân vườn 552 - Viên</t>
  </si>
  <si>
    <t>LXM3670-Men mát Điểm A1 - VIÊN</t>
  </si>
  <si>
    <t>2000214255010</t>
  </si>
  <si>
    <t>2000053354943</t>
  </si>
  <si>
    <t>gạch đỏ bóng HH 40x40 - Viên</t>
  </si>
  <si>
    <t>VN41-V</t>
  </si>
  <si>
    <t>2000024855196</t>
  </si>
  <si>
    <t>Gạch lát VN41-V</t>
  </si>
  <si>
    <t>LX36805 A2 - Viên</t>
  </si>
  <si>
    <t>2000140417711</t>
  </si>
  <si>
    <t>Ốp LX36805 A2 - Viên</t>
  </si>
  <si>
    <t>SV-504</t>
  </si>
  <si>
    <t>2000045900028</t>
  </si>
  <si>
    <t>Sân vườn SV-504</t>
  </si>
  <si>
    <t>C6606</t>
  </si>
  <si>
    <t>2000054182521</t>
  </si>
  <si>
    <t>Gạch lát 60x60 - C6606</t>
  </si>
  <si>
    <t>LX6001 A</t>
  </si>
  <si>
    <t>2000121918312</t>
  </si>
  <si>
    <t>Gạch lát LX6001 (A)</t>
  </si>
  <si>
    <t>FV36106 A</t>
  </si>
  <si>
    <t>2000041103263</t>
  </si>
  <si>
    <t>Gạch ốp 30x60 FV36106</t>
  </si>
  <si>
    <t>VR01</t>
  </si>
  <si>
    <t>2000089346950</t>
  </si>
  <si>
    <t>gạch trắng 30x45 VR01</t>
  </si>
  <si>
    <t>V9656 - V</t>
  </si>
  <si>
    <t>2000030696387</t>
  </si>
  <si>
    <t>Viền KT 70*600 F9656 - Viên</t>
  </si>
  <si>
    <t>F632</t>
  </si>
  <si>
    <t>2000025178836</t>
  </si>
  <si>
    <t>Gạch lát 60x60 F632</t>
  </si>
  <si>
    <t>C6607 - Viên</t>
  </si>
  <si>
    <t>2000121650663</t>
  </si>
  <si>
    <t>Lát C6607 - Viên</t>
  </si>
  <si>
    <t>Sơn siêu trắng Plus/18L - Roma ( trong nhà)</t>
  </si>
  <si>
    <t>2000042266196</t>
  </si>
  <si>
    <t>Sơn siêu trắng Plus/18L</t>
  </si>
  <si>
    <t>HC601 - Viên</t>
  </si>
  <si>
    <t>2000047107937</t>
  </si>
  <si>
    <t>Gạch lát 60x60 HC601 - Viên</t>
  </si>
  <si>
    <t>Bệt xả đẩy 4 chiều 2082</t>
  </si>
  <si>
    <t>2000037108418</t>
  </si>
  <si>
    <t>Bệt xả đẩy 4 chiều Kross 2082</t>
  </si>
  <si>
    <t>LX2411 - V</t>
  </si>
  <si>
    <t>2000027880041</t>
  </si>
  <si>
    <t>LX2411 - Viên</t>
  </si>
  <si>
    <t>CLC5200c</t>
  </si>
  <si>
    <t>2000026507659</t>
  </si>
  <si>
    <t>Chậu liền chân 5200c</t>
  </si>
  <si>
    <t>HD805</t>
  </si>
  <si>
    <t>2000101554837</t>
  </si>
  <si>
    <t>chống trơn HD805</t>
  </si>
  <si>
    <t>TH 3632 (Nhạt)</t>
  </si>
  <si>
    <t>2000058043590</t>
  </si>
  <si>
    <t>ốp 30x60 - TH 3632</t>
  </si>
  <si>
    <t>mdp622</t>
  </si>
  <si>
    <t>2000069030268</t>
  </si>
  <si>
    <t>MDP622-gạch 60*60</t>
  </si>
  <si>
    <t>SV-506</t>
  </si>
  <si>
    <t>2000045900011</t>
  </si>
  <si>
    <t>Sân vườn SV-506</t>
  </si>
  <si>
    <t>TB802 (A)</t>
  </si>
  <si>
    <t>2000077002417</t>
  </si>
  <si>
    <t>Gạch Granit TB802</t>
  </si>
  <si>
    <t>SV6707</t>
  </si>
  <si>
    <t>2000138471251</t>
  </si>
  <si>
    <t>Sân vườn VI6707</t>
  </si>
  <si>
    <t>VR336</t>
  </si>
  <si>
    <t>2000069593329</t>
  </si>
  <si>
    <t>Chống trơn VR336</t>
  </si>
  <si>
    <t>C36602 ( Đậm)</t>
  </si>
  <si>
    <t>2000068313027</t>
  </si>
  <si>
    <t>Ốp bộ 30x60 - C36602</t>
  </si>
  <si>
    <t>Gạch ốp 30x60 FM3661 A1</t>
  </si>
  <si>
    <t>2000036093623</t>
  </si>
  <si>
    <t>MDP823 (A)</t>
  </si>
  <si>
    <t>2000077002745</t>
  </si>
  <si>
    <t>Gạch Granit MDP823</t>
  </si>
  <si>
    <t>UB8810</t>
  </si>
  <si>
    <t>2000104045219</t>
  </si>
  <si>
    <t>Gạch 80x80 - UB8810</t>
  </si>
  <si>
    <t>VN54</t>
  </si>
  <si>
    <t>2000032556627</t>
  </si>
  <si>
    <t>Gạch ốp 30x45 VN54</t>
  </si>
  <si>
    <t>336003 A1 - VIÊN</t>
  </si>
  <si>
    <t>2000214250794</t>
  </si>
  <si>
    <t>GACH ỐP 30*60 BS TOKO 336003 A1 - VIÊN</t>
  </si>
  <si>
    <t>CT 326 - Viên</t>
  </si>
  <si>
    <t>2000039160087</t>
  </si>
  <si>
    <t>Chống trơn 326 - Viên</t>
  </si>
  <si>
    <t>N6-6032 (A) - Viên</t>
  </si>
  <si>
    <t>2000181063533</t>
  </si>
  <si>
    <t>Gạch Poccelain N6-6032 (A) - Viên</t>
  </si>
  <si>
    <t>R-5200AP</t>
  </si>
  <si>
    <t>2000031358499</t>
  </si>
  <si>
    <t>Chân dài 5200AP</t>
  </si>
  <si>
    <t>Y65/75300/6kg ((M)</t>
  </si>
  <si>
    <t>2000147607696</t>
  </si>
  <si>
    <t>Chống thấm dulux Weathershield Y65/75300/6kg (M)</t>
  </si>
  <si>
    <t>2000045926813</t>
  </si>
  <si>
    <t>hm20012-40x80 Hoàn Mỹ Vân Xanh - viên</t>
  </si>
  <si>
    <t>GJ8 base D/1L (M)</t>
  </si>
  <si>
    <t>2000147618074</t>
  </si>
  <si>
    <t>Sơn nước ngoại thất siêu cao cấp GJ8 base D/1L (M)</t>
  </si>
  <si>
    <t>SV552</t>
  </si>
  <si>
    <t>2000047889482</t>
  </si>
  <si>
    <t>Sân vườn SV552</t>
  </si>
  <si>
    <t>SV6706</t>
  </si>
  <si>
    <t>2000138370912</t>
  </si>
  <si>
    <t>Sân vườn VI6706</t>
  </si>
  <si>
    <t>N6- 6032 A1 - Viên</t>
  </si>
  <si>
    <t>2000181063564</t>
  </si>
  <si>
    <t>Gạch Pocelain N6-6032 A1 - Viên</t>
  </si>
  <si>
    <t>Y6011 B-G (40 viên/hộp)</t>
  </si>
  <si>
    <t>2000036096860</t>
  </si>
  <si>
    <t>Viền 7x30 Y6011 B-G (40 viên/hộp)</t>
  </si>
  <si>
    <t>Sơn chống thấm Plus/4kg - Roma</t>
  </si>
  <si>
    <t>2000042266349</t>
  </si>
  <si>
    <t>Sơn chống thấm Plus/4kg</t>
  </si>
  <si>
    <t>AN3602 (2)- Viên</t>
  </si>
  <si>
    <t>2000126315543</t>
  </si>
  <si>
    <t>trắng AN3602 (2)- Viên</t>
  </si>
  <si>
    <t>DCB</t>
  </si>
  <si>
    <t>2000027715473</t>
  </si>
  <si>
    <t>Dây cẩm bình</t>
  </si>
  <si>
    <t>Sơn Clear cao cấp bóng/4L - Roma</t>
  </si>
  <si>
    <t>2000042266431</t>
  </si>
  <si>
    <t>V-120</t>
  </si>
  <si>
    <t>2000032245552</t>
  </si>
  <si>
    <t>Bộ ốc vít treo chậu V-120</t>
  </si>
  <si>
    <t>Lát 50x50 HD535(A1)</t>
  </si>
  <si>
    <t>2000149824671</t>
  </si>
  <si>
    <t>HD535 (A1)</t>
  </si>
  <si>
    <t>FV3681</t>
  </si>
  <si>
    <t>2000025062593</t>
  </si>
  <si>
    <t>Ốp vát 30x60 FV3681</t>
  </si>
  <si>
    <t>TECO - S605D04 A1</t>
  </si>
  <si>
    <t>2000030965681</t>
  </si>
  <si>
    <t>gạch Granite ECO - S605D04 A1</t>
  </si>
  <si>
    <t>LX6003A</t>
  </si>
  <si>
    <t>2000127231521</t>
  </si>
  <si>
    <t>Lát LX6003 A ( 1 hộp =1.44m2)</t>
  </si>
  <si>
    <t>UB8809</t>
  </si>
  <si>
    <t>2000104044632</t>
  </si>
  <si>
    <t>Gạch 80x80 - UB8809</t>
  </si>
  <si>
    <t>F3665</t>
  </si>
  <si>
    <t>2000025179178</t>
  </si>
  <si>
    <t>Ốp 30x60 F3665</t>
  </si>
  <si>
    <t>H6303 (12 viên/hộp)- 1 bộ 2 viên</t>
  </si>
  <si>
    <t>2000036097553</t>
  </si>
  <si>
    <t>tranh 30x45 H6303 - Viên</t>
  </si>
  <si>
    <t>VI5530A1-V</t>
  </si>
  <si>
    <t>2000024768205</t>
  </si>
  <si>
    <t>Gạch lát VI5530-V</t>
  </si>
  <si>
    <t>R-5300SE</t>
  </si>
  <si>
    <t>2000031358062</t>
  </si>
  <si>
    <t>Chậu LVB R-5300SE</t>
  </si>
  <si>
    <t>R-5300SE-H</t>
  </si>
  <si>
    <t>2000031358079</t>
  </si>
  <si>
    <t>Chân cậu lửng 5300SE-H</t>
  </si>
  <si>
    <t>BJ9 - Base C/1L</t>
  </si>
  <si>
    <t>2000026267461</t>
  </si>
  <si>
    <t>K559</t>
  </si>
  <si>
    <t>2000030777529</t>
  </si>
  <si>
    <t>gạch lát nền 50x50 K559</t>
  </si>
  <si>
    <t>2000045927025</t>
  </si>
  <si>
    <t>HM20005-40x80 Hoàn Mỹ nữ hoàng - viên</t>
  </si>
  <si>
    <t>GJ8B/ Base A(M)/5L</t>
  </si>
  <si>
    <t>2000147362427</t>
  </si>
  <si>
    <t>Sơn ngoại thất bề mặt bóng GJ8B/ Base A(M)/5L</t>
  </si>
  <si>
    <t>NS410</t>
  </si>
  <si>
    <t>2000024812625</t>
  </si>
  <si>
    <t>Gạch lát NS410 A1</t>
  </si>
  <si>
    <t>F09</t>
  </si>
  <si>
    <t>2000024862187</t>
  </si>
  <si>
    <t>Gạch F09</t>
  </si>
  <si>
    <t>NS826</t>
  </si>
  <si>
    <t>2000024845517</t>
  </si>
  <si>
    <t>Gạch lát NS826</t>
  </si>
  <si>
    <t>CV 3650</t>
  </si>
  <si>
    <t>2000049705841</t>
  </si>
  <si>
    <t>Gạch ốp 30x60 - CV 3650</t>
  </si>
  <si>
    <t>LK3480 A1</t>
  </si>
  <si>
    <t>2000024841779</t>
  </si>
  <si>
    <t>Ốp 30x45 LK3480 A1</t>
  </si>
  <si>
    <t>VR351</t>
  </si>
  <si>
    <t>2000069560307</t>
  </si>
  <si>
    <t>Gạch trang trí VR351</t>
  </si>
  <si>
    <t>VI6709</t>
  </si>
  <si>
    <t>2000138585798</t>
  </si>
  <si>
    <t>Gạch sân vườn VI6709</t>
  </si>
  <si>
    <t>VI6506</t>
  </si>
  <si>
    <t>2000025583098</t>
  </si>
  <si>
    <t>Gạch lát nền 60x60 VI6506</t>
  </si>
  <si>
    <t>HD805 - Viên</t>
  </si>
  <si>
    <t>2000101555438</t>
  </si>
  <si>
    <t>chống trơn HD805 - Viên</t>
  </si>
  <si>
    <t>plus siêu bóng ngoại Base B/5L - Roma</t>
  </si>
  <si>
    <t>2000043467240</t>
  </si>
  <si>
    <t>Sơn siêu bóng ngoại thất hoàn hảo Base B/5L</t>
  </si>
  <si>
    <t>Megatex trắng 18L</t>
  </si>
  <si>
    <t>2000039801737</t>
  </si>
  <si>
    <t>Y6468 - G ( 40 viên/hộp)</t>
  </si>
  <si>
    <t>2000036096914</t>
  </si>
  <si>
    <t>Viền 7x30 Y6468 - G ( 40 viên/hộp)</t>
  </si>
  <si>
    <t>KS310-V</t>
  </si>
  <si>
    <t>2000026558361</t>
  </si>
  <si>
    <t>KS310 - Viên</t>
  </si>
  <si>
    <t>66AB /Base D (M)/1L</t>
  </si>
  <si>
    <t>2000146262407</t>
  </si>
  <si>
    <t>Sơn nước nội thất dulux Ambiance 5in1 siêu bóng 66AB /Base D (M)/1L</t>
  </si>
  <si>
    <t>DÂY CẤP DCS 178</t>
  </si>
  <si>
    <t>2000214254181</t>
  </si>
  <si>
    <t>HD3601 A1</t>
  </si>
  <si>
    <t>2000149916130</t>
  </si>
  <si>
    <t>Gạch ốp HD3601 A1 ( 1 hộp = 1.26m2)</t>
  </si>
  <si>
    <t>ct339</t>
  </si>
  <si>
    <t>2000084480116</t>
  </si>
  <si>
    <t>Gạch chống trơn 339</t>
  </si>
  <si>
    <t>0355 - 1010C A1 ( 1 hộp =1.5m2)</t>
  </si>
  <si>
    <t>2000166292057</t>
  </si>
  <si>
    <t>Gạch Nise (50x50) 5 - 1010C A1 ( 1 hộp =1.5m2)</t>
  </si>
  <si>
    <t>SV6705</t>
  </si>
  <si>
    <t>2000138471206</t>
  </si>
  <si>
    <t>Sân vườn VI6705</t>
  </si>
  <si>
    <t>VR-530</t>
  </si>
  <si>
    <t>2000049811979</t>
  </si>
  <si>
    <t>Gạch lát VR-530</t>
  </si>
  <si>
    <t>F50</t>
  </si>
  <si>
    <t>2000025178997</t>
  </si>
  <si>
    <t>Ốp 30x45 F50</t>
  </si>
  <si>
    <t>UB8820 (A)</t>
  </si>
  <si>
    <t>2000077002684</t>
  </si>
  <si>
    <t>Gạch Granit UB8820</t>
  </si>
  <si>
    <t>Điểm TH3682 - Viên</t>
  </si>
  <si>
    <t>2000058707898</t>
  </si>
  <si>
    <t>Gạch Granite UTS 605 - B22 A1</t>
  </si>
  <si>
    <t>2000038851078</t>
  </si>
  <si>
    <t>HD802 - Viên</t>
  </si>
  <si>
    <t>2000101555407</t>
  </si>
  <si>
    <t>Chống trơn HD802 - Viên</t>
  </si>
  <si>
    <t>plus siêu bóng ngoại Base C/1L - Roma</t>
  </si>
  <si>
    <t>2000043478284</t>
  </si>
  <si>
    <t>Sơn siêu bóng ngoại thất hoàn hảo Base C/1L</t>
  </si>
  <si>
    <t>66AB/base A/1L (M)</t>
  </si>
  <si>
    <t>2000150847843</t>
  </si>
  <si>
    <t>66AB/trắng trần/1L</t>
  </si>
  <si>
    <t>D3697 - V</t>
  </si>
  <si>
    <t>2000029181849</t>
  </si>
  <si>
    <t>Điểm F3697 - Viên</t>
  </si>
  <si>
    <t>CT319 - Viên</t>
  </si>
  <si>
    <t>2000043369278</t>
  </si>
  <si>
    <t>Chống trơn 319 - Viên</t>
  </si>
  <si>
    <t>VI556A1-V</t>
  </si>
  <si>
    <t>2000024768304</t>
  </si>
  <si>
    <t>Gạch lát VI556-V</t>
  </si>
  <si>
    <t>R-5200A</t>
  </si>
  <si>
    <t>2000031358482</t>
  </si>
  <si>
    <t>Chậu LVB 5200A (bao gồm vít)</t>
  </si>
  <si>
    <t>BỆT BLK ROY-1603</t>
  </si>
  <si>
    <t>2000214254167</t>
  </si>
  <si>
    <t>SG304</t>
  </si>
  <si>
    <t>2000117156896</t>
  </si>
  <si>
    <t>Chống trơn SG304</t>
  </si>
  <si>
    <t>TH3642 (Nhạt)</t>
  </si>
  <si>
    <t>2000058044313</t>
  </si>
  <si>
    <t>Ốp 30x60 - TH3642</t>
  </si>
  <si>
    <t>CV 3643</t>
  </si>
  <si>
    <t>2000049801468</t>
  </si>
  <si>
    <t>Gạch ốp 30x60 - CV 3643</t>
  </si>
  <si>
    <t>VI5808 A1</t>
  </si>
  <si>
    <t>2000028967888</t>
  </si>
  <si>
    <t>Gạch lát nền VI5808 A1</t>
  </si>
  <si>
    <t>TB801 (A)</t>
  </si>
  <si>
    <t>2000077002820</t>
  </si>
  <si>
    <t>Gạch Granit TB801</t>
  </si>
  <si>
    <t>VI5550A1</t>
  </si>
  <si>
    <t>2000024768328</t>
  </si>
  <si>
    <t>Gạch lát VI5550</t>
  </si>
  <si>
    <t>TB603</t>
  </si>
  <si>
    <t>2000100825846</t>
  </si>
  <si>
    <t>Gạch lát TB603</t>
  </si>
  <si>
    <t>TB892(A1)</t>
  </si>
  <si>
    <t>2000129146786</t>
  </si>
  <si>
    <t>Gạch lát 80x80 TB892(A1)</t>
  </si>
  <si>
    <t>VI6013</t>
  </si>
  <si>
    <t>2000025583159</t>
  </si>
  <si>
    <t>Gạch lát nền 60x60 VI6013</t>
  </si>
  <si>
    <t>F36653D-V</t>
  </si>
  <si>
    <t>2000127713546</t>
  </si>
  <si>
    <t>Điểm F36653D-viên</t>
  </si>
  <si>
    <t>Gạch điểm FM 3664 D</t>
  </si>
  <si>
    <t>2000036094507</t>
  </si>
  <si>
    <t>Base A ngoại thất bóng /5L - Roma</t>
  </si>
  <si>
    <t>2000043467035</t>
  </si>
  <si>
    <t>Sơn bóng ngoại thất Base A/5L</t>
  </si>
  <si>
    <t>2000026823506</t>
  </si>
  <si>
    <t>66a-base-a\1l</t>
  </si>
  <si>
    <t>NS605 - V</t>
  </si>
  <si>
    <t>2000024926636</t>
  </si>
  <si>
    <t>NS 605 - viên</t>
  </si>
  <si>
    <t>phụ kiện S2</t>
  </si>
  <si>
    <t>2000033932185</t>
  </si>
  <si>
    <t>VN516-V</t>
  </si>
  <si>
    <t>2000024854441</t>
  </si>
  <si>
    <t>Gạch lát VN516-V</t>
  </si>
  <si>
    <t>SF</t>
  </si>
  <si>
    <t>2000026652373</t>
  </si>
  <si>
    <t>SiFong mạ thái</t>
  </si>
  <si>
    <t>LX6008(A)</t>
  </si>
  <si>
    <t>2000122639766</t>
  </si>
  <si>
    <t>Gạch lát LX6008 (A)</t>
  </si>
  <si>
    <t>TH3631 (Đậm)</t>
  </si>
  <si>
    <t>2000058044146</t>
  </si>
  <si>
    <t>Ốp 30x60 - TH3631 (1 hộp =1.08m)</t>
  </si>
  <si>
    <t>Lát 60x60 6031(A1) - viên</t>
  </si>
  <si>
    <t>2000159079436</t>
  </si>
  <si>
    <t>VI6031(A1) - Viên</t>
  </si>
  <si>
    <t>LXC6201(A1)</t>
  </si>
  <si>
    <t>2000157311514</t>
  </si>
  <si>
    <t>Gạch lát LXC6201(A1) 1 hộp=1.44m2</t>
  </si>
  <si>
    <t>CT362</t>
  </si>
  <si>
    <t>2000024847429</t>
  </si>
  <si>
    <t>Gạch 30x30 CT362</t>
  </si>
  <si>
    <t>ECO - S603D05</t>
  </si>
  <si>
    <t>2000030965667</t>
  </si>
  <si>
    <t>Gạch Granite ECO-S603D05 A1</t>
  </si>
  <si>
    <t>VI6030 A1 - Viên</t>
  </si>
  <si>
    <t>2000176504669</t>
  </si>
  <si>
    <t>Gạch lát VI6030 A1 - Viên</t>
  </si>
  <si>
    <t>CV 3648</t>
  </si>
  <si>
    <t>2000049705452</t>
  </si>
  <si>
    <t>Gạch ốp 30x60 CV 3648</t>
  </si>
  <si>
    <t>VI6501</t>
  </si>
  <si>
    <t>2000026055150</t>
  </si>
  <si>
    <t>Viền KT7x60 Y6405A - Viên</t>
  </si>
  <si>
    <t>2000040083702</t>
  </si>
  <si>
    <t>plus nội lau chùi Base A/5L - Roma</t>
  </si>
  <si>
    <t>2000043466946</t>
  </si>
  <si>
    <t>Sơn nội thất lau chùi vượt bậc Base A/5L</t>
  </si>
  <si>
    <t>plus siêu bóng ngoại Base C/5L - Roma</t>
  </si>
  <si>
    <t>2000043467332</t>
  </si>
  <si>
    <t>Sơn siêu bóng ngoại thất hoàn hảo - Base C/5L</t>
  </si>
  <si>
    <t>Base B ngoại thất bóng/5L - Roma</t>
  </si>
  <si>
    <t>2000043467103</t>
  </si>
  <si>
    <t>Sơn ngoại thất cao cấp bóng - Base B/5L</t>
  </si>
  <si>
    <t>R-5600D</t>
  </si>
  <si>
    <t>2000026650744</t>
  </si>
  <si>
    <t>Chậu liền chân treo tường R-5600D</t>
  </si>
  <si>
    <t>Gạch 10*20 đá chẻ đen(viên)</t>
  </si>
  <si>
    <t>2000214256833</t>
  </si>
  <si>
    <t>VI28 A1-2022</t>
  </si>
  <si>
    <t>2000199586789</t>
  </si>
  <si>
    <t>Sân vườn VI28 A1</t>
  </si>
  <si>
    <t>VI5803 A1</t>
  </si>
  <si>
    <t>2000029227325</t>
  </si>
  <si>
    <t>F3695 ( nhạt)</t>
  </si>
  <si>
    <t>2000026692904</t>
  </si>
  <si>
    <t>Gạch ốp 30x60 F3695 (màu nhạt)</t>
  </si>
  <si>
    <t>Điểm TH3642</t>
  </si>
  <si>
    <t>2000058044825</t>
  </si>
  <si>
    <t>FD36129 - V</t>
  </si>
  <si>
    <t>2000025177266</t>
  </si>
  <si>
    <t>Ốp định hình FD36129 - (Viên)</t>
  </si>
  <si>
    <t>FV3683 - V</t>
  </si>
  <si>
    <t>2000025563915</t>
  </si>
  <si>
    <t>Ốp 30x60 FV3683 - Viên</t>
  </si>
  <si>
    <t>F3695 - V</t>
  </si>
  <si>
    <t>2000026769545</t>
  </si>
  <si>
    <t>F3695 - Viên</t>
  </si>
  <si>
    <t>chống trơn VI3014 - Viên</t>
  </si>
  <si>
    <t>2000032908723</t>
  </si>
  <si>
    <t>HD538</t>
  </si>
  <si>
    <t>2000146501414</t>
  </si>
  <si>
    <t>Lát 50x50 -HD538</t>
  </si>
  <si>
    <t>F6651 A1</t>
  </si>
  <si>
    <t>2000040746157</t>
  </si>
  <si>
    <t>Gạch lát 60x60 F6651 A1</t>
  </si>
  <si>
    <t>DIC80802 (A1)</t>
  </si>
  <si>
    <t>2000134167929</t>
  </si>
  <si>
    <t>Gạch KT80x80 - DIC80802 (A1)</t>
  </si>
  <si>
    <t>C7610 (20v/h)</t>
  </si>
  <si>
    <t>2000030617092</t>
  </si>
  <si>
    <t>Viền KT70x600 C7610 (20 viên/hộp)</t>
  </si>
  <si>
    <t>plus siêu bóng ngoại base D/1L - Roma</t>
  </si>
  <si>
    <t>2000043478314</t>
  </si>
  <si>
    <t>Sơn siêu bóng ngoại thất hoàn hảo Base D/1L</t>
  </si>
  <si>
    <t>BKR- 2950X</t>
  </si>
  <si>
    <t>2000031886022</t>
  </si>
  <si>
    <t>Bệt két rời R 2950 X</t>
  </si>
  <si>
    <t>VN402-V</t>
  </si>
  <si>
    <t>2000024854557</t>
  </si>
  <si>
    <t>Gạch lát 402-V</t>
  </si>
  <si>
    <t>VN512-V</t>
  </si>
  <si>
    <t>2000024854519</t>
  </si>
  <si>
    <t>Gạch lát VN512-V</t>
  </si>
  <si>
    <t>VN42</t>
  </si>
  <si>
    <t>2000025453940</t>
  </si>
  <si>
    <t>Gạch ốp (30x45)- VN42</t>
  </si>
  <si>
    <t>K3481 A1</t>
  </si>
  <si>
    <t>2000024906577</t>
  </si>
  <si>
    <t>Gạch ốp 30 x45 K3481 A1</t>
  </si>
  <si>
    <t>TH 3684 - Viên (thanh hà)</t>
  </si>
  <si>
    <t>2000057339229</t>
  </si>
  <si>
    <t>Ốp 30x60 TH 3684 - Viên</t>
  </si>
  <si>
    <t>Điểm 34590</t>
  </si>
  <si>
    <t>2000038587892</t>
  </si>
  <si>
    <t>LX7308 (40v/h)</t>
  </si>
  <si>
    <t>2000030617160</t>
  </si>
  <si>
    <t>Viền LX7308 (40 viên/hộp)</t>
  </si>
  <si>
    <t>3608 - Viên</t>
  </si>
  <si>
    <t>2000119534333</t>
  </si>
  <si>
    <t>Điểm 3608 - Viên</t>
  </si>
  <si>
    <t>VI5556 A1-V</t>
  </si>
  <si>
    <t>2000024768144</t>
  </si>
  <si>
    <t>Gạch lát VI5556-V</t>
  </si>
  <si>
    <t>F36129D - V</t>
  </si>
  <si>
    <t>2000025174395</t>
  </si>
  <si>
    <t>Điểm F36129 D - (Viên)</t>
  </si>
  <si>
    <t>FV3665 ( hủy)</t>
  </si>
  <si>
    <t>2000025157169</t>
  </si>
  <si>
    <t>Ốp vát 30x60 FV 3665</t>
  </si>
  <si>
    <t>HF651</t>
  </si>
  <si>
    <t>2000046859035</t>
  </si>
  <si>
    <t>Gạch lát 60x60 HF651</t>
  </si>
  <si>
    <t>VI6025 A1 -2022</t>
  </si>
  <si>
    <t>2000198567017</t>
  </si>
  <si>
    <t>Gạch lát VI6025 A1</t>
  </si>
  <si>
    <t>CK3401 - A1</t>
  </si>
  <si>
    <t>2000024873688</t>
  </si>
  <si>
    <t>Gạch ốp 300*450 CK3401 A1</t>
  </si>
  <si>
    <t>DIC80803 (A1)</t>
  </si>
  <si>
    <t>2000134167943</t>
  </si>
  <si>
    <t>Gạch 80x80 - DIC80803 (A1)</t>
  </si>
  <si>
    <t>VN41</t>
  </si>
  <si>
    <t>2000024855189</t>
  </si>
  <si>
    <t>Gạch lát VN41</t>
  </si>
  <si>
    <t>CT365-V</t>
  </si>
  <si>
    <t>2000024855219</t>
  </si>
  <si>
    <t>Gạch lát CT365-V</t>
  </si>
  <si>
    <t>VI5540A1-V</t>
  </si>
  <si>
    <t>2000024768229</t>
  </si>
  <si>
    <t>Gạch lát VI5540-V</t>
  </si>
  <si>
    <t>VI3004 - Viên</t>
  </si>
  <si>
    <t>2000026541967</t>
  </si>
  <si>
    <t>Chống trơn 30x30 VI3004 - Viên</t>
  </si>
  <si>
    <t>BJ9-B/1L</t>
  </si>
  <si>
    <t>2000027260461</t>
  </si>
  <si>
    <t>BJ9 - BaseB/1L</t>
  </si>
  <si>
    <t>ECO-SLZ-40-PWW</t>
  </si>
  <si>
    <t>2000026652281</t>
  </si>
  <si>
    <t>Vòi LVB trắng ECO-SLZ-40-PWW</t>
  </si>
  <si>
    <t>HD3609 A1</t>
  </si>
  <si>
    <t>2000153240078</t>
  </si>
  <si>
    <t>ốp 30x60 HD3609 A1 (1h=1.26m2)</t>
  </si>
  <si>
    <t>VI5807 A1 (gỗ)</t>
  </si>
  <si>
    <t>2000141761509</t>
  </si>
  <si>
    <t>Gạch lát 50x50 - VI5807 A1 (gỗ)</t>
  </si>
  <si>
    <t>VG6005</t>
  </si>
  <si>
    <t>2000084511728</t>
  </si>
  <si>
    <t>Gạch lát VG6005</t>
  </si>
  <si>
    <t>CT317</t>
  </si>
  <si>
    <t>2000034371136</t>
  </si>
  <si>
    <t>Gạch chống trơn CT317</t>
  </si>
  <si>
    <t>VI24 - Viên ( A1)</t>
  </si>
  <si>
    <t>2000197316708</t>
  </si>
  <si>
    <t>Sân vườn VI24 - Viên ( A1)</t>
  </si>
  <si>
    <t>VG6002</t>
  </si>
  <si>
    <t>2000082688149</t>
  </si>
  <si>
    <t>Gạch lát VG6002 (1 hộp = 1.44m2)</t>
  </si>
  <si>
    <t>C670</t>
  </si>
  <si>
    <t>2000054593952</t>
  </si>
  <si>
    <t>Gạch lát 60x60 - C670</t>
  </si>
  <si>
    <t>ECO- S604D03</t>
  </si>
  <si>
    <t>2000030965674</t>
  </si>
  <si>
    <t>Gạch Granite ECO - S604D03 A1</t>
  </si>
  <si>
    <t>CT371</t>
  </si>
  <si>
    <t>2000034371365</t>
  </si>
  <si>
    <t>Gạch chống trơn CT371</t>
  </si>
  <si>
    <t>F36653D</t>
  </si>
  <si>
    <t>2000124610244</t>
  </si>
  <si>
    <t>Điểm F36653D ( 1 hộp = 8 viên)</t>
  </si>
  <si>
    <t>Gạch đá chẻ 10*20-đen (1h=32v=0.64m2)</t>
  </si>
  <si>
    <t>2000214256673</t>
  </si>
  <si>
    <t>BJ9/Base B/1L(M)</t>
  </si>
  <si>
    <t>2000147614816</t>
  </si>
  <si>
    <t>Sơn nước ngoại thất cao cấp BJ9/Base B/1L(M)</t>
  </si>
  <si>
    <t>VN513-V</t>
  </si>
  <si>
    <t>2000024854533</t>
  </si>
  <si>
    <t>Gạch lát VN513-V</t>
  </si>
  <si>
    <t>CT382-V</t>
  </si>
  <si>
    <t>2000024855257</t>
  </si>
  <si>
    <t>Gạch lát CT382-V</t>
  </si>
  <si>
    <t>66A/Base B/1L (M)</t>
  </si>
  <si>
    <t>2000147612256</t>
  </si>
  <si>
    <t>Sơn nước nội thất Dulux 5in1 bóng mờ 66A/Base B/1L (M)</t>
  </si>
  <si>
    <t>VN513</t>
  </si>
  <si>
    <t>2000024854526</t>
  </si>
  <si>
    <t>Gạch lát VN513</t>
  </si>
  <si>
    <t>HD3607 A1</t>
  </si>
  <si>
    <t>2000153240528</t>
  </si>
  <si>
    <t>Ốp 30x60 HD3607 A1 (1 hộp =1.26m2)</t>
  </si>
  <si>
    <t>Gạch ốp 30x60 FM3664</t>
  </si>
  <si>
    <t>2000036094484</t>
  </si>
  <si>
    <t>Gạch ốp 30x60 FM3664 ( Đậm)</t>
  </si>
  <si>
    <t>SG304 - Viên</t>
  </si>
  <si>
    <t>2000118890881</t>
  </si>
  <si>
    <t>Chống trơn SG304 - Viên</t>
  </si>
  <si>
    <t>2000055636436</t>
  </si>
  <si>
    <t>Sơn MG nội thất siêu bóng + bóng base A/5L</t>
  </si>
  <si>
    <t>FD36125-V</t>
  </si>
  <si>
    <t>2000025174098</t>
  </si>
  <si>
    <t>Ốp định hình 30x60 FD36125- (Viên)</t>
  </si>
  <si>
    <t>BJ9/Base A/5L (M)</t>
  </si>
  <si>
    <t>2000150846532</t>
  </si>
  <si>
    <t>VI5529 A1-V</t>
  </si>
  <si>
    <t>2000024768120</t>
  </si>
  <si>
    <t>Gạch lát VI5529-V</t>
  </si>
  <si>
    <t>BJ9/Base C/1L (M)</t>
  </si>
  <si>
    <t>2000147614830</t>
  </si>
  <si>
    <t>Sơn nước ngoại thất cao cấp Dulux BJ9/Base C/1L (M)</t>
  </si>
  <si>
    <t>VN512</t>
  </si>
  <si>
    <t>2000024854496</t>
  </si>
  <si>
    <t>Gạch lát VN512</t>
  </si>
  <si>
    <t>SG313</t>
  </si>
  <si>
    <t>2000155894170</t>
  </si>
  <si>
    <t>Chống trơn SG313</t>
  </si>
  <si>
    <t>ốp bộ 30x45 - 34583 ( Đậm)</t>
  </si>
  <si>
    <t>2000035931230</t>
  </si>
  <si>
    <t>Y6695  G - Viên</t>
  </si>
  <si>
    <t>2000036097614</t>
  </si>
  <si>
    <t>Viền 7x30 Y6695 G - Viên</t>
  </si>
  <si>
    <t>ECO - S803D04 A1</t>
  </si>
  <si>
    <t>2000031588995</t>
  </si>
  <si>
    <t>Gạch Granite ECO - S803D04 A1</t>
  </si>
  <si>
    <t>Sơn plus NT bóng cao cấp base A /18L - Roma</t>
  </si>
  <si>
    <t>2000043466557</t>
  </si>
  <si>
    <t>Sơn nội thất bóng cao cấp - Base A/18L</t>
  </si>
  <si>
    <t>Y6469 - G (40 viên/hộp)</t>
  </si>
  <si>
    <t>2000036096877</t>
  </si>
  <si>
    <t>Viền 7x30 Y6469 - G (40 viên/hộp)</t>
  </si>
  <si>
    <t>Điểm C36600</t>
  </si>
  <si>
    <t>2000068313744</t>
  </si>
  <si>
    <t>66A-</t>
  </si>
  <si>
    <t>2000027260485</t>
  </si>
  <si>
    <t>66A -BaseB/1L</t>
  </si>
  <si>
    <t>H6041 (12 viên/ hộp) - Bộ 2 viên</t>
  </si>
  <si>
    <t>2000036097225</t>
  </si>
  <si>
    <t>Tranh 30x45 H6041 - Viên</t>
  </si>
  <si>
    <t>H6120 (12 viên/hộp)/ 1 bộ 2 viên</t>
  </si>
  <si>
    <t>2000036097522</t>
  </si>
  <si>
    <t>Tranh 30x45 H6120 - Viên</t>
  </si>
  <si>
    <t>HF656</t>
  </si>
  <si>
    <t>2000047107845</t>
  </si>
  <si>
    <t>Gạch lát 60x60 - HF656</t>
  </si>
  <si>
    <t>Sơn RM nội thất mịn trắng/18L - Roma</t>
  </si>
  <si>
    <t>2000042266134</t>
  </si>
  <si>
    <t>Sơn RM nội thất mịn trắng/18L</t>
  </si>
  <si>
    <t>N6-6031 A - Viên</t>
  </si>
  <si>
    <t>2000181064653</t>
  </si>
  <si>
    <t>Gạch Pocelain N6-6031 A - Viên</t>
  </si>
  <si>
    <t>BJ9-B/5L</t>
  </si>
  <si>
    <t>2000027260454</t>
  </si>
  <si>
    <t>BJ9 - BaseB/5L</t>
  </si>
  <si>
    <t>66A/Base C/1L (M)</t>
  </si>
  <si>
    <t>2000147612492</t>
  </si>
  <si>
    <t>Sơn nước nội thất Dulux 5in1 bóng mờ 66A/Base C/1L (M)</t>
  </si>
  <si>
    <t>CT332</t>
  </si>
  <si>
    <t>2000084480086</t>
  </si>
  <si>
    <t>Gạch chống trơn 332</t>
  </si>
  <si>
    <t>SV505</t>
  </si>
  <si>
    <t>2000088985822</t>
  </si>
  <si>
    <t>Sân vườn 505</t>
  </si>
  <si>
    <t>Chống trơn SG313 - Viên</t>
  </si>
  <si>
    <t>2000157948512</t>
  </si>
  <si>
    <t>SG313 - Viên</t>
  </si>
  <si>
    <t>plus siêu bóng ngoại base B/1L - Roma</t>
  </si>
  <si>
    <t>2000043478185</t>
  </si>
  <si>
    <t>Sơn siêu bóng ngoại thất hoàn hảo Base B/1L</t>
  </si>
  <si>
    <t>MC 6100</t>
  </si>
  <si>
    <t>2000047107821</t>
  </si>
  <si>
    <t>Gạch lát 60x60 - MC 6100</t>
  </si>
  <si>
    <t>CT316</t>
  </si>
  <si>
    <t>2000034371082</t>
  </si>
  <si>
    <t>Gạch chống trơn CT316</t>
  </si>
  <si>
    <t>Điểm TH3632</t>
  </si>
  <si>
    <t>2000058044283</t>
  </si>
  <si>
    <t>Điểm TH3684</t>
  </si>
  <si>
    <t>2000057316411</t>
  </si>
  <si>
    <t>ECOS830</t>
  </si>
  <si>
    <t>2000073715465</t>
  </si>
  <si>
    <t>ECOS830-Gạch 80*80</t>
  </si>
  <si>
    <t>Viền 7602 - Viên</t>
  </si>
  <si>
    <t>2000037051059</t>
  </si>
  <si>
    <t>VI09-Viên</t>
  </si>
  <si>
    <t>2000127735630</t>
  </si>
  <si>
    <t>SV09-viên</t>
  </si>
  <si>
    <t>VI766A1</t>
  </si>
  <si>
    <t>2000024839875</t>
  </si>
  <si>
    <t>Gạch lát VI766</t>
  </si>
  <si>
    <t>LX6011 A2</t>
  </si>
  <si>
    <t>2000125603238</t>
  </si>
  <si>
    <t>Gạch lát LX6011 (A)</t>
  </si>
  <si>
    <t>CT375-V</t>
  </si>
  <si>
    <t>2000024855271</t>
  </si>
  <si>
    <t>Gạch lát CT375-V</t>
  </si>
  <si>
    <t>VI5534A1</t>
  </si>
  <si>
    <t>2000024768236</t>
  </si>
  <si>
    <t>Gạch lát VI5534</t>
  </si>
  <si>
    <t>Sân vườn VI09 A1 - 2022</t>
  </si>
  <si>
    <t>2000198485960</t>
  </si>
  <si>
    <t>Sân vườn VI09 A1</t>
  </si>
  <si>
    <t>VN515</t>
  </si>
  <si>
    <t>2000024854458</t>
  </si>
  <si>
    <t>Gạch lát VN515</t>
  </si>
  <si>
    <t>DIC80655</t>
  </si>
  <si>
    <t>2000134167318</t>
  </si>
  <si>
    <t>Gạch KT80x80 - DIC80655 (A1)</t>
  </si>
  <si>
    <t>Điểm C36601</t>
  </si>
  <si>
    <t>2000068313409</t>
  </si>
  <si>
    <t>VI24 -2022</t>
  </si>
  <si>
    <t>2000189269609</t>
  </si>
  <si>
    <t>Sân vườn VI- SV24</t>
  </si>
  <si>
    <t>F3697</t>
  </si>
  <si>
    <t>2000026692935</t>
  </si>
  <si>
    <t>Gạch ốp 30x60 F3697</t>
  </si>
  <si>
    <t>VN517-V</t>
  </si>
  <si>
    <t>2000024854427</t>
  </si>
  <si>
    <t>Gạch lát VN517-V</t>
  </si>
  <si>
    <t>Roma nội thất mịn Base A/4L</t>
  </si>
  <si>
    <t>2000054894554</t>
  </si>
  <si>
    <t>Sơn Roma nội thất mịn Base A/4L</t>
  </si>
  <si>
    <t>CT376 - V</t>
  </si>
  <si>
    <t>2000026171225</t>
  </si>
  <si>
    <t>CT376 - Viên</t>
  </si>
  <si>
    <t>FD36125</t>
  </si>
  <si>
    <t>2000025174029</t>
  </si>
  <si>
    <t>Ốp định hình 30x60 FD36125 ( đậm)</t>
  </si>
  <si>
    <t>SV14</t>
  </si>
  <si>
    <t>2000115510607</t>
  </si>
  <si>
    <t>Sân vườn SV14</t>
  </si>
  <si>
    <t>phụ kiện S1</t>
  </si>
  <si>
    <t>2000033932178</t>
  </si>
  <si>
    <t>VI6022 A1-2021</t>
  </si>
  <si>
    <t>2000194688464</t>
  </si>
  <si>
    <t>Gạch lát VI6022 A1 (1 hộp =1.44m2)</t>
  </si>
  <si>
    <t>LX6005 A</t>
  </si>
  <si>
    <t>2000121845045</t>
  </si>
  <si>
    <t>Gạch lát LX6005 (A) ( 1 hộp =1.44m2)</t>
  </si>
  <si>
    <t>HD3603(A1)</t>
  </si>
  <si>
    <t>2000149825050</t>
  </si>
  <si>
    <t>Ốp 30x60 - HD3603(A1) ( 1 hộp =1.26m2)</t>
  </si>
  <si>
    <t>ốp 30x60 TH3684 (nhạt)</t>
  </si>
  <si>
    <t>2000057308263</t>
  </si>
  <si>
    <t>ốp 30x60 TH3684</t>
  </si>
  <si>
    <t>C36601 ( Nhạt)</t>
  </si>
  <si>
    <t>2000068313089</t>
  </si>
  <si>
    <t>Ốp bộ 30x60 - C36601</t>
  </si>
  <si>
    <t>PC302</t>
  </si>
  <si>
    <t>2000084480055</t>
  </si>
  <si>
    <t>Gạch trang trí PC302</t>
  </si>
  <si>
    <t>Gạch ốp 30x60 FM3663</t>
  </si>
  <si>
    <t>2000036093944</t>
  </si>
  <si>
    <t>Gạch ốp 30x60 FM3663 ( 1 hộp =1.08m2)</t>
  </si>
  <si>
    <t>T30x60</t>
  </si>
  <si>
    <t>2000026486671</t>
  </si>
  <si>
    <t>tranh 30x60</t>
  </si>
  <si>
    <t>F3609</t>
  </si>
  <si>
    <t>2000026532613</t>
  </si>
  <si>
    <t>Gạch ốp 30*60 (trắng) - F3609</t>
  </si>
  <si>
    <t>F3675 A3</t>
  </si>
  <si>
    <t>2000028968021</t>
  </si>
  <si>
    <t>Gạch ốp 300x600 F3675 A3</t>
  </si>
  <si>
    <t>Lát 50x50 HD539(A1)</t>
  </si>
  <si>
    <t>2000149824831</t>
  </si>
  <si>
    <t>HD539(A1)</t>
  </si>
  <si>
    <t>Sơn chống kiềm ngoại thất plus/5L (Lót ngoại)</t>
  </si>
  <si>
    <t>2000042266004</t>
  </si>
  <si>
    <t>Sơn chống kiềm ngoại thất plus/5L</t>
  </si>
  <si>
    <t>VI5536</t>
  </si>
  <si>
    <t>2000025583715</t>
  </si>
  <si>
    <t>Gạch lát nền 50x50 VI5536</t>
  </si>
  <si>
    <t>C05</t>
  </si>
  <si>
    <t>2000025179444</t>
  </si>
  <si>
    <t>Gạch C05</t>
  </si>
  <si>
    <t>Sơn chống thấm Plus/ 20kg - Roma</t>
  </si>
  <si>
    <t>2000042266318</t>
  </si>
  <si>
    <t>Sơn chống thấm Plus/ 20kg</t>
  </si>
  <si>
    <t>BJ9/Base B/5L (M)</t>
  </si>
  <si>
    <t>2000147367958</t>
  </si>
  <si>
    <t>Sơn nước ngoại thất cao cấp DULUX WEATHERSHIELD bề mặt bóng BJ9/Base B/5L (M)</t>
  </si>
  <si>
    <t>VI5550A1-V</t>
  </si>
  <si>
    <t>2000024768335</t>
  </si>
  <si>
    <t>Gạch lát VI5550-V</t>
  </si>
  <si>
    <t>VI5530A1</t>
  </si>
  <si>
    <t>2000024768199</t>
  </si>
  <si>
    <t>Gạch lát VI5530</t>
  </si>
  <si>
    <t>ECO-S822 D20 A1</t>
  </si>
  <si>
    <t>2000038748972</t>
  </si>
  <si>
    <t>Gạch Grainte ECO-S822 D20 A1</t>
  </si>
  <si>
    <t>VI5534A1-V</t>
  </si>
  <si>
    <t>2000024768243</t>
  </si>
  <si>
    <t>Gạch lát VI5534-V</t>
  </si>
  <si>
    <t>NS605A1</t>
  </si>
  <si>
    <t>2000024909202</t>
  </si>
  <si>
    <t>Gạch lát 40x40 NS605A1</t>
  </si>
  <si>
    <t>V7601 - V</t>
  </si>
  <si>
    <t>2000027772858</t>
  </si>
  <si>
    <t>viền 7601 - Viên</t>
  </si>
  <si>
    <t>SV555</t>
  </si>
  <si>
    <t>2000101554479</t>
  </si>
  <si>
    <t>Sân vườn 555</t>
  </si>
  <si>
    <t>F3694 ( đậm)</t>
  </si>
  <si>
    <t>2000026692898</t>
  </si>
  <si>
    <t>Gạch ốp 30x60 F3694</t>
  </si>
  <si>
    <t>Điểm HD3607D</t>
  </si>
  <si>
    <t>2000153242560</t>
  </si>
  <si>
    <t>Điểm HD3607 A1 ( 1 hộp =7 viên)</t>
  </si>
  <si>
    <t>66A - Base A/5L</t>
  </si>
  <si>
    <t>2000026267515</t>
  </si>
  <si>
    <t>F6309</t>
  </si>
  <si>
    <t>2000025178942</t>
  </si>
  <si>
    <t>Gạch F6309</t>
  </si>
  <si>
    <t>BJ9  - Base A/5L</t>
  </si>
  <si>
    <t>2000026267249</t>
  </si>
  <si>
    <t>BJ9 - Base A/5L (Trắng ngoài trời)</t>
  </si>
  <si>
    <t>BJ9/Base D/1L (M)</t>
  </si>
  <si>
    <t>2000147614991</t>
  </si>
  <si>
    <t>Sơn nước ngoại thất dulux cao cấp BJ9/Base D/1L (M)</t>
  </si>
  <si>
    <t>66AB Base A (M)/5L</t>
  </si>
  <si>
    <t>2000145668224</t>
  </si>
  <si>
    <t>Sơn nước nội thất dulux Ambiance 5in1 siêu bóng 66AB B-A trắng (M)/5L</t>
  </si>
  <si>
    <t>F628 A1</t>
  </si>
  <si>
    <t>2000031939209</t>
  </si>
  <si>
    <t>Gạch lát 60x60 F628 A1</t>
  </si>
  <si>
    <t>Gạch Điểm FM3662 D</t>
  </si>
  <si>
    <t>2000036093876</t>
  </si>
  <si>
    <t>F3695 - D</t>
  </si>
  <si>
    <t>2000026692911</t>
  </si>
  <si>
    <t>Điểm F3695 - D</t>
  </si>
  <si>
    <t>K519A1</t>
  </si>
  <si>
    <t>2000024910727</t>
  </si>
  <si>
    <t>Gạch lát 50x50 K519A1</t>
  </si>
  <si>
    <t>ECO - S604D03 A1 - Viên</t>
  </si>
  <si>
    <t>2000030965759</t>
  </si>
  <si>
    <t>Gạch Granite ECO - S604D03 A1 - Viên</t>
  </si>
  <si>
    <t>F3675</t>
  </si>
  <si>
    <t>2000027489206</t>
  </si>
  <si>
    <t>Gạch ốp 30x60 F3675</t>
  </si>
  <si>
    <t>VI5504 A1-V</t>
  </si>
  <si>
    <t>2000024839868</t>
  </si>
  <si>
    <t>Gạch lát VI5504-V</t>
  </si>
  <si>
    <t>335 - Viên</t>
  </si>
  <si>
    <t>2000077414050</t>
  </si>
  <si>
    <t>Chống trơn 335 - Viên</t>
  </si>
  <si>
    <t>TH3683 ( Đậm)</t>
  </si>
  <si>
    <t>2000057308256</t>
  </si>
  <si>
    <t>ốp 30x60 TH3683</t>
  </si>
  <si>
    <t>66AB/Base B/1L(M)</t>
  </si>
  <si>
    <t>2000147613710</t>
  </si>
  <si>
    <t>Sơn nước nội thất Dulux 5in1 siêu bóng 66AB/Base B/1L(M)</t>
  </si>
  <si>
    <t>FV3699</t>
  </si>
  <si>
    <t>2000092867138</t>
  </si>
  <si>
    <t>ốp FV3699(1h=1.08m)|</t>
  </si>
  <si>
    <t>SV-VI26 A1-2021</t>
  </si>
  <si>
    <t>2000189747985</t>
  </si>
  <si>
    <t>Sân vườn VI26 A1</t>
  </si>
  <si>
    <t>LX7369 (20v/h)</t>
  </si>
  <si>
    <t>2000030617184</t>
  </si>
  <si>
    <t>Viền LX7369 (20 viên/hộp)</t>
  </si>
  <si>
    <t>LX7369 - Viên</t>
  </si>
  <si>
    <t>2000031055589</t>
  </si>
  <si>
    <t>Viền LX7369 - Viên</t>
  </si>
  <si>
    <t>TB891(A1)</t>
  </si>
  <si>
    <t>2000129146700</t>
  </si>
  <si>
    <t>Gạch lát 80x80 TB891(A1)</t>
  </si>
  <si>
    <t>LXC6101 (A)</t>
  </si>
  <si>
    <t>2000156371229</t>
  </si>
  <si>
    <t>Gạch lát 60x60 - LXC6101 (A) - 1 hộp =1.44m2</t>
  </si>
  <si>
    <t>LXC6203 (A2)</t>
  </si>
  <si>
    <t>2000161833446</t>
  </si>
  <si>
    <t>Lát LXC6203 (A2) - 1 hộp =1.44m2</t>
  </si>
  <si>
    <t>F604</t>
  </si>
  <si>
    <t>2000025179130</t>
  </si>
  <si>
    <t>Gạch lát 60x60 F604</t>
  </si>
  <si>
    <t>plus siêu bóng ngoại Base A/1L - Roma</t>
  </si>
  <si>
    <t>2000043467394</t>
  </si>
  <si>
    <t>Sơn siêu bóng ngoại thất hoàn hảo Base A/1L</t>
  </si>
  <si>
    <t>HF653</t>
  </si>
  <si>
    <t>2000046859110</t>
  </si>
  <si>
    <t>Gạch lát 60x60 HF653</t>
  </si>
  <si>
    <t>DIC80722 (Pancera)</t>
  </si>
  <si>
    <t>2000131780114</t>
  </si>
  <si>
    <t>Gạch lát 80x80 - DIC80722</t>
  </si>
  <si>
    <t>Sơn RM nội thất mịn trắng /4L - Roma</t>
  </si>
  <si>
    <t>2000042266165</t>
  </si>
  <si>
    <t>Sơn RM nội thất mịn trắng /4L</t>
  </si>
  <si>
    <t>TH3641 (Đậm)</t>
  </si>
  <si>
    <t>2000058044771</t>
  </si>
  <si>
    <t>Ốp 30x60 - TH3641 (Đậm)</t>
  </si>
  <si>
    <t>VI5532</t>
  </si>
  <si>
    <t>2000025583685</t>
  </si>
  <si>
    <t>Gạch lát nền 50x50 VI5532</t>
  </si>
  <si>
    <t>VN514</t>
  </si>
  <si>
    <t>2000024805009</t>
  </si>
  <si>
    <t>Gạch lát VN514</t>
  </si>
  <si>
    <t>FD36130</t>
  </si>
  <si>
    <t>2000025157251</t>
  </si>
  <si>
    <t>Ốp định hình 30x60 FD 36130</t>
  </si>
  <si>
    <t>K510</t>
  </si>
  <si>
    <t>2000025179291</t>
  </si>
  <si>
    <t>Gạch lát 50x50 K510</t>
  </si>
  <si>
    <t>F641 A1</t>
  </si>
  <si>
    <t>2000025178898</t>
  </si>
  <si>
    <t>Gạch lát 60x60 F641 A1</t>
  </si>
  <si>
    <t>VI556A1</t>
  </si>
  <si>
    <t>2000024768298</t>
  </si>
  <si>
    <t>Gạch lát VI556</t>
  </si>
  <si>
    <t>F36130 - D</t>
  </si>
  <si>
    <t>2000026960133</t>
  </si>
  <si>
    <t>Điểm F36130 D</t>
  </si>
  <si>
    <t>SG301 - Viên</t>
  </si>
  <si>
    <t>2000121995337</t>
  </si>
  <si>
    <t>Chống trơn SG301 - Viên</t>
  </si>
  <si>
    <t>K520</t>
  </si>
  <si>
    <t>2000025179215</t>
  </si>
  <si>
    <t>Gạch lát 50x50 K520</t>
  </si>
  <si>
    <t>Điểm 36104 D</t>
  </si>
  <si>
    <t>2000041103775</t>
  </si>
  <si>
    <t>VI5505A1</t>
  </si>
  <si>
    <t>2000024768250</t>
  </si>
  <si>
    <t>Gạch lát VI5505</t>
  </si>
  <si>
    <t>ECO- S810 (A)</t>
  </si>
  <si>
    <t>2000077002257</t>
  </si>
  <si>
    <t>Gạch Granit ECO- S810</t>
  </si>
  <si>
    <t>Kệ Granite</t>
  </si>
  <si>
    <t>2000030965841</t>
  </si>
  <si>
    <t>DC-S178</t>
  </si>
  <si>
    <t>2000026652366</t>
  </si>
  <si>
    <t>Dây cấp S178</t>
  </si>
  <si>
    <t>F36126D</t>
  </si>
  <si>
    <t>2000025174326</t>
  </si>
  <si>
    <t>điểm F36126D</t>
  </si>
  <si>
    <t>KVY</t>
  </si>
  <si>
    <t>2000026850557</t>
  </si>
  <si>
    <t>Kệ Việt Ý</t>
  </si>
  <si>
    <t>Điểm 30x45 -  M34584</t>
  </si>
  <si>
    <t>2000035931261</t>
  </si>
  <si>
    <t>Điểm 30x45 - M34584</t>
  </si>
  <si>
    <t>F36129D</t>
  </si>
  <si>
    <t>2000025174364</t>
  </si>
  <si>
    <t>Điểm F36129 D</t>
  </si>
  <si>
    <t>FD36129 ( đậm)</t>
  </si>
  <si>
    <t>2000025174357</t>
  </si>
  <si>
    <t>Ốp định hình 30x60 FD36129</t>
  </si>
  <si>
    <t>CT382</t>
  </si>
  <si>
    <t>2000024855240</t>
  </si>
  <si>
    <t>Gạch lát CT382</t>
  </si>
  <si>
    <t>TN03A1</t>
  </si>
  <si>
    <t>2000024909943</t>
  </si>
  <si>
    <t>Gạch ốp 30x45 TN03A1</t>
  </si>
  <si>
    <t>Z509-A2</t>
  </si>
  <si>
    <t>2000025179543</t>
  </si>
  <si>
    <t>Gạch lát 50x50 Z509-A</t>
  </si>
  <si>
    <t>F36160 D</t>
  </si>
  <si>
    <t>2000025133972</t>
  </si>
  <si>
    <t>điểm F36160 D</t>
  </si>
  <si>
    <t>VI6008</t>
  </si>
  <si>
    <t>2000025427347</t>
  </si>
  <si>
    <t>Gạch lát nền VI6008 A1</t>
  </si>
  <si>
    <t>CT831</t>
  </si>
  <si>
    <t>2000115552973</t>
  </si>
  <si>
    <t>Chống trơn D831</t>
  </si>
  <si>
    <t>F516</t>
  </si>
  <si>
    <t>2000025178973</t>
  </si>
  <si>
    <t>Gạch lát 50x50 F516</t>
  </si>
  <si>
    <t>KHH-M</t>
  </si>
  <si>
    <t>2000050728907</t>
  </si>
  <si>
    <t>Kệ Hoàng Hà (mới)</t>
  </si>
  <si>
    <t>Viền Ý Gia ( A2)</t>
  </si>
  <si>
    <t>2000038117099</t>
  </si>
  <si>
    <t>Điều chỉnh công nợ</t>
  </si>
  <si>
    <t>2000031867922</t>
  </si>
  <si>
    <t>Viền</t>
  </si>
  <si>
    <t>2000037074379</t>
  </si>
  <si>
    <t>DDHH</t>
  </si>
  <si>
    <t>2000027733828</t>
  </si>
  <si>
    <t>Dây dù Hoàng Hà</t>
  </si>
  <si>
    <t>Điều chỉnh sổ</t>
  </si>
  <si>
    <t>2000045039957</t>
  </si>
  <si>
    <t>gạch 40x40 ( tocul)</t>
  </si>
  <si>
    <t>2000033084204</t>
  </si>
  <si>
    <t>DNHH</t>
  </si>
  <si>
    <t>2000027733811</t>
  </si>
  <si>
    <t>Dây nhựa Hoàng Hà</t>
  </si>
  <si>
    <t>D/D</t>
  </si>
  <si>
    <t>2000026558804</t>
  </si>
  <si>
    <t>dây dù Việt Ý</t>
  </si>
  <si>
    <t>TK HẾT 6/4/2026</t>
  </si>
  <si>
    <t>40/80  ECO</t>
  </si>
  <si>
    <t>MÃ SP</t>
  </si>
  <si>
    <t>TỔNG</t>
  </si>
  <si>
    <t>N</t>
  </si>
  <si>
    <t>X</t>
  </si>
  <si>
    <t>TÊN SP</t>
  </si>
  <si>
    <t>48-5004-Nhạt-56(18.11.22)</t>
  </si>
  <si>
    <t>14603(1.44M2)</t>
  </si>
  <si>
    <t>LK305-h1</t>
  </si>
  <si>
    <t>11-646-VT-(đ53:16.3.26)</t>
  </si>
  <si>
    <t>6-1001-Đ63(8+9/12/25)</t>
  </si>
  <si>
    <t>48-5004-nhạt đ53(14.5.25)</t>
  </si>
  <si>
    <t>6-1001-Đ61(24.8.25)</t>
  </si>
  <si>
    <t>6-6007-Đ53(23.12.25)</t>
  </si>
  <si>
    <t>5-1012Đ 56(27.11.24)</t>
  </si>
  <si>
    <t>8-6004Đ52(15.4.23)</t>
  </si>
  <si>
    <t>11-601-đ52(43h/k)-7.4.26</t>
  </si>
  <si>
    <t>MN612.510 A1-mát-57(3.1.26)</t>
  </si>
  <si>
    <t>MN612.616 A1-bóng-55(24.11.24)</t>
  </si>
  <si>
    <t>48-6000- Trắng tinh-53(30.12.23)</t>
  </si>
  <si>
    <t>6-1502-Đ57(26.3.26</t>
  </si>
  <si>
    <t>MN612.618 A1-bóng-Đ58(3.3.26)</t>
  </si>
  <si>
    <t>6-6038-53(7.6.23)</t>
  </si>
  <si>
    <t>6-6041-53(20.12.25)</t>
  </si>
  <si>
    <t>46512-01-DẦY 12mm</t>
  </si>
  <si>
    <t>46512-02DẦY 12mm</t>
  </si>
  <si>
    <t>46512-03DẦY 12mm</t>
  </si>
  <si>
    <t>60*60 hàng Ceramic</t>
  </si>
  <si>
    <t>14209-điểm</t>
  </si>
  <si>
    <t>74202-điểm</t>
  </si>
  <si>
    <t>thiếu hụt k rõ nguyên nhân</t>
  </si>
  <si>
    <t>Thiếu k nguyên nhân</t>
  </si>
  <si>
    <t>Thiếu thừa chưa ro nguyên nhân</t>
  </si>
  <si>
    <t>chưa rõ nguyên nhân</t>
  </si>
  <si>
    <t>CHƯA RO NGUYÊN NHÂN</t>
  </si>
  <si>
    <t>CHƯA RÕ NGUYÊN NHÂN</t>
  </si>
  <si>
    <t>14101(1H=1.28)</t>
  </si>
  <si>
    <t>16106   -K1</t>
  </si>
  <si>
    <t>chưa rõ nguyên nhân+MÂU</t>
  </si>
  <si>
    <t>8-6042 d52-1.3.26</t>
  </si>
  <si>
    <t>8-6038 d58-17.8.23</t>
  </si>
  <si>
    <t>KT</t>
  </si>
  <si>
    <t>FR5007</t>
  </si>
  <si>
    <t>FR5008</t>
  </si>
  <si>
    <t>keo 20 kg</t>
  </si>
  <si>
    <t>8-601-vt</t>
  </si>
  <si>
    <t>73601-điểm</t>
  </si>
  <si>
    <t>73501-khói</t>
  </si>
  <si>
    <t>73507-đậm</t>
  </si>
  <si>
    <t>73506-nhạt</t>
  </si>
  <si>
    <t>73606-điểm</t>
  </si>
  <si>
    <t>73602-điểm</t>
  </si>
  <si>
    <t>73502-nhạt</t>
  </si>
  <si>
    <t>73503-đậm</t>
  </si>
  <si>
    <t>8-6045     a2</t>
  </si>
  <si>
    <t>6-6400 A3</t>
  </si>
  <si>
    <t>6-6045   a2</t>
  </si>
  <si>
    <t>0166-1030D57-24,6,26</t>
  </si>
  <si>
    <t>TỒN CK 30.6.2026</t>
  </si>
  <si>
    <t>TỒN HIỆN TẠI T7.2026</t>
  </si>
  <si>
    <t>60*60 Elit-Crit</t>
  </si>
  <si>
    <t>40*60-sv</t>
  </si>
  <si>
    <t xml:space="preserve">80*80 
Elite Crit </t>
  </si>
  <si>
    <t>80*80-BS</t>
  </si>
  <si>
    <t>LX36601</t>
  </si>
  <si>
    <t>F6602</t>
  </si>
  <si>
    <r>
      <t xml:space="preserve">11-646-VT-(đ55:16.3.26)      </t>
    </r>
    <r>
      <rPr>
        <sz val="14"/>
        <color rgb="FFFF0000"/>
        <rFont val="Times New Roman"/>
        <family val="1"/>
      </rPr>
      <t>A2(40h/k)</t>
    </r>
  </si>
  <si>
    <r>
      <t xml:space="preserve">11-601-đ55(40h/k)-12.3.26   </t>
    </r>
    <r>
      <rPr>
        <sz val="14"/>
        <color rgb="FFFF0000"/>
        <rFont val="Times New Roman"/>
        <family val="1"/>
      </rPr>
      <t>A2-40H/K</t>
    </r>
  </si>
  <si>
    <r>
      <t xml:space="preserve">11-645 -đ55-(14.2.26)           </t>
    </r>
    <r>
      <rPr>
        <sz val="14"/>
        <color rgb="FFFF0000"/>
        <rFont val="Times New Roman"/>
        <family val="1"/>
      </rPr>
      <t>A2-40H/K</t>
    </r>
  </si>
  <si>
    <r>
      <t xml:space="preserve">11-602-D53(14.4.26)            </t>
    </r>
    <r>
      <rPr>
        <sz val="14"/>
        <color rgb="FFFF0000"/>
        <rFont val="Times New Roman"/>
        <family val="1"/>
      </rPr>
      <t>A2-43H/K</t>
    </r>
  </si>
  <si>
    <r>
      <t xml:space="preserve">11-602-D53(28.3.26)           </t>
    </r>
    <r>
      <rPr>
        <sz val="14"/>
        <color rgb="FFFF0000"/>
        <rFont val="Times New Roman"/>
        <family val="1"/>
      </rPr>
      <t xml:space="preserve"> A2-43H/K</t>
    </r>
  </si>
  <si>
    <t>F6604</t>
  </si>
  <si>
    <t>HXK-503   A1</t>
  </si>
  <si>
    <t>HXK-503   B</t>
  </si>
  <si>
    <t>FR5509</t>
  </si>
  <si>
    <t>11-645-D53</t>
  </si>
  <si>
    <t>11-602-D57</t>
  </si>
  <si>
    <t>GẠCH 1 MÉT</t>
  </si>
  <si>
    <t>LP10,104</t>
  </si>
  <si>
    <t>LP10,112</t>
  </si>
  <si>
    <t>LP10,113</t>
  </si>
  <si>
    <t>LP10,114</t>
  </si>
  <si>
    <t>GẠCH 80 MỚI</t>
  </si>
  <si>
    <t>LP18,112  -A2</t>
  </si>
  <si>
    <t>LP18,113   - A2</t>
  </si>
  <si>
    <t>LP18,114    -A2</t>
  </si>
  <si>
    <t xml:space="preserve">40*80 CERAMIC </t>
  </si>
  <si>
    <t>11-602-D53(14.4.26)            A2-43H/K</t>
  </si>
  <si>
    <t>11-602-D53(28.3.26)            A2-43H/K</t>
  </si>
  <si>
    <t>11-646-VT-(đ55:16.3.26)      A2(40h/k)</t>
  </si>
  <si>
    <t>11-601-đ55(40h/k)-12.3.26   A2-40H/K</t>
  </si>
  <si>
    <t>6-1001</t>
  </si>
  <si>
    <t>48-5004-Nhạt</t>
  </si>
  <si>
    <t>6-6038</t>
  </si>
  <si>
    <t>6-6041</t>
  </si>
  <si>
    <t>8-6004</t>
  </si>
  <si>
    <t xml:space="preserve">8-6038 </t>
  </si>
  <si>
    <t xml:space="preserve">8-6042 </t>
  </si>
  <si>
    <t>11-645</t>
  </si>
  <si>
    <t>11-645         A2-40H/K</t>
  </si>
  <si>
    <t>11-602</t>
  </si>
  <si>
    <t>6-1501- Gỗ mát</t>
  </si>
  <si>
    <t>6-1502- Gỗ mát</t>
  </si>
  <si>
    <t>KE 1MM</t>
  </si>
  <si>
    <t>KE 1,5 MM</t>
  </si>
  <si>
    <t>NÊM ĐỎ</t>
  </si>
  <si>
    <t>50*50 SV BS</t>
  </si>
  <si>
    <t>40*60 SV BS</t>
  </si>
  <si>
    <t>LXC6112-h11</t>
  </si>
  <si>
    <t>LV3652--h13</t>
  </si>
  <si>
    <t>60*60 bs</t>
  </si>
  <si>
    <t>50*60</t>
  </si>
  <si>
    <t>GẠCH 80 BÓNG</t>
  </si>
  <si>
    <t>GẠCH 80 MEN MÁT</t>
  </si>
  <si>
    <t>GẠCH 60 MEN BÓNG</t>
  </si>
  <si>
    <t>GẠCH 60 MEN MÁT</t>
  </si>
  <si>
    <t>GẠCH 1M-BÓNG</t>
  </si>
  <si>
    <t>GẠCH 1M-MÁT</t>
  </si>
  <si>
    <t>40*80-BÓNG</t>
  </si>
  <si>
    <t>40*80-MÁT</t>
  </si>
  <si>
    <t>AM 5039</t>
  </si>
  <si>
    <t>AM 6824</t>
  </si>
  <si>
    <t>AM 6825</t>
  </si>
  <si>
    <t>AM8049</t>
  </si>
  <si>
    <t>AM 5069</t>
  </si>
  <si>
    <t>AM 3451</t>
  </si>
  <si>
    <t>AM 3061</t>
  </si>
  <si>
    <t>AM 3062</t>
  </si>
  <si>
    <t>LX335</t>
  </si>
  <si>
    <t>KHO 1</t>
  </si>
  <si>
    <t>KHO 2</t>
  </si>
  <si>
    <t>8-6041 a2</t>
  </si>
  <si>
    <t xml:space="preserve">MUA XE 7 TẤN XANH </t>
  </si>
  <si>
    <t>NT</t>
  </si>
  <si>
    <t>DIỄN GIẢI</t>
  </si>
  <si>
    <t>SỐ TIỀN CHI</t>
  </si>
  <si>
    <t>GHI CHÚ</t>
  </si>
  <si>
    <t xml:space="preserve">Đặt cọc </t>
  </si>
  <si>
    <t>Phí BH thân vỏ-hồ sơ giải ngân-BH tài sản</t>
  </si>
  <si>
    <t>Đăng Kiểm</t>
  </si>
  <si>
    <t xml:space="preserve">Chuyển Khoản </t>
  </si>
  <si>
    <t>CK tt</t>
  </si>
  <si>
    <t>Phí mua BH thân vỏ</t>
  </si>
  <si>
    <t>LV4850  A2</t>
  </si>
  <si>
    <t>LV48000    A2</t>
  </si>
  <si>
    <t>NH5604            A2</t>
  </si>
  <si>
    <t>50*50 BS</t>
  </si>
  <si>
    <t>PLX5011</t>
  </si>
  <si>
    <t>PLX5012</t>
  </si>
  <si>
    <t>PLX5013</t>
  </si>
  <si>
    <t>PLX5014</t>
  </si>
  <si>
    <t>PLX5015</t>
  </si>
  <si>
    <t xml:space="preserve">80*80 
Elite Amethist </t>
  </si>
  <si>
    <t>LP18,112   A1</t>
  </si>
  <si>
    <t>LP18,113    A1</t>
  </si>
  <si>
    <t>LP18,114    A1</t>
  </si>
  <si>
    <t>CẮT LÔ</t>
  </si>
  <si>
    <t>TỒN HIỆN TẠI T9.2026</t>
  </si>
  <si>
    <t>TỒN CK 31.8.2026</t>
  </si>
  <si>
    <t>30*60-BS
 (1h=8v)</t>
  </si>
  <si>
    <t>30*60 elit 
(1h =10 v)</t>
  </si>
  <si>
    <t>60*60-BS</t>
  </si>
  <si>
    <t>6-6016</t>
  </si>
  <si>
    <t>LXC6110-đuôi h3</t>
  </si>
  <si>
    <t>LP18104   A2</t>
  </si>
  <si>
    <t>AM5072</t>
  </si>
  <si>
    <t>AM5060</t>
  </si>
  <si>
    <t>TỒN CK 30,9.2026</t>
  </si>
  <si>
    <t>TỒN HIỆN TẠI T10.2026</t>
  </si>
  <si>
    <t>TỒN CK T9</t>
  </si>
  <si>
    <t>TỒN HIỆN TẠI T10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</si>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</sst>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0"/>
      <color theme="1"/>
      <name val="Times New Roman"/>
      <family val="1"/>
    </font>
    <font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2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387">
    <xf numFmtId="0" fontId="0" fillId="0" borderId="0" xfId="0"/>
    <xf numFmtId="0" fontId="0" fillId="0" borderId="0" xfId="0" applyNumberForma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3" fillId="6" borderId="6" xfId="0" applyNumberFormat="1" applyFont="1" applyFill="1" applyBorder="1" applyAlignment="1">
      <alignment horizontal="center" vertical="center"/>
    </xf>
    <xf numFmtId="164" fontId="3" fillId="6" borderId="6" xfId="1" applyNumberFormat="1" applyFont="1" applyFill="1" applyBorder="1" applyAlignment="1">
      <alignment horizontal="center" vertical="center"/>
    </xf>
    <xf numFmtId="0" fontId="10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/>
    <xf numFmtId="0" fontId="3" fillId="0" borderId="1" xfId="0" applyFont="1" applyBorder="1"/>
    <xf numFmtId="0" fontId="3" fillId="0" borderId="1" xfId="0" applyFont="1" applyBorder="1" applyAlignment="1"/>
    <xf numFmtId="164" fontId="3" fillId="2" borderId="1" xfId="1" applyNumberFormat="1" applyFont="1" applyFill="1" applyBorder="1"/>
    <xf numFmtId="0" fontId="3" fillId="0" borderId="0" xfId="0" applyFont="1"/>
    <xf numFmtId="43" fontId="3" fillId="6" borderId="6" xfId="1" applyFont="1" applyFill="1" applyBorder="1" applyAlignment="1">
      <alignment horizontal="center" vertical="center"/>
    </xf>
    <xf numFmtId="43" fontId="3" fillId="2" borderId="1" xfId="1" applyFont="1" applyFill="1" applyBorder="1"/>
    <xf numFmtId="164" fontId="7" fillId="0" borderId="1" xfId="1" applyNumberFormat="1" applyFont="1" applyBorder="1"/>
    <xf numFmtId="164" fontId="7" fillId="0" borderId="0" xfId="1" applyNumberFormat="1" applyFont="1"/>
    <xf numFmtId="164" fontId="3" fillId="3" borderId="1" xfId="1" applyNumberFormat="1" applyFont="1" applyFill="1" applyBorder="1"/>
    <xf numFmtId="0" fontId="7" fillId="0" borderId="1" xfId="0" applyNumberFormat="1" applyFont="1" applyBorder="1"/>
    <xf numFmtId="0" fontId="7" fillId="0" borderId="1" xfId="2" applyNumberFormat="1" applyFont="1" applyBorder="1"/>
    <xf numFmtId="0" fontId="7" fillId="0" borderId="1" xfId="2" applyNumberFormat="1" applyFont="1" applyBorder="1" applyAlignment="1">
      <alignment horizontal="left"/>
    </xf>
    <xf numFmtId="43" fontId="7" fillId="0" borderId="1" xfId="1" applyFont="1" applyBorder="1"/>
    <xf numFmtId="43" fontId="7" fillId="0" borderId="0" xfId="1" applyFont="1"/>
    <xf numFmtId="164" fontId="3" fillId="4" borderId="1" xfId="1" applyNumberFormat="1" applyFont="1" applyFill="1" applyBorder="1" applyAlignment="1" applyProtection="1">
      <alignment horizontal="center" vertical="center"/>
    </xf>
    <xf numFmtId="164" fontId="3" fillId="5" borderId="1" xfId="1" applyNumberFormat="1" applyFont="1" applyFill="1" applyBorder="1" applyAlignment="1" applyProtection="1">
      <alignment horizontal="center" vertical="center" wrapText="1"/>
      <protection locked="0"/>
    </xf>
    <xf numFmtId="164" fontId="3" fillId="3" borderId="1" xfId="1" applyNumberFormat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left"/>
    </xf>
    <xf numFmtId="164" fontId="5" fillId="0" borderId="1" xfId="1" applyNumberFormat="1" applyFont="1" applyBorder="1" applyAlignment="1">
      <alignment horizontal="left"/>
    </xf>
    <xf numFmtId="164" fontId="6" fillId="0" borderId="1" xfId="1" applyNumberFormat="1" applyFont="1" applyBorder="1" applyAlignment="1">
      <alignment horizontal="left"/>
    </xf>
    <xf numFmtId="164" fontId="6" fillId="3" borderId="1" xfId="0" applyNumberFormat="1" applyFont="1" applyFill="1" applyBorder="1" applyAlignment="1" applyProtection="1">
      <alignment horizontal="center" wrapText="1"/>
    </xf>
    <xf numFmtId="49" fontId="7" fillId="0" borderId="1" xfId="0" applyNumberFormat="1" applyFont="1" applyBorder="1"/>
    <xf numFmtId="0" fontId="6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1" xfId="0" applyNumberFormat="1" applyFont="1" applyBorder="1" applyAlignment="1">
      <alignment horizontal="left"/>
    </xf>
    <xf numFmtId="164" fontId="3" fillId="6" borderId="6" xfId="1" applyNumberFormat="1" applyFont="1" applyFill="1" applyBorder="1" applyAlignment="1">
      <alignment horizontal="right" vertical="center"/>
    </xf>
    <xf numFmtId="164" fontId="3" fillId="2" borderId="5" xfId="1" applyNumberFormat="1" applyFont="1" applyFill="1" applyBorder="1" applyAlignment="1">
      <alignment horizontal="right"/>
    </xf>
    <xf numFmtId="164" fontId="7" fillId="0" borderId="1" xfId="1" applyNumberFormat="1" applyFont="1" applyBorder="1" applyAlignment="1">
      <alignment horizontal="right"/>
    </xf>
    <xf numFmtId="164" fontId="5" fillId="0" borderId="1" xfId="1" applyNumberFormat="1" applyFont="1" applyBorder="1" applyAlignment="1">
      <alignment horizontal="right"/>
    </xf>
    <xf numFmtId="164" fontId="7" fillId="0" borderId="0" xfId="1" applyNumberFormat="1" applyFont="1" applyAlignment="1">
      <alignment horizontal="right"/>
    </xf>
    <xf numFmtId="164" fontId="7" fillId="2" borderId="5" xfId="1" applyNumberFormat="1" applyFont="1" applyFill="1" applyBorder="1" applyAlignment="1">
      <alignment horizontal="right"/>
    </xf>
    <xf numFmtId="164" fontId="5" fillId="0" borderId="1" xfId="1" applyNumberFormat="1" applyFont="1" applyBorder="1" applyAlignment="1">
      <alignment horizontal="right" vertical="center"/>
    </xf>
    <xf numFmtId="0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7" fillId="0" borderId="1" xfId="0" applyNumberFormat="1" applyFont="1" applyBorder="1" applyAlignment="1"/>
    <xf numFmtId="43" fontId="11" fillId="4" borderId="1" xfId="1" applyFont="1" applyFill="1" applyBorder="1" applyAlignment="1" applyProtection="1">
      <alignment horizontal="center" vertical="center" wrapText="1"/>
    </xf>
    <xf numFmtId="43" fontId="3" fillId="3" borderId="1" xfId="1" applyFont="1" applyFill="1" applyBorder="1" applyAlignment="1">
      <alignment vertical="center"/>
    </xf>
    <xf numFmtId="43" fontId="3" fillId="6" borderId="6" xfId="1" applyFont="1" applyFill="1" applyBorder="1" applyAlignment="1">
      <alignment horizontal="right" vertical="center"/>
    </xf>
    <xf numFmtId="43" fontId="3" fillId="2" borderId="5" xfId="1" applyFont="1" applyFill="1" applyBorder="1" applyAlignment="1">
      <alignment horizontal="right"/>
    </xf>
    <xf numFmtId="43" fontId="7" fillId="0" borderId="1" xfId="1" applyFont="1" applyBorder="1" applyAlignment="1">
      <alignment horizontal="right"/>
    </xf>
    <xf numFmtId="43" fontId="7" fillId="0" borderId="0" xfId="1" applyFont="1" applyAlignment="1">
      <alignment horizontal="right"/>
    </xf>
    <xf numFmtId="0" fontId="8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7" fillId="0" borderId="5" xfId="0" applyFont="1" applyBorder="1"/>
    <xf numFmtId="164" fontId="7" fillId="0" borderId="5" xfId="1" applyNumberFormat="1" applyFont="1" applyBorder="1"/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7" fillId="0" borderId="1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/>
    </xf>
    <xf numFmtId="164" fontId="10" fillId="6" borderId="6" xfId="1" applyNumberFormat="1" applyFont="1" applyFill="1" applyBorder="1" applyAlignment="1">
      <alignment horizontal="center" vertical="center"/>
    </xf>
    <xf numFmtId="164" fontId="10" fillId="6" borderId="8" xfId="1" applyNumberFormat="1" applyFont="1" applyFill="1" applyBorder="1" applyAlignment="1">
      <alignment horizontal="center" vertical="center"/>
    </xf>
    <xf numFmtId="0" fontId="2" fillId="0" borderId="0" xfId="0" applyFont="1"/>
    <xf numFmtId="0" fontId="10" fillId="0" borderId="1" xfId="0" applyFont="1" applyBorder="1"/>
    <xf numFmtId="0" fontId="12" fillId="2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0" borderId="2" xfId="0" applyFont="1" applyBorder="1" applyAlignment="1"/>
    <xf numFmtId="0" fontId="12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2" fillId="0" borderId="1" xfId="0" applyFont="1" applyBorder="1"/>
    <xf numFmtId="0" fontId="12" fillId="0" borderId="0" xfId="0" applyFont="1"/>
    <xf numFmtId="0" fontId="10" fillId="2" borderId="4" xfId="0" applyFont="1" applyFill="1" applyBorder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/>
    </xf>
    <xf numFmtId="164" fontId="10" fillId="3" borderId="1" xfId="1" applyNumberFormat="1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164" fontId="2" fillId="3" borderId="2" xfId="1" applyNumberFormat="1" applyFont="1" applyFill="1" applyBorder="1" applyAlignment="1">
      <alignment horizontal="center"/>
    </xf>
    <xf numFmtId="0" fontId="2" fillId="0" borderId="1" xfId="0" applyNumberFormat="1" applyFont="1" applyBorder="1"/>
    <xf numFmtId="164" fontId="2" fillId="0" borderId="1" xfId="1" applyNumberFormat="1" applyFont="1" applyBorder="1"/>
    <xf numFmtId="164" fontId="2" fillId="0" borderId="2" xfId="1" applyNumberFormat="1" applyFont="1" applyBorder="1"/>
    <xf numFmtId="0" fontId="2" fillId="0" borderId="1" xfId="0" applyFont="1" applyBorder="1" applyAlignment="1"/>
    <xf numFmtId="0" fontId="10" fillId="0" borderId="1" xfId="0" applyFont="1" applyBorder="1" applyAlignment="1"/>
    <xf numFmtId="0" fontId="2" fillId="3" borderId="1" xfId="0" applyFont="1" applyFill="1" applyBorder="1"/>
    <xf numFmtId="0" fontId="2" fillId="0" borderId="1" xfId="0" applyFont="1" applyBorder="1" applyAlignment="1">
      <alignment horizontal="left"/>
    </xf>
    <xf numFmtId="0" fontId="2" fillId="0" borderId="5" xfId="0" applyNumberFormat="1" applyFont="1" applyBorder="1"/>
    <xf numFmtId="164" fontId="2" fillId="0" borderId="5" xfId="1" applyNumberFormat="1" applyFont="1" applyBorder="1"/>
    <xf numFmtId="0" fontId="10" fillId="0" borderId="7" xfId="0" applyFont="1" applyBorder="1" applyAlignment="1">
      <alignment vertical="center"/>
    </xf>
    <xf numFmtId="0" fontId="10" fillId="0" borderId="7" xfId="0" applyFont="1" applyBorder="1"/>
    <xf numFmtId="164" fontId="2" fillId="0" borderId="7" xfId="1" applyNumberFormat="1" applyFont="1" applyBorder="1"/>
    <xf numFmtId="164" fontId="2" fillId="0" borderId="0" xfId="1" applyNumberFormat="1" applyFont="1"/>
    <xf numFmtId="0" fontId="10" fillId="6" borderId="6" xfId="0" applyNumberFormat="1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164" fontId="10" fillId="8" borderId="1" xfId="1" applyNumberFormat="1" applyFont="1" applyFill="1" applyBorder="1" applyAlignment="1">
      <alignment horizontal="center"/>
    </xf>
    <xf numFmtId="164" fontId="10" fillId="8" borderId="2" xfId="1" applyNumberFormat="1" applyFont="1" applyFill="1" applyBorder="1" applyAlignment="1">
      <alignment horizontal="center"/>
    </xf>
    <xf numFmtId="164" fontId="10" fillId="2" borderId="1" xfId="1" applyNumberFormat="1" applyFont="1" applyFill="1" applyBorder="1" applyAlignment="1">
      <alignment horizont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0" borderId="0" xfId="0" applyFont="1" applyBorder="1"/>
    <xf numFmtId="0" fontId="3" fillId="8" borderId="1" xfId="0" applyFont="1" applyFill="1" applyBorder="1" applyAlignment="1">
      <alignment horizontal="center"/>
    </xf>
    <xf numFmtId="164" fontId="3" fillId="8" borderId="1" xfId="1" applyNumberFormat="1" applyFont="1" applyFill="1" applyBorder="1"/>
    <xf numFmtId="0" fontId="0" fillId="8" borderId="0" xfId="0" applyFill="1"/>
    <xf numFmtId="0" fontId="3" fillId="3" borderId="1" xfId="0" applyFont="1" applyFill="1" applyBorder="1" applyAlignment="1">
      <alignment horizontal="center"/>
    </xf>
    <xf numFmtId="0" fontId="0" fillId="3" borderId="0" xfId="0" applyFill="1"/>
    <xf numFmtId="164" fontId="3" fillId="8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7" fillId="9" borderId="1" xfId="0" applyFont="1" applyFill="1" applyBorder="1"/>
    <xf numFmtId="43" fontId="7" fillId="9" borderId="1" xfId="1" applyFont="1" applyFill="1" applyBorder="1"/>
    <xf numFmtId="164" fontId="7" fillId="9" borderId="1" xfId="1" applyNumberFormat="1" applyFont="1" applyFill="1" applyBorder="1"/>
    <xf numFmtId="0" fontId="7" fillId="9" borderId="1" xfId="0" applyNumberFormat="1" applyFont="1" applyFill="1" applyBorder="1"/>
    <xf numFmtId="0" fontId="7" fillId="3" borderId="1" xfId="0" applyFont="1" applyFill="1" applyBorder="1"/>
    <xf numFmtId="0" fontId="3" fillId="9" borderId="5" xfId="0" applyFont="1" applyFill="1" applyBorder="1" applyAlignment="1">
      <alignment horizontal="center" vertical="center"/>
    </xf>
    <xf numFmtId="164" fontId="3" fillId="9" borderId="1" xfId="1" applyNumberFormat="1" applyFont="1" applyFill="1" applyBorder="1"/>
    <xf numFmtId="0" fontId="7" fillId="3" borderId="1" xfId="0" applyNumberFormat="1" applyFont="1" applyFill="1" applyBorder="1"/>
    <xf numFmtId="43" fontId="7" fillId="3" borderId="1" xfId="1" applyFont="1" applyFill="1" applyBorder="1"/>
    <xf numFmtId="164" fontId="7" fillId="3" borderId="1" xfId="1" applyNumberFormat="1" applyFont="1" applyFill="1" applyBorder="1"/>
    <xf numFmtId="0" fontId="7" fillId="3" borderId="0" xfId="0" applyFont="1" applyFill="1"/>
    <xf numFmtId="164" fontId="7" fillId="0" borderId="1" xfId="0" applyNumberFormat="1" applyFont="1" applyBorder="1"/>
    <xf numFmtId="164" fontId="10" fillId="10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43" fontId="7" fillId="0" borderId="1" xfId="1" applyNumberFormat="1" applyFont="1" applyBorder="1"/>
    <xf numFmtId="43" fontId="10" fillId="6" borderId="6" xfId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/>
    </xf>
    <xf numFmtId="43" fontId="10" fillId="8" borderId="1" xfId="1" applyFont="1" applyFill="1" applyBorder="1" applyAlignment="1">
      <alignment horizontal="center"/>
    </xf>
    <xf numFmtId="43" fontId="2" fillId="3" borderId="1" xfId="1" applyFont="1" applyFill="1" applyBorder="1" applyAlignment="1">
      <alignment horizontal="center"/>
    </xf>
    <xf numFmtId="43" fontId="2" fillId="0" borderId="1" xfId="1" applyFont="1" applyBorder="1"/>
    <xf numFmtId="43" fontId="2" fillId="0" borderId="0" xfId="1" applyFont="1"/>
    <xf numFmtId="43" fontId="3" fillId="3" borderId="1" xfId="1" applyFont="1" applyFill="1" applyBorder="1"/>
    <xf numFmtId="43" fontId="3" fillId="0" borderId="1" xfId="1" applyFont="1" applyBorder="1" applyAlignment="1"/>
    <xf numFmtId="0" fontId="7" fillId="0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164" fontId="3" fillId="0" borderId="1" xfId="1" applyNumberFormat="1" applyFont="1" applyBorder="1" applyAlignment="1">
      <alignment horizontal="center"/>
    </xf>
    <xf numFmtId="164" fontId="7" fillId="8" borderId="1" xfId="1" applyNumberFormat="1" applyFont="1" applyFill="1" applyBorder="1"/>
    <xf numFmtId="164" fontId="3" fillId="0" borderId="5" xfId="1" applyNumberFormat="1" applyFont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43" fontId="3" fillId="8" borderId="1" xfId="1" applyFont="1" applyFill="1" applyBorder="1"/>
    <xf numFmtId="0" fontId="7" fillId="11" borderId="1" xfId="0" applyFont="1" applyFill="1" applyBorder="1"/>
    <xf numFmtId="43" fontId="3" fillId="11" borderId="1" xfId="1" applyFont="1" applyFill="1" applyBorder="1" applyAlignment="1">
      <alignment vertical="center"/>
    </xf>
    <xf numFmtId="164" fontId="5" fillId="11" borderId="1" xfId="1" applyNumberFormat="1" applyFont="1" applyFill="1" applyBorder="1" applyAlignment="1">
      <alignment horizontal="left"/>
    </xf>
    <xf numFmtId="164" fontId="3" fillId="11" borderId="1" xfId="1" applyNumberFormat="1" applyFont="1" applyFill="1" applyBorder="1" applyAlignment="1">
      <alignment horizontal="center"/>
    </xf>
    <xf numFmtId="0" fontId="7" fillId="0" borderId="1" xfId="0" applyFont="1" applyBorder="1" applyAlignment="1"/>
    <xf numFmtId="0" fontId="3" fillId="0" borderId="1" xfId="0" applyFont="1" applyBorder="1" applyAlignment="1">
      <alignment vertical="center"/>
    </xf>
    <xf numFmtId="0" fontId="7" fillId="2" borderId="1" xfId="0" applyNumberFormat="1" applyFont="1" applyFill="1" applyBorder="1" applyAlignment="1">
      <alignment horizontal="left"/>
    </xf>
    <xf numFmtId="164" fontId="7" fillId="2" borderId="1" xfId="1" applyNumberFormat="1" applyFont="1" applyFill="1" applyBorder="1"/>
    <xf numFmtId="0" fontId="10" fillId="6" borderId="6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1" xfId="0" applyNumberFormat="1" applyFont="1" applyFill="1" applyBorder="1"/>
    <xf numFmtId="3" fontId="7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49" fontId="7" fillId="2" borderId="1" xfId="0" applyNumberFormat="1" applyFont="1" applyFill="1" applyBorder="1"/>
    <xf numFmtId="43" fontId="13" fillId="2" borderId="1" xfId="1" applyFont="1" applyFill="1" applyBorder="1"/>
    <xf numFmtId="164" fontId="3" fillId="2" borderId="1" xfId="0" applyNumberFormat="1" applyFont="1" applyFill="1" applyBorder="1" applyAlignment="1">
      <alignment horizontal="center"/>
    </xf>
    <xf numFmtId="43" fontId="7" fillId="2" borderId="1" xfId="1" applyFont="1" applyFill="1" applyBorder="1"/>
    <xf numFmtId="0" fontId="1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8" borderId="1" xfId="0" applyNumberFormat="1" applyFont="1" applyFill="1" applyBorder="1"/>
    <xf numFmtId="0" fontId="7" fillId="8" borderId="1" xfId="0" applyFont="1" applyFill="1" applyBorder="1" applyAlignment="1"/>
    <xf numFmtId="0" fontId="14" fillId="6" borderId="1" xfId="0" applyFont="1" applyFill="1" applyBorder="1" applyAlignment="1">
      <alignment horizontal="center" vertical="center"/>
    </xf>
    <xf numFmtId="0" fontId="14" fillId="6" borderId="1" xfId="0" applyNumberFormat="1" applyFont="1" applyFill="1" applyBorder="1" applyAlignment="1">
      <alignment horizontal="center" vertical="center"/>
    </xf>
    <xf numFmtId="0" fontId="14" fillId="6" borderId="1" xfId="0" applyNumberFormat="1" applyFont="1" applyFill="1" applyBorder="1" applyAlignment="1">
      <alignment horizontal="center" vertical="center" wrapText="1"/>
    </xf>
    <xf numFmtId="0" fontId="14" fillId="6" borderId="6" xfId="0" applyNumberFormat="1" applyFont="1" applyFill="1" applyBorder="1" applyAlignment="1">
      <alignment horizontal="center" vertical="center" wrapText="1"/>
    </xf>
    <xf numFmtId="43" fontId="14" fillId="6" borderId="6" xfId="1" applyFont="1" applyFill="1" applyBorder="1" applyAlignment="1">
      <alignment horizontal="center" vertical="center"/>
    </xf>
    <xf numFmtId="164" fontId="14" fillId="6" borderId="6" xfId="1" applyNumberFormat="1" applyFont="1" applyFill="1" applyBorder="1" applyAlignment="1">
      <alignment horizontal="center" vertical="center"/>
    </xf>
    <xf numFmtId="164" fontId="14" fillId="6" borderId="8" xfId="1" applyNumberFormat="1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0" xfId="0" applyNumberFormat="1" applyFont="1"/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64" fontId="14" fillId="2" borderId="1" xfId="1" applyNumberFormat="1" applyFont="1" applyFill="1" applyBorder="1" applyAlignment="1">
      <alignment horizontal="center" wrapText="1"/>
    </xf>
    <xf numFmtId="164" fontId="14" fillId="2" borderId="1" xfId="1" applyNumberFormat="1" applyFont="1" applyFill="1" applyBorder="1" applyAlignment="1">
      <alignment horizontal="center"/>
    </xf>
    <xf numFmtId="43" fontId="14" fillId="2" borderId="1" xfId="1" applyFont="1" applyFill="1" applyBorder="1" applyAlignment="1">
      <alignment horizontal="center"/>
    </xf>
    <xf numFmtId="164" fontId="4" fillId="0" borderId="1" xfId="0" applyNumberFormat="1" applyFont="1" applyBorder="1"/>
    <xf numFmtId="0" fontId="14" fillId="8" borderId="3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164" fontId="14" fillId="8" borderId="1" xfId="1" applyNumberFormat="1" applyFont="1" applyFill="1" applyBorder="1" applyAlignment="1">
      <alignment horizontal="center"/>
    </xf>
    <xf numFmtId="43" fontId="14" fillId="8" borderId="1" xfId="1" applyFont="1" applyFill="1" applyBorder="1" applyAlignment="1">
      <alignment horizontal="center"/>
    </xf>
    <xf numFmtId="164" fontId="14" fillId="8" borderId="2" xfId="1" applyNumberFormat="1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164" fontId="14" fillId="3" borderId="1" xfId="1" applyNumberFormat="1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43" fontId="4" fillId="3" borderId="1" xfId="1" applyFont="1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center"/>
    </xf>
    <xf numFmtId="0" fontId="4" fillId="3" borderId="1" xfId="0" applyNumberFormat="1" applyFont="1" applyFill="1" applyBorder="1"/>
    <xf numFmtId="0" fontId="14" fillId="3" borderId="1" xfId="0" applyFont="1" applyFill="1" applyBorder="1"/>
    <xf numFmtId="164" fontId="14" fillId="10" borderId="4" xfId="0" applyNumberFormat="1" applyFont="1" applyFill="1" applyBorder="1"/>
    <xf numFmtId="43" fontId="4" fillId="0" borderId="1" xfId="1" applyFont="1" applyBorder="1"/>
    <xf numFmtId="164" fontId="4" fillId="0" borderId="1" xfId="1" applyNumberFormat="1" applyFont="1" applyBorder="1"/>
    <xf numFmtId="164" fontId="4" fillId="0" borderId="2" xfId="1" applyNumberFormat="1" applyFont="1" applyBorder="1"/>
    <xf numFmtId="0" fontId="14" fillId="3" borderId="1" xfId="0" applyFont="1" applyFill="1" applyBorder="1" applyAlignment="1">
      <alignment vertical="center"/>
    </xf>
    <xf numFmtId="0" fontId="14" fillId="3" borderId="1" xfId="0" applyFont="1" applyFill="1" applyBorder="1" applyAlignment="1"/>
    <xf numFmtId="0" fontId="4" fillId="3" borderId="1" xfId="0" applyFont="1" applyFill="1" applyBorder="1" applyAlignment="1"/>
    <xf numFmtId="164" fontId="4" fillId="3" borderId="1" xfId="1" applyNumberFormat="1" applyFont="1" applyFill="1" applyBorder="1" applyAlignment="1">
      <alignment vertical="center"/>
    </xf>
    <xf numFmtId="49" fontId="4" fillId="3" borderId="1" xfId="0" applyNumberFormat="1" applyFont="1" applyFill="1" applyBorder="1"/>
    <xf numFmtId="0" fontId="1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14" fillId="3" borderId="1" xfId="0" applyFont="1" applyFill="1" applyBorder="1" applyAlignment="1">
      <alignment vertical="center" wrapText="1"/>
    </xf>
    <xf numFmtId="49" fontId="1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/>
    <xf numFmtId="49" fontId="14" fillId="3" borderId="1" xfId="0" applyNumberFormat="1" applyFont="1" applyFill="1" applyBorder="1"/>
    <xf numFmtId="0" fontId="14" fillId="0" borderId="0" xfId="0" applyFont="1"/>
    <xf numFmtId="0" fontId="14" fillId="0" borderId="0" xfId="0" applyFont="1" applyBorder="1"/>
    <xf numFmtId="43" fontId="4" fillId="0" borderId="0" xfId="1" applyFont="1"/>
    <xf numFmtId="164" fontId="4" fillId="0" borderId="0" xfId="1" applyNumberFormat="1" applyFont="1"/>
    <xf numFmtId="0" fontId="14" fillId="6" borderId="6" xfId="0" applyNumberFormat="1" applyFont="1" applyFill="1" applyBorder="1" applyAlignment="1">
      <alignment horizontal="center" vertical="center"/>
    </xf>
    <xf numFmtId="164" fontId="14" fillId="2" borderId="1" xfId="1" applyNumberFormat="1" applyFont="1" applyFill="1" applyBorder="1"/>
    <xf numFmtId="43" fontId="14" fillId="2" borderId="1" xfId="1" applyFont="1" applyFill="1" applyBorder="1"/>
    <xf numFmtId="0" fontId="14" fillId="0" borderId="1" xfId="0" applyFont="1" applyBorder="1" applyAlignment="1">
      <alignment horizontal="center" vertical="center"/>
    </xf>
    <xf numFmtId="0" fontId="14" fillId="0" borderId="5" xfId="0" applyNumberFormat="1" applyFont="1" applyBorder="1" applyAlignment="1">
      <alignment horizontal="center"/>
    </xf>
    <xf numFmtId="164" fontId="14" fillId="0" borderId="5" xfId="1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4" fillId="0" borderId="1" xfId="0" applyNumberFormat="1" applyFont="1" applyBorder="1"/>
    <xf numFmtId="164" fontId="14" fillId="3" borderId="1" xfId="1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64" fontId="15" fillId="6" borderId="1" xfId="1" applyNumberFormat="1" applyFont="1" applyFill="1" applyBorder="1" applyAlignment="1">
      <alignment horizontal="center" vertical="center"/>
    </xf>
    <xf numFmtId="43" fontId="15" fillId="6" borderId="1" xfId="1" applyFont="1" applyFill="1" applyBorder="1" applyAlignment="1">
      <alignment horizontal="center" vertical="center"/>
    </xf>
    <xf numFmtId="0" fontId="15" fillId="0" borderId="0" xfId="0" applyFont="1"/>
    <xf numFmtId="0" fontId="15" fillId="3" borderId="1" xfId="0" applyFont="1" applyFill="1" applyBorder="1" applyAlignment="1">
      <alignment horizontal="center" vertical="center"/>
    </xf>
    <xf numFmtId="164" fontId="15" fillId="3" borderId="1" xfId="1" applyNumberFormat="1" applyFont="1" applyFill="1" applyBorder="1" applyAlignment="1">
      <alignment horizontal="center" vertical="center"/>
    </xf>
    <xf numFmtId="43" fontId="15" fillId="3" borderId="1" xfId="1" applyFont="1" applyFill="1" applyBorder="1" applyAlignment="1">
      <alignment horizontal="center" vertical="center"/>
    </xf>
    <xf numFmtId="0" fontId="15" fillId="3" borderId="0" xfId="0" applyFont="1" applyFill="1"/>
    <xf numFmtId="0" fontId="15" fillId="0" borderId="1" xfId="0" applyFont="1" applyBorder="1"/>
    <xf numFmtId="164" fontId="15" fillId="0" borderId="1" xfId="1" applyNumberFormat="1" applyFont="1" applyBorder="1"/>
    <xf numFmtId="43" fontId="15" fillId="0" borderId="1" xfId="1" applyFont="1" applyBorder="1"/>
    <xf numFmtId="164" fontId="15" fillId="6" borderId="1" xfId="1" applyNumberFormat="1" applyFont="1" applyFill="1" applyBorder="1"/>
    <xf numFmtId="43" fontId="15" fillId="6" borderId="1" xfId="1" applyFont="1" applyFill="1" applyBorder="1"/>
    <xf numFmtId="0" fontId="16" fillId="0" borderId="0" xfId="0" applyFont="1"/>
    <xf numFmtId="164" fontId="16" fillId="0" borderId="0" xfId="1" applyNumberFormat="1" applyFont="1"/>
    <xf numFmtId="43" fontId="16" fillId="0" borderId="0" xfId="1" applyFont="1"/>
    <xf numFmtId="0" fontId="15" fillId="0" borderId="1" xfId="0" applyFont="1" applyBorder="1" applyAlignment="1">
      <alignment horizontal="center"/>
    </xf>
    <xf numFmtId="164" fontId="15" fillId="3" borderId="1" xfId="0" applyNumberFormat="1" applyFont="1" applyFill="1" applyBorder="1" applyAlignment="1">
      <alignment horizontal="center"/>
    </xf>
    <xf numFmtId="43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0" fontId="7" fillId="2" borderId="0" xfId="0" applyFont="1" applyFill="1"/>
    <xf numFmtId="0" fontId="0" fillId="0" borderId="0" xfId="0" applyAlignment="1"/>
    <xf numFmtId="14" fontId="3" fillId="0" borderId="1" xfId="1" applyNumberFormat="1" applyFont="1" applyBorder="1" applyAlignment="1">
      <alignment horizontal="center"/>
    </xf>
    <xf numFmtId="164" fontId="3" fillId="0" borderId="5" xfId="1" applyNumberFormat="1" applyFont="1" applyBorder="1" applyAlignment="1"/>
    <xf numFmtId="164" fontId="3" fillId="0" borderId="6" xfId="1" applyNumberFormat="1" applyFont="1" applyBorder="1" applyAlignment="1"/>
    <xf numFmtId="164" fontId="3" fillId="0" borderId="7" xfId="1" applyNumberFormat="1" applyFont="1" applyBorder="1" applyAlignment="1"/>
    <xf numFmtId="0" fontId="17" fillId="0" borderId="1" xfId="0" applyFont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vertical="center"/>
    </xf>
    <xf numFmtId="0" fontId="3" fillId="8" borderId="7" xfId="0" applyFont="1" applyFill="1" applyBorder="1" applyAlignment="1">
      <alignment horizontal="center" vertical="center"/>
    </xf>
    <xf numFmtId="0" fontId="7" fillId="8" borderId="1" xfId="0" applyNumberFormat="1" applyFont="1" applyFill="1" applyBorder="1" applyAlignment="1">
      <alignment horizontal="left"/>
    </xf>
    <xf numFmtId="164" fontId="15" fillId="0" borderId="0" xfId="0" applyNumberFormat="1" applyFont="1"/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/>
    <xf numFmtId="164" fontId="7" fillId="7" borderId="1" xfId="1" applyNumberFormat="1" applyFont="1" applyFill="1" applyBorder="1"/>
    <xf numFmtId="0" fontId="12" fillId="0" borderId="6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4" fontId="7" fillId="3" borderId="1" xfId="0" applyNumberFormat="1" applyFont="1" applyFill="1" applyBorder="1"/>
    <xf numFmtId="1" fontId="7" fillId="0" borderId="1" xfId="0" applyNumberFormat="1" applyFont="1" applyBorder="1"/>
    <xf numFmtId="0" fontId="18" fillId="0" borderId="0" xfId="0" applyFont="1" applyAlignment="1">
      <alignment horizontal="center"/>
    </xf>
    <xf numFmtId="14" fontId="2" fillId="0" borderId="0" xfId="0" applyNumberFormat="1" applyFont="1"/>
    <xf numFmtId="164" fontId="18" fillId="0" borderId="0" xfId="1" applyNumberFormat="1" applyFont="1" applyAlignment="1">
      <alignment horizontal="center"/>
    </xf>
    <xf numFmtId="16" fontId="2" fillId="0" borderId="0" xfId="0" applyNumberFormat="1" applyFont="1"/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6" borderId="9" xfId="0" applyNumberFormat="1" applyFont="1" applyFill="1" applyBorder="1" applyAlignment="1">
      <alignment horizontal="center" vertical="center" wrapText="1"/>
    </xf>
    <xf numFmtId="0" fontId="10" fillId="6" borderId="12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0" fillId="6" borderId="9" xfId="0" applyNumberFormat="1" applyFont="1" applyFill="1" applyBorder="1" applyAlignment="1">
      <alignment horizontal="center" vertical="center"/>
    </xf>
    <xf numFmtId="0" fontId="10" fillId="6" borderId="12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6" borderId="9" xfId="0" applyNumberFormat="1" applyFont="1" applyFill="1" applyBorder="1" applyAlignment="1">
      <alignment horizontal="center" vertical="center"/>
    </xf>
    <xf numFmtId="0" fontId="14" fillId="6" borderId="12" xfId="0" applyNumberFormat="1" applyFont="1" applyFill="1" applyBorder="1" applyAlignment="1">
      <alignment horizontal="center" vertical="center"/>
    </xf>
    <xf numFmtId="0" fontId="14" fillId="6" borderId="9" xfId="0" applyNumberFormat="1" applyFont="1" applyFill="1" applyBorder="1" applyAlignment="1">
      <alignment horizontal="center" vertical="center" wrapText="1"/>
    </xf>
    <xf numFmtId="0" fontId="14" fillId="6" borderId="12" xfId="0" applyNumberFormat="1" applyFont="1" applyFill="1" applyBorder="1" applyAlignment="1">
      <alignment horizontal="center" vertical="center" wrapText="1"/>
    </xf>
    <xf numFmtId="0" fontId="14" fillId="6" borderId="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0" fillId="6" borderId="11" xfId="0" applyNumberFormat="1" applyFont="1" applyFill="1" applyBorder="1" applyAlignment="1">
      <alignment horizontal="center" vertical="center"/>
    </xf>
    <xf numFmtId="0" fontId="10" fillId="6" borderId="5" xfId="0" applyNumberFormat="1" applyFont="1" applyFill="1" applyBorder="1" applyAlignment="1">
      <alignment horizontal="center" vertical="center" wrapText="1"/>
    </xf>
    <xf numFmtId="0" fontId="10" fillId="6" borderId="7" xfId="0" applyNumberFormat="1" applyFont="1" applyFill="1" applyBorder="1" applyAlignment="1">
      <alignment horizontal="center" vertical="center" wrapText="1"/>
    </xf>
    <xf numFmtId="0" fontId="10" fillId="6" borderId="6" xfId="0" applyNumberFormat="1" applyFont="1" applyFill="1" applyBorder="1" applyAlignment="1">
      <alignment horizontal="center" vertical="center" wrapText="1"/>
    </xf>
    <xf numFmtId="0" fontId="10" fillId="6" borderId="2" xfId="0" applyNumberFormat="1" applyFont="1" applyFill="1" applyBorder="1" applyAlignment="1">
      <alignment horizontal="center" vertical="center" wrapText="1"/>
    </xf>
    <xf numFmtId="0" fontId="10" fillId="6" borderId="4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0" fillId="6" borderId="2" xfId="0" applyNumberFormat="1" applyFont="1" applyFill="1" applyBorder="1" applyAlignment="1">
      <alignment horizontal="center" vertical="center"/>
    </xf>
    <xf numFmtId="0" fontId="10" fillId="6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6" borderId="2" xfId="0" applyNumberFormat="1" applyFont="1" applyFill="1" applyBorder="1" applyAlignment="1">
      <alignment horizontal="center" vertical="center" wrapText="1"/>
    </xf>
    <xf numFmtId="0" fontId="14" fillId="6" borderId="4" xfId="0" applyNumberFormat="1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1" xfId="0" applyNumberFormat="1" applyFont="1" applyFill="1" applyBorder="1" applyAlignment="1">
      <alignment horizontal="center" vertical="center"/>
    </xf>
    <xf numFmtId="0" fontId="14" fillId="6" borderId="5" xfId="0" applyNumberFormat="1" applyFont="1" applyFill="1" applyBorder="1" applyAlignment="1">
      <alignment horizontal="center" vertical="center" wrapText="1"/>
    </xf>
    <xf numFmtId="0" fontId="14" fillId="6" borderId="7" xfId="0" applyNumberFormat="1" applyFont="1" applyFill="1" applyBorder="1" applyAlignment="1">
      <alignment horizontal="center" vertical="center" wrapText="1"/>
    </xf>
    <xf numFmtId="0" fontId="14" fillId="6" borderId="6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64" fontId="3" fillId="0" borderId="5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/>
    </xf>
    <xf numFmtId="164" fontId="3" fillId="0" borderId="13" xfId="1" applyNumberFormat="1" applyFon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9966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3"/>
  <sheetViews>
    <sheetView topLeftCell="A198" workbookViewId="0">
      <selection activeCell="L219" sqref="L219"/>
    </sheetView>
  </sheetViews>
  <sheetFormatPr defaultRowHeight="15" x14ac:dyDescent="0.25"/>
  <cols>
    <col min="1" max="1" width="4.28515625" style="1" customWidth="1"/>
    <col min="2" max="2" width="17" style="1" hidden="1" customWidth="1"/>
    <col min="3" max="3" width="42.42578125" style="1" customWidth="1"/>
    <col min="4" max="4" width="14.28515625" style="1" customWidth="1"/>
    <col min="5" max="5" width="53.42578125" style="1" customWidth="1"/>
    <col min="6" max="15" width="15.5703125" style="1" customWidth="1"/>
    <col min="16" max="16384" width="9.140625" style="1"/>
  </cols>
  <sheetData>
    <row r="1" spans="1:13" x14ac:dyDescent="0.25">
      <c r="A1" s="1" t="s">
        <v>2320</v>
      </c>
      <c r="B1" s="1" t="s">
        <v>2321</v>
      </c>
      <c r="C1" s="1" t="s">
        <v>863</v>
      </c>
      <c r="D1" s="1" t="s">
        <v>864</v>
      </c>
      <c r="E1" s="1" t="s">
        <v>865</v>
      </c>
      <c r="F1" s="1" t="s">
        <v>866</v>
      </c>
      <c r="G1" s="1" t="s">
        <v>4412</v>
      </c>
      <c r="H1" s="1" t="s">
        <v>4413</v>
      </c>
      <c r="I1" s="1" t="s">
        <v>4414</v>
      </c>
      <c r="J1" s="1" t="s">
        <v>4415</v>
      </c>
      <c r="K1" s="1" t="s">
        <v>4416</v>
      </c>
      <c r="M1" s="1" t="s">
        <v>12136</v>
      </c>
    </row>
    <row r="2" spans="1:13" x14ac:dyDescent="0.25">
      <c r="C2" s="1" t="s">
        <v>874</v>
      </c>
      <c r="D2" s="1" t="s">
        <v>0</v>
      </c>
      <c r="E2" s="1" t="s">
        <v>875</v>
      </c>
      <c r="F2" s="1">
        <v>1038</v>
      </c>
      <c r="G2" s="1">
        <v>1038</v>
      </c>
      <c r="H2" s="1">
        <v>0</v>
      </c>
      <c r="I2" s="1">
        <v>29579</v>
      </c>
      <c r="J2" s="1">
        <v>28541</v>
      </c>
      <c r="K2" s="1">
        <v>1038</v>
      </c>
    </row>
    <row r="3" spans="1:13" x14ac:dyDescent="0.25">
      <c r="C3" s="1" t="s">
        <v>876</v>
      </c>
      <c r="D3" s="1" t="s">
        <v>1</v>
      </c>
      <c r="E3" s="1" t="s">
        <v>877</v>
      </c>
      <c r="F3" s="1">
        <v>245</v>
      </c>
      <c r="G3" s="1">
        <v>245</v>
      </c>
      <c r="H3" s="1">
        <v>0</v>
      </c>
      <c r="I3" s="1">
        <v>28292</v>
      </c>
      <c r="J3" s="1">
        <v>28047</v>
      </c>
      <c r="K3" s="1">
        <v>245</v>
      </c>
    </row>
    <row r="4" spans="1:13" x14ac:dyDescent="0.25">
      <c r="C4" s="1" t="s">
        <v>2348</v>
      </c>
      <c r="D4" s="1" t="s">
        <v>2</v>
      </c>
      <c r="E4" s="1" t="s">
        <v>2349</v>
      </c>
      <c r="F4" s="1">
        <v>190</v>
      </c>
      <c r="G4" s="1">
        <v>190</v>
      </c>
      <c r="H4" s="1">
        <v>0</v>
      </c>
      <c r="I4" s="1">
        <v>15755</v>
      </c>
      <c r="J4" s="1">
        <v>15565</v>
      </c>
      <c r="K4" s="1">
        <v>190</v>
      </c>
    </row>
    <row r="5" spans="1:13" x14ac:dyDescent="0.25">
      <c r="C5" s="1" t="s">
        <v>2350</v>
      </c>
      <c r="D5" s="1" t="s">
        <v>3</v>
      </c>
      <c r="E5" s="1" t="s">
        <v>2351</v>
      </c>
      <c r="F5" s="1">
        <v>-2</v>
      </c>
      <c r="G5" s="1">
        <v>-2</v>
      </c>
      <c r="H5" s="1">
        <v>0</v>
      </c>
      <c r="I5" s="1">
        <v>14093</v>
      </c>
      <c r="J5" s="1">
        <v>14095</v>
      </c>
      <c r="K5" s="1">
        <v>-2</v>
      </c>
    </row>
    <row r="6" spans="1:13" x14ac:dyDescent="0.25">
      <c r="C6" s="1" t="s">
        <v>878</v>
      </c>
      <c r="D6" s="1" t="s">
        <v>6</v>
      </c>
      <c r="E6" s="1" t="s">
        <v>879</v>
      </c>
      <c r="F6" s="1">
        <v>463</v>
      </c>
      <c r="G6" s="1">
        <v>463</v>
      </c>
      <c r="H6" s="1">
        <v>0</v>
      </c>
      <c r="I6" s="1">
        <v>13341</v>
      </c>
      <c r="J6" s="1">
        <v>12878</v>
      </c>
      <c r="K6" s="1">
        <v>463</v>
      </c>
    </row>
    <row r="7" spans="1:13" x14ac:dyDescent="0.25">
      <c r="C7" s="1" t="s">
        <v>896</v>
      </c>
      <c r="D7" s="1" t="s">
        <v>19</v>
      </c>
      <c r="E7" s="1" t="s">
        <v>897</v>
      </c>
      <c r="F7" s="1">
        <v>734</v>
      </c>
      <c r="G7" s="1">
        <v>734</v>
      </c>
      <c r="H7" s="1">
        <v>0</v>
      </c>
      <c r="I7" s="1">
        <v>13112</v>
      </c>
      <c r="J7" s="1">
        <v>12378</v>
      </c>
      <c r="K7" s="1">
        <v>734</v>
      </c>
    </row>
    <row r="8" spans="1:13" x14ac:dyDescent="0.25">
      <c r="C8" s="1" t="s">
        <v>2352</v>
      </c>
      <c r="D8" s="1" t="s">
        <v>4</v>
      </c>
      <c r="E8" s="1" t="s">
        <v>2353</v>
      </c>
      <c r="F8" s="1">
        <v>282</v>
      </c>
      <c r="G8" s="1">
        <v>282</v>
      </c>
      <c r="H8" s="1">
        <v>0</v>
      </c>
      <c r="I8" s="1">
        <v>12952</v>
      </c>
      <c r="J8" s="1">
        <v>12670</v>
      </c>
      <c r="K8" s="1">
        <v>282</v>
      </c>
    </row>
    <row r="9" spans="1:13" x14ac:dyDescent="0.25">
      <c r="C9" s="1" t="s">
        <v>2354</v>
      </c>
      <c r="D9" s="1" t="s">
        <v>5</v>
      </c>
      <c r="E9" s="1" t="s">
        <v>2355</v>
      </c>
      <c r="F9" s="1">
        <v>7</v>
      </c>
      <c r="G9" s="1">
        <v>7</v>
      </c>
      <c r="H9" s="1">
        <v>0</v>
      </c>
      <c r="I9" s="1">
        <v>12164</v>
      </c>
      <c r="J9" s="1">
        <v>12157</v>
      </c>
      <c r="K9" s="1">
        <v>7</v>
      </c>
    </row>
    <row r="10" spans="1:13" x14ac:dyDescent="0.25">
      <c r="C10" s="1" t="s">
        <v>880</v>
      </c>
      <c r="D10" s="1" t="s">
        <v>8</v>
      </c>
      <c r="E10" s="1" t="s">
        <v>881</v>
      </c>
      <c r="F10" s="1">
        <v>777</v>
      </c>
      <c r="G10" s="1">
        <v>777</v>
      </c>
      <c r="H10" s="1">
        <v>0</v>
      </c>
      <c r="I10" s="1">
        <v>11354</v>
      </c>
      <c r="J10" s="1">
        <v>10577</v>
      </c>
      <c r="K10" s="1">
        <v>777</v>
      </c>
    </row>
    <row r="11" spans="1:13" x14ac:dyDescent="0.25">
      <c r="C11" s="1" t="s">
        <v>2356</v>
      </c>
      <c r="D11" s="1" t="s">
        <v>7</v>
      </c>
      <c r="E11" s="1" t="s">
        <v>2357</v>
      </c>
      <c r="F11" s="1">
        <v>183</v>
      </c>
      <c r="G11" s="1">
        <v>183</v>
      </c>
      <c r="H11" s="1">
        <v>0</v>
      </c>
      <c r="I11" s="1">
        <v>10931</v>
      </c>
      <c r="J11" s="1">
        <v>10748</v>
      </c>
      <c r="K11" s="1">
        <v>183</v>
      </c>
    </row>
    <row r="12" spans="1:13" x14ac:dyDescent="0.25">
      <c r="C12" s="1" t="s">
        <v>2358</v>
      </c>
      <c r="D12" s="1" t="s">
        <v>9</v>
      </c>
      <c r="E12" s="1" t="s">
        <v>2359</v>
      </c>
      <c r="F12" s="1">
        <v>117</v>
      </c>
      <c r="G12" s="1">
        <v>117</v>
      </c>
      <c r="H12" s="1">
        <v>0</v>
      </c>
      <c r="I12" s="1">
        <v>9630</v>
      </c>
      <c r="J12" s="1">
        <v>9513</v>
      </c>
      <c r="K12" s="1">
        <v>117</v>
      </c>
    </row>
    <row r="13" spans="1:13" x14ac:dyDescent="0.25">
      <c r="C13" s="1" t="s">
        <v>887</v>
      </c>
      <c r="D13" s="1" t="s">
        <v>11</v>
      </c>
      <c r="E13" s="1" t="s">
        <v>888</v>
      </c>
      <c r="F13" s="1">
        <v>633</v>
      </c>
      <c r="G13" s="1">
        <v>633</v>
      </c>
      <c r="H13" s="1">
        <v>0</v>
      </c>
      <c r="I13" s="1">
        <v>9460</v>
      </c>
      <c r="J13" s="1">
        <v>8827</v>
      </c>
      <c r="K13" s="1">
        <v>633</v>
      </c>
    </row>
    <row r="14" spans="1:13" x14ac:dyDescent="0.25">
      <c r="C14" s="1" t="s">
        <v>882</v>
      </c>
      <c r="D14" s="1" t="s">
        <v>10</v>
      </c>
      <c r="E14" s="1" t="s">
        <v>883</v>
      </c>
      <c r="F14" s="1">
        <v>1</v>
      </c>
      <c r="G14" s="1">
        <v>1</v>
      </c>
      <c r="H14" s="1">
        <v>0</v>
      </c>
      <c r="I14" s="1">
        <v>8380</v>
      </c>
      <c r="J14" s="1">
        <v>8379</v>
      </c>
      <c r="K14" s="1">
        <v>1</v>
      </c>
    </row>
    <row r="15" spans="1:13" x14ac:dyDescent="0.25">
      <c r="C15" s="1" t="s">
        <v>2360</v>
      </c>
      <c r="D15" s="1" t="s">
        <v>14</v>
      </c>
      <c r="E15" s="1" t="s">
        <v>2361</v>
      </c>
      <c r="F15" s="1">
        <v>86</v>
      </c>
      <c r="G15" s="1">
        <v>86</v>
      </c>
      <c r="H15" s="1">
        <v>0</v>
      </c>
      <c r="I15" s="1">
        <v>8279</v>
      </c>
      <c r="J15" s="1">
        <v>8193</v>
      </c>
      <c r="K15" s="1">
        <v>86</v>
      </c>
    </row>
    <row r="16" spans="1:13" x14ac:dyDescent="0.25">
      <c r="C16" s="1" t="s">
        <v>884</v>
      </c>
      <c r="D16" s="1" t="s">
        <v>885</v>
      </c>
      <c r="E16" s="1" t="s">
        <v>886</v>
      </c>
      <c r="F16" s="1">
        <v>0</v>
      </c>
      <c r="G16" s="1">
        <v>0</v>
      </c>
      <c r="H16" s="1">
        <v>0</v>
      </c>
      <c r="I16" s="1">
        <v>8130</v>
      </c>
      <c r="J16" s="1">
        <v>8130</v>
      </c>
      <c r="K16" s="1">
        <v>0</v>
      </c>
    </row>
    <row r="17" spans="3:11" x14ac:dyDescent="0.25">
      <c r="C17" s="1" t="s">
        <v>2362</v>
      </c>
      <c r="D17" s="1" t="s">
        <v>13</v>
      </c>
      <c r="E17" s="1" t="s">
        <v>2363</v>
      </c>
      <c r="F17" s="1">
        <v>272</v>
      </c>
      <c r="G17" s="1">
        <v>272</v>
      </c>
      <c r="H17" s="1">
        <v>0</v>
      </c>
      <c r="I17" s="1">
        <v>8029</v>
      </c>
      <c r="J17" s="1">
        <v>7757</v>
      </c>
      <c r="K17" s="1">
        <v>272</v>
      </c>
    </row>
    <row r="18" spans="3:11" x14ac:dyDescent="0.25">
      <c r="C18" s="1" t="s">
        <v>889</v>
      </c>
      <c r="D18" s="1" t="s">
        <v>12</v>
      </c>
      <c r="E18" s="1" t="s">
        <v>890</v>
      </c>
      <c r="F18" s="1">
        <v>0</v>
      </c>
      <c r="G18" s="1">
        <v>0</v>
      </c>
      <c r="H18" s="1">
        <v>0</v>
      </c>
      <c r="I18" s="1">
        <v>7512</v>
      </c>
      <c r="J18" s="1">
        <v>7512</v>
      </c>
      <c r="K18" s="1">
        <v>0</v>
      </c>
    </row>
    <row r="19" spans="3:11" x14ac:dyDescent="0.25">
      <c r="C19" s="1" t="s">
        <v>891</v>
      </c>
      <c r="D19" s="1" t="s">
        <v>892</v>
      </c>
      <c r="E19" s="1" t="s">
        <v>893</v>
      </c>
      <c r="F19" s="1">
        <v>0</v>
      </c>
      <c r="G19" s="1">
        <v>0</v>
      </c>
      <c r="H19" s="1">
        <v>0</v>
      </c>
      <c r="I19" s="1">
        <v>7177</v>
      </c>
      <c r="J19" s="1">
        <v>7177</v>
      </c>
      <c r="K19" s="1">
        <v>0</v>
      </c>
    </row>
    <row r="20" spans="3:11" x14ac:dyDescent="0.25">
      <c r="C20" s="1" t="s">
        <v>2364</v>
      </c>
      <c r="D20" s="1" t="s">
        <v>16</v>
      </c>
      <c r="E20" s="1" t="s">
        <v>2365</v>
      </c>
      <c r="F20" s="1">
        <v>23</v>
      </c>
      <c r="G20" s="1">
        <v>23</v>
      </c>
      <c r="H20" s="1">
        <v>0</v>
      </c>
      <c r="I20" s="1">
        <v>6913</v>
      </c>
      <c r="J20" s="1">
        <v>6890</v>
      </c>
      <c r="K20" s="1">
        <v>23</v>
      </c>
    </row>
    <row r="21" spans="3:11" x14ac:dyDescent="0.25">
      <c r="C21" s="1" t="s">
        <v>2385</v>
      </c>
      <c r="D21" s="1" t="s">
        <v>791</v>
      </c>
      <c r="E21" s="1" t="s">
        <v>2386</v>
      </c>
      <c r="F21" s="1">
        <v>776</v>
      </c>
      <c r="G21" s="1">
        <v>776</v>
      </c>
      <c r="H21" s="1">
        <v>0</v>
      </c>
      <c r="I21" s="1">
        <v>6154</v>
      </c>
      <c r="J21" s="1">
        <v>5378</v>
      </c>
      <c r="K21" s="1">
        <v>776</v>
      </c>
    </row>
    <row r="22" spans="3:11" x14ac:dyDescent="0.25">
      <c r="C22" s="1" t="s">
        <v>2366</v>
      </c>
      <c r="D22" s="1" t="s">
        <v>2367</v>
      </c>
      <c r="E22" s="1" t="s">
        <v>2368</v>
      </c>
      <c r="F22" s="1">
        <v>0</v>
      </c>
      <c r="G22" s="1">
        <v>0</v>
      </c>
      <c r="H22" s="1">
        <v>0</v>
      </c>
      <c r="I22" s="1">
        <v>6133</v>
      </c>
      <c r="J22" s="1">
        <v>6133</v>
      </c>
      <c r="K22" s="1">
        <v>0</v>
      </c>
    </row>
    <row r="23" spans="3:11" x14ac:dyDescent="0.25">
      <c r="C23" s="1" t="s">
        <v>2369</v>
      </c>
      <c r="D23" s="1" t="s">
        <v>20</v>
      </c>
      <c r="E23" s="1" t="s">
        <v>2370</v>
      </c>
      <c r="F23" s="1">
        <v>109</v>
      </c>
      <c r="G23" s="1">
        <v>109</v>
      </c>
      <c r="H23" s="1">
        <v>0</v>
      </c>
      <c r="I23" s="1">
        <v>6089</v>
      </c>
      <c r="J23" s="1">
        <v>5980</v>
      </c>
      <c r="K23" s="1">
        <v>109</v>
      </c>
    </row>
    <row r="24" spans="3:11" x14ac:dyDescent="0.25">
      <c r="C24" s="1" t="s">
        <v>2371</v>
      </c>
      <c r="D24" s="1" t="s">
        <v>18</v>
      </c>
      <c r="E24" s="1" t="s">
        <v>2372</v>
      </c>
      <c r="F24" s="1">
        <v>211</v>
      </c>
      <c r="G24" s="1">
        <v>211</v>
      </c>
      <c r="H24" s="1">
        <v>0</v>
      </c>
      <c r="I24" s="1">
        <v>6047</v>
      </c>
      <c r="J24" s="1">
        <v>5836</v>
      </c>
      <c r="K24" s="1">
        <v>211</v>
      </c>
    </row>
    <row r="25" spans="3:11" x14ac:dyDescent="0.25">
      <c r="C25" s="1" t="s">
        <v>894</v>
      </c>
      <c r="D25" s="1" t="s">
        <v>15</v>
      </c>
      <c r="E25" s="1" t="s">
        <v>895</v>
      </c>
      <c r="F25" s="1">
        <v>220</v>
      </c>
      <c r="G25" s="1">
        <v>220</v>
      </c>
      <c r="H25" s="1">
        <v>0</v>
      </c>
      <c r="I25" s="1">
        <v>6022</v>
      </c>
      <c r="J25" s="1">
        <v>5802</v>
      </c>
      <c r="K25" s="1">
        <v>220</v>
      </c>
    </row>
    <row r="26" spans="3:11" x14ac:dyDescent="0.25">
      <c r="C26" s="1" t="s">
        <v>916</v>
      </c>
      <c r="D26" s="1" t="s">
        <v>38</v>
      </c>
      <c r="E26" s="1" t="s">
        <v>917</v>
      </c>
      <c r="F26" s="1">
        <v>261</v>
      </c>
      <c r="G26" s="1">
        <v>261</v>
      </c>
      <c r="H26" s="1">
        <v>0</v>
      </c>
      <c r="I26" s="1">
        <v>5807</v>
      </c>
      <c r="J26" s="1">
        <v>5546</v>
      </c>
      <c r="K26" s="1">
        <v>261</v>
      </c>
    </row>
    <row r="27" spans="3:11" x14ac:dyDescent="0.25">
      <c r="C27" s="1" t="s">
        <v>920</v>
      </c>
      <c r="D27" s="1" t="s">
        <v>40</v>
      </c>
      <c r="E27" s="1" t="s">
        <v>921</v>
      </c>
      <c r="F27" s="1">
        <v>8</v>
      </c>
      <c r="G27" s="1">
        <v>8</v>
      </c>
      <c r="H27" s="1">
        <v>0</v>
      </c>
      <c r="I27" s="1">
        <v>5737</v>
      </c>
      <c r="J27" s="1">
        <v>5729</v>
      </c>
      <c r="K27" s="1">
        <v>8</v>
      </c>
    </row>
    <row r="28" spans="3:11" x14ac:dyDescent="0.25">
      <c r="C28" s="1" t="s">
        <v>900</v>
      </c>
      <c r="D28" s="1" t="s">
        <v>30</v>
      </c>
      <c r="E28" s="1" t="s">
        <v>901</v>
      </c>
      <c r="F28" s="1">
        <v>324</v>
      </c>
      <c r="G28" s="1">
        <v>324</v>
      </c>
      <c r="H28" s="1">
        <v>0</v>
      </c>
      <c r="I28" s="1">
        <v>5588</v>
      </c>
      <c r="J28" s="1">
        <v>5264</v>
      </c>
      <c r="K28" s="1">
        <v>324</v>
      </c>
    </row>
    <row r="29" spans="3:11" x14ac:dyDescent="0.25">
      <c r="C29" s="1" t="s">
        <v>2373</v>
      </c>
      <c r="D29" s="1" t="s">
        <v>21</v>
      </c>
      <c r="E29" s="1" t="s">
        <v>2374</v>
      </c>
      <c r="F29" s="1">
        <v>2</v>
      </c>
      <c r="G29" s="1">
        <v>2</v>
      </c>
      <c r="H29" s="1">
        <v>0</v>
      </c>
      <c r="I29" s="1">
        <v>5462</v>
      </c>
      <c r="J29" s="1">
        <v>5460</v>
      </c>
      <c r="K29" s="1">
        <v>2</v>
      </c>
    </row>
    <row r="30" spans="3:11" x14ac:dyDescent="0.25">
      <c r="C30" s="1" t="s">
        <v>952</v>
      </c>
      <c r="D30" s="1" t="s">
        <v>48</v>
      </c>
      <c r="E30" s="1" t="s">
        <v>953</v>
      </c>
      <c r="F30" s="1">
        <v>27</v>
      </c>
      <c r="G30" s="1">
        <v>27</v>
      </c>
      <c r="H30" s="1">
        <v>0</v>
      </c>
      <c r="I30" s="1">
        <v>5428</v>
      </c>
      <c r="J30" s="1">
        <v>5401</v>
      </c>
      <c r="K30" s="1">
        <v>27</v>
      </c>
    </row>
    <row r="31" spans="3:11" x14ac:dyDescent="0.25">
      <c r="C31" s="1" t="s">
        <v>2377</v>
      </c>
      <c r="D31" s="1" t="s">
        <v>29</v>
      </c>
      <c r="E31" s="1" t="s">
        <v>2378</v>
      </c>
      <c r="F31" s="1">
        <v>233</v>
      </c>
      <c r="G31" s="1">
        <v>233</v>
      </c>
      <c r="H31" s="1">
        <v>0</v>
      </c>
      <c r="I31" s="1">
        <v>5411</v>
      </c>
      <c r="J31" s="1">
        <v>5178</v>
      </c>
      <c r="K31" s="1">
        <v>233</v>
      </c>
    </row>
    <row r="32" spans="3:11" x14ac:dyDescent="0.25">
      <c r="C32" s="1" t="s">
        <v>904</v>
      </c>
      <c r="D32" s="1" t="s">
        <v>27</v>
      </c>
      <c r="E32" s="1" t="s">
        <v>905</v>
      </c>
      <c r="F32" s="1">
        <v>257</v>
      </c>
      <c r="G32" s="1">
        <v>257</v>
      </c>
      <c r="H32" s="1">
        <v>0</v>
      </c>
      <c r="I32" s="1">
        <v>5391</v>
      </c>
      <c r="J32" s="1">
        <v>5134</v>
      </c>
      <c r="K32" s="1">
        <v>257</v>
      </c>
    </row>
    <row r="33" spans="3:11" x14ac:dyDescent="0.25">
      <c r="C33" s="1" t="s">
        <v>2375</v>
      </c>
      <c r="D33" s="1" t="s">
        <v>22</v>
      </c>
      <c r="E33" s="1" t="s">
        <v>2376</v>
      </c>
      <c r="F33" s="1">
        <v>0</v>
      </c>
      <c r="G33" s="1">
        <v>0</v>
      </c>
      <c r="H33" s="1">
        <v>0</v>
      </c>
      <c r="I33" s="1">
        <v>5352</v>
      </c>
      <c r="J33" s="1">
        <v>5352</v>
      </c>
      <c r="K33" s="1">
        <v>0</v>
      </c>
    </row>
    <row r="34" spans="3:11" x14ac:dyDescent="0.25">
      <c r="C34" s="1" t="s">
        <v>902</v>
      </c>
      <c r="D34" s="1" t="s">
        <v>25</v>
      </c>
      <c r="E34" s="1" t="s">
        <v>903</v>
      </c>
      <c r="F34" s="1">
        <v>330</v>
      </c>
      <c r="G34" s="1">
        <v>330</v>
      </c>
      <c r="H34" s="1">
        <v>0</v>
      </c>
      <c r="I34" s="1">
        <v>5185</v>
      </c>
      <c r="J34" s="1">
        <v>4855</v>
      </c>
      <c r="K34" s="1">
        <v>330</v>
      </c>
    </row>
    <row r="35" spans="3:11" x14ac:dyDescent="0.25">
      <c r="C35" s="1" t="s">
        <v>2381</v>
      </c>
      <c r="D35" s="1" t="s">
        <v>32</v>
      </c>
      <c r="E35" s="1" t="s">
        <v>2382</v>
      </c>
      <c r="F35" s="1">
        <v>454</v>
      </c>
      <c r="G35" s="1">
        <v>454</v>
      </c>
      <c r="H35" s="1">
        <v>0</v>
      </c>
      <c r="I35" s="1">
        <v>5164</v>
      </c>
      <c r="J35" s="1">
        <v>4710</v>
      </c>
      <c r="K35" s="1">
        <v>454</v>
      </c>
    </row>
    <row r="36" spans="3:11" x14ac:dyDescent="0.25">
      <c r="C36" s="1" t="s">
        <v>2379</v>
      </c>
      <c r="D36" s="1" t="s">
        <v>24</v>
      </c>
      <c r="E36" s="1" t="s">
        <v>2380</v>
      </c>
      <c r="F36" s="1">
        <v>0</v>
      </c>
      <c r="G36" s="1">
        <v>0</v>
      </c>
      <c r="H36" s="1">
        <v>0</v>
      </c>
      <c r="I36" s="1">
        <v>5038</v>
      </c>
      <c r="J36" s="1">
        <v>5038</v>
      </c>
      <c r="K36" s="1">
        <v>0</v>
      </c>
    </row>
    <row r="37" spans="3:11" x14ac:dyDescent="0.25">
      <c r="C37" s="1" t="s">
        <v>898</v>
      </c>
      <c r="D37" s="1" t="s">
        <v>23</v>
      </c>
      <c r="E37" s="1" t="s">
        <v>899</v>
      </c>
      <c r="F37" s="1">
        <v>2</v>
      </c>
      <c r="G37" s="1">
        <v>2</v>
      </c>
      <c r="H37" s="1">
        <v>0</v>
      </c>
      <c r="I37" s="1">
        <v>4912</v>
      </c>
      <c r="J37" s="1">
        <v>4910</v>
      </c>
      <c r="K37" s="1">
        <v>2</v>
      </c>
    </row>
    <row r="38" spans="3:11" x14ac:dyDescent="0.25">
      <c r="C38" s="1" t="s">
        <v>910</v>
      </c>
      <c r="D38" s="1" t="s">
        <v>33</v>
      </c>
      <c r="E38" s="1" t="s">
        <v>911</v>
      </c>
      <c r="F38" s="1">
        <v>303</v>
      </c>
      <c r="G38" s="1">
        <v>303</v>
      </c>
      <c r="H38" s="1">
        <v>0</v>
      </c>
      <c r="I38" s="1">
        <v>4806</v>
      </c>
      <c r="J38" s="1">
        <v>4503</v>
      </c>
      <c r="K38" s="1">
        <v>303</v>
      </c>
    </row>
    <row r="39" spans="3:11" x14ac:dyDescent="0.25">
      <c r="C39" s="1" t="s">
        <v>2383</v>
      </c>
      <c r="D39" s="1" t="s">
        <v>26</v>
      </c>
      <c r="E39" s="1" t="s">
        <v>2384</v>
      </c>
      <c r="F39" s="1">
        <v>18</v>
      </c>
      <c r="G39" s="1">
        <v>18</v>
      </c>
      <c r="H39" s="1">
        <v>0</v>
      </c>
      <c r="I39" s="1">
        <v>4795</v>
      </c>
      <c r="J39" s="1">
        <v>4777</v>
      </c>
      <c r="K39" s="1">
        <v>18</v>
      </c>
    </row>
    <row r="40" spans="3:11" x14ac:dyDescent="0.25">
      <c r="C40" s="1" t="s">
        <v>914</v>
      </c>
      <c r="D40" s="1" t="s">
        <v>37</v>
      </c>
      <c r="E40" s="1" t="s">
        <v>915</v>
      </c>
      <c r="F40" s="1">
        <v>180</v>
      </c>
      <c r="G40" s="1">
        <v>180</v>
      </c>
      <c r="H40" s="1">
        <v>0</v>
      </c>
      <c r="I40" s="1">
        <v>4783</v>
      </c>
      <c r="J40" s="1">
        <v>4603</v>
      </c>
      <c r="K40" s="1">
        <v>180</v>
      </c>
    </row>
    <row r="41" spans="3:11" x14ac:dyDescent="0.25">
      <c r="C41" s="1" t="s">
        <v>2387</v>
      </c>
      <c r="D41" s="1" t="s">
        <v>28</v>
      </c>
      <c r="E41" s="1" t="s">
        <v>2388</v>
      </c>
      <c r="F41" s="1">
        <v>1</v>
      </c>
      <c r="G41" s="1">
        <v>1</v>
      </c>
      <c r="H41" s="1">
        <v>0</v>
      </c>
      <c r="I41" s="1">
        <v>4712</v>
      </c>
      <c r="J41" s="1">
        <v>4711</v>
      </c>
      <c r="K41" s="1">
        <v>1</v>
      </c>
    </row>
    <row r="42" spans="3:11" x14ac:dyDescent="0.25">
      <c r="C42" s="1" t="s">
        <v>2424</v>
      </c>
      <c r="D42" s="1" t="s">
        <v>792</v>
      </c>
      <c r="E42" s="1" t="s">
        <v>2425</v>
      </c>
      <c r="F42" s="1">
        <v>854</v>
      </c>
      <c r="G42" s="1">
        <v>854</v>
      </c>
      <c r="H42" s="1">
        <v>0</v>
      </c>
      <c r="I42" s="1">
        <v>4653</v>
      </c>
      <c r="J42" s="1">
        <v>3799</v>
      </c>
      <c r="K42" s="1">
        <v>854</v>
      </c>
    </row>
    <row r="43" spans="3:11" x14ac:dyDescent="0.25">
      <c r="C43" s="1" t="s">
        <v>906</v>
      </c>
      <c r="D43" s="1" t="s">
        <v>31</v>
      </c>
      <c r="E43" s="1" t="s">
        <v>907</v>
      </c>
      <c r="F43" s="1">
        <v>0</v>
      </c>
      <c r="G43" s="1">
        <v>0</v>
      </c>
      <c r="H43" s="1">
        <v>0</v>
      </c>
      <c r="I43" s="1">
        <v>4589</v>
      </c>
      <c r="J43" s="1">
        <v>4589</v>
      </c>
      <c r="K43" s="1">
        <v>0</v>
      </c>
    </row>
    <row r="44" spans="3:11" x14ac:dyDescent="0.25">
      <c r="C44" s="1" t="s">
        <v>2389</v>
      </c>
      <c r="D44" s="1" t="s">
        <v>2390</v>
      </c>
      <c r="E44" s="1" t="s">
        <v>2391</v>
      </c>
      <c r="F44" s="1">
        <v>8</v>
      </c>
      <c r="G44" s="1">
        <v>8</v>
      </c>
      <c r="H44" s="1">
        <v>0</v>
      </c>
      <c r="I44" s="1">
        <v>4572</v>
      </c>
      <c r="J44" s="1">
        <v>4564</v>
      </c>
      <c r="K44" s="1">
        <v>8</v>
      </c>
    </row>
    <row r="45" spans="3:11" x14ac:dyDescent="0.25">
      <c r="C45" s="1" t="s">
        <v>908</v>
      </c>
      <c r="D45" s="1" t="s">
        <v>35</v>
      </c>
      <c r="E45" s="1" t="s">
        <v>909</v>
      </c>
      <c r="F45" s="1">
        <v>129</v>
      </c>
      <c r="G45" s="1">
        <v>129</v>
      </c>
      <c r="H45" s="1">
        <v>0</v>
      </c>
      <c r="I45" s="1">
        <v>4481</v>
      </c>
      <c r="J45" s="1">
        <v>4352</v>
      </c>
      <c r="K45" s="1">
        <v>129</v>
      </c>
    </row>
    <row r="46" spans="3:11" x14ac:dyDescent="0.25">
      <c r="C46" s="1" t="s">
        <v>2397</v>
      </c>
      <c r="D46" s="1" t="s">
        <v>417</v>
      </c>
      <c r="E46" s="1" t="s">
        <v>2398</v>
      </c>
      <c r="F46" s="1">
        <v>310</v>
      </c>
      <c r="G46" s="1">
        <v>310</v>
      </c>
      <c r="H46" s="1">
        <v>0</v>
      </c>
      <c r="I46" s="1">
        <v>4463</v>
      </c>
      <c r="J46" s="1">
        <v>4153</v>
      </c>
      <c r="K46" s="1">
        <v>310</v>
      </c>
    </row>
    <row r="47" spans="3:11" x14ac:dyDescent="0.25">
      <c r="C47" s="1" t="s">
        <v>912</v>
      </c>
      <c r="D47" s="1" t="s">
        <v>36</v>
      </c>
      <c r="E47" s="1" t="s">
        <v>913</v>
      </c>
      <c r="F47" s="1">
        <v>144</v>
      </c>
      <c r="G47" s="1">
        <v>144</v>
      </c>
      <c r="H47" s="1">
        <v>0</v>
      </c>
      <c r="I47" s="1">
        <v>4363</v>
      </c>
      <c r="J47" s="1">
        <v>4219</v>
      </c>
      <c r="K47" s="1">
        <v>144</v>
      </c>
    </row>
    <row r="48" spans="3:11" x14ac:dyDescent="0.25">
      <c r="C48" s="1" t="s">
        <v>2392</v>
      </c>
      <c r="D48" s="1" t="s">
        <v>34</v>
      </c>
      <c r="E48" s="1" t="s">
        <v>2393</v>
      </c>
      <c r="F48" s="1">
        <v>7</v>
      </c>
      <c r="G48" s="1">
        <v>7</v>
      </c>
      <c r="H48" s="1">
        <v>0</v>
      </c>
      <c r="I48" s="1">
        <v>4219</v>
      </c>
      <c r="J48" s="1">
        <v>4212</v>
      </c>
      <c r="K48" s="1">
        <v>7</v>
      </c>
    </row>
    <row r="49" spans="3:11" x14ac:dyDescent="0.25">
      <c r="C49" s="1" t="s">
        <v>2394</v>
      </c>
      <c r="D49" s="1" t="s">
        <v>2395</v>
      </c>
      <c r="E49" s="1" t="s">
        <v>2396</v>
      </c>
      <c r="F49" s="1">
        <v>4</v>
      </c>
      <c r="G49" s="1">
        <v>4</v>
      </c>
      <c r="H49" s="1">
        <v>0</v>
      </c>
      <c r="I49" s="1">
        <v>4152</v>
      </c>
      <c r="J49" s="1">
        <v>4148</v>
      </c>
      <c r="K49" s="1">
        <v>4</v>
      </c>
    </row>
    <row r="50" spans="3:11" x14ac:dyDescent="0.25">
      <c r="C50" s="1" t="s">
        <v>2399</v>
      </c>
      <c r="D50" s="1" t="s">
        <v>414</v>
      </c>
      <c r="E50" s="1" t="s">
        <v>2400</v>
      </c>
      <c r="F50" s="1">
        <v>49</v>
      </c>
      <c r="G50" s="1">
        <v>49</v>
      </c>
      <c r="H50" s="1">
        <v>0</v>
      </c>
      <c r="I50" s="1">
        <v>4109</v>
      </c>
      <c r="J50" s="1">
        <v>4060</v>
      </c>
      <c r="K50" s="1">
        <v>49</v>
      </c>
    </row>
    <row r="51" spans="3:11" x14ac:dyDescent="0.25">
      <c r="C51" s="1" t="s">
        <v>918</v>
      </c>
      <c r="D51" s="1" t="s">
        <v>39</v>
      </c>
      <c r="E51" s="1" t="s">
        <v>919</v>
      </c>
      <c r="F51" s="1">
        <v>227</v>
      </c>
      <c r="G51" s="1">
        <v>227</v>
      </c>
      <c r="H51" s="1">
        <v>0</v>
      </c>
      <c r="I51" s="1">
        <v>4090</v>
      </c>
      <c r="J51" s="1">
        <v>3863</v>
      </c>
      <c r="K51" s="1">
        <v>227</v>
      </c>
    </row>
    <row r="52" spans="3:11" x14ac:dyDescent="0.25">
      <c r="C52" s="1" t="s">
        <v>2401</v>
      </c>
      <c r="D52" s="1" t="s">
        <v>2402</v>
      </c>
      <c r="E52" s="1" t="s">
        <v>2403</v>
      </c>
      <c r="F52" s="1">
        <v>0</v>
      </c>
      <c r="G52" s="1">
        <v>0</v>
      </c>
      <c r="H52" s="1">
        <v>0</v>
      </c>
      <c r="I52" s="1">
        <v>4075</v>
      </c>
      <c r="J52" s="1">
        <v>4075</v>
      </c>
      <c r="K52" s="1">
        <v>0</v>
      </c>
    </row>
    <row r="53" spans="3:11" x14ac:dyDescent="0.25">
      <c r="C53" s="1" t="s">
        <v>922</v>
      </c>
      <c r="D53" s="1" t="s">
        <v>41</v>
      </c>
      <c r="E53" s="1" t="s">
        <v>923</v>
      </c>
      <c r="F53" s="1">
        <v>225</v>
      </c>
      <c r="G53" s="1">
        <v>225</v>
      </c>
      <c r="H53" s="1">
        <v>0</v>
      </c>
      <c r="I53" s="1">
        <v>4063</v>
      </c>
      <c r="J53" s="1">
        <v>3838</v>
      </c>
      <c r="K53" s="1">
        <v>225</v>
      </c>
    </row>
    <row r="54" spans="3:11" x14ac:dyDescent="0.25">
      <c r="C54" s="1" t="s">
        <v>1016</v>
      </c>
      <c r="D54" s="1" t="s">
        <v>65</v>
      </c>
      <c r="E54" s="1" t="s">
        <v>1017</v>
      </c>
      <c r="F54" s="1">
        <v>243</v>
      </c>
      <c r="G54" s="1">
        <v>243</v>
      </c>
      <c r="H54" s="1">
        <v>0</v>
      </c>
      <c r="I54" s="1">
        <v>4047</v>
      </c>
      <c r="J54" s="1">
        <v>3804</v>
      </c>
      <c r="K54" s="1">
        <v>243</v>
      </c>
    </row>
    <row r="55" spans="3:11" x14ac:dyDescent="0.25">
      <c r="C55" s="1" t="s">
        <v>2404</v>
      </c>
      <c r="D55" s="1" t="s">
        <v>2405</v>
      </c>
      <c r="E55" s="1" t="s">
        <v>2406</v>
      </c>
      <c r="F55" s="1">
        <v>-2</v>
      </c>
      <c r="G55" s="1">
        <v>-2</v>
      </c>
      <c r="H55" s="1">
        <v>0</v>
      </c>
      <c r="I55" s="1">
        <v>4039</v>
      </c>
      <c r="J55" s="1">
        <v>4041</v>
      </c>
      <c r="K55" s="1">
        <v>-2</v>
      </c>
    </row>
    <row r="56" spans="3:11" x14ac:dyDescent="0.25">
      <c r="C56" s="1" t="s">
        <v>2407</v>
      </c>
      <c r="D56" s="1" t="s">
        <v>413</v>
      </c>
      <c r="E56" s="1" t="s">
        <v>2408</v>
      </c>
      <c r="F56" s="1">
        <v>14</v>
      </c>
      <c r="G56" s="1">
        <v>14</v>
      </c>
      <c r="H56" s="1">
        <v>0</v>
      </c>
      <c r="I56" s="1">
        <v>3982</v>
      </c>
      <c r="J56" s="1">
        <v>3968</v>
      </c>
      <c r="K56" s="1">
        <v>14</v>
      </c>
    </row>
    <row r="57" spans="3:11" x14ac:dyDescent="0.25">
      <c r="C57" s="1" t="s">
        <v>2409</v>
      </c>
      <c r="D57" s="1" t="s">
        <v>682</v>
      </c>
      <c r="E57" s="1" t="s">
        <v>2410</v>
      </c>
      <c r="F57" s="1">
        <v>101</v>
      </c>
      <c r="G57" s="1">
        <v>101</v>
      </c>
      <c r="H57" s="1">
        <v>0</v>
      </c>
      <c r="I57" s="1">
        <v>3966</v>
      </c>
      <c r="J57" s="1">
        <v>3865</v>
      </c>
      <c r="K57" s="1">
        <v>101</v>
      </c>
    </row>
    <row r="58" spans="3:11" x14ac:dyDescent="0.25">
      <c r="C58" s="1" t="s">
        <v>2411</v>
      </c>
      <c r="D58" s="1" t="s">
        <v>415</v>
      </c>
      <c r="E58" s="1" t="s">
        <v>2412</v>
      </c>
      <c r="F58" s="1">
        <v>22</v>
      </c>
      <c r="G58" s="1">
        <v>22</v>
      </c>
      <c r="H58" s="1">
        <v>0</v>
      </c>
      <c r="I58" s="1">
        <v>3861</v>
      </c>
      <c r="J58" s="1">
        <v>3839</v>
      </c>
      <c r="K58" s="1">
        <v>22</v>
      </c>
    </row>
    <row r="59" spans="3:11" x14ac:dyDescent="0.25">
      <c r="C59" s="1" t="s">
        <v>2413</v>
      </c>
      <c r="D59" s="1" t="s">
        <v>416</v>
      </c>
      <c r="E59" s="1" t="s">
        <v>2414</v>
      </c>
      <c r="F59" s="1">
        <v>288</v>
      </c>
      <c r="G59" s="1">
        <v>288</v>
      </c>
      <c r="H59" s="1">
        <v>0</v>
      </c>
      <c r="I59" s="1">
        <v>3835</v>
      </c>
      <c r="J59" s="1">
        <v>3547</v>
      </c>
      <c r="K59" s="1">
        <v>288</v>
      </c>
    </row>
    <row r="60" spans="3:11" x14ac:dyDescent="0.25">
      <c r="C60" s="1" t="s">
        <v>961</v>
      </c>
      <c r="D60" s="1" t="s">
        <v>53</v>
      </c>
      <c r="E60" s="1" t="s">
        <v>962</v>
      </c>
      <c r="F60" s="1">
        <v>544</v>
      </c>
      <c r="G60" s="1">
        <v>544</v>
      </c>
      <c r="H60" s="1">
        <v>0</v>
      </c>
      <c r="I60" s="1">
        <v>3767</v>
      </c>
      <c r="J60" s="1">
        <v>3223</v>
      </c>
      <c r="K60" s="1">
        <v>544</v>
      </c>
    </row>
    <row r="61" spans="3:11" x14ac:dyDescent="0.25">
      <c r="C61" s="1" t="s">
        <v>2415</v>
      </c>
      <c r="D61" s="1" t="s">
        <v>418</v>
      </c>
      <c r="E61" s="1" t="s">
        <v>2416</v>
      </c>
      <c r="F61" s="1">
        <v>73</v>
      </c>
      <c r="G61" s="1">
        <v>73</v>
      </c>
      <c r="H61" s="1">
        <v>0</v>
      </c>
      <c r="I61" s="1">
        <v>3701</v>
      </c>
      <c r="J61" s="1">
        <v>3628</v>
      </c>
      <c r="K61" s="1">
        <v>73</v>
      </c>
    </row>
    <row r="62" spans="3:11" x14ac:dyDescent="0.25">
      <c r="C62" s="1" t="s">
        <v>2417</v>
      </c>
      <c r="D62" s="1" t="s">
        <v>2418</v>
      </c>
      <c r="E62" s="1" t="s">
        <v>2419</v>
      </c>
      <c r="F62" s="1">
        <v>5</v>
      </c>
      <c r="G62" s="1">
        <v>5</v>
      </c>
      <c r="H62" s="1">
        <v>0</v>
      </c>
      <c r="I62" s="1">
        <v>3639</v>
      </c>
      <c r="J62" s="1">
        <v>3634</v>
      </c>
      <c r="K62" s="1">
        <v>5</v>
      </c>
    </row>
    <row r="63" spans="3:11" x14ac:dyDescent="0.25">
      <c r="C63" s="1" t="s">
        <v>933</v>
      </c>
      <c r="D63" s="1" t="s">
        <v>43</v>
      </c>
      <c r="E63" s="1" t="s">
        <v>934</v>
      </c>
      <c r="F63" s="1">
        <v>223</v>
      </c>
      <c r="G63" s="1">
        <v>223</v>
      </c>
      <c r="H63" s="1">
        <v>0</v>
      </c>
      <c r="I63" s="1">
        <v>3533</v>
      </c>
      <c r="J63" s="1">
        <v>3310</v>
      </c>
      <c r="K63" s="1">
        <v>223</v>
      </c>
    </row>
    <row r="64" spans="3:11" x14ac:dyDescent="0.25">
      <c r="C64" s="1" t="s">
        <v>948</v>
      </c>
      <c r="D64" s="1" t="s">
        <v>51</v>
      </c>
      <c r="E64" s="1" t="s">
        <v>949</v>
      </c>
      <c r="F64" s="1">
        <v>210</v>
      </c>
      <c r="G64" s="1">
        <v>210</v>
      </c>
      <c r="H64" s="1">
        <v>0</v>
      </c>
      <c r="I64" s="1">
        <v>3498</v>
      </c>
      <c r="J64" s="1">
        <v>3288</v>
      </c>
      <c r="K64" s="1">
        <v>210</v>
      </c>
    </row>
    <row r="65" spans="3:11" x14ac:dyDescent="0.25">
      <c r="C65" s="1" t="s">
        <v>2420</v>
      </c>
      <c r="D65" s="1" t="s">
        <v>635</v>
      </c>
      <c r="E65" s="1" t="s">
        <v>2421</v>
      </c>
      <c r="F65" s="1">
        <v>0</v>
      </c>
      <c r="G65" s="1">
        <v>0</v>
      </c>
      <c r="H65" s="1">
        <v>0</v>
      </c>
      <c r="I65" s="1">
        <v>3488</v>
      </c>
      <c r="J65" s="1">
        <v>3488</v>
      </c>
      <c r="K65" s="1">
        <v>0</v>
      </c>
    </row>
    <row r="66" spans="3:11" x14ac:dyDescent="0.25">
      <c r="C66" s="1" t="s">
        <v>959</v>
      </c>
      <c r="D66" s="1" t="s">
        <v>52</v>
      </c>
      <c r="E66" s="1" t="s">
        <v>960</v>
      </c>
      <c r="F66" s="1">
        <v>731</v>
      </c>
      <c r="G66" s="1">
        <v>731</v>
      </c>
      <c r="H66" s="1">
        <v>0</v>
      </c>
      <c r="I66" s="1">
        <v>3464</v>
      </c>
      <c r="J66" s="1">
        <v>2733</v>
      </c>
      <c r="K66" s="1">
        <v>731</v>
      </c>
    </row>
    <row r="67" spans="3:11" x14ac:dyDescent="0.25">
      <c r="C67" s="1" t="s">
        <v>2422</v>
      </c>
      <c r="D67" s="1" t="s">
        <v>419</v>
      </c>
      <c r="E67" s="1" t="s">
        <v>2423</v>
      </c>
      <c r="F67" s="1">
        <v>8</v>
      </c>
      <c r="G67" s="1">
        <v>8</v>
      </c>
      <c r="H67" s="1">
        <v>0</v>
      </c>
      <c r="I67" s="1">
        <v>3458</v>
      </c>
      <c r="J67" s="1">
        <v>3450</v>
      </c>
      <c r="K67" s="1">
        <v>8</v>
      </c>
    </row>
    <row r="68" spans="3:11" x14ac:dyDescent="0.25">
      <c r="C68" s="1" t="s">
        <v>983</v>
      </c>
      <c r="D68" s="1" t="s">
        <v>57</v>
      </c>
      <c r="E68" s="1" t="s">
        <v>984</v>
      </c>
      <c r="F68" s="1">
        <v>453</v>
      </c>
      <c r="G68" s="1">
        <v>453</v>
      </c>
      <c r="H68" s="1">
        <v>0</v>
      </c>
      <c r="I68" s="1">
        <v>3434</v>
      </c>
      <c r="J68" s="1">
        <v>2981</v>
      </c>
      <c r="K68" s="1">
        <v>453</v>
      </c>
    </row>
    <row r="69" spans="3:11" x14ac:dyDescent="0.25">
      <c r="C69" s="1" t="s">
        <v>2442</v>
      </c>
      <c r="D69" s="1" t="s">
        <v>793</v>
      </c>
      <c r="E69" s="1" t="s">
        <v>2443</v>
      </c>
      <c r="F69" s="1">
        <v>386</v>
      </c>
      <c r="G69" s="1">
        <v>386</v>
      </c>
      <c r="H69" s="1">
        <v>0</v>
      </c>
      <c r="I69" s="1">
        <v>3413</v>
      </c>
      <c r="J69" s="1">
        <v>3027</v>
      </c>
      <c r="K69" s="1">
        <v>386</v>
      </c>
    </row>
    <row r="70" spans="3:11" x14ac:dyDescent="0.25">
      <c r="C70" s="1" t="s">
        <v>924</v>
      </c>
      <c r="D70" s="1" t="s">
        <v>42</v>
      </c>
      <c r="E70" s="1" t="s">
        <v>925</v>
      </c>
      <c r="F70" s="1">
        <v>149</v>
      </c>
      <c r="G70" s="1">
        <v>149</v>
      </c>
      <c r="H70" s="1">
        <v>0</v>
      </c>
      <c r="I70" s="1">
        <v>3376</v>
      </c>
      <c r="J70" s="1">
        <v>3227</v>
      </c>
      <c r="K70" s="1">
        <v>149</v>
      </c>
    </row>
    <row r="71" spans="3:11" x14ac:dyDescent="0.25">
      <c r="C71" s="1" t="s">
        <v>2426</v>
      </c>
      <c r="D71" s="1" t="s">
        <v>2427</v>
      </c>
      <c r="E71" s="1" t="s">
        <v>2428</v>
      </c>
      <c r="F71" s="1">
        <v>0</v>
      </c>
      <c r="G71" s="1">
        <v>0</v>
      </c>
      <c r="H71" s="1">
        <v>0</v>
      </c>
      <c r="I71" s="1">
        <v>3364</v>
      </c>
      <c r="J71" s="1">
        <v>3364</v>
      </c>
      <c r="K71" s="1">
        <v>0</v>
      </c>
    </row>
    <row r="72" spans="3:11" x14ac:dyDescent="0.25">
      <c r="C72" s="1" t="s">
        <v>2429</v>
      </c>
      <c r="D72" s="1" t="s">
        <v>420</v>
      </c>
      <c r="E72" s="1" t="s">
        <v>2430</v>
      </c>
      <c r="F72" s="1">
        <v>25</v>
      </c>
      <c r="G72" s="1">
        <v>25</v>
      </c>
      <c r="H72" s="1">
        <v>0</v>
      </c>
      <c r="I72" s="1">
        <v>3285</v>
      </c>
      <c r="J72" s="1">
        <v>3260</v>
      </c>
      <c r="K72" s="1">
        <v>25</v>
      </c>
    </row>
    <row r="73" spans="3:11" x14ac:dyDescent="0.25">
      <c r="C73" s="1" t="s">
        <v>950</v>
      </c>
      <c r="D73" s="1" t="s">
        <v>47</v>
      </c>
      <c r="E73" s="1" t="s">
        <v>951</v>
      </c>
      <c r="F73" s="1">
        <v>106</v>
      </c>
      <c r="G73" s="1">
        <v>106</v>
      </c>
      <c r="H73" s="1">
        <v>0</v>
      </c>
      <c r="I73" s="1">
        <v>3269</v>
      </c>
      <c r="J73" s="1">
        <v>3163</v>
      </c>
      <c r="K73" s="1">
        <v>106</v>
      </c>
    </row>
    <row r="74" spans="3:11" x14ac:dyDescent="0.25">
      <c r="C74" s="1" t="s">
        <v>2431</v>
      </c>
      <c r="D74" s="1" t="s">
        <v>636</v>
      </c>
      <c r="E74" s="1" t="s">
        <v>2432</v>
      </c>
      <c r="F74" s="1">
        <v>0</v>
      </c>
      <c r="G74" s="1">
        <v>0</v>
      </c>
      <c r="H74" s="1">
        <v>0</v>
      </c>
      <c r="I74" s="1">
        <v>3267</v>
      </c>
      <c r="J74" s="1">
        <v>3267</v>
      </c>
      <c r="K74" s="1">
        <v>0</v>
      </c>
    </row>
    <row r="75" spans="3:11" x14ac:dyDescent="0.25">
      <c r="C75" s="1" t="s">
        <v>943</v>
      </c>
      <c r="D75" s="1" t="s">
        <v>46</v>
      </c>
      <c r="E75" s="1" t="s">
        <v>944</v>
      </c>
      <c r="F75" s="1">
        <v>155</v>
      </c>
      <c r="G75" s="1">
        <v>155</v>
      </c>
      <c r="H75" s="1">
        <v>0</v>
      </c>
      <c r="I75" s="1">
        <v>3257</v>
      </c>
      <c r="J75" s="1">
        <v>3102</v>
      </c>
      <c r="K75" s="1">
        <v>155</v>
      </c>
    </row>
    <row r="76" spans="3:11" x14ac:dyDescent="0.25">
      <c r="C76" s="1" t="s">
        <v>2433</v>
      </c>
      <c r="D76" s="1" t="s">
        <v>2434</v>
      </c>
      <c r="E76" s="1" t="s">
        <v>2435</v>
      </c>
      <c r="F76" s="1">
        <v>0</v>
      </c>
      <c r="G76" s="1">
        <v>0</v>
      </c>
      <c r="H76" s="1">
        <v>0</v>
      </c>
      <c r="I76" s="1">
        <v>3246</v>
      </c>
      <c r="J76" s="1">
        <v>3246</v>
      </c>
      <c r="K76" s="1">
        <v>0</v>
      </c>
    </row>
    <row r="77" spans="3:11" x14ac:dyDescent="0.25">
      <c r="C77" s="1" t="s">
        <v>935</v>
      </c>
      <c r="D77" s="1" t="s">
        <v>44</v>
      </c>
      <c r="E77" s="1" t="s">
        <v>936</v>
      </c>
      <c r="F77" s="1">
        <v>225</v>
      </c>
      <c r="G77" s="1">
        <v>225</v>
      </c>
      <c r="H77" s="1">
        <v>0</v>
      </c>
      <c r="I77" s="1">
        <v>3221</v>
      </c>
      <c r="J77" s="1">
        <v>2996</v>
      </c>
      <c r="K77" s="1">
        <v>225</v>
      </c>
    </row>
    <row r="78" spans="3:11" x14ac:dyDescent="0.25">
      <c r="C78" s="1" t="s">
        <v>926</v>
      </c>
      <c r="D78" s="1" t="s">
        <v>927</v>
      </c>
      <c r="E78" s="1" t="s">
        <v>928</v>
      </c>
      <c r="F78" s="1">
        <v>2</v>
      </c>
      <c r="G78" s="1">
        <v>2</v>
      </c>
      <c r="H78" s="1">
        <v>0</v>
      </c>
      <c r="I78" s="1">
        <v>3206</v>
      </c>
      <c r="J78" s="1">
        <v>3204</v>
      </c>
      <c r="K78" s="1">
        <v>2</v>
      </c>
    </row>
    <row r="79" spans="3:11" x14ac:dyDescent="0.25">
      <c r="C79" s="1" t="s">
        <v>2440</v>
      </c>
      <c r="D79" s="1" t="s">
        <v>429</v>
      </c>
      <c r="E79" s="1" t="s">
        <v>2441</v>
      </c>
      <c r="F79" s="1">
        <v>1</v>
      </c>
      <c r="G79" s="1">
        <v>1</v>
      </c>
      <c r="H79" s="1">
        <v>0</v>
      </c>
      <c r="I79" s="1">
        <v>3161</v>
      </c>
      <c r="J79" s="1">
        <v>3160</v>
      </c>
      <c r="K79" s="1">
        <v>1</v>
      </c>
    </row>
    <row r="80" spans="3:11" x14ac:dyDescent="0.25">
      <c r="C80" s="1" t="s">
        <v>956</v>
      </c>
      <c r="D80" s="1" t="s">
        <v>49</v>
      </c>
      <c r="E80" s="1" t="s">
        <v>956</v>
      </c>
      <c r="F80" s="1">
        <v>235</v>
      </c>
      <c r="G80" s="1">
        <v>235</v>
      </c>
      <c r="H80" s="1">
        <v>0</v>
      </c>
      <c r="I80" s="1">
        <v>3153</v>
      </c>
      <c r="J80" s="1">
        <v>2918</v>
      </c>
      <c r="K80" s="1">
        <v>235</v>
      </c>
    </row>
    <row r="81" spans="3:11" x14ac:dyDescent="0.25">
      <c r="C81" s="1" t="s">
        <v>2436</v>
      </c>
      <c r="D81" s="1" t="s">
        <v>637</v>
      </c>
      <c r="E81" s="1" t="s">
        <v>2437</v>
      </c>
      <c r="F81" s="1">
        <v>0</v>
      </c>
      <c r="G81" s="1">
        <v>0</v>
      </c>
      <c r="H81" s="1">
        <v>0</v>
      </c>
      <c r="I81" s="1">
        <v>3136</v>
      </c>
      <c r="J81" s="1">
        <v>3136</v>
      </c>
      <c r="K81" s="1">
        <v>0</v>
      </c>
    </row>
    <row r="82" spans="3:11" x14ac:dyDescent="0.25">
      <c r="C82" s="1" t="s">
        <v>2449</v>
      </c>
      <c r="D82" s="1" t="s">
        <v>421</v>
      </c>
      <c r="E82" s="1" t="s">
        <v>2450</v>
      </c>
      <c r="F82" s="1">
        <v>207</v>
      </c>
      <c r="G82" s="1">
        <v>207</v>
      </c>
      <c r="H82" s="1">
        <v>0</v>
      </c>
      <c r="I82" s="1">
        <v>3128</v>
      </c>
      <c r="J82" s="1">
        <v>2921</v>
      </c>
      <c r="K82" s="1">
        <v>207</v>
      </c>
    </row>
    <row r="83" spans="3:11" x14ac:dyDescent="0.25">
      <c r="C83" s="1" t="s">
        <v>929</v>
      </c>
      <c r="D83" s="1" t="s">
        <v>45</v>
      </c>
      <c r="E83" s="1" t="s">
        <v>929</v>
      </c>
      <c r="F83" s="1">
        <v>5</v>
      </c>
      <c r="G83" s="1">
        <v>5</v>
      </c>
      <c r="H83" s="1">
        <v>0</v>
      </c>
      <c r="I83" s="1">
        <v>3111</v>
      </c>
      <c r="J83" s="1">
        <v>3106</v>
      </c>
      <c r="K83" s="1">
        <v>5</v>
      </c>
    </row>
    <row r="84" spans="3:11" x14ac:dyDescent="0.25">
      <c r="C84" s="1" t="s">
        <v>2438</v>
      </c>
      <c r="D84" s="1" t="s">
        <v>598</v>
      </c>
      <c r="E84" s="1" t="s">
        <v>2439</v>
      </c>
      <c r="F84" s="1">
        <v>0</v>
      </c>
      <c r="G84" s="1">
        <v>0</v>
      </c>
      <c r="H84" s="1">
        <v>0</v>
      </c>
      <c r="I84" s="1">
        <v>3110</v>
      </c>
      <c r="J84" s="1">
        <v>3110</v>
      </c>
      <c r="K84" s="1">
        <v>0</v>
      </c>
    </row>
    <row r="85" spans="3:11" x14ac:dyDescent="0.25">
      <c r="C85" s="1" t="s">
        <v>930</v>
      </c>
      <c r="D85" s="1" t="s">
        <v>931</v>
      </c>
      <c r="E85" s="1" t="s">
        <v>932</v>
      </c>
      <c r="F85" s="1">
        <v>0</v>
      </c>
      <c r="G85" s="1">
        <v>0</v>
      </c>
      <c r="H85" s="1">
        <v>0</v>
      </c>
      <c r="I85" s="1">
        <v>3109</v>
      </c>
      <c r="J85" s="1">
        <v>3109</v>
      </c>
      <c r="K85" s="1">
        <v>0</v>
      </c>
    </row>
    <row r="86" spans="3:11" x14ac:dyDescent="0.25">
      <c r="C86" s="1" t="s">
        <v>2462</v>
      </c>
      <c r="D86" s="1" t="s">
        <v>427</v>
      </c>
      <c r="E86" s="1" t="s">
        <v>2463</v>
      </c>
      <c r="F86" s="1">
        <v>388</v>
      </c>
      <c r="G86" s="1">
        <v>388</v>
      </c>
      <c r="H86" s="1">
        <v>0</v>
      </c>
      <c r="I86" s="1">
        <v>3082</v>
      </c>
      <c r="J86" s="1">
        <v>2694</v>
      </c>
      <c r="K86" s="1">
        <v>388</v>
      </c>
    </row>
    <row r="87" spans="3:11" x14ac:dyDescent="0.25">
      <c r="C87" s="1" t="s">
        <v>978</v>
      </c>
      <c r="D87" s="1" t="s">
        <v>56</v>
      </c>
      <c r="E87" s="1" t="s">
        <v>979</v>
      </c>
      <c r="F87" s="1">
        <v>425</v>
      </c>
      <c r="G87" s="1">
        <v>425</v>
      </c>
      <c r="H87" s="1">
        <v>0</v>
      </c>
      <c r="I87" s="1">
        <v>3043</v>
      </c>
      <c r="J87" s="1">
        <v>2618</v>
      </c>
      <c r="K87" s="1">
        <v>425</v>
      </c>
    </row>
    <row r="88" spans="3:11" x14ac:dyDescent="0.25">
      <c r="C88" s="1" t="s">
        <v>969</v>
      </c>
      <c r="D88" s="1" t="s">
        <v>68</v>
      </c>
      <c r="E88" s="1" t="s">
        <v>970</v>
      </c>
      <c r="F88" s="1">
        <v>305</v>
      </c>
      <c r="G88" s="1">
        <v>305</v>
      </c>
      <c r="H88" s="1">
        <v>0</v>
      </c>
      <c r="I88" s="1">
        <v>3033</v>
      </c>
      <c r="J88" s="1">
        <v>2728</v>
      </c>
      <c r="K88" s="1">
        <v>305</v>
      </c>
    </row>
    <row r="89" spans="3:11" x14ac:dyDescent="0.25">
      <c r="C89" s="1" t="s">
        <v>2444</v>
      </c>
      <c r="D89" s="1" t="s">
        <v>2445</v>
      </c>
      <c r="E89" s="1" t="s">
        <v>2446</v>
      </c>
      <c r="F89" s="1">
        <v>1</v>
      </c>
      <c r="G89" s="1">
        <v>1</v>
      </c>
      <c r="H89" s="1">
        <v>0</v>
      </c>
      <c r="I89" s="1">
        <v>3001</v>
      </c>
      <c r="J89" s="1">
        <v>3000</v>
      </c>
      <c r="K89" s="1">
        <v>1</v>
      </c>
    </row>
    <row r="90" spans="3:11" x14ac:dyDescent="0.25">
      <c r="C90" s="1" t="s">
        <v>2447</v>
      </c>
      <c r="D90" s="1" t="s">
        <v>597</v>
      </c>
      <c r="E90" s="1" t="s">
        <v>2448</v>
      </c>
      <c r="F90" s="1">
        <v>2</v>
      </c>
      <c r="G90" s="1">
        <v>2</v>
      </c>
      <c r="H90" s="1">
        <v>0</v>
      </c>
      <c r="I90" s="1">
        <v>2997</v>
      </c>
      <c r="J90" s="1">
        <v>2995</v>
      </c>
      <c r="K90" s="1">
        <v>2</v>
      </c>
    </row>
    <row r="91" spans="3:11" x14ac:dyDescent="0.25">
      <c r="C91" s="1" t="s">
        <v>954</v>
      </c>
      <c r="D91" s="1" t="s">
        <v>862</v>
      </c>
      <c r="E91" s="1" t="s">
        <v>955</v>
      </c>
      <c r="F91" s="1">
        <v>210</v>
      </c>
      <c r="G91" s="1">
        <v>210</v>
      </c>
      <c r="H91" s="1">
        <v>0</v>
      </c>
      <c r="I91" s="1">
        <v>2959</v>
      </c>
      <c r="J91" s="1">
        <v>2749</v>
      </c>
      <c r="K91" s="1">
        <v>210</v>
      </c>
    </row>
    <row r="92" spans="3:11" x14ac:dyDescent="0.25">
      <c r="C92" s="1" t="s">
        <v>2460</v>
      </c>
      <c r="D92" s="1" t="s">
        <v>794</v>
      </c>
      <c r="E92" s="1" t="s">
        <v>2461</v>
      </c>
      <c r="F92" s="1">
        <v>292</v>
      </c>
      <c r="G92" s="1">
        <v>292</v>
      </c>
      <c r="H92" s="1">
        <v>0</v>
      </c>
      <c r="I92" s="1">
        <v>2929</v>
      </c>
      <c r="J92" s="1">
        <v>2637</v>
      </c>
      <c r="K92" s="1">
        <v>292</v>
      </c>
    </row>
    <row r="93" spans="3:11" x14ac:dyDescent="0.25">
      <c r="C93" s="1" t="s">
        <v>2480</v>
      </c>
      <c r="D93" s="1" t="s">
        <v>797</v>
      </c>
      <c r="E93" s="1" t="s">
        <v>2481</v>
      </c>
      <c r="F93" s="1">
        <v>415</v>
      </c>
      <c r="G93" s="1">
        <v>415</v>
      </c>
      <c r="H93" s="1">
        <v>0</v>
      </c>
      <c r="I93" s="1">
        <v>2898</v>
      </c>
      <c r="J93" s="1">
        <v>2483</v>
      </c>
      <c r="K93" s="1">
        <v>415</v>
      </c>
    </row>
    <row r="94" spans="3:11" x14ac:dyDescent="0.25">
      <c r="C94" s="1" t="s">
        <v>937</v>
      </c>
      <c r="D94" s="1" t="s">
        <v>938</v>
      </c>
      <c r="E94" s="1" t="s">
        <v>939</v>
      </c>
      <c r="F94" s="1">
        <v>0</v>
      </c>
      <c r="G94" s="1">
        <v>0</v>
      </c>
      <c r="H94" s="1">
        <v>0</v>
      </c>
      <c r="I94" s="1">
        <v>2861</v>
      </c>
      <c r="J94" s="1">
        <v>2861</v>
      </c>
      <c r="K94" s="1">
        <v>0</v>
      </c>
    </row>
    <row r="95" spans="3:11" x14ac:dyDescent="0.25">
      <c r="C95" s="1" t="s">
        <v>2451</v>
      </c>
      <c r="D95" s="1" t="s">
        <v>2452</v>
      </c>
      <c r="E95" s="1" t="s">
        <v>2453</v>
      </c>
      <c r="F95" s="1">
        <v>4</v>
      </c>
      <c r="G95" s="1">
        <v>4</v>
      </c>
      <c r="H95" s="1">
        <v>0</v>
      </c>
      <c r="I95" s="1">
        <v>2831</v>
      </c>
      <c r="J95" s="1">
        <v>2827</v>
      </c>
      <c r="K95" s="1">
        <v>4</v>
      </c>
    </row>
    <row r="96" spans="3:11" x14ac:dyDescent="0.25">
      <c r="C96" s="1" t="s">
        <v>2454</v>
      </c>
      <c r="D96" s="1" t="s">
        <v>683</v>
      </c>
      <c r="E96" s="1" t="s">
        <v>2455</v>
      </c>
      <c r="F96" s="1">
        <v>25</v>
      </c>
      <c r="G96" s="1">
        <v>25</v>
      </c>
      <c r="H96" s="1">
        <v>0</v>
      </c>
      <c r="I96" s="1">
        <v>2818</v>
      </c>
      <c r="J96" s="1">
        <v>2793</v>
      </c>
      <c r="K96" s="1">
        <v>25</v>
      </c>
    </row>
    <row r="97" spans="3:11" x14ac:dyDescent="0.25">
      <c r="C97" s="1" t="s">
        <v>940</v>
      </c>
      <c r="D97" s="1" t="s">
        <v>941</v>
      </c>
      <c r="E97" s="1" t="s">
        <v>942</v>
      </c>
      <c r="F97" s="1">
        <v>1</v>
      </c>
      <c r="G97" s="1">
        <v>1</v>
      </c>
      <c r="H97" s="1">
        <v>0</v>
      </c>
      <c r="I97" s="1">
        <v>2790</v>
      </c>
      <c r="J97" s="1">
        <v>2789</v>
      </c>
      <c r="K97" s="1">
        <v>1</v>
      </c>
    </row>
    <row r="98" spans="3:11" x14ac:dyDescent="0.25">
      <c r="C98" s="1" t="s">
        <v>2456</v>
      </c>
      <c r="D98" s="1" t="s">
        <v>422</v>
      </c>
      <c r="E98" s="1" t="s">
        <v>2457</v>
      </c>
      <c r="F98" s="1">
        <v>0</v>
      </c>
      <c r="G98" s="1">
        <v>0</v>
      </c>
      <c r="H98" s="1">
        <v>0</v>
      </c>
      <c r="I98" s="1">
        <v>2779</v>
      </c>
      <c r="J98" s="1">
        <v>2779</v>
      </c>
      <c r="K98" s="1">
        <v>0</v>
      </c>
    </row>
    <row r="99" spans="3:11" x14ac:dyDescent="0.25">
      <c r="C99" s="1" t="s">
        <v>985</v>
      </c>
      <c r="D99" s="1" t="s">
        <v>58</v>
      </c>
      <c r="E99" s="1" t="s">
        <v>986</v>
      </c>
      <c r="F99" s="1">
        <v>178</v>
      </c>
      <c r="G99" s="1">
        <v>178</v>
      </c>
      <c r="H99" s="1">
        <v>0</v>
      </c>
      <c r="I99" s="1">
        <v>2778</v>
      </c>
      <c r="J99" s="1">
        <v>2600</v>
      </c>
      <c r="K99" s="1">
        <v>178</v>
      </c>
    </row>
    <row r="100" spans="3:11" x14ac:dyDescent="0.25">
      <c r="C100" s="1" t="s">
        <v>2141</v>
      </c>
      <c r="D100" s="1" t="s">
        <v>2077</v>
      </c>
      <c r="E100" s="1" t="s">
        <v>2142</v>
      </c>
      <c r="F100" s="1">
        <v>34</v>
      </c>
      <c r="G100" s="1">
        <v>34</v>
      </c>
      <c r="H100" s="1">
        <v>0</v>
      </c>
      <c r="I100" s="1">
        <v>2766</v>
      </c>
      <c r="J100" s="1">
        <v>2732</v>
      </c>
      <c r="K100" s="1">
        <v>34</v>
      </c>
    </row>
    <row r="101" spans="3:11" x14ac:dyDescent="0.25">
      <c r="C101" s="1" t="s">
        <v>945</v>
      </c>
      <c r="D101" s="1" t="s">
        <v>946</v>
      </c>
      <c r="E101" s="1" t="s">
        <v>947</v>
      </c>
      <c r="F101" s="1">
        <v>64</v>
      </c>
      <c r="G101" s="1">
        <v>64</v>
      </c>
      <c r="H101" s="1">
        <v>0</v>
      </c>
      <c r="I101" s="1">
        <v>2729</v>
      </c>
      <c r="J101" s="1">
        <v>2665</v>
      </c>
      <c r="K101" s="1">
        <v>64</v>
      </c>
    </row>
    <row r="102" spans="3:11" x14ac:dyDescent="0.25">
      <c r="C102" s="1" t="s">
        <v>2458</v>
      </c>
      <c r="D102" s="1" t="s">
        <v>684</v>
      </c>
      <c r="E102" s="1" t="s">
        <v>2459</v>
      </c>
      <c r="F102" s="1">
        <v>0</v>
      </c>
      <c r="G102" s="1">
        <v>0</v>
      </c>
      <c r="H102" s="1">
        <v>0</v>
      </c>
      <c r="I102" s="1">
        <v>2722</v>
      </c>
      <c r="J102" s="1">
        <v>2722</v>
      </c>
      <c r="K102" s="1">
        <v>0</v>
      </c>
    </row>
    <row r="103" spans="3:11" x14ac:dyDescent="0.25">
      <c r="C103" s="1" t="s">
        <v>2464</v>
      </c>
      <c r="D103" s="1" t="s">
        <v>432</v>
      </c>
      <c r="E103" s="1" t="s">
        <v>2465</v>
      </c>
      <c r="F103" s="1">
        <v>224</v>
      </c>
      <c r="G103" s="1">
        <v>224</v>
      </c>
      <c r="H103" s="1">
        <v>0</v>
      </c>
      <c r="I103" s="1">
        <v>2722</v>
      </c>
      <c r="J103" s="1">
        <v>2498</v>
      </c>
      <c r="K103" s="1">
        <v>224</v>
      </c>
    </row>
    <row r="104" spans="3:11" x14ac:dyDescent="0.25">
      <c r="C104" s="1" t="s">
        <v>957</v>
      </c>
      <c r="D104" s="1" t="s">
        <v>50</v>
      </c>
      <c r="E104" s="1" t="s">
        <v>958</v>
      </c>
      <c r="F104" s="1">
        <v>17</v>
      </c>
      <c r="G104" s="1">
        <v>17</v>
      </c>
      <c r="H104" s="1">
        <v>0</v>
      </c>
      <c r="I104" s="1">
        <v>2628</v>
      </c>
      <c r="J104" s="1">
        <v>2611</v>
      </c>
      <c r="K104" s="1">
        <v>17</v>
      </c>
    </row>
    <row r="105" spans="3:11" x14ac:dyDescent="0.25">
      <c r="C105" s="1" t="s">
        <v>621</v>
      </c>
      <c r="D105" s="1" t="s">
        <v>620</v>
      </c>
      <c r="E105" s="1" t="s">
        <v>621</v>
      </c>
      <c r="F105" s="1">
        <v>87</v>
      </c>
      <c r="G105" s="1">
        <v>87</v>
      </c>
      <c r="H105" s="1">
        <v>0</v>
      </c>
      <c r="I105" s="1">
        <v>2613</v>
      </c>
      <c r="J105" s="1">
        <v>2526</v>
      </c>
      <c r="K105" s="1">
        <v>87</v>
      </c>
    </row>
    <row r="106" spans="3:11" x14ac:dyDescent="0.25">
      <c r="C106" s="1" t="s">
        <v>2466</v>
      </c>
      <c r="D106" s="1" t="s">
        <v>426</v>
      </c>
      <c r="E106" s="1" t="s">
        <v>2467</v>
      </c>
      <c r="F106" s="1">
        <v>0</v>
      </c>
      <c r="G106" s="1">
        <v>0</v>
      </c>
      <c r="H106" s="1">
        <v>0</v>
      </c>
      <c r="I106" s="1">
        <v>2534</v>
      </c>
      <c r="J106" s="1">
        <v>2534</v>
      </c>
      <c r="K106" s="1">
        <v>0</v>
      </c>
    </row>
    <row r="107" spans="3:11" x14ac:dyDescent="0.25">
      <c r="C107" s="1" t="s">
        <v>1043</v>
      </c>
      <c r="D107" s="1" t="s">
        <v>76</v>
      </c>
      <c r="E107" s="1" t="s">
        <v>1044</v>
      </c>
      <c r="F107" s="1">
        <v>137</v>
      </c>
      <c r="G107" s="1">
        <v>137</v>
      </c>
      <c r="H107" s="1">
        <v>0</v>
      </c>
      <c r="I107" s="1">
        <v>2530</v>
      </c>
      <c r="J107" s="1">
        <v>2393</v>
      </c>
      <c r="K107" s="1">
        <v>137</v>
      </c>
    </row>
    <row r="108" spans="3:11" x14ac:dyDescent="0.25">
      <c r="C108" s="1" t="s">
        <v>1009</v>
      </c>
      <c r="D108" s="1" t="s">
        <v>66</v>
      </c>
      <c r="E108" s="1" t="s">
        <v>1010</v>
      </c>
      <c r="F108" s="1">
        <v>199</v>
      </c>
      <c r="G108" s="1">
        <v>199</v>
      </c>
      <c r="H108" s="1">
        <v>0</v>
      </c>
      <c r="I108" s="1">
        <v>2525</v>
      </c>
      <c r="J108" s="1">
        <v>2326</v>
      </c>
      <c r="K108" s="1">
        <v>199</v>
      </c>
    </row>
    <row r="109" spans="3:11" x14ac:dyDescent="0.25">
      <c r="C109" s="1" t="s">
        <v>2468</v>
      </c>
      <c r="D109" s="1" t="s">
        <v>423</v>
      </c>
      <c r="E109" s="1" t="s">
        <v>2469</v>
      </c>
      <c r="F109" s="1">
        <v>46</v>
      </c>
      <c r="G109" s="1">
        <v>46</v>
      </c>
      <c r="H109" s="1">
        <v>0</v>
      </c>
      <c r="I109" s="1">
        <v>2505</v>
      </c>
      <c r="J109" s="1">
        <v>2459</v>
      </c>
      <c r="K109" s="1">
        <v>46</v>
      </c>
    </row>
    <row r="110" spans="3:11" x14ac:dyDescent="0.25">
      <c r="C110" s="1" t="s">
        <v>2470</v>
      </c>
      <c r="D110" s="1" t="s">
        <v>424</v>
      </c>
      <c r="E110" s="1" t="s">
        <v>2471</v>
      </c>
      <c r="F110" s="1">
        <v>154</v>
      </c>
      <c r="G110" s="1">
        <v>154</v>
      </c>
      <c r="H110" s="1">
        <v>0</v>
      </c>
      <c r="I110" s="1">
        <v>2483</v>
      </c>
      <c r="J110" s="1">
        <v>2329</v>
      </c>
      <c r="K110" s="1">
        <v>154</v>
      </c>
    </row>
    <row r="111" spans="3:11" x14ac:dyDescent="0.25">
      <c r="C111" s="1" t="s">
        <v>2472</v>
      </c>
      <c r="D111" s="1" t="s">
        <v>600</v>
      </c>
      <c r="E111" s="1" t="s">
        <v>2473</v>
      </c>
      <c r="F111" s="1">
        <v>509</v>
      </c>
      <c r="G111" s="1">
        <v>509</v>
      </c>
      <c r="H111" s="1">
        <v>0</v>
      </c>
      <c r="I111" s="1">
        <v>2471</v>
      </c>
      <c r="J111" s="1">
        <v>1962</v>
      </c>
      <c r="K111" s="1">
        <v>509</v>
      </c>
    </row>
    <row r="112" spans="3:11" x14ac:dyDescent="0.25">
      <c r="C112" s="1" t="s">
        <v>2476</v>
      </c>
      <c r="D112" s="1" t="s">
        <v>2477</v>
      </c>
      <c r="E112" s="1" t="s">
        <v>2476</v>
      </c>
      <c r="F112" s="1">
        <v>957</v>
      </c>
      <c r="G112" s="1">
        <v>957</v>
      </c>
      <c r="H112" s="1">
        <v>0</v>
      </c>
      <c r="I112" s="1">
        <v>2470</v>
      </c>
      <c r="J112" s="1">
        <v>1513</v>
      </c>
      <c r="K112" s="1">
        <v>957</v>
      </c>
    </row>
    <row r="113" spans="3:11" x14ac:dyDescent="0.25">
      <c r="C113" s="1" t="s">
        <v>997</v>
      </c>
      <c r="D113" s="1" t="s">
        <v>61</v>
      </c>
      <c r="E113" s="1" t="s">
        <v>998</v>
      </c>
      <c r="F113" s="1">
        <v>430</v>
      </c>
      <c r="G113" s="1">
        <v>430</v>
      </c>
      <c r="H113" s="1">
        <v>0</v>
      </c>
      <c r="I113" s="1">
        <v>2452</v>
      </c>
      <c r="J113" s="1">
        <v>2022</v>
      </c>
      <c r="K113" s="1">
        <v>430</v>
      </c>
    </row>
    <row r="114" spans="3:11" x14ac:dyDescent="0.25">
      <c r="C114" s="1" t="s">
        <v>1032</v>
      </c>
      <c r="D114" s="1" t="s">
        <v>71</v>
      </c>
      <c r="E114" s="1" t="s">
        <v>1033</v>
      </c>
      <c r="F114" s="1">
        <v>131</v>
      </c>
      <c r="G114" s="1">
        <v>131</v>
      </c>
      <c r="H114" s="1">
        <v>0</v>
      </c>
      <c r="I114" s="1">
        <v>2439</v>
      </c>
      <c r="J114" s="1">
        <v>2308</v>
      </c>
      <c r="K114" s="1">
        <v>131</v>
      </c>
    </row>
    <row r="115" spans="3:11" x14ac:dyDescent="0.25">
      <c r="C115" s="1" t="s">
        <v>2474</v>
      </c>
      <c r="D115" s="1" t="s">
        <v>685</v>
      </c>
      <c r="E115" s="1" t="s">
        <v>2475</v>
      </c>
      <c r="F115" s="1">
        <v>2</v>
      </c>
      <c r="G115" s="1">
        <v>2</v>
      </c>
      <c r="H115" s="1">
        <v>0</v>
      </c>
      <c r="I115" s="1">
        <v>2398</v>
      </c>
      <c r="J115" s="1">
        <v>2396</v>
      </c>
      <c r="K115" s="1">
        <v>2</v>
      </c>
    </row>
    <row r="116" spans="3:11" x14ac:dyDescent="0.25">
      <c r="C116" s="1" t="s">
        <v>2507</v>
      </c>
      <c r="D116" s="1" t="s">
        <v>646</v>
      </c>
      <c r="E116" s="1" t="s">
        <v>2508</v>
      </c>
      <c r="F116" s="1">
        <v>273</v>
      </c>
      <c r="G116" s="1">
        <v>273</v>
      </c>
      <c r="H116" s="1">
        <v>0</v>
      </c>
      <c r="I116" s="1">
        <v>2328</v>
      </c>
      <c r="J116" s="1">
        <v>2055</v>
      </c>
      <c r="K116" s="1">
        <v>273</v>
      </c>
    </row>
    <row r="117" spans="3:11" x14ac:dyDescent="0.25">
      <c r="C117" s="1" t="s">
        <v>963</v>
      </c>
      <c r="D117" s="1" t="s">
        <v>964</v>
      </c>
      <c r="E117" s="1" t="s">
        <v>965</v>
      </c>
      <c r="F117" s="1">
        <v>0</v>
      </c>
      <c r="G117" s="1">
        <v>0</v>
      </c>
      <c r="H117" s="1">
        <v>0</v>
      </c>
      <c r="I117" s="1">
        <v>2326</v>
      </c>
      <c r="J117" s="1">
        <v>2326</v>
      </c>
      <c r="K117" s="1">
        <v>0</v>
      </c>
    </row>
    <row r="118" spans="3:11" x14ac:dyDescent="0.25">
      <c r="C118" s="1" t="s">
        <v>966</v>
      </c>
      <c r="D118" s="1" t="s">
        <v>967</v>
      </c>
      <c r="E118" s="1" t="s">
        <v>968</v>
      </c>
      <c r="F118" s="1">
        <v>0</v>
      </c>
      <c r="G118" s="1">
        <v>0</v>
      </c>
      <c r="H118" s="1">
        <v>0</v>
      </c>
      <c r="I118" s="1">
        <v>2322</v>
      </c>
      <c r="J118" s="1">
        <v>2322</v>
      </c>
      <c r="K118" s="1">
        <v>0</v>
      </c>
    </row>
    <row r="119" spans="3:11" x14ac:dyDescent="0.25">
      <c r="C119" s="1" t="s">
        <v>2478</v>
      </c>
      <c r="D119" s="1" t="s">
        <v>601</v>
      </c>
      <c r="E119" s="1" t="s">
        <v>2479</v>
      </c>
      <c r="F119" s="1">
        <v>16</v>
      </c>
      <c r="G119" s="1">
        <v>16</v>
      </c>
      <c r="H119" s="1">
        <v>0</v>
      </c>
      <c r="I119" s="1">
        <v>2316</v>
      </c>
      <c r="J119" s="1">
        <v>2300</v>
      </c>
      <c r="K119" s="1">
        <v>16</v>
      </c>
    </row>
    <row r="120" spans="3:11" x14ac:dyDescent="0.25">
      <c r="C120" s="1" t="s">
        <v>2482</v>
      </c>
      <c r="D120" s="1" t="s">
        <v>686</v>
      </c>
      <c r="E120" s="1" t="s">
        <v>2483</v>
      </c>
      <c r="F120" s="1">
        <v>1</v>
      </c>
      <c r="G120" s="1">
        <v>1</v>
      </c>
      <c r="H120" s="1">
        <v>0</v>
      </c>
      <c r="I120" s="1">
        <v>2251</v>
      </c>
      <c r="J120" s="1">
        <v>2250</v>
      </c>
      <c r="K120" s="1">
        <v>1</v>
      </c>
    </row>
    <row r="121" spans="3:11" x14ac:dyDescent="0.25">
      <c r="C121" s="1" t="s">
        <v>1083</v>
      </c>
      <c r="D121" s="1" t="s">
        <v>92</v>
      </c>
      <c r="E121" s="1" t="s">
        <v>1084</v>
      </c>
      <c r="F121" s="1">
        <v>25</v>
      </c>
      <c r="G121" s="1">
        <v>25</v>
      </c>
      <c r="H121" s="1">
        <v>0</v>
      </c>
      <c r="I121" s="1">
        <v>2250</v>
      </c>
      <c r="J121" s="1">
        <v>2225</v>
      </c>
      <c r="K121" s="1">
        <v>25</v>
      </c>
    </row>
    <row r="122" spans="3:11" x14ac:dyDescent="0.25">
      <c r="C122" s="1" t="s">
        <v>992</v>
      </c>
      <c r="D122" s="1" t="s">
        <v>59</v>
      </c>
      <c r="E122" s="1" t="s">
        <v>992</v>
      </c>
      <c r="F122" s="1">
        <v>73</v>
      </c>
      <c r="G122" s="1">
        <v>73</v>
      </c>
      <c r="H122" s="1">
        <v>0</v>
      </c>
      <c r="I122" s="1">
        <v>2225</v>
      </c>
      <c r="J122" s="1">
        <v>2152</v>
      </c>
      <c r="K122" s="1">
        <v>73</v>
      </c>
    </row>
    <row r="123" spans="3:11" x14ac:dyDescent="0.25">
      <c r="C123" s="1" t="s">
        <v>971</v>
      </c>
      <c r="D123" s="1" t="s">
        <v>54</v>
      </c>
      <c r="E123" s="1" t="s">
        <v>972</v>
      </c>
      <c r="F123" s="1">
        <v>36</v>
      </c>
      <c r="G123" s="1">
        <v>36</v>
      </c>
      <c r="H123" s="1">
        <v>0</v>
      </c>
      <c r="I123" s="1">
        <v>2205</v>
      </c>
      <c r="J123" s="1">
        <v>2169</v>
      </c>
      <c r="K123" s="1">
        <v>36</v>
      </c>
    </row>
    <row r="124" spans="3:11" x14ac:dyDescent="0.25">
      <c r="C124" s="1" t="s">
        <v>2484</v>
      </c>
      <c r="D124" s="1" t="s">
        <v>425</v>
      </c>
      <c r="E124" s="1" t="s">
        <v>2485</v>
      </c>
      <c r="F124" s="1">
        <v>92</v>
      </c>
      <c r="G124" s="1">
        <v>92</v>
      </c>
      <c r="H124" s="1">
        <v>0</v>
      </c>
      <c r="I124" s="1">
        <v>2195</v>
      </c>
      <c r="J124" s="1">
        <v>2103</v>
      </c>
      <c r="K124" s="1">
        <v>92</v>
      </c>
    </row>
    <row r="125" spans="3:11" x14ac:dyDescent="0.25">
      <c r="C125" s="1" t="s">
        <v>2486</v>
      </c>
      <c r="D125" s="1" t="s">
        <v>433</v>
      </c>
      <c r="E125" s="1" t="s">
        <v>2487</v>
      </c>
      <c r="F125" s="1">
        <v>33</v>
      </c>
      <c r="G125" s="1">
        <v>33</v>
      </c>
      <c r="H125" s="1">
        <v>0</v>
      </c>
      <c r="I125" s="1">
        <v>2194</v>
      </c>
      <c r="J125" s="1">
        <v>2161</v>
      </c>
      <c r="K125" s="1">
        <v>33</v>
      </c>
    </row>
    <row r="126" spans="3:11" x14ac:dyDescent="0.25">
      <c r="C126" s="1" t="s">
        <v>2488</v>
      </c>
      <c r="D126" s="1" t="s">
        <v>638</v>
      </c>
      <c r="E126" s="1" t="s">
        <v>2489</v>
      </c>
      <c r="F126" s="1">
        <v>11</v>
      </c>
      <c r="G126" s="1">
        <v>11</v>
      </c>
      <c r="H126" s="1">
        <v>0</v>
      </c>
      <c r="I126" s="1">
        <v>2191</v>
      </c>
      <c r="J126" s="1">
        <v>2180</v>
      </c>
      <c r="K126" s="1">
        <v>11</v>
      </c>
    </row>
    <row r="127" spans="3:11" x14ac:dyDescent="0.25">
      <c r="C127" s="1" t="s">
        <v>973</v>
      </c>
      <c r="D127" s="1" t="s">
        <v>974</v>
      </c>
      <c r="E127" s="1" t="s">
        <v>975</v>
      </c>
      <c r="F127" s="1">
        <v>0</v>
      </c>
      <c r="G127" s="1">
        <v>0</v>
      </c>
      <c r="H127" s="1">
        <v>0</v>
      </c>
      <c r="I127" s="1">
        <v>2190</v>
      </c>
      <c r="J127" s="1">
        <v>2190</v>
      </c>
      <c r="K127" s="1">
        <v>0</v>
      </c>
    </row>
    <row r="128" spans="3:11" x14ac:dyDescent="0.25">
      <c r="C128" s="1" t="s">
        <v>2490</v>
      </c>
      <c r="D128" s="1" t="s">
        <v>2491</v>
      </c>
      <c r="E128" s="1" t="s">
        <v>2492</v>
      </c>
      <c r="F128" s="1">
        <v>24</v>
      </c>
      <c r="G128" s="1">
        <v>24</v>
      </c>
      <c r="H128" s="1">
        <v>0</v>
      </c>
      <c r="I128" s="1">
        <v>2188</v>
      </c>
      <c r="J128" s="1">
        <v>2164</v>
      </c>
      <c r="K128" s="1">
        <v>24</v>
      </c>
    </row>
    <row r="129" spans="3:11" x14ac:dyDescent="0.25">
      <c r="C129" s="1" t="s">
        <v>976</v>
      </c>
      <c r="D129" s="1" t="s">
        <v>55</v>
      </c>
      <c r="E129" s="1" t="s">
        <v>977</v>
      </c>
      <c r="F129" s="1">
        <v>5</v>
      </c>
      <c r="G129" s="1">
        <v>5</v>
      </c>
      <c r="H129" s="1">
        <v>0</v>
      </c>
      <c r="I129" s="1">
        <v>2173</v>
      </c>
      <c r="J129" s="1">
        <v>2168</v>
      </c>
      <c r="K129" s="1">
        <v>5</v>
      </c>
    </row>
    <row r="130" spans="3:11" x14ac:dyDescent="0.25">
      <c r="C130" s="1" t="s">
        <v>1154</v>
      </c>
      <c r="D130" s="1" t="s">
        <v>101</v>
      </c>
      <c r="E130" s="1" t="s">
        <v>1155</v>
      </c>
      <c r="F130" s="1">
        <v>104</v>
      </c>
      <c r="G130" s="1">
        <v>104</v>
      </c>
      <c r="H130" s="1">
        <v>0</v>
      </c>
      <c r="I130" s="1">
        <v>2134</v>
      </c>
      <c r="J130" s="1">
        <v>2030</v>
      </c>
      <c r="K130" s="1">
        <v>104</v>
      </c>
    </row>
    <row r="131" spans="3:11" x14ac:dyDescent="0.25">
      <c r="C131" s="1" t="s">
        <v>2493</v>
      </c>
      <c r="D131" s="1" t="s">
        <v>434</v>
      </c>
      <c r="E131" s="1" t="s">
        <v>2494</v>
      </c>
      <c r="F131" s="1">
        <v>30</v>
      </c>
      <c r="G131" s="1">
        <v>30</v>
      </c>
      <c r="H131" s="1">
        <v>0</v>
      </c>
      <c r="I131" s="1">
        <v>2128</v>
      </c>
      <c r="J131" s="1">
        <v>2098</v>
      </c>
      <c r="K131" s="1">
        <v>30</v>
      </c>
    </row>
    <row r="132" spans="3:11" x14ac:dyDescent="0.25">
      <c r="C132" s="1" t="s">
        <v>1039</v>
      </c>
      <c r="D132" s="1" t="s">
        <v>74</v>
      </c>
      <c r="E132" s="1" t="s">
        <v>1040</v>
      </c>
      <c r="F132" s="1">
        <v>363</v>
      </c>
      <c r="G132" s="1">
        <v>363</v>
      </c>
      <c r="H132" s="1">
        <v>0</v>
      </c>
      <c r="I132" s="1">
        <v>2114</v>
      </c>
      <c r="J132" s="1">
        <v>1751</v>
      </c>
      <c r="K132" s="1">
        <v>363</v>
      </c>
    </row>
    <row r="133" spans="3:11" x14ac:dyDescent="0.25">
      <c r="C133" s="1" t="s">
        <v>2495</v>
      </c>
      <c r="D133" s="1" t="s">
        <v>687</v>
      </c>
      <c r="E133" s="1" t="s">
        <v>2496</v>
      </c>
      <c r="F133" s="1">
        <v>197</v>
      </c>
      <c r="G133" s="1">
        <v>197</v>
      </c>
      <c r="H133" s="1">
        <v>0</v>
      </c>
      <c r="I133" s="1">
        <v>2101</v>
      </c>
      <c r="J133" s="1">
        <v>1904</v>
      </c>
      <c r="K133" s="1">
        <v>197</v>
      </c>
    </row>
    <row r="134" spans="3:11" x14ac:dyDescent="0.25">
      <c r="C134" s="1" t="s">
        <v>4331</v>
      </c>
      <c r="D134" s="1" t="s">
        <v>4332</v>
      </c>
      <c r="E134" s="1" t="s">
        <v>4333</v>
      </c>
      <c r="F134" s="1">
        <v>796</v>
      </c>
      <c r="G134" s="1">
        <v>796</v>
      </c>
      <c r="H134" s="1">
        <v>0</v>
      </c>
      <c r="I134" s="1">
        <v>2099</v>
      </c>
      <c r="J134" s="1">
        <v>1303</v>
      </c>
      <c r="K134" s="1">
        <v>796</v>
      </c>
    </row>
    <row r="135" spans="3:11" x14ac:dyDescent="0.25">
      <c r="C135" s="1" t="s">
        <v>996</v>
      </c>
      <c r="D135" s="1" t="s">
        <v>60</v>
      </c>
      <c r="E135" s="1" t="s">
        <v>996</v>
      </c>
      <c r="F135" s="1">
        <v>37</v>
      </c>
      <c r="G135" s="1">
        <v>37</v>
      </c>
      <c r="H135" s="1">
        <v>0</v>
      </c>
      <c r="I135" s="1">
        <v>2095</v>
      </c>
      <c r="J135" s="1">
        <v>2058</v>
      </c>
      <c r="K135" s="1">
        <v>37</v>
      </c>
    </row>
    <row r="136" spans="3:11" x14ac:dyDescent="0.25">
      <c r="C136" s="1" t="s">
        <v>2497</v>
      </c>
      <c r="D136" s="1" t="s">
        <v>796</v>
      </c>
      <c r="E136" s="1" t="s">
        <v>2498</v>
      </c>
      <c r="F136" s="1">
        <v>0</v>
      </c>
      <c r="G136" s="1">
        <v>0</v>
      </c>
      <c r="H136" s="1">
        <v>0</v>
      </c>
      <c r="I136" s="1">
        <v>2092</v>
      </c>
      <c r="J136" s="1">
        <v>2092</v>
      </c>
      <c r="K136" s="1">
        <v>0</v>
      </c>
    </row>
    <row r="137" spans="3:11" x14ac:dyDescent="0.25">
      <c r="C137" s="1" t="s">
        <v>980</v>
      </c>
      <c r="D137" s="1" t="s">
        <v>981</v>
      </c>
      <c r="E137" s="1" t="s">
        <v>982</v>
      </c>
      <c r="F137" s="1">
        <v>0</v>
      </c>
      <c r="G137" s="1">
        <v>0</v>
      </c>
      <c r="H137" s="1">
        <v>0</v>
      </c>
      <c r="I137" s="1">
        <v>2082</v>
      </c>
      <c r="J137" s="1">
        <v>2082</v>
      </c>
      <c r="K137" s="1">
        <v>0</v>
      </c>
    </row>
    <row r="138" spans="3:11" x14ac:dyDescent="0.25">
      <c r="C138" s="1" t="s">
        <v>2499</v>
      </c>
      <c r="D138" s="1" t="s">
        <v>430</v>
      </c>
      <c r="E138" s="1" t="s">
        <v>2500</v>
      </c>
      <c r="F138" s="1">
        <v>17</v>
      </c>
      <c r="G138" s="1">
        <v>17</v>
      </c>
      <c r="H138" s="1">
        <v>0</v>
      </c>
      <c r="I138" s="1">
        <v>2076</v>
      </c>
      <c r="J138" s="1">
        <v>2059</v>
      </c>
      <c r="K138" s="1">
        <v>17</v>
      </c>
    </row>
    <row r="139" spans="3:11" x14ac:dyDescent="0.25">
      <c r="C139" s="1" t="s">
        <v>2523</v>
      </c>
      <c r="D139" s="1" t="s">
        <v>799</v>
      </c>
      <c r="E139" s="1" t="s">
        <v>2524</v>
      </c>
      <c r="F139" s="1">
        <v>246</v>
      </c>
      <c r="G139" s="1">
        <v>246</v>
      </c>
      <c r="H139" s="1">
        <v>0</v>
      </c>
      <c r="I139" s="1">
        <v>2066</v>
      </c>
      <c r="J139" s="1">
        <v>1820</v>
      </c>
      <c r="K139" s="1">
        <v>246</v>
      </c>
    </row>
    <row r="140" spans="3:11" x14ac:dyDescent="0.25">
      <c r="C140" s="1" t="s">
        <v>987</v>
      </c>
      <c r="D140" s="1" t="s">
        <v>79</v>
      </c>
      <c r="E140" s="1" t="s">
        <v>988</v>
      </c>
      <c r="F140" s="1">
        <v>59</v>
      </c>
      <c r="G140" s="1">
        <v>59</v>
      </c>
      <c r="H140" s="1">
        <v>0</v>
      </c>
      <c r="I140" s="1">
        <v>2056</v>
      </c>
      <c r="J140" s="1">
        <v>1997</v>
      </c>
      <c r="K140" s="1">
        <v>59</v>
      </c>
    </row>
    <row r="141" spans="3:11" x14ac:dyDescent="0.25">
      <c r="C141" s="1" t="s">
        <v>989</v>
      </c>
      <c r="D141" s="1" t="s">
        <v>990</v>
      </c>
      <c r="E141" s="1" t="s">
        <v>991</v>
      </c>
      <c r="F141" s="1">
        <v>0</v>
      </c>
      <c r="G141" s="1">
        <v>0</v>
      </c>
      <c r="H141" s="1">
        <v>0</v>
      </c>
      <c r="I141" s="1">
        <v>2039</v>
      </c>
      <c r="J141" s="1">
        <v>2039</v>
      </c>
      <c r="K141" s="1">
        <v>0</v>
      </c>
    </row>
    <row r="142" spans="3:11" x14ac:dyDescent="0.25">
      <c r="C142" s="1" t="s">
        <v>2501</v>
      </c>
      <c r="D142" s="1" t="s">
        <v>639</v>
      </c>
      <c r="E142" s="1" t="s">
        <v>2502</v>
      </c>
      <c r="F142" s="1">
        <v>13</v>
      </c>
      <c r="G142" s="1">
        <v>13</v>
      </c>
      <c r="H142" s="1">
        <v>0</v>
      </c>
      <c r="I142" s="1">
        <v>2025</v>
      </c>
      <c r="J142" s="1">
        <v>2012</v>
      </c>
      <c r="K142" s="1">
        <v>13</v>
      </c>
    </row>
    <row r="143" spans="3:11" x14ac:dyDescent="0.25">
      <c r="C143" s="1" t="s">
        <v>993</v>
      </c>
      <c r="D143" s="1" t="s">
        <v>994</v>
      </c>
      <c r="E143" s="1" t="s">
        <v>995</v>
      </c>
      <c r="F143" s="1">
        <v>7</v>
      </c>
      <c r="G143" s="1">
        <v>7</v>
      </c>
      <c r="H143" s="1">
        <v>0</v>
      </c>
      <c r="I143" s="1">
        <v>2014</v>
      </c>
      <c r="J143" s="1">
        <v>2007</v>
      </c>
      <c r="K143" s="1">
        <v>7</v>
      </c>
    </row>
    <row r="144" spans="3:11" x14ac:dyDescent="0.25">
      <c r="C144" s="1" t="s">
        <v>1490</v>
      </c>
      <c r="D144" s="1" t="s">
        <v>156</v>
      </c>
      <c r="E144" s="1" t="s">
        <v>1491</v>
      </c>
      <c r="F144" s="1">
        <v>289</v>
      </c>
      <c r="G144" s="1">
        <v>289</v>
      </c>
      <c r="H144" s="1">
        <v>0</v>
      </c>
      <c r="I144" s="1">
        <v>2012</v>
      </c>
      <c r="J144" s="1">
        <v>1723</v>
      </c>
      <c r="K144" s="1">
        <v>289</v>
      </c>
    </row>
    <row r="145" spans="3:11" x14ac:dyDescent="0.25">
      <c r="C145" s="1" t="s">
        <v>2503</v>
      </c>
      <c r="D145" s="1" t="s">
        <v>428</v>
      </c>
      <c r="E145" s="1" t="s">
        <v>2504</v>
      </c>
      <c r="F145" s="1">
        <v>115</v>
      </c>
      <c r="G145" s="1">
        <v>115</v>
      </c>
      <c r="H145" s="1">
        <v>0</v>
      </c>
      <c r="I145" s="1">
        <v>1994</v>
      </c>
      <c r="J145" s="1">
        <v>1879</v>
      </c>
      <c r="K145" s="1">
        <v>115</v>
      </c>
    </row>
    <row r="146" spans="3:11" x14ac:dyDescent="0.25">
      <c r="C146" s="1" t="s">
        <v>1004</v>
      </c>
      <c r="D146" s="1" t="s">
        <v>63</v>
      </c>
      <c r="E146" s="1" t="s">
        <v>1005</v>
      </c>
      <c r="F146" s="1">
        <v>65</v>
      </c>
      <c r="G146" s="1">
        <v>65</v>
      </c>
      <c r="H146" s="1">
        <v>0</v>
      </c>
      <c r="I146" s="1">
        <v>1984</v>
      </c>
      <c r="J146" s="1">
        <v>1919</v>
      </c>
      <c r="K146" s="1">
        <v>65</v>
      </c>
    </row>
    <row r="147" spans="3:11" x14ac:dyDescent="0.25">
      <c r="C147" s="1" t="s">
        <v>999</v>
      </c>
      <c r="D147" s="1" t="s">
        <v>62</v>
      </c>
      <c r="E147" s="1" t="s">
        <v>1000</v>
      </c>
      <c r="F147" s="1">
        <v>5</v>
      </c>
      <c r="G147" s="1">
        <v>5</v>
      </c>
      <c r="H147" s="1">
        <v>0</v>
      </c>
      <c r="I147" s="1">
        <v>1981</v>
      </c>
      <c r="J147" s="1">
        <v>1976</v>
      </c>
      <c r="K147" s="1">
        <v>5</v>
      </c>
    </row>
    <row r="148" spans="3:11" x14ac:dyDescent="0.25">
      <c r="C148" s="1" t="s">
        <v>1001</v>
      </c>
      <c r="D148" s="1" t="s">
        <v>1002</v>
      </c>
      <c r="E148" s="1" t="s">
        <v>1003</v>
      </c>
      <c r="F148" s="1">
        <v>0</v>
      </c>
      <c r="G148" s="1">
        <v>0</v>
      </c>
      <c r="H148" s="1">
        <v>0</v>
      </c>
      <c r="I148" s="1">
        <v>1972</v>
      </c>
      <c r="J148" s="1">
        <v>1972</v>
      </c>
      <c r="K148" s="1">
        <v>0</v>
      </c>
    </row>
    <row r="149" spans="3:11" x14ac:dyDescent="0.25">
      <c r="C149" s="1" t="s">
        <v>2505</v>
      </c>
      <c r="D149" s="1" t="s">
        <v>2506</v>
      </c>
      <c r="E149" s="1" t="s">
        <v>2505</v>
      </c>
      <c r="F149" s="1">
        <v>0</v>
      </c>
      <c r="G149" s="1">
        <v>0</v>
      </c>
      <c r="H149" s="1">
        <v>0</v>
      </c>
      <c r="I149" s="1">
        <v>1967</v>
      </c>
      <c r="J149" s="1">
        <v>1967</v>
      </c>
      <c r="K149" s="1">
        <v>0</v>
      </c>
    </row>
    <row r="150" spans="3:11" x14ac:dyDescent="0.25">
      <c r="C150" s="1" t="s">
        <v>1068</v>
      </c>
      <c r="D150" s="1" t="s">
        <v>83</v>
      </c>
      <c r="E150" s="1" t="s">
        <v>1069</v>
      </c>
      <c r="F150" s="1">
        <v>188</v>
      </c>
      <c r="G150" s="1">
        <v>188</v>
      </c>
      <c r="H150" s="1">
        <v>0</v>
      </c>
      <c r="I150" s="1">
        <v>1962</v>
      </c>
      <c r="J150" s="1">
        <v>1774</v>
      </c>
      <c r="K150" s="1">
        <v>188</v>
      </c>
    </row>
    <row r="151" spans="3:11" x14ac:dyDescent="0.25">
      <c r="C151" s="1" t="s">
        <v>1006</v>
      </c>
      <c r="D151" s="1" t="s">
        <v>1007</v>
      </c>
      <c r="E151" s="1" t="s">
        <v>1008</v>
      </c>
      <c r="F151" s="1">
        <v>0</v>
      </c>
      <c r="G151" s="1">
        <v>0</v>
      </c>
      <c r="H151" s="1">
        <v>0</v>
      </c>
      <c r="I151" s="1">
        <v>1955</v>
      </c>
      <c r="J151" s="1">
        <v>1955</v>
      </c>
      <c r="K151" s="1">
        <v>0</v>
      </c>
    </row>
    <row r="152" spans="3:11" x14ac:dyDescent="0.25">
      <c r="C152" s="1" t="s">
        <v>2509</v>
      </c>
      <c r="D152" s="1" t="s">
        <v>640</v>
      </c>
      <c r="E152" s="1" t="s">
        <v>2510</v>
      </c>
      <c r="F152" s="1">
        <v>10</v>
      </c>
      <c r="G152" s="1">
        <v>10</v>
      </c>
      <c r="H152" s="1">
        <v>0</v>
      </c>
      <c r="I152" s="1">
        <v>1914</v>
      </c>
      <c r="J152" s="1">
        <v>1904</v>
      </c>
      <c r="K152" s="1">
        <v>10</v>
      </c>
    </row>
    <row r="153" spans="3:11" x14ac:dyDescent="0.25">
      <c r="C153" s="1" t="s">
        <v>1048</v>
      </c>
      <c r="D153" s="1" t="s">
        <v>77</v>
      </c>
      <c r="E153" s="1" t="s">
        <v>1048</v>
      </c>
      <c r="F153" s="1">
        <v>16</v>
      </c>
      <c r="G153" s="1">
        <v>16</v>
      </c>
      <c r="H153" s="1">
        <v>0</v>
      </c>
      <c r="I153" s="1">
        <v>1886</v>
      </c>
      <c r="J153" s="1">
        <v>1870</v>
      </c>
      <c r="K153" s="1">
        <v>16</v>
      </c>
    </row>
    <row r="154" spans="3:11" x14ac:dyDescent="0.25">
      <c r="C154" s="1" t="s">
        <v>2511</v>
      </c>
      <c r="D154" s="1" t="s">
        <v>599</v>
      </c>
      <c r="E154" s="1" t="s">
        <v>2512</v>
      </c>
      <c r="F154" s="1">
        <v>0</v>
      </c>
      <c r="G154" s="1">
        <v>0</v>
      </c>
      <c r="H154" s="1">
        <v>0</v>
      </c>
      <c r="I154" s="1">
        <v>1880</v>
      </c>
      <c r="J154" s="1">
        <v>1880</v>
      </c>
      <c r="K154" s="1">
        <v>0</v>
      </c>
    </row>
    <row r="155" spans="3:11" x14ac:dyDescent="0.25">
      <c r="C155" s="1" t="s">
        <v>1011</v>
      </c>
      <c r="D155" s="1" t="s">
        <v>64</v>
      </c>
      <c r="E155" s="1" t="s">
        <v>1012</v>
      </c>
      <c r="F155" s="1">
        <v>4</v>
      </c>
      <c r="G155" s="1">
        <v>4</v>
      </c>
      <c r="H155" s="1">
        <v>0</v>
      </c>
      <c r="I155" s="1">
        <v>1877</v>
      </c>
      <c r="J155" s="1">
        <v>1873</v>
      </c>
      <c r="K155" s="1">
        <v>4</v>
      </c>
    </row>
    <row r="156" spans="3:11" x14ac:dyDescent="0.25">
      <c r="C156" s="1" t="s">
        <v>2513</v>
      </c>
      <c r="D156" s="1" t="s">
        <v>431</v>
      </c>
      <c r="E156" s="1" t="s">
        <v>2514</v>
      </c>
      <c r="F156" s="1">
        <v>106</v>
      </c>
      <c r="G156" s="1">
        <v>106</v>
      </c>
      <c r="H156" s="1">
        <v>0</v>
      </c>
      <c r="I156" s="1">
        <v>1871</v>
      </c>
      <c r="J156" s="1">
        <v>1765</v>
      </c>
      <c r="K156" s="1">
        <v>106</v>
      </c>
    </row>
    <row r="157" spans="3:11" x14ac:dyDescent="0.25">
      <c r="C157" s="1" t="s">
        <v>1013</v>
      </c>
      <c r="D157" s="1" t="s">
        <v>1014</v>
      </c>
      <c r="E157" s="1" t="s">
        <v>1015</v>
      </c>
      <c r="F157" s="1">
        <v>0</v>
      </c>
      <c r="G157" s="1">
        <v>0</v>
      </c>
      <c r="H157" s="1">
        <v>0</v>
      </c>
      <c r="I157" s="1">
        <v>1869</v>
      </c>
      <c r="J157" s="1">
        <v>1869</v>
      </c>
      <c r="K157" s="1">
        <v>0</v>
      </c>
    </row>
    <row r="158" spans="3:11" x14ac:dyDescent="0.25">
      <c r="C158" s="1" t="s">
        <v>2515</v>
      </c>
      <c r="D158" s="1" t="s">
        <v>2516</v>
      </c>
      <c r="E158" s="1" t="s">
        <v>2517</v>
      </c>
      <c r="F158" s="1">
        <v>15</v>
      </c>
      <c r="G158" s="1">
        <v>15</v>
      </c>
      <c r="H158" s="1">
        <v>0</v>
      </c>
      <c r="I158" s="1">
        <v>1821</v>
      </c>
      <c r="J158" s="1">
        <v>1806</v>
      </c>
      <c r="K158" s="1">
        <v>15</v>
      </c>
    </row>
    <row r="159" spans="3:11" x14ac:dyDescent="0.25">
      <c r="C159" s="1" t="s">
        <v>2525</v>
      </c>
      <c r="D159" s="1" t="s">
        <v>435</v>
      </c>
      <c r="E159" s="1" t="s">
        <v>2526</v>
      </c>
      <c r="F159" s="1">
        <v>90</v>
      </c>
      <c r="G159" s="1">
        <v>90</v>
      </c>
      <c r="H159" s="1">
        <v>0</v>
      </c>
      <c r="I159" s="1">
        <v>1808</v>
      </c>
      <c r="J159" s="1">
        <v>1718</v>
      </c>
      <c r="K159" s="1">
        <v>90</v>
      </c>
    </row>
    <row r="160" spans="3:11" x14ac:dyDescent="0.25">
      <c r="C160" s="1" t="s">
        <v>2518</v>
      </c>
      <c r="D160" s="1" t="s">
        <v>438</v>
      </c>
      <c r="E160" s="1" t="s">
        <v>2519</v>
      </c>
      <c r="F160" s="1">
        <v>2</v>
      </c>
      <c r="G160" s="1">
        <v>2</v>
      </c>
      <c r="H160" s="1">
        <v>0</v>
      </c>
      <c r="I160" s="1">
        <v>1792</v>
      </c>
      <c r="J160" s="1">
        <v>1790</v>
      </c>
      <c r="K160" s="1">
        <v>2</v>
      </c>
    </row>
    <row r="161" spans="3:11" x14ac:dyDescent="0.25">
      <c r="C161" s="1" t="s">
        <v>1018</v>
      </c>
      <c r="D161" s="1" t="s">
        <v>1019</v>
      </c>
      <c r="E161" s="1" t="s">
        <v>1020</v>
      </c>
      <c r="F161" s="1">
        <v>0</v>
      </c>
      <c r="G161" s="1">
        <v>0</v>
      </c>
      <c r="H161" s="1">
        <v>0</v>
      </c>
      <c r="I161" s="1">
        <v>1776</v>
      </c>
      <c r="J161" s="1">
        <v>1776</v>
      </c>
      <c r="K161" s="1">
        <v>0</v>
      </c>
    </row>
    <row r="162" spans="3:11" x14ac:dyDescent="0.25">
      <c r="C162" s="1" t="s">
        <v>1021</v>
      </c>
      <c r="D162" s="1" t="s">
        <v>1022</v>
      </c>
      <c r="E162" s="1" t="s">
        <v>1023</v>
      </c>
      <c r="F162" s="1">
        <v>0</v>
      </c>
      <c r="G162" s="1">
        <v>0</v>
      </c>
      <c r="H162" s="1">
        <v>0</v>
      </c>
      <c r="I162" s="1">
        <v>1774</v>
      </c>
      <c r="J162" s="1">
        <v>1774</v>
      </c>
      <c r="K162" s="1">
        <v>0</v>
      </c>
    </row>
    <row r="163" spans="3:11" x14ac:dyDescent="0.25">
      <c r="C163" s="1" t="s">
        <v>1024</v>
      </c>
      <c r="D163" s="1" t="s">
        <v>73</v>
      </c>
      <c r="E163" s="1" t="s">
        <v>1025</v>
      </c>
      <c r="F163" s="1">
        <v>9</v>
      </c>
      <c r="G163" s="1">
        <v>9</v>
      </c>
      <c r="H163" s="1">
        <v>0</v>
      </c>
      <c r="I163" s="1">
        <v>1769</v>
      </c>
      <c r="J163" s="1">
        <v>1760</v>
      </c>
      <c r="K163" s="1">
        <v>9</v>
      </c>
    </row>
    <row r="164" spans="3:11" x14ac:dyDescent="0.25">
      <c r="C164" s="1" t="s">
        <v>2181</v>
      </c>
      <c r="D164" s="1" t="s">
        <v>2060</v>
      </c>
      <c r="E164" s="1" t="s">
        <v>2182</v>
      </c>
      <c r="F164" s="1">
        <v>1195</v>
      </c>
      <c r="G164" s="1">
        <v>1195</v>
      </c>
      <c r="H164" s="1">
        <v>0</v>
      </c>
      <c r="I164" s="1">
        <v>1765</v>
      </c>
      <c r="J164" s="1">
        <v>570</v>
      </c>
      <c r="K164" s="1">
        <v>1195</v>
      </c>
    </row>
    <row r="165" spans="3:11" x14ac:dyDescent="0.25">
      <c r="C165" s="1" t="s">
        <v>2520</v>
      </c>
      <c r="D165" s="1" t="s">
        <v>2521</v>
      </c>
      <c r="E165" s="1" t="s">
        <v>2522</v>
      </c>
      <c r="F165" s="1">
        <v>0</v>
      </c>
      <c r="G165" s="1">
        <v>0</v>
      </c>
      <c r="H165" s="1">
        <v>0</v>
      </c>
      <c r="I165" s="1">
        <v>1755</v>
      </c>
      <c r="J165" s="1">
        <v>1755</v>
      </c>
      <c r="K165" s="1">
        <v>0</v>
      </c>
    </row>
    <row r="166" spans="3:11" x14ac:dyDescent="0.25">
      <c r="C166" s="1" t="s">
        <v>1026</v>
      </c>
      <c r="D166" s="1" t="s">
        <v>67</v>
      </c>
      <c r="E166" s="1" t="s">
        <v>1027</v>
      </c>
      <c r="F166" s="1">
        <v>13</v>
      </c>
      <c r="G166" s="1">
        <v>13</v>
      </c>
      <c r="H166" s="1">
        <v>0</v>
      </c>
      <c r="I166" s="1">
        <v>1753</v>
      </c>
      <c r="J166" s="1">
        <v>1740</v>
      </c>
      <c r="K166" s="1">
        <v>13</v>
      </c>
    </row>
    <row r="167" spans="3:11" x14ac:dyDescent="0.25">
      <c r="C167" s="1" t="s">
        <v>1041</v>
      </c>
      <c r="D167" s="1" t="s">
        <v>75</v>
      </c>
      <c r="E167" s="1" t="s">
        <v>1042</v>
      </c>
      <c r="F167" s="1">
        <v>0</v>
      </c>
      <c r="G167" s="1">
        <v>0</v>
      </c>
      <c r="H167" s="1">
        <v>0</v>
      </c>
      <c r="I167" s="1">
        <v>1747</v>
      </c>
      <c r="J167" s="1">
        <v>1747</v>
      </c>
      <c r="K167" s="1">
        <v>0</v>
      </c>
    </row>
    <row r="168" spans="3:11" x14ac:dyDescent="0.25">
      <c r="C168" s="1" t="s">
        <v>1028</v>
      </c>
      <c r="D168" s="1" t="s">
        <v>69</v>
      </c>
      <c r="E168" s="1" t="s">
        <v>1029</v>
      </c>
      <c r="F168" s="1">
        <v>261</v>
      </c>
      <c r="G168" s="1">
        <v>261</v>
      </c>
      <c r="H168" s="1">
        <v>0</v>
      </c>
      <c r="I168" s="1">
        <v>1744</v>
      </c>
      <c r="J168" s="1">
        <v>1483</v>
      </c>
      <c r="K168" s="1">
        <v>261</v>
      </c>
    </row>
    <row r="169" spans="3:11" x14ac:dyDescent="0.25">
      <c r="C169" s="1" t="s">
        <v>1030</v>
      </c>
      <c r="D169" s="1" t="s">
        <v>70</v>
      </c>
      <c r="E169" s="1" t="s">
        <v>1031</v>
      </c>
      <c r="F169" s="1">
        <v>622</v>
      </c>
      <c r="G169" s="1">
        <v>622</v>
      </c>
      <c r="H169" s="1">
        <v>0</v>
      </c>
      <c r="I169" s="1">
        <v>1734</v>
      </c>
      <c r="J169" s="1">
        <v>1112</v>
      </c>
      <c r="K169" s="1">
        <v>622</v>
      </c>
    </row>
    <row r="170" spans="3:11" x14ac:dyDescent="0.25">
      <c r="C170" s="1" t="s">
        <v>1053</v>
      </c>
      <c r="D170" s="1" t="s">
        <v>80</v>
      </c>
      <c r="E170" s="1" t="s">
        <v>1054</v>
      </c>
      <c r="F170" s="1">
        <v>71</v>
      </c>
      <c r="G170" s="1">
        <v>71</v>
      </c>
      <c r="H170" s="1">
        <v>0</v>
      </c>
      <c r="I170" s="1">
        <v>1718</v>
      </c>
      <c r="J170" s="1">
        <v>1647</v>
      </c>
      <c r="K170" s="1">
        <v>71</v>
      </c>
    </row>
    <row r="171" spans="3:11" x14ac:dyDescent="0.25">
      <c r="C171" s="1" t="s">
        <v>1049</v>
      </c>
      <c r="D171" s="1" t="s">
        <v>86</v>
      </c>
      <c r="E171" s="1" t="s">
        <v>1050</v>
      </c>
      <c r="F171" s="1">
        <v>37</v>
      </c>
      <c r="G171" s="1">
        <v>37</v>
      </c>
      <c r="H171" s="1">
        <v>0</v>
      </c>
      <c r="I171" s="1">
        <v>1703</v>
      </c>
      <c r="J171" s="1">
        <v>1666</v>
      </c>
      <c r="K171" s="1">
        <v>37</v>
      </c>
    </row>
    <row r="172" spans="3:11" x14ac:dyDescent="0.25">
      <c r="C172" s="1" t="s">
        <v>1034</v>
      </c>
      <c r="D172" s="1" t="s">
        <v>1035</v>
      </c>
      <c r="E172" s="1" t="s">
        <v>1036</v>
      </c>
      <c r="F172" s="1">
        <v>0</v>
      </c>
      <c r="G172" s="1">
        <v>0</v>
      </c>
      <c r="H172" s="1">
        <v>0</v>
      </c>
      <c r="I172" s="1">
        <v>1699</v>
      </c>
      <c r="J172" s="1">
        <v>1699</v>
      </c>
      <c r="K172" s="1">
        <v>0</v>
      </c>
    </row>
    <row r="173" spans="3:11" x14ac:dyDescent="0.25">
      <c r="C173" s="1" t="s">
        <v>2527</v>
      </c>
      <c r="D173" s="1" t="s">
        <v>2528</v>
      </c>
      <c r="E173" s="1" t="s">
        <v>2529</v>
      </c>
      <c r="F173" s="1">
        <v>3</v>
      </c>
      <c r="G173" s="1">
        <v>3</v>
      </c>
      <c r="H173" s="1">
        <v>0</v>
      </c>
      <c r="I173" s="1">
        <v>1696</v>
      </c>
      <c r="J173" s="1">
        <v>1693</v>
      </c>
      <c r="K173" s="1">
        <v>3</v>
      </c>
    </row>
    <row r="174" spans="3:11" x14ac:dyDescent="0.25">
      <c r="C174" s="1" t="s">
        <v>1075</v>
      </c>
      <c r="D174" s="1" t="s">
        <v>85</v>
      </c>
      <c r="E174" s="1" t="s">
        <v>1076</v>
      </c>
      <c r="F174" s="1">
        <v>313</v>
      </c>
      <c r="G174" s="1">
        <v>313</v>
      </c>
      <c r="H174" s="1">
        <v>0</v>
      </c>
      <c r="I174" s="1">
        <v>1682</v>
      </c>
      <c r="J174" s="1">
        <v>1369</v>
      </c>
      <c r="K174" s="1">
        <v>313</v>
      </c>
    </row>
    <row r="175" spans="3:11" x14ac:dyDescent="0.25">
      <c r="C175" s="1" t="s">
        <v>2322</v>
      </c>
      <c r="D175" s="1" t="s">
        <v>2323</v>
      </c>
      <c r="E175" s="1" t="s">
        <v>2324</v>
      </c>
      <c r="F175" s="1">
        <v>3</v>
      </c>
      <c r="G175" s="1">
        <v>3</v>
      </c>
      <c r="H175" s="1">
        <v>0</v>
      </c>
      <c r="I175" s="1">
        <v>1667</v>
      </c>
      <c r="J175" s="1">
        <v>1664</v>
      </c>
      <c r="K175" s="1">
        <v>3</v>
      </c>
    </row>
    <row r="176" spans="3:11" x14ac:dyDescent="0.25">
      <c r="C176" s="1" t="s">
        <v>1057</v>
      </c>
      <c r="D176" s="1" t="s">
        <v>82</v>
      </c>
      <c r="E176" s="1" t="s">
        <v>1058</v>
      </c>
      <c r="F176" s="1">
        <v>262</v>
      </c>
      <c r="G176" s="1">
        <v>262</v>
      </c>
      <c r="H176" s="1">
        <v>0</v>
      </c>
      <c r="I176" s="1">
        <v>1666</v>
      </c>
      <c r="J176" s="1">
        <v>1404</v>
      </c>
      <c r="K176" s="1">
        <v>262</v>
      </c>
    </row>
    <row r="177" spans="3:11" x14ac:dyDescent="0.25">
      <c r="C177" s="1" t="s">
        <v>2530</v>
      </c>
      <c r="D177" s="1" t="s">
        <v>641</v>
      </c>
      <c r="E177" s="1" t="s">
        <v>2531</v>
      </c>
      <c r="F177" s="1">
        <v>0</v>
      </c>
      <c r="G177" s="1">
        <v>0</v>
      </c>
      <c r="H177" s="1">
        <v>0</v>
      </c>
      <c r="I177" s="1">
        <v>1654</v>
      </c>
      <c r="J177" s="1">
        <v>1654</v>
      </c>
      <c r="K177" s="1">
        <v>0</v>
      </c>
    </row>
    <row r="178" spans="3:11" x14ac:dyDescent="0.25">
      <c r="C178" s="1" t="s">
        <v>2532</v>
      </c>
      <c r="D178" s="1" t="s">
        <v>814</v>
      </c>
      <c r="E178" s="1" t="s">
        <v>2533</v>
      </c>
      <c r="F178" s="1">
        <v>8</v>
      </c>
      <c r="G178" s="1">
        <v>8</v>
      </c>
      <c r="H178" s="1">
        <v>0</v>
      </c>
      <c r="I178" s="1">
        <v>1636</v>
      </c>
      <c r="J178" s="1">
        <v>1628</v>
      </c>
      <c r="K178" s="1">
        <v>8</v>
      </c>
    </row>
    <row r="179" spans="3:11" x14ac:dyDescent="0.25">
      <c r="C179" s="1" t="s">
        <v>2534</v>
      </c>
      <c r="D179" s="1" t="s">
        <v>2535</v>
      </c>
      <c r="E179" s="1" t="s">
        <v>2536</v>
      </c>
      <c r="F179" s="1">
        <v>8</v>
      </c>
      <c r="G179" s="1">
        <v>8</v>
      </c>
      <c r="H179" s="1">
        <v>0</v>
      </c>
      <c r="I179" s="1">
        <v>1617</v>
      </c>
      <c r="J179" s="1">
        <v>1609</v>
      </c>
      <c r="K179" s="1">
        <v>8</v>
      </c>
    </row>
    <row r="180" spans="3:11" x14ac:dyDescent="0.25">
      <c r="C180" s="1" t="s">
        <v>2537</v>
      </c>
      <c r="D180" s="1" t="s">
        <v>436</v>
      </c>
      <c r="E180" s="1" t="s">
        <v>2538</v>
      </c>
      <c r="F180" s="1">
        <v>1</v>
      </c>
      <c r="G180" s="1">
        <v>1</v>
      </c>
      <c r="H180" s="1">
        <v>0</v>
      </c>
      <c r="I180" s="1">
        <v>1617</v>
      </c>
      <c r="J180" s="1">
        <v>1616</v>
      </c>
      <c r="K180" s="1">
        <v>1</v>
      </c>
    </row>
    <row r="181" spans="3:11" x14ac:dyDescent="0.25">
      <c r="C181" s="1" t="s">
        <v>1037</v>
      </c>
      <c r="D181" s="1" t="s">
        <v>72</v>
      </c>
      <c r="E181" s="1" t="s">
        <v>1038</v>
      </c>
      <c r="F181" s="1">
        <v>0</v>
      </c>
      <c r="G181" s="1">
        <v>0</v>
      </c>
      <c r="H181" s="1">
        <v>0</v>
      </c>
      <c r="I181" s="1">
        <v>1614</v>
      </c>
      <c r="J181" s="1">
        <v>1614</v>
      </c>
      <c r="K181" s="1">
        <v>0</v>
      </c>
    </row>
    <row r="182" spans="3:11" x14ac:dyDescent="0.25">
      <c r="C182" s="1" t="s">
        <v>2539</v>
      </c>
      <c r="D182" s="1" t="s">
        <v>795</v>
      </c>
      <c r="E182" s="1" t="s">
        <v>2540</v>
      </c>
      <c r="F182" s="1">
        <v>0</v>
      </c>
      <c r="G182" s="1">
        <v>0</v>
      </c>
      <c r="H182" s="1">
        <v>0</v>
      </c>
      <c r="I182" s="1">
        <v>1599</v>
      </c>
      <c r="J182" s="1">
        <v>1599</v>
      </c>
      <c r="K182" s="1">
        <v>0</v>
      </c>
    </row>
    <row r="183" spans="3:11" x14ac:dyDescent="0.25">
      <c r="C183" s="1" t="s">
        <v>1045</v>
      </c>
      <c r="D183" s="1" t="s">
        <v>1046</v>
      </c>
      <c r="E183" s="1" t="s">
        <v>1047</v>
      </c>
      <c r="F183" s="1">
        <v>0</v>
      </c>
      <c r="G183" s="1">
        <v>0</v>
      </c>
      <c r="H183" s="1">
        <v>0</v>
      </c>
      <c r="I183" s="1">
        <v>1590</v>
      </c>
      <c r="J183" s="1">
        <v>1590</v>
      </c>
      <c r="K183" s="1">
        <v>0</v>
      </c>
    </row>
    <row r="184" spans="3:11" x14ac:dyDescent="0.25">
      <c r="C184" s="1" t="s">
        <v>2541</v>
      </c>
      <c r="D184" s="1" t="s">
        <v>2169</v>
      </c>
      <c r="E184" s="1" t="s">
        <v>2542</v>
      </c>
      <c r="F184" s="1">
        <v>398</v>
      </c>
      <c r="G184" s="1">
        <v>398</v>
      </c>
      <c r="H184" s="1">
        <v>0</v>
      </c>
      <c r="I184" s="1">
        <v>1587</v>
      </c>
      <c r="J184" s="1">
        <v>1189</v>
      </c>
      <c r="K184" s="1">
        <v>398</v>
      </c>
    </row>
    <row r="185" spans="3:11" x14ac:dyDescent="0.25">
      <c r="C185" s="1" t="s">
        <v>2543</v>
      </c>
      <c r="D185" s="1" t="s">
        <v>602</v>
      </c>
      <c r="E185" s="1" t="s">
        <v>2544</v>
      </c>
      <c r="F185" s="1">
        <v>68</v>
      </c>
      <c r="G185" s="1">
        <v>68</v>
      </c>
      <c r="H185" s="1">
        <v>0</v>
      </c>
      <c r="I185" s="1">
        <v>1568</v>
      </c>
      <c r="J185" s="1">
        <v>1500</v>
      </c>
      <c r="K185" s="1">
        <v>68</v>
      </c>
    </row>
    <row r="186" spans="3:11" x14ac:dyDescent="0.25">
      <c r="C186" s="1" t="s">
        <v>2545</v>
      </c>
      <c r="D186" s="1" t="s">
        <v>437</v>
      </c>
      <c r="E186" s="1" t="s">
        <v>2546</v>
      </c>
      <c r="F186" s="1">
        <v>1</v>
      </c>
      <c r="G186" s="1">
        <v>1</v>
      </c>
      <c r="H186" s="1">
        <v>0</v>
      </c>
      <c r="I186" s="1">
        <v>1563</v>
      </c>
      <c r="J186" s="1">
        <v>1562</v>
      </c>
      <c r="K186" s="1">
        <v>1</v>
      </c>
    </row>
    <row r="187" spans="3:11" x14ac:dyDescent="0.25">
      <c r="C187" s="1" t="s">
        <v>2593</v>
      </c>
      <c r="D187" s="1" t="s">
        <v>810</v>
      </c>
      <c r="E187" s="1" t="s">
        <v>2594</v>
      </c>
      <c r="F187" s="1">
        <v>181</v>
      </c>
      <c r="G187" s="1">
        <v>181</v>
      </c>
      <c r="H187" s="1">
        <v>0</v>
      </c>
      <c r="I187" s="1">
        <v>1549</v>
      </c>
      <c r="J187" s="1">
        <v>1368</v>
      </c>
      <c r="K187" s="1">
        <v>181</v>
      </c>
    </row>
    <row r="188" spans="3:11" x14ac:dyDescent="0.25">
      <c r="C188" s="1" t="s">
        <v>2547</v>
      </c>
      <c r="D188" s="1" t="s">
        <v>839</v>
      </c>
      <c r="E188" s="1" t="s">
        <v>2548</v>
      </c>
      <c r="F188" s="1">
        <v>23</v>
      </c>
      <c r="G188" s="1">
        <v>23</v>
      </c>
      <c r="H188" s="1">
        <v>0</v>
      </c>
      <c r="I188" s="1">
        <v>1544</v>
      </c>
      <c r="J188" s="1">
        <v>1521</v>
      </c>
      <c r="K188" s="1">
        <v>23</v>
      </c>
    </row>
    <row r="189" spans="3:11" x14ac:dyDescent="0.25">
      <c r="C189" s="1" t="s">
        <v>2549</v>
      </c>
      <c r="D189" s="1" t="s">
        <v>2550</v>
      </c>
      <c r="E189" s="1" t="s">
        <v>2551</v>
      </c>
      <c r="F189" s="1">
        <v>0</v>
      </c>
      <c r="G189" s="1">
        <v>0</v>
      </c>
      <c r="H189" s="1">
        <v>0</v>
      </c>
      <c r="I189" s="1">
        <v>1528</v>
      </c>
      <c r="J189" s="1">
        <v>1528</v>
      </c>
      <c r="K189" s="1">
        <v>0</v>
      </c>
    </row>
    <row r="190" spans="3:11" x14ac:dyDescent="0.25">
      <c r="C190" s="1" t="s">
        <v>1051</v>
      </c>
      <c r="D190" s="1" t="s">
        <v>78</v>
      </c>
      <c r="E190" s="1" t="s">
        <v>1052</v>
      </c>
      <c r="F190" s="1">
        <v>12</v>
      </c>
      <c r="G190" s="1">
        <v>12</v>
      </c>
      <c r="H190" s="1">
        <v>0</v>
      </c>
      <c r="I190" s="1">
        <v>1523</v>
      </c>
      <c r="J190" s="1">
        <v>1511</v>
      </c>
      <c r="K190" s="1">
        <v>12</v>
      </c>
    </row>
    <row r="191" spans="3:11" x14ac:dyDescent="0.25">
      <c r="C191" s="1" t="s">
        <v>2552</v>
      </c>
      <c r="D191" s="1" t="s">
        <v>2553</v>
      </c>
      <c r="E191" s="1" t="s">
        <v>2554</v>
      </c>
      <c r="F191" s="1">
        <v>0</v>
      </c>
      <c r="G191" s="1">
        <v>0</v>
      </c>
      <c r="H191" s="1">
        <v>0</v>
      </c>
      <c r="I191" s="1">
        <v>1519</v>
      </c>
      <c r="J191" s="1">
        <v>1519</v>
      </c>
      <c r="K191" s="1">
        <v>0</v>
      </c>
    </row>
    <row r="192" spans="3:11" x14ac:dyDescent="0.25">
      <c r="C192" s="1" t="s">
        <v>2555</v>
      </c>
      <c r="D192" s="1" t="s">
        <v>2556</v>
      </c>
      <c r="E192" s="1" t="s">
        <v>2557</v>
      </c>
      <c r="F192" s="1">
        <v>1</v>
      </c>
      <c r="G192" s="1">
        <v>1</v>
      </c>
      <c r="H192" s="1">
        <v>0</v>
      </c>
      <c r="I192" s="1">
        <v>1517</v>
      </c>
      <c r="J192" s="1">
        <v>1516</v>
      </c>
      <c r="K192" s="1">
        <v>1</v>
      </c>
    </row>
    <row r="193" spans="3:11" x14ac:dyDescent="0.25">
      <c r="C193" s="1" t="s">
        <v>2558</v>
      </c>
      <c r="D193" s="1" t="s">
        <v>2036</v>
      </c>
      <c r="E193" s="1" t="s">
        <v>2559</v>
      </c>
      <c r="F193" s="1">
        <v>381</v>
      </c>
      <c r="G193" s="1">
        <v>381</v>
      </c>
      <c r="H193" s="1">
        <v>0</v>
      </c>
      <c r="I193" s="1">
        <v>1494</v>
      </c>
      <c r="J193" s="1">
        <v>1113</v>
      </c>
      <c r="K193" s="1">
        <v>381</v>
      </c>
    </row>
    <row r="194" spans="3:11" x14ac:dyDescent="0.25">
      <c r="C194" s="1" t="s">
        <v>2560</v>
      </c>
      <c r="D194" s="1" t="s">
        <v>642</v>
      </c>
      <c r="E194" s="1" t="s">
        <v>2561</v>
      </c>
      <c r="F194" s="1">
        <v>17</v>
      </c>
      <c r="G194" s="1">
        <v>17</v>
      </c>
      <c r="H194" s="1">
        <v>0</v>
      </c>
      <c r="I194" s="1">
        <v>1485</v>
      </c>
      <c r="J194" s="1">
        <v>1468</v>
      </c>
      <c r="K194" s="1">
        <v>17</v>
      </c>
    </row>
    <row r="195" spans="3:11" x14ac:dyDescent="0.25">
      <c r="C195" s="1" t="s">
        <v>2562</v>
      </c>
      <c r="D195" s="1" t="s">
        <v>439</v>
      </c>
      <c r="E195" s="1" t="s">
        <v>2563</v>
      </c>
      <c r="F195" s="1">
        <v>167</v>
      </c>
      <c r="G195" s="1">
        <v>167</v>
      </c>
      <c r="H195" s="1">
        <v>0</v>
      </c>
      <c r="I195" s="1">
        <v>1484</v>
      </c>
      <c r="J195" s="1">
        <v>1317</v>
      </c>
      <c r="K195" s="1">
        <v>167</v>
      </c>
    </row>
    <row r="196" spans="3:11" x14ac:dyDescent="0.25">
      <c r="C196" s="1" t="s">
        <v>1101</v>
      </c>
      <c r="D196" s="1" t="s">
        <v>88</v>
      </c>
      <c r="E196" s="1" t="s">
        <v>1102</v>
      </c>
      <c r="F196" s="1">
        <v>231</v>
      </c>
      <c r="G196" s="1">
        <v>231</v>
      </c>
      <c r="H196" s="1">
        <v>0</v>
      </c>
      <c r="I196" s="1">
        <v>1479</v>
      </c>
      <c r="J196" s="1">
        <v>1248</v>
      </c>
      <c r="K196" s="1">
        <v>231</v>
      </c>
    </row>
    <row r="197" spans="3:11" x14ac:dyDescent="0.25">
      <c r="C197" s="1" t="s">
        <v>2564</v>
      </c>
      <c r="D197" s="1" t="s">
        <v>442</v>
      </c>
      <c r="E197" s="1" t="s">
        <v>2565</v>
      </c>
      <c r="F197" s="1">
        <v>104</v>
      </c>
      <c r="G197" s="1">
        <v>104</v>
      </c>
      <c r="H197" s="1">
        <v>0</v>
      </c>
      <c r="I197" s="1">
        <v>1454</v>
      </c>
      <c r="J197" s="1">
        <v>1350</v>
      </c>
      <c r="K197" s="1">
        <v>104</v>
      </c>
    </row>
    <row r="198" spans="3:11" x14ac:dyDescent="0.25">
      <c r="C198" s="1" t="s">
        <v>2566</v>
      </c>
      <c r="D198" s="1" t="s">
        <v>643</v>
      </c>
      <c r="E198" s="1" t="s">
        <v>2567</v>
      </c>
      <c r="F198" s="1">
        <v>0</v>
      </c>
      <c r="G198" s="1">
        <v>0</v>
      </c>
      <c r="H198" s="1">
        <v>0</v>
      </c>
      <c r="I198" s="1">
        <v>1454</v>
      </c>
      <c r="J198" s="1">
        <v>1454</v>
      </c>
      <c r="K198" s="1">
        <v>0</v>
      </c>
    </row>
    <row r="199" spans="3:11" x14ac:dyDescent="0.25">
      <c r="C199" s="1" t="s">
        <v>2568</v>
      </c>
      <c r="D199" s="1" t="s">
        <v>644</v>
      </c>
      <c r="E199" s="1" t="s">
        <v>2569</v>
      </c>
      <c r="F199" s="1">
        <v>0</v>
      </c>
      <c r="G199" s="1">
        <v>0</v>
      </c>
      <c r="H199" s="1">
        <v>0</v>
      </c>
      <c r="I199" s="1">
        <v>1450</v>
      </c>
      <c r="J199" s="1">
        <v>1450</v>
      </c>
      <c r="K199" s="1">
        <v>0</v>
      </c>
    </row>
    <row r="200" spans="3:11" x14ac:dyDescent="0.25">
      <c r="C200" s="1" t="s">
        <v>1150</v>
      </c>
      <c r="D200" s="1" t="s">
        <v>99</v>
      </c>
      <c r="E200" s="1" t="s">
        <v>1151</v>
      </c>
      <c r="F200" s="1">
        <v>24</v>
      </c>
      <c r="G200" s="1">
        <v>24</v>
      </c>
      <c r="H200" s="1">
        <v>0</v>
      </c>
      <c r="I200" s="1">
        <v>1448</v>
      </c>
      <c r="J200" s="1">
        <v>1424</v>
      </c>
      <c r="K200" s="1">
        <v>24</v>
      </c>
    </row>
    <row r="201" spans="3:11" x14ac:dyDescent="0.25">
      <c r="C201" s="1" t="s">
        <v>1055</v>
      </c>
      <c r="D201" s="1" t="s">
        <v>81</v>
      </c>
      <c r="E201" s="1" t="s">
        <v>1056</v>
      </c>
      <c r="F201" s="1">
        <v>116</v>
      </c>
      <c r="G201" s="1">
        <v>116</v>
      </c>
      <c r="H201" s="1">
        <v>0</v>
      </c>
      <c r="I201" s="1">
        <v>1426</v>
      </c>
      <c r="J201" s="1">
        <v>1310</v>
      </c>
      <c r="K201" s="1">
        <v>116</v>
      </c>
    </row>
    <row r="202" spans="3:11" x14ac:dyDescent="0.25">
      <c r="C202" s="1" t="s">
        <v>1059</v>
      </c>
      <c r="D202" s="1" t="s">
        <v>1060</v>
      </c>
      <c r="E202" s="1" t="s">
        <v>1061</v>
      </c>
      <c r="F202" s="1">
        <v>0</v>
      </c>
      <c r="G202" s="1">
        <v>0</v>
      </c>
      <c r="H202" s="1">
        <v>0</v>
      </c>
      <c r="I202" s="1">
        <v>1405</v>
      </c>
      <c r="J202" s="1">
        <v>1405</v>
      </c>
      <c r="K202" s="1">
        <v>0</v>
      </c>
    </row>
    <row r="203" spans="3:11" x14ac:dyDescent="0.25">
      <c r="C203" s="1" t="s">
        <v>1062</v>
      </c>
      <c r="D203" s="1" t="s">
        <v>1063</v>
      </c>
      <c r="E203" s="1" t="s">
        <v>1064</v>
      </c>
      <c r="F203" s="1">
        <v>0</v>
      </c>
      <c r="G203" s="1">
        <v>0</v>
      </c>
      <c r="H203" s="1">
        <v>0</v>
      </c>
      <c r="I203" s="1">
        <v>1399</v>
      </c>
      <c r="J203" s="1">
        <v>1399</v>
      </c>
      <c r="K203" s="1">
        <v>0</v>
      </c>
    </row>
    <row r="204" spans="3:11" x14ac:dyDescent="0.25">
      <c r="C204" s="1" t="s">
        <v>1262</v>
      </c>
      <c r="D204" s="1" t="s">
        <v>121</v>
      </c>
      <c r="E204" s="1" t="s">
        <v>1263</v>
      </c>
      <c r="F204" s="1">
        <v>388</v>
      </c>
      <c r="G204" s="1">
        <v>388</v>
      </c>
      <c r="H204" s="1">
        <v>0</v>
      </c>
      <c r="I204" s="1">
        <v>1392</v>
      </c>
      <c r="J204" s="1">
        <v>1004</v>
      </c>
      <c r="K204" s="1">
        <v>388</v>
      </c>
    </row>
    <row r="205" spans="3:11" x14ac:dyDescent="0.25">
      <c r="C205" s="1" t="s">
        <v>2673</v>
      </c>
      <c r="D205" s="1" t="s">
        <v>816</v>
      </c>
      <c r="E205" s="1" t="s">
        <v>2674</v>
      </c>
      <c r="F205" s="1">
        <v>588</v>
      </c>
      <c r="G205" s="1">
        <v>588</v>
      </c>
      <c r="H205" s="1">
        <v>0</v>
      </c>
      <c r="I205" s="1">
        <v>1383</v>
      </c>
      <c r="J205" s="1">
        <v>795</v>
      </c>
      <c r="K205" s="1">
        <v>588</v>
      </c>
    </row>
    <row r="206" spans="3:11" x14ac:dyDescent="0.25">
      <c r="C206" s="1" t="s">
        <v>2570</v>
      </c>
      <c r="D206" s="1" t="s">
        <v>440</v>
      </c>
      <c r="E206" s="1" t="s">
        <v>2571</v>
      </c>
      <c r="F206" s="1">
        <v>216</v>
      </c>
      <c r="G206" s="1">
        <v>216</v>
      </c>
      <c r="H206" s="1">
        <v>0</v>
      </c>
      <c r="I206" s="1">
        <v>1375</v>
      </c>
      <c r="J206" s="1">
        <v>1159</v>
      </c>
      <c r="K206" s="1">
        <v>216</v>
      </c>
    </row>
    <row r="207" spans="3:11" x14ac:dyDescent="0.25">
      <c r="C207" s="1" t="s">
        <v>2572</v>
      </c>
      <c r="D207" s="1" t="s">
        <v>441</v>
      </c>
      <c r="E207" s="1" t="s">
        <v>2573</v>
      </c>
      <c r="F207" s="1">
        <v>0</v>
      </c>
      <c r="G207" s="1">
        <v>0</v>
      </c>
      <c r="H207" s="1">
        <v>0</v>
      </c>
      <c r="I207" s="1">
        <v>1366</v>
      </c>
      <c r="J207" s="1">
        <v>1366</v>
      </c>
      <c r="K207" s="1">
        <v>0</v>
      </c>
    </row>
    <row r="208" spans="3:11" x14ac:dyDescent="0.25">
      <c r="C208" s="1" t="s">
        <v>1231</v>
      </c>
      <c r="D208" s="1" t="s">
        <v>116</v>
      </c>
      <c r="E208" s="1" t="s">
        <v>1232</v>
      </c>
      <c r="F208" s="1">
        <v>297</v>
      </c>
      <c r="G208" s="1">
        <v>297</v>
      </c>
      <c r="H208" s="1">
        <v>0</v>
      </c>
      <c r="I208" s="1">
        <v>1366</v>
      </c>
      <c r="J208" s="1">
        <v>1069</v>
      </c>
      <c r="K208" s="1">
        <v>297</v>
      </c>
    </row>
    <row r="209" spans="3:11" x14ac:dyDescent="0.25">
      <c r="C209" s="1" t="s">
        <v>2600</v>
      </c>
      <c r="D209" s="1" t="s">
        <v>805</v>
      </c>
      <c r="E209" s="1" t="s">
        <v>2601</v>
      </c>
      <c r="F209" s="1">
        <v>38</v>
      </c>
      <c r="G209" s="1">
        <v>38</v>
      </c>
      <c r="H209" s="1">
        <v>0</v>
      </c>
      <c r="I209" s="1">
        <v>1354</v>
      </c>
      <c r="J209" s="1">
        <v>1316</v>
      </c>
      <c r="K209" s="1">
        <v>38</v>
      </c>
    </row>
    <row r="210" spans="3:11" x14ac:dyDescent="0.25">
      <c r="C210" s="1" t="s">
        <v>1065</v>
      </c>
      <c r="D210" s="1" t="s">
        <v>1066</v>
      </c>
      <c r="E210" s="1" t="s">
        <v>1067</v>
      </c>
      <c r="F210" s="1">
        <v>1</v>
      </c>
      <c r="G210" s="1">
        <v>1</v>
      </c>
      <c r="H210" s="1">
        <v>0</v>
      </c>
      <c r="I210" s="1">
        <v>1352</v>
      </c>
      <c r="J210" s="1">
        <v>1351</v>
      </c>
      <c r="K210" s="1">
        <v>1</v>
      </c>
    </row>
    <row r="211" spans="3:11" x14ac:dyDescent="0.25">
      <c r="C211" s="1" t="s">
        <v>2574</v>
      </c>
      <c r="D211" s="1" t="s">
        <v>695</v>
      </c>
      <c r="E211" s="1" t="s">
        <v>2575</v>
      </c>
      <c r="F211" s="1">
        <v>62</v>
      </c>
      <c r="G211" s="1">
        <v>62</v>
      </c>
      <c r="H211" s="1">
        <v>0</v>
      </c>
      <c r="I211" s="1">
        <v>1344</v>
      </c>
      <c r="J211" s="1">
        <v>1282</v>
      </c>
      <c r="K211" s="1">
        <v>62</v>
      </c>
    </row>
    <row r="212" spans="3:11" x14ac:dyDescent="0.25">
      <c r="C212" s="1" t="s">
        <v>2576</v>
      </c>
      <c r="D212" s="1" t="s">
        <v>2577</v>
      </c>
      <c r="E212" s="1" t="s">
        <v>2578</v>
      </c>
      <c r="F212" s="1">
        <v>0</v>
      </c>
      <c r="G212" s="1">
        <v>0</v>
      </c>
      <c r="H212" s="1">
        <v>0</v>
      </c>
      <c r="I212" s="1">
        <v>1339</v>
      </c>
      <c r="J212" s="1">
        <v>1339</v>
      </c>
      <c r="K212" s="1">
        <v>0</v>
      </c>
    </row>
    <row r="213" spans="3:11" x14ac:dyDescent="0.25">
      <c r="C213" s="1" t="s">
        <v>2579</v>
      </c>
      <c r="D213" s="1" t="s">
        <v>2580</v>
      </c>
      <c r="E213" s="1" t="s">
        <v>2581</v>
      </c>
      <c r="F213" s="1">
        <v>0</v>
      </c>
      <c r="G213" s="1">
        <v>0</v>
      </c>
      <c r="H213" s="1">
        <v>0</v>
      </c>
      <c r="I213" s="1">
        <v>1338</v>
      </c>
      <c r="J213" s="1">
        <v>1338</v>
      </c>
      <c r="K213" s="1">
        <v>0</v>
      </c>
    </row>
    <row r="214" spans="3:11" x14ac:dyDescent="0.25">
      <c r="C214" s="1" t="s">
        <v>2582</v>
      </c>
      <c r="D214" s="1" t="s">
        <v>2583</v>
      </c>
      <c r="E214" s="1" t="s">
        <v>2584</v>
      </c>
      <c r="F214" s="1">
        <v>0</v>
      </c>
      <c r="G214" s="1">
        <v>0</v>
      </c>
      <c r="H214" s="1">
        <v>0</v>
      </c>
      <c r="I214" s="1">
        <v>1318</v>
      </c>
      <c r="J214" s="1">
        <v>1318</v>
      </c>
      <c r="K214" s="1">
        <v>0</v>
      </c>
    </row>
    <row r="215" spans="3:11" x14ac:dyDescent="0.25">
      <c r="C215" s="1" t="s">
        <v>1070</v>
      </c>
      <c r="D215" s="1" t="s">
        <v>1071</v>
      </c>
      <c r="E215" s="1" t="s">
        <v>1072</v>
      </c>
      <c r="F215" s="1">
        <v>0</v>
      </c>
      <c r="G215" s="1">
        <v>0</v>
      </c>
      <c r="H215" s="1">
        <v>0</v>
      </c>
      <c r="I215" s="1">
        <v>1316</v>
      </c>
      <c r="J215" s="1">
        <v>1316</v>
      </c>
      <c r="K215" s="1">
        <v>0</v>
      </c>
    </row>
    <row r="216" spans="3:11" x14ac:dyDescent="0.25">
      <c r="C216" s="1" t="s">
        <v>1073</v>
      </c>
      <c r="D216" s="1" t="s">
        <v>84</v>
      </c>
      <c r="E216" s="1" t="s">
        <v>1074</v>
      </c>
      <c r="F216" s="1">
        <v>27</v>
      </c>
      <c r="G216" s="1">
        <v>27</v>
      </c>
      <c r="H216" s="1">
        <v>0</v>
      </c>
      <c r="I216" s="1">
        <v>1314</v>
      </c>
      <c r="J216" s="1">
        <v>1287</v>
      </c>
      <c r="K216" s="1">
        <v>27</v>
      </c>
    </row>
    <row r="217" spans="3:11" x14ac:dyDescent="0.25">
      <c r="C217" s="1" t="s">
        <v>2585</v>
      </c>
      <c r="D217" s="1" t="s">
        <v>688</v>
      </c>
      <c r="E217" s="1" t="s">
        <v>2586</v>
      </c>
      <c r="F217" s="1">
        <v>118</v>
      </c>
      <c r="G217" s="1">
        <v>118</v>
      </c>
      <c r="H217" s="1">
        <v>0</v>
      </c>
      <c r="I217" s="1">
        <v>1310</v>
      </c>
      <c r="J217" s="1">
        <v>1192</v>
      </c>
      <c r="K217" s="1">
        <v>118</v>
      </c>
    </row>
    <row r="218" spans="3:11" x14ac:dyDescent="0.25">
      <c r="C218" s="1" t="s">
        <v>2587</v>
      </c>
      <c r="D218" s="1" t="s">
        <v>2588</v>
      </c>
      <c r="E218" s="1" t="s">
        <v>2589</v>
      </c>
      <c r="F218" s="1">
        <v>10</v>
      </c>
      <c r="G218" s="1">
        <v>10</v>
      </c>
      <c r="H218" s="1">
        <v>0</v>
      </c>
      <c r="I218" s="1">
        <v>1298</v>
      </c>
      <c r="J218" s="1">
        <v>1288</v>
      </c>
      <c r="K218" s="1">
        <v>10</v>
      </c>
    </row>
    <row r="219" spans="3:11" x14ac:dyDescent="0.25">
      <c r="C219" s="1" t="s">
        <v>1077</v>
      </c>
      <c r="D219" s="1" t="s">
        <v>1078</v>
      </c>
      <c r="E219" s="1" t="s">
        <v>1079</v>
      </c>
      <c r="F219" s="1">
        <v>28</v>
      </c>
      <c r="G219" s="1">
        <v>28</v>
      </c>
      <c r="H219" s="1">
        <v>0</v>
      </c>
      <c r="I219" s="1">
        <v>1296</v>
      </c>
      <c r="J219" s="1">
        <v>1268</v>
      </c>
      <c r="K219" s="1">
        <v>28</v>
      </c>
    </row>
    <row r="220" spans="3:11" x14ac:dyDescent="0.25">
      <c r="C220" s="1" t="s">
        <v>1080</v>
      </c>
      <c r="D220" s="1" t="s">
        <v>1081</v>
      </c>
      <c r="E220" s="1" t="s">
        <v>1082</v>
      </c>
      <c r="F220" s="1">
        <v>4</v>
      </c>
      <c r="G220" s="1">
        <v>4</v>
      </c>
      <c r="H220" s="1">
        <v>0</v>
      </c>
      <c r="I220" s="1">
        <v>1288</v>
      </c>
      <c r="J220" s="1">
        <v>1284</v>
      </c>
      <c r="K220" s="1">
        <v>4</v>
      </c>
    </row>
    <row r="221" spans="3:11" x14ac:dyDescent="0.25">
      <c r="C221" s="1" t="s">
        <v>1251</v>
      </c>
      <c r="D221" s="1" t="s">
        <v>120</v>
      </c>
      <c r="E221" s="1" t="s">
        <v>1252</v>
      </c>
      <c r="F221" s="1">
        <v>11</v>
      </c>
      <c r="G221" s="1">
        <v>11</v>
      </c>
      <c r="H221" s="1">
        <v>0</v>
      </c>
      <c r="I221" s="1">
        <v>1286</v>
      </c>
      <c r="J221" s="1">
        <v>1275</v>
      </c>
      <c r="K221" s="1">
        <v>11</v>
      </c>
    </row>
    <row r="222" spans="3:11" x14ac:dyDescent="0.25">
      <c r="C222" s="1" t="s">
        <v>2675</v>
      </c>
      <c r="D222" s="1" t="s">
        <v>806</v>
      </c>
      <c r="E222" s="1" t="s">
        <v>2676</v>
      </c>
      <c r="F222" s="1">
        <v>322</v>
      </c>
      <c r="G222" s="1">
        <v>322</v>
      </c>
      <c r="H222" s="1">
        <v>0</v>
      </c>
      <c r="I222" s="1">
        <v>1277</v>
      </c>
      <c r="J222" s="1">
        <v>955</v>
      </c>
      <c r="K222" s="1">
        <v>322</v>
      </c>
    </row>
    <row r="223" spans="3:11" x14ac:dyDescent="0.25">
      <c r="C223" s="1" t="s">
        <v>2590</v>
      </c>
      <c r="D223" s="1" t="s">
        <v>2591</v>
      </c>
      <c r="E223" s="1" t="s">
        <v>2592</v>
      </c>
      <c r="F223" s="1">
        <v>2</v>
      </c>
      <c r="G223" s="1">
        <v>2</v>
      </c>
      <c r="H223" s="1">
        <v>0</v>
      </c>
      <c r="I223" s="1">
        <v>1270</v>
      </c>
      <c r="J223" s="1">
        <v>1268</v>
      </c>
      <c r="K223" s="1">
        <v>2</v>
      </c>
    </row>
    <row r="224" spans="3:11" x14ac:dyDescent="0.25">
      <c r="C224" s="1" t="s">
        <v>1119</v>
      </c>
      <c r="D224" s="1" t="s">
        <v>1120</v>
      </c>
      <c r="E224" s="1" t="s">
        <v>1121</v>
      </c>
      <c r="F224" s="1">
        <v>0</v>
      </c>
      <c r="G224" s="1">
        <v>0</v>
      </c>
      <c r="H224" s="1">
        <v>0</v>
      </c>
      <c r="I224" s="1">
        <v>1264</v>
      </c>
      <c r="J224" s="1">
        <v>1264</v>
      </c>
      <c r="K224" s="1">
        <v>0</v>
      </c>
    </row>
    <row r="225" spans="3:11" x14ac:dyDescent="0.25">
      <c r="C225" s="1" t="s">
        <v>1122</v>
      </c>
      <c r="D225" s="1" t="s">
        <v>1123</v>
      </c>
      <c r="E225" s="1" t="s">
        <v>1124</v>
      </c>
      <c r="F225" s="1">
        <v>-7</v>
      </c>
      <c r="G225" s="1">
        <v>-7</v>
      </c>
      <c r="H225" s="1">
        <v>0</v>
      </c>
      <c r="I225" s="1">
        <v>1262</v>
      </c>
      <c r="J225" s="1">
        <v>1269</v>
      </c>
      <c r="K225" s="1">
        <v>-7</v>
      </c>
    </row>
    <row r="226" spans="3:11" x14ac:dyDescent="0.25">
      <c r="C226" s="1" t="s">
        <v>1125</v>
      </c>
      <c r="D226" s="1" t="s">
        <v>93</v>
      </c>
      <c r="E226" s="1" t="s">
        <v>1126</v>
      </c>
      <c r="F226" s="1">
        <v>240</v>
      </c>
      <c r="G226" s="1">
        <v>240</v>
      </c>
      <c r="H226" s="1">
        <v>0</v>
      </c>
      <c r="I226" s="1">
        <v>1262</v>
      </c>
      <c r="J226" s="1">
        <v>1022</v>
      </c>
      <c r="K226" s="1">
        <v>240</v>
      </c>
    </row>
    <row r="227" spans="3:11" x14ac:dyDescent="0.25">
      <c r="C227" s="1" t="s">
        <v>3027</v>
      </c>
      <c r="D227" s="1" t="s">
        <v>2225</v>
      </c>
      <c r="E227" s="1" t="s">
        <v>3028</v>
      </c>
      <c r="F227" s="1">
        <v>550</v>
      </c>
      <c r="G227" s="1">
        <v>550</v>
      </c>
      <c r="H227" s="1">
        <v>0</v>
      </c>
      <c r="I227" s="1">
        <v>1261</v>
      </c>
      <c r="J227" s="1">
        <v>711</v>
      </c>
      <c r="K227" s="1">
        <v>550</v>
      </c>
    </row>
    <row r="228" spans="3:11" x14ac:dyDescent="0.25">
      <c r="C228" s="1" t="s">
        <v>2595</v>
      </c>
      <c r="D228" s="1" t="s">
        <v>2596</v>
      </c>
      <c r="E228" s="1" t="s">
        <v>2597</v>
      </c>
      <c r="F228" s="1">
        <v>0</v>
      </c>
      <c r="G228" s="1">
        <v>0</v>
      </c>
      <c r="H228" s="1">
        <v>0</v>
      </c>
      <c r="I228" s="1">
        <v>1257</v>
      </c>
      <c r="J228" s="1">
        <v>1257</v>
      </c>
      <c r="K228" s="1">
        <v>0</v>
      </c>
    </row>
    <row r="229" spans="3:11" x14ac:dyDescent="0.25">
      <c r="C229" s="1" t="s">
        <v>1085</v>
      </c>
      <c r="D229" s="1" t="s">
        <v>1086</v>
      </c>
      <c r="E229" s="1" t="s">
        <v>1087</v>
      </c>
      <c r="F229" s="1">
        <v>0</v>
      </c>
      <c r="G229" s="1">
        <v>0</v>
      </c>
      <c r="H229" s="1">
        <v>0</v>
      </c>
      <c r="I229" s="1">
        <v>1255</v>
      </c>
      <c r="J229" s="1">
        <v>1255</v>
      </c>
      <c r="K229" s="1">
        <v>0</v>
      </c>
    </row>
    <row r="230" spans="3:11" x14ac:dyDescent="0.25">
      <c r="C230" s="1" t="s">
        <v>2630</v>
      </c>
      <c r="D230" s="1" t="s">
        <v>674</v>
      </c>
      <c r="E230" s="1" t="s">
        <v>2631</v>
      </c>
      <c r="F230" s="1">
        <v>360</v>
      </c>
      <c r="G230" s="1">
        <v>360</v>
      </c>
      <c r="H230" s="1">
        <v>0</v>
      </c>
      <c r="I230" s="1">
        <v>1252</v>
      </c>
      <c r="J230" s="1">
        <v>892</v>
      </c>
      <c r="K230" s="1">
        <v>360</v>
      </c>
    </row>
    <row r="231" spans="3:11" x14ac:dyDescent="0.25">
      <c r="C231" s="1" t="s">
        <v>2144</v>
      </c>
      <c r="D231" s="1" t="s">
        <v>2130</v>
      </c>
      <c r="E231" s="1" t="s">
        <v>2145</v>
      </c>
      <c r="F231" s="1">
        <v>3</v>
      </c>
      <c r="G231" s="1">
        <v>3</v>
      </c>
      <c r="H231" s="1">
        <v>0</v>
      </c>
      <c r="I231" s="1">
        <v>1248</v>
      </c>
      <c r="J231" s="1">
        <v>1245</v>
      </c>
      <c r="K231" s="1">
        <v>3</v>
      </c>
    </row>
    <row r="232" spans="3:11" x14ac:dyDescent="0.25">
      <c r="C232" s="1" t="s">
        <v>1088</v>
      </c>
      <c r="D232" s="1" t="s">
        <v>1089</v>
      </c>
      <c r="E232" s="1" t="s">
        <v>1090</v>
      </c>
      <c r="F232" s="1">
        <v>10</v>
      </c>
      <c r="G232" s="1">
        <v>10</v>
      </c>
      <c r="H232" s="1">
        <v>0</v>
      </c>
      <c r="I232" s="1">
        <v>1244</v>
      </c>
      <c r="J232" s="1">
        <v>1234</v>
      </c>
      <c r="K232" s="1">
        <v>10</v>
      </c>
    </row>
    <row r="233" spans="3:11" x14ac:dyDescent="0.25">
      <c r="C233" s="1" t="s">
        <v>2602</v>
      </c>
      <c r="D233" s="1" t="s">
        <v>649</v>
      </c>
      <c r="E233" s="1" t="s">
        <v>2603</v>
      </c>
      <c r="F233" s="1">
        <v>196</v>
      </c>
      <c r="G233" s="1">
        <v>196</v>
      </c>
      <c r="H233" s="1">
        <v>0</v>
      </c>
      <c r="I233" s="1">
        <v>1242</v>
      </c>
      <c r="J233" s="1">
        <v>1046</v>
      </c>
      <c r="K233" s="1">
        <v>196</v>
      </c>
    </row>
    <row r="234" spans="3:11" x14ac:dyDescent="0.25">
      <c r="C234" s="1" t="s">
        <v>2598</v>
      </c>
      <c r="D234" s="1" t="s">
        <v>443</v>
      </c>
      <c r="E234" s="1" t="s">
        <v>2599</v>
      </c>
      <c r="F234" s="1">
        <v>42</v>
      </c>
      <c r="G234" s="1">
        <v>42</v>
      </c>
      <c r="H234" s="1">
        <v>0</v>
      </c>
      <c r="I234" s="1">
        <v>1237</v>
      </c>
      <c r="J234" s="1">
        <v>1195</v>
      </c>
      <c r="K234" s="1">
        <v>42</v>
      </c>
    </row>
    <row r="235" spans="3:11" x14ac:dyDescent="0.25">
      <c r="C235" s="1" t="s">
        <v>1091</v>
      </c>
      <c r="D235" s="1" t="s">
        <v>1092</v>
      </c>
      <c r="E235" s="1" t="s">
        <v>1093</v>
      </c>
      <c r="F235" s="1">
        <v>0</v>
      </c>
      <c r="G235" s="1">
        <v>0</v>
      </c>
      <c r="H235" s="1">
        <v>0</v>
      </c>
      <c r="I235" s="1">
        <v>1231</v>
      </c>
      <c r="J235" s="1">
        <v>1231</v>
      </c>
      <c r="K235" s="1">
        <v>0</v>
      </c>
    </row>
    <row r="236" spans="3:11" x14ac:dyDescent="0.25">
      <c r="C236" s="1" t="s">
        <v>1094</v>
      </c>
      <c r="D236" s="1" t="s">
        <v>94</v>
      </c>
      <c r="E236" s="1" t="s">
        <v>1094</v>
      </c>
      <c r="F236" s="1">
        <v>56</v>
      </c>
      <c r="G236" s="1">
        <v>56</v>
      </c>
      <c r="H236" s="1">
        <v>0</v>
      </c>
      <c r="I236" s="1">
        <v>1221</v>
      </c>
      <c r="J236" s="1">
        <v>1165</v>
      </c>
      <c r="K236" s="1">
        <v>56</v>
      </c>
    </row>
    <row r="237" spans="3:11" x14ac:dyDescent="0.25">
      <c r="C237" s="1" t="s">
        <v>2604</v>
      </c>
      <c r="D237" s="1" t="s">
        <v>689</v>
      </c>
      <c r="E237" s="1" t="s">
        <v>2605</v>
      </c>
      <c r="F237" s="1">
        <v>42</v>
      </c>
      <c r="G237" s="1">
        <v>42</v>
      </c>
      <c r="H237" s="1">
        <v>0</v>
      </c>
      <c r="I237" s="1">
        <v>1219</v>
      </c>
      <c r="J237" s="1">
        <v>1177</v>
      </c>
      <c r="K237" s="1">
        <v>42</v>
      </c>
    </row>
    <row r="238" spans="3:11" x14ac:dyDescent="0.25">
      <c r="C238" s="1" t="s">
        <v>1235</v>
      </c>
      <c r="D238" s="1" t="s">
        <v>118</v>
      </c>
      <c r="E238" s="1" t="s">
        <v>1236</v>
      </c>
      <c r="F238" s="1">
        <v>302</v>
      </c>
      <c r="G238" s="1">
        <v>302</v>
      </c>
      <c r="H238" s="1">
        <v>0</v>
      </c>
      <c r="I238" s="1">
        <v>1217</v>
      </c>
      <c r="J238" s="1">
        <v>915</v>
      </c>
      <c r="K238" s="1">
        <v>302</v>
      </c>
    </row>
    <row r="239" spans="3:11" x14ac:dyDescent="0.25">
      <c r="C239" s="1" t="s">
        <v>1455</v>
      </c>
      <c r="D239" s="1" t="s">
        <v>173</v>
      </c>
      <c r="E239" s="1" t="s">
        <v>1456</v>
      </c>
      <c r="F239" s="1">
        <v>355</v>
      </c>
      <c r="G239" s="1">
        <v>355</v>
      </c>
      <c r="H239" s="1">
        <v>0</v>
      </c>
      <c r="I239" s="1">
        <v>1216</v>
      </c>
      <c r="J239" s="1">
        <v>861</v>
      </c>
      <c r="K239" s="1">
        <v>355</v>
      </c>
    </row>
    <row r="240" spans="3:11" x14ac:dyDescent="0.25">
      <c r="C240" s="1" t="s">
        <v>1103</v>
      </c>
      <c r="D240" s="1" t="s">
        <v>90</v>
      </c>
      <c r="E240" s="1" t="s">
        <v>1104</v>
      </c>
      <c r="F240" s="1">
        <v>64</v>
      </c>
      <c r="G240" s="1">
        <v>64</v>
      </c>
      <c r="H240" s="1">
        <v>0</v>
      </c>
      <c r="I240" s="1">
        <v>1212</v>
      </c>
      <c r="J240" s="1">
        <v>1148</v>
      </c>
      <c r="K240" s="1">
        <v>64</v>
      </c>
    </row>
    <row r="241" spans="3:11" x14ac:dyDescent="0.25">
      <c r="C241" s="1" t="s">
        <v>1221</v>
      </c>
      <c r="D241" s="1" t="s">
        <v>114</v>
      </c>
      <c r="E241" s="1" t="s">
        <v>1222</v>
      </c>
      <c r="F241" s="1">
        <v>274</v>
      </c>
      <c r="G241" s="1">
        <v>274</v>
      </c>
      <c r="H241" s="1">
        <v>0</v>
      </c>
      <c r="I241" s="1">
        <v>1208</v>
      </c>
      <c r="J241" s="1">
        <v>934</v>
      </c>
      <c r="K241" s="1">
        <v>274</v>
      </c>
    </row>
    <row r="242" spans="3:11" x14ac:dyDescent="0.25">
      <c r="C242" s="1" t="s">
        <v>1097</v>
      </c>
      <c r="D242" s="1" t="s">
        <v>108</v>
      </c>
      <c r="E242" s="1" t="s">
        <v>1098</v>
      </c>
      <c r="F242" s="1">
        <v>142</v>
      </c>
      <c r="G242" s="1">
        <v>142</v>
      </c>
      <c r="H242" s="1">
        <v>0</v>
      </c>
      <c r="I242" s="1">
        <v>1197</v>
      </c>
      <c r="J242" s="1">
        <v>1055</v>
      </c>
      <c r="K242" s="1">
        <v>142</v>
      </c>
    </row>
    <row r="243" spans="3:11" x14ac:dyDescent="0.25">
      <c r="C243" s="1" t="s">
        <v>2737</v>
      </c>
      <c r="D243" s="1" t="s">
        <v>813</v>
      </c>
      <c r="E243" s="1" t="s">
        <v>2738</v>
      </c>
      <c r="F243" s="1">
        <v>283</v>
      </c>
      <c r="G243" s="1">
        <v>283</v>
      </c>
      <c r="H243" s="1">
        <v>0</v>
      </c>
      <c r="I243" s="1">
        <v>1197</v>
      </c>
      <c r="J243" s="1">
        <v>914</v>
      </c>
      <c r="K243" s="1">
        <v>283</v>
      </c>
    </row>
    <row r="244" spans="3:11" x14ac:dyDescent="0.25">
      <c r="C244" s="1" t="s">
        <v>1095</v>
      </c>
      <c r="D244" s="1" t="s">
        <v>89</v>
      </c>
      <c r="E244" s="1" t="s">
        <v>1096</v>
      </c>
      <c r="F244" s="1">
        <v>31</v>
      </c>
      <c r="G244" s="1">
        <v>31</v>
      </c>
      <c r="H244" s="1">
        <v>0</v>
      </c>
      <c r="I244" s="1">
        <v>1194</v>
      </c>
      <c r="J244" s="1">
        <v>1163</v>
      </c>
      <c r="K244" s="1">
        <v>31</v>
      </c>
    </row>
    <row r="245" spans="3:11" x14ac:dyDescent="0.25">
      <c r="C245" s="1" t="s">
        <v>1099</v>
      </c>
      <c r="D245" s="1" t="s">
        <v>87</v>
      </c>
      <c r="E245" s="1" t="s">
        <v>1100</v>
      </c>
      <c r="F245" s="1">
        <v>21</v>
      </c>
      <c r="G245" s="1">
        <v>21</v>
      </c>
      <c r="H245" s="1">
        <v>0</v>
      </c>
      <c r="I245" s="1">
        <v>1186</v>
      </c>
      <c r="J245" s="1">
        <v>1165</v>
      </c>
      <c r="K245" s="1">
        <v>21</v>
      </c>
    </row>
    <row r="246" spans="3:11" x14ac:dyDescent="0.25">
      <c r="C246" s="1" t="s">
        <v>1343</v>
      </c>
      <c r="D246" s="1" t="s">
        <v>1344</v>
      </c>
      <c r="E246" s="1" t="s">
        <v>1345</v>
      </c>
      <c r="F246" s="1">
        <v>466</v>
      </c>
      <c r="G246" s="1">
        <v>466</v>
      </c>
      <c r="H246" s="1">
        <v>0</v>
      </c>
      <c r="I246" s="1">
        <v>1183</v>
      </c>
      <c r="J246" s="1">
        <v>717</v>
      </c>
      <c r="K246" s="1">
        <v>466</v>
      </c>
    </row>
    <row r="247" spans="3:11" x14ac:dyDescent="0.25">
      <c r="C247" s="1" t="s">
        <v>1140</v>
      </c>
      <c r="D247" s="1" t="s">
        <v>1141</v>
      </c>
      <c r="E247" s="1" t="s">
        <v>1142</v>
      </c>
      <c r="F247" s="1">
        <v>-4</v>
      </c>
      <c r="G247" s="1">
        <v>-4</v>
      </c>
      <c r="H247" s="1">
        <v>0</v>
      </c>
      <c r="I247" s="1">
        <v>1182</v>
      </c>
      <c r="J247" s="1">
        <v>1186</v>
      </c>
      <c r="K247" s="1">
        <v>-4</v>
      </c>
    </row>
    <row r="248" spans="3:11" x14ac:dyDescent="0.25">
      <c r="C248" s="1" t="s">
        <v>2606</v>
      </c>
      <c r="D248" s="1" t="s">
        <v>645</v>
      </c>
      <c r="E248" s="1" t="s">
        <v>2607</v>
      </c>
      <c r="F248" s="1">
        <v>0</v>
      </c>
      <c r="G248" s="1">
        <v>0</v>
      </c>
      <c r="H248" s="1">
        <v>0</v>
      </c>
      <c r="I248" s="1">
        <v>1170</v>
      </c>
      <c r="J248" s="1">
        <v>1170</v>
      </c>
      <c r="K248" s="1">
        <v>0</v>
      </c>
    </row>
    <row r="249" spans="3:11" x14ac:dyDescent="0.25">
      <c r="C249" s="1" t="s">
        <v>2608</v>
      </c>
      <c r="D249" s="1" t="s">
        <v>2609</v>
      </c>
      <c r="E249" s="1" t="s">
        <v>2610</v>
      </c>
      <c r="F249" s="1">
        <v>11</v>
      </c>
      <c r="G249" s="1">
        <v>11</v>
      </c>
      <c r="H249" s="1">
        <v>0</v>
      </c>
      <c r="I249" s="1">
        <v>1160</v>
      </c>
      <c r="J249" s="1">
        <v>1149</v>
      </c>
      <c r="K249" s="1">
        <v>11</v>
      </c>
    </row>
    <row r="250" spans="3:11" x14ac:dyDescent="0.25">
      <c r="C250" s="1" t="s">
        <v>1108</v>
      </c>
      <c r="D250" s="1" t="s">
        <v>91</v>
      </c>
      <c r="E250" s="1" t="s">
        <v>1109</v>
      </c>
      <c r="F250" s="1">
        <v>24</v>
      </c>
      <c r="G250" s="1">
        <v>24</v>
      </c>
      <c r="H250" s="1">
        <v>0</v>
      </c>
      <c r="I250" s="1">
        <v>1159</v>
      </c>
      <c r="J250" s="1">
        <v>1135</v>
      </c>
      <c r="K250" s="1">
        <v>24</v>
      </c>
    </row>
    <row r="251" spans="3:11" x14ac:dyDescent="0.25">
      <c r="C251" s="1" t="s">
        <v>1229</v>
      </c>
      <c r="D251" s="1" t="s">
        <v>115</v>
      </c>
      <c r="E251" s="1" t="s">
        <v>1230</v>
      </c>
      <c r="F251" s="1">
        <v>310</v>
      </c>
      <c r="G251" s="1">
        <v>310</v>
      </c>
      <c r="H251" s="1">
        <v>0</v>
      </c>
      <c r="I251" s="1">
        <v>1157</v>
      </c>
      <c r="J251" s="1">
        <v>847</v>
      </c>
      <c r="K251" s="1">
        <v>310</v>
      </c>
    </row>
    <row r="252" spans="3:11" x14ac:dyDescent="0.25">
      <c r="C252" s="1" t="s">
        <v>1116</v>
      </c>
      <c r="D252" s="1" t="s">
        <v>1117</v>
      </c>
      <c r="E252" s="1" t="s">
        <v>1118</v>
      </c>
      <c r="F252" s="1">
        <v>-5</v>
      </c>
      <c r="G252" s="1">
        <v>-5</v>
      </c>
      <c r="H252" s="1">
        <v>0</v>
      </c>
      <c r="I252" s="1">
        <v>1148</v>
      </c>
      <c r="J252" s="1">
        <v>1153</v>
      </c>
      <c r="K252" s="1">
        <v>-5</v>
      </c>
    </row>
    <row r="253" spans="3:11" x14ac:dyDescent="0.25">
      <c r="C253" s="1" t="s">
        <v>1105</v>
      </c>
      <c r="D253" s="1" t="s">
        <v>1106</v>
      </c>
      <c r="E253" s="1" t="s">
        <v>1107</v>
      </c>
      <c r="F253" s="1">
        <v>11</v>
      </c>
      <c r="G253" s="1">
        <v>11</v>
      </c>
      <c r="H253" s="1">
        <v>0</v>
      </c>
      <c r="I253" s="1">
        <v>1146</v>
      </c>
      <c r="J253" s="1">
        <v>1135</v>
      </c>
      <c r="K253" s="1">
        <v>11</v>
      </c>
    </row>
    <row r="254" spans="3:11" x14ac:dyDescent="0.25">
      <c r="C254" s="1" t="s">
        <v>2611</v>
      </c>
      <c r="D254" s="1" t="s">
        <v>445</v>
      </c>
      <c r="E254" s="1" t="s">
        <v>2612</v>
      </c>
      <c r="F254" s="1">
        <v>12</v>
      </c>
      <c r="G254" s="1">
        <v>12</v>
      </c>
      <c r="H254" s="1">
        <v>0</v>
      </c>
      <c r="I254" s="1">
        <v>1128</v>
      </c>
      <c r="J254" s="1">
        <v>1116</v>
      </c>
      <c r="K254" s="1">
        <v>12</v>
      </c>
    </row>
    <row r="255" spans="3:11" x14ac:dyDescent="0.25">
      <c r="C255" s="1" t="s">
        <v>2613</v>
      </c>
      <c r="D255" s="1" t="s">
        <v>444</v>
      </c>
      <c r="E255" s="1" t="s">
        <v>2614</v>
      </c>
      <c r="F255" s="1">
        <v>6</v>
      </c>
      <c r="G255" s="1">
        <v>6</v>
      </c>
      <c r="H255" s="1">
        <v>0</v>
      </c>
      <c r="I255" s="1">
        <v>1125</v>
      </c>
      <c r="J255" s="1">
        <v>1119</v>
      </c>
      <c r="K255" s="1">
        <v>6</v>
      </c>
    </row>
    <row r="256" spans="3:11" x14ac:dyDescent="0.25">
      <c r="C256" s="1" t="s">
        <v>1110</v>
      </c>
      <c r="D256" s="1" t="s">
        <v>1111</v>
      </c>
      <c r="E256" s="1" t="s">
        <v>1112</v>
      </c>
      <c r="F256" s="1">
        <v>0</v>
      </c>
      <c r="G256" s="1">
        <v>0</v>
      </c>
      <c r="H256" s="1">
        <v>0</v>
      </c>
      <c r="I256" s="1">
        <v>1122</v>
      </c>
      <c r="J256" s="1">
        <v>1122</v>
      </c>
      <c r="K256" s="1">
        <v>0</v>
      </c>
    </row>
    <row r="257" spans="3:11" x14ac:dyDescent="0.25">
      <c r="C257" s="1" t="s">
        <v>2615</v>
      </c>
      <c r="D257" s="1" t="s">
        <v>446</v>
      </c>
      <c r="E257" s="1" t="s">
        <v>2616</v>
      </c>
      <c r="F257" s="1">
        <v>12</v>
      </c>
      <c r="G257" s="1">
        <v>12</v>
      </c>
      <c r="H257" s="1">
        <v>0</v>
      </c>
      <c r="I257" s="1">
        <v>1103</v>
      </c>
      <c r="J257" s="1">
        <v>1091</v>
      </c>
      <c r="K257" s="1">
        <v>12</v>
      </c>
    </row>
    <row r="258" spans="3:11" x14ac:dyDescent="0.25">
      <c r="C258" s="1" t="s">
        <v>1113</v>
      </c>
      <c r="D258" s="1" t="s">
        <v>1114</v>
      </c>
      <c r="E258" s="1" t="s">
        <v>1115</v>
      </c>
      <c r="F258" s="1">
        <v>0</v>
      </c>
      <c r="G258" s="1">
        <v>0</v>
      </c>
      <c r="H258" s="1">
        <v>0</v>
      </c>
      <c r="I258" s="1">
        <v>1099</v>
      </c>
      <c r="J258" s="1">
        <v>1099</v>
      </c>
      <c r="K258" s="1">
        <v>0</v>
      </c>
    </row>
    <row r="259" spans="3:11" x14ac:dyDescent="0.25">
      <c r="C259" s="1" t="s">
        <v>2617</v>
      </c>
      <c r="D259" s="1" t="s">
        <v>463</v>
      </c>
      <c r="E259" s="1" t="s">
        <v>2618</v>
      </c>
      <c r="F259" s="1">
        <v>55</v>
      </c>
      <c r="G259" s="1">
        <v>55</v>
      </c>
      <c r="H259" s="1">
        <v>0</v>
      </c>
      <c r="I259" s="1">
        <v>1094</v>
      </c>
      <c r="J259" s="1">
        <v>1039</v>
      </c>
      <c r="K259" s="1">
        <v>55</v>
      </c>
    </row>
    <row r="260" spans="3:11" x14ac:dyDescent="0.25">
      <c r="C260" s="1" t="s">
        <v>2619</v>
      </c>
      <c r="D260" s="1" t="s">
        <v>650</v>
      </c>
      <c r="E260" s="1" t="s">
        <v>2620</v>
      </c>
      <c r="F260" s="1">
        <v>10</v>
      </c>
      <c r="G260" s="1">
        <v>10</v>
      </c>
      <c r="H260" s="1">
        <v>0</v>
      </c>
      <c r="I260" s="1">
        <v>1073</v>
      </c>
      <c r="J260" s="1">
        <v>1063</v>
      </c>
      <c r="K260" s="1">
        <v>10</v>
      </c>
    </row>
    <row r="261" spans="3:11" x14ac:dyDescent="0.25">
      <c r="C261" s="1" t="s">
        <v>2725</v>
      </c>
      <c r="D261" s="1" t="s">
        <v>2222</v>
      </c>
      <c r="E261" s="1" t="s">
        <v>2726</v>
      </c>
      <c r="F261" s="1">
        <v>435</v>
      </c>
      <c r="G261" s="1">
        <v>435</v>
      </c>
      <c r="H261" s="1">
        <v>0</v>
      </c>
      <c r="I261" s="1">
        <v>1067</v>
      </c>
      <c r="J261" s="1">
        <v>632</v>
      </c>
      <c r="K261" s="1">
        <v>435</v>
      </c>
    </row>
    <row r="262" spans="3:11" x14ac:dyDescent="0.25">
      <c r="C262" s="1" t="s">
        <v>2621</v>
      </c>
      <c r="D262" s="1" t="s">
        <v>647</v>
      </c>
      <c r="E262" s="1" t="s">
        <v>2622</v>
      </c>
      <c r="F262" s="1">
        <v>57</v>
      </c>
      <c r="G262" s="1">
        <v>57</v>
      </c>
      <c r="H262" s="1">
        <v>0</v>
      </c>
      <c r="I262" s="1">
        <v>1049</v>
      </c>
      <c r="J262" s="1">
        <v>992</v>
      </c>
      <c r="K262" s="1">
        <v>57</v>
      </c>
    </row>
    <row r="263" spans="3:11" x14ac:dyDescent="0.25">
      <c r="C263" s="1" t="s">
        <v>2623</v>
      </c>
      <c r="D263" s="1" t="s">
        <v>840</v>
      </c>
      <c r="E263" s="1" t="s">
        <v>2624</v>
      </c>
      <c r="F263" s="1">
        <v>6</v>
      </c>
      <c r="G263" s="1">
        <v>6</v>
      </c>
      <c r="H263" s="1">
        <v>0</v>
      </c>
      <c r="I263" s="1">
        <v>1047</v>
      </c>
      <c r="J263" s="1">
        <v>1041</v>
      </c>
      <c r="K263" s="1">
        <v>6</v>
      </c>
    </row>
    <row r="264" spans="3:11" x14ac:dyDescent="0.25">
      <c r="C264" s="1" t="s">
        <v>2627</v>
      </c>
      <c r="D264" s="1" t="s">
        <v>2628</v>
      </c>
      <c r="E264" s="1" t="s">
        <v>2629</v>
      </c>
      <c r="F264" s="1">
        <v>7</v>
      </c>
      <c r="G264" s="1">
        <v>7</v>
      </c>
      <c r="H264" s="1">
        <v>0</v>
      </c>
      <c r="I264" s="1">
        <v>1043</v>
      </c>
      <c r="J264" s="1">
        <v>1036</v>
      </c>
      <c r="K264" s="1">
        <v>7</v>
      </c>
    </row>
    <row r="265" spans="3:11" x14ac:dyDescent="0.25">
      <c r="C265" s="1" t="s">
        <v>2625</v>
      </c>
      <c r="D265" s="1" t="s">
        <v>798</v>
      </c>
      <c r="E265" s="1" t="s">
        <v>2626</v>
      </c>
      <c r="F265" s="1">
        <v>0</v>
      </c>
      <c r="G265" s="1">
        <v>0</v>
      </c>
      <c r="H265" s="1">
        <v>0</v>
      </c>
      <c r="I265" s="1">
        <v>1041</v>
      </c>
      <c r="J265" s="1">
        <v>1041</v>
      </c>
      <c r="K265" s="1">
        <v>0</v>
      </c>
    </row>
    <row r="266" spans="3:11" x14ac:dyDescent="0.25">
      <c r="C266" s="1" t="s">
        <v>2735</v>
      </c>
      <c r="D266" s="1" t="s">
        <v>812</v>
      </c>
      <c r="E266" s="1" t="s">
        <v>2736</v>
      </c>
      <c r="F266" s="1">
        <v>313</v>
      </c>
      <c r="G266" s="1">
        <v>313</v>
      </c>
      <c r="H266" s="1">
        <v>0</v>
      </c>
      <c r="I266" s="1">
        <v>1030</v>
      </c>
      <c r="J266" s="1">
        <v>717</v>
      </c>
      <c r="K266" s="1">
        <v>313</v>
      </c>
    </row>
    <row r="267" spans="3:11" x14ac:dyDescent="0.25">
      <c r="C267" s="1" t="s">
        <v>2632</v>
      </c>
      <c r="D267" s="1" t="s">
        <v>651</v>
      </c>
      <c r="E267" s="1" t="s">
        <v>2633</v>
      </c>
      <c r="F267" s="1">
        <v>141</v>
      </c>
      <c r="G267" s="1">
        <v>141</v>
      </c>
      <c r="H267" s="1">
        <v>0</v>
      </c>
      <c r="I267" s="1">
        <v>1028</v>
      </c>
      <c r="J267" s="1">
        <v>887</v>
      </c>
      <c r="K267" s="1">
        <v>141</v>
      </c>
    </row>
    <row r="268" spans="3:11" x14ac:dyDescent="0.25">
      <c r="C268" s="1" t="s">
        <v>1127</v>
      </c>
      <c r="D268" s="1" t="s">
        <v>1128</v>
      </c>
      <c r="E268" s="1" t="s">
        <v>1129</v>
      </c>
      <c r="F268" s="1">
        <v>0</v>
      </c>
      <c r="G268" s="1">
        <v>0</v>
      </c>
      <c r="H268" s="1">
        <v>0</v>
      </c>
      <c r="I268" s="1">
        <v>1020</v>
      </c>
      <c r="J268" s="1">
        <v>1020</v>
      </c>
      <c r="K268" s="1">
        <v>0</v>
      </c>
    </row>
    <row r="269" spans="3:11" x14ac:dyDescent="0.25">
      <c r="C269" s="1" t="s">
        <v>2192</v>
      </c>
      <c r="D269" s="1" t="s">
        <v>2191</v>
      </c>
      <c r="E269" s="1" t="s">
        <v>2193</v>
      </c>
      <c r="F269" s="1">
        <v>0</v>
      </c>
      <c r="G269" s="1">
        <v>0</v>
      </c>
      <c r="H269" s="1">
        <v>0</v>
      </c>
      <c r="I269" s="1">
        <v>1006</v>
      </c>
      <c r="J269" s="1">
        <v>1006</v>
      </c>
      <c r="K269" s="1">
        <v>0</v>
      </c>
    </row>
    <row r="270" spans="3:11" x14ac:dyDescent="0.25">
      <c r="C270" s="1" t="s">
        <v>1130</v>
      </c>
      <c r="D270" s="1" t="s">
        <v>95</v>
      </c>
      <c r="E270" s="1" t="s">
        <v>1131</v>
      </c>
      <c r="F270" s="1">
        <v>29</v>
      </c>
      <c r="G270" s="1">
        <v>29</v>
      </c>
      <c r="H270" s="1">
        <v>0</v>
      </c>
      <c r="I270" s="1">
        <v>1005</v>
      </c>
      <c r="J270" s="1">
        <v>976</v>
      </c>
      <c r="K270" s="1">
        <v>29</v>
      </c>
    </row>
    <row r="271" spans="3:11" x14ac:dyDescent="0.25">
      <c r="C271" s="1" t="s">
        <v>1132</v>
      </c>
      <c r="D271" s="1" t="s">
        <v>1133</v>
      </c>
      <c r="E271" s="1" t="s">
        <v>1134</v>
      </c>
      <c r="F271" s="1">
        <v>2</v>
      </c>
      <c r="G271" s="1">
        <v>2</v>
      </c>
      <c r="H271" s="1">
        <v>0</v>
      </c>
      <c r="I271" s="1">
        <v>1003</v>
      </c>
      <c r="J271" s="1">
        <v>1001</v>
      </c>
      <c r="K271" s="1">
        <v>2</v>
      </c>
    </row>
    <row r="272" spans="3:11" x14ac:dyDescent="0.25">
      <c r="C272" s="1" t="s">
        <v>1161</v>
      </c>
      <c r="D272" s="1" t="s">
        <v>103</v>
      </c>
      <c r="E272" s="1" t="s">
        <v>1162</v>
      </c>
      <c r="F272" s="1">
        <v>4</v>
      </c>
      <c r="G272" s="1">
        <v>4</v>
      </c>
      <c r="H272" s="1">
        <v>0</v>
      </c>
      <c r="I272" s="1">
        <v>998</v>
      </c>
      <c r="J272" s="1">
        <v>994</v>
      </c>
      <c r="K272" s="1">
        <v>4</v>
      </c>
    </row>
    <row r="273" spans="3:11" x14ac:dyDescent="0.25">
      <c r="C273" s="1" t="s">
        <v>2634</v>
      </c>
      <c r="D273" s="1" t="s">
        <v>2635</v>
      </c>
      <c r="E273" s="1" t="s">
        <v>2636</v>
      </c>
      <c r="F273" s="1">
        <v>3</v>
      </c>
      <c r="G273" s="1">
        <v>3</v>
      </c>
      <c r="H273" s="1">
        <v>0</v>
      </c>
      <c r="I273" s="1">
        <v>994</v>
      </c>
      <c r="J273" s="1">
        <v>991</v>
      </c>
      <c r="K273" s="1">
        <v>3</v>
      </c>
    </row>
    <row r="274" spans="3:11" x14ac:dyDescent="0.25">
      <c r="C274" s="1" t="s">
        <v>1152</v>
      </c>
      <c r="D274" s="1" t="s">
        <v>100</v>
      </c>
      <c r="E274" s="1" t="s">
        <v>1153</v>
      </c>
      <c r="F274" s="1">
        <v>127</v>
      </c>
      <c r="G274" s="1">
        <v>127</v>
      </c>
      <c r="H274" s="1">
        <v>0</v>
      </c>
      <c r="I274" s="1">
        <v>994</v>
      </c>
      <c r="J274" s="1">
        <v>867</v>
      </c>
      <c r="K274" s="1">
        <v>127</v>
      </c>
    </row>
    <row r="275" spans="3:11" x14ac:dyDescent="0.25">
      <c r="C275" s="1" t="s">
        <v>2637</v>
      </c>
      <c r="D275" s="1" t="s">
        <v>447</v>
      </c>
      <c r="E275" s="1" t="s">
        <v>2638</v>
      </c>
      <c r="F275" s="1">
        <v>82</v>
      </c>
      <c r="G275" s="1">
        <v>82</v>
      </c>
      <c r="H275" s="1">
        <v>0</v>
      </c>
      <c r="I275" s="1">
        <v>993</v>
      </c>
      <c r="J275" s="1">
        <v>911</v>
      </c>
      <c r="K275" s="1">
        <v>82</v>
      </c>
    </row>
    <row r="276" spans="3:11" x14ac:dyDescent="0.25">
      <c r="C276" s="1" t="s">
        <v>1199</v>
      </c>
      <c r="D276" s="1" t="s">
        <v>110</v>
      </c>
      <c r="E276" s="1" t="s">
        <v>1200</v>
      </c>
      <c r="F276" s="1">
        <v>9</v>
      </c>
      <c r="G276" s="1">
        <v>9</v>
      </c>
      <c r="H276" s="1">
        <v>0</v>
      </c>
      <c r="I276" s="1">
        <v>983</v>
      </c>
      <c r="J276" s="1">
        <v>974</v>
      </c>
      <c r="K276" s="1">
        <v>9</v>
      </c>
    </row>
    <row r="277" spans="3:11" x14ac:dyDescent="0.25">
      <c r="C277" s="1" t="s">
        <v>2639</v>
      </c>
      <c r="D277" s="1" t="s">
        <v>2640</v>
      </c>
      <c r="E277" s="1" t="s">
        <v>2641</v>
      </c>
      <c r="F277" s="1">
        <v>0</v>
      </c>
      <c r="G277" s="1">
        <v>0</v>
      </c>
      <c r="H277" s="1">
        <v>0</v>
      </c>
      <c r="I277" s="1">
        <v>980</v>
      </c>
      <c r="J277" s="1">
        <v>980</v>
      </c>
      <c r="K277" s="1">
        <v>0</v>
      </c>
    </row>
    <row r="278" spans="3:11" x14ac:dyDescent="0.25">
      <c r="C278" s="1" t="s">
        <v>1135</v>
      </c>
      <c r="D278" s="1" t="s">
        <v>1136</v>
      </c>
      <c r="E278" s="1" t="s">
        <v>1137</v>
      </c>
      <c r="F278" s="1">
        <v>94</v>
      </c>
      <c r="G278" s="1">
        <v>94</v>
      </c>
      <c r="H278" s="1">
        <v>0</v>
      </c>
      <c r="I278" s="1">
        <v>980</v>
      </c>
      <c r="J278" s="1">
        <v>886</v>
      </c>
      <c r="K278" s="1">
        <v>94</v>
      </c>
    </row>
    <row r="279" spans="3:11" x14ac:dyDescent="0.25">
      <c r="C279" s="1" t="s">
        <v>2642</v>
      </c>
      <c r="D279" s="1" t="s">
        <v>692</v>
      </c>
      <c r="E279" s="1" t="s">
        <v>2643</v>
      </c>
      <c r="F279" s="1">
        <v>27</v>
      </c>
      <c r="G279" s="1">
        <v>27</v>
      </c>
      <c r="H279" s="1">
        <v>0</v>
      </c>
      <c r="I279" s="1">
        <v>977</v>
      </c>
      <c r="J279" s="1">
        <v>950</v>
      </c>
      <c r="K279" s="1">
        <v>27</v>
      </c>
    </row>
    <row r="280" spans="3:11" x14ac:dyDescent="0.25">
      <c r="C280" s="1" t="s">
        <v>2644</v>
      </c>
      <c r="D280" s="1" t="s">
        <v>2645</v>
      </c>
      <c r="E280" s="1" t="s">
        <v>2646</v>
      </c>
      <c r="F280" s="1">
        <v>0</v>
      </c>
      <c r="G280" s="1">
        <v>0</v>
      </c>
      <c r="H280" s="1">
        <v>0</v>
      </c>
      <c r="I280" s="1">
        <v>970</v>
      </c>
      <c r="J280" s="1">
        <v>970</v>
      </c>
      <c r="K280" s="1">
        <v>0</v>
      </c>
    </row>
    <row r="281" spans="3:11" x14ac:dyDescent="0.25">
      <c r="C281" s="1" t="s">
        <v>1138</v>
      </c>
      <c r="D281" s="1" t="s">
        <v>96</v>
      </c>
      <c r="E281" s="1" t="s">
        <v>1139</v>
      </c>
      <c r="F281" s="1">
        <v>60</v>
      </c>
      <c r="G281" s="1">
        <v>60</v>
      </c>
      <c r="H281" s="1">
        <v>0</v>
      </c>
      <c r="I281" s="1">
        <v>969</v>
      </c>
      <c r="J281" s="1">
        <v>909</v>
      </c>
      <c r="K281" s="1">
        <v>60</v>
      </c>
    </row>
    <row r="282" spans="3:11" x14ac:dyDescent="0.25">
      <c r="C282" s="1" t="s">
        <v>2688</v>
      </c>
      <c r="D282" s="1" t="s">
        <v>470</v>
      </c>
      <c r="E282" s="1" t="s">
        <v>2689</v>
      </c>
      <c r="F282" s="1">
        <v>161</v>
      </c>
      <c r="G282" s="1">
        <v>161</v>
      </c>
      <c r="H282" s="1">
        <v>0</v>
      </c>
      <c r="I282" s="1">
        <v>969</v>
      </c>
      <c r="J282" s="1">
        <v>808</v>
      </c>
      <c r="K282" s="1">
        <v>161</v>
      </c>
    </row>
    <row r="283" spans="3:11" x14ac:dyDescent="0.25">
      <c r="C283" s="1" t="s">
        <v>1143</v>
      </c>
      <c r="D283" s="1" t="s">
        <v>1144</v>
      </c>
      <c r="E283" s="1" t="s">
        <v>1145</v>
      </c>
      <c r="F283" s="1">
        <v>4</v>
      </c>
      <c r="G283" s="1">
        <v>4</v>
      </c>
      <c r="H283" s="1">
        <v>0</v>
      </c>
      <c r="I283" s="1">
        <v>968</v>
      </c>
      <c r="J283" s="1">
        <v>964</v>
      </c>
      <c r="K283" s="1">
        <v>4</v>
      </c>
    </row>
    <row r="284" spans="3:11" x14ac:dyDescent="0.25">
      <c r="C284" s="1" t="s">
        <v>2793</v>
      </c>
      <c r="D284" s="1" t="s">
        <v>478</v>
      </c>
      <c r="E284" s="1" t="s">
        <v>2794</v>
      </c>
      <c r="F284" s="1">
        <v>385</v>
      </c>
      <c r="G284" s="1">
        <v>385</v>
      </c>
      <c r="H284" s="1">
        <v>0</v>
      </c>
      <c r="I284" s="1">
        <v>966</v>
      </c>
      <c r="J284" s="1">
        <v>581</v>
      </c>
      <c r="K284" s="1">
        <v>385</v>
      </c>
    </row>
    <row r="285" spans="3:11" x14ac:dyDescent="0.25">
      <c r="C285" s="1" t="s">
        <v>1573</v>
      </c>
      <c r="D285" s="1" t="s">
        <v>167</v>
      </c>
      <c r="E285" s="1" t="s">
        <v>1574</v>
      </c>
      <c r="F285" s="1">
        <v>353</v>
      </c>
      <c r="G285" s="1">
        <v>353</v>
      </c>
      <c r="H285" s="1">
        <v>0</v>
      </c>
      <c r="I285" s="1">
        <v>965</v>
      </c>
      <c r="J285" s="1">
        <v>612</v>
      </c>
      <c r="K285" s="1">
        <v>353</v>
      </c>
    </row>
    <row r="286" spans="3:11" x14ac:dyDescent="0.25">
      <c r="C286" s="1" t="s">
        <v>4311</v>
      </c>
      <c r="D286" s="1" t="s">
        <v>4312</v>
      </c>
      <c r="E286" s="1" t="s">
        <v>4313</v>
      </c>
      <c r="F286" s="1">
        <v>339</v>
      </c>
      <c r="G286" s="1">
        <v>339</v>
      </c>
      <c r="H286" s="1">
        <v>0</v>
      </c>
      <c r="I286" s="1">
        <v>960</v>
      </c>
      <c r="J286" s="1">
        <v>621</v>
      </c>
      <c r="K286" s="1">
        <v>339</v>
      </c>
    </row>
    <row r="287" spans="3:11" x14ac:dyDescent="0.25">
      <c r="C287" s="1" t="s">
        <v>2647</v>
      </c>
      <c r="D287" s="1" t="s">
        <v>448</v>
      </c>
      <c r="E287" s="1" t="s">
        <v>2648</v>
      </c>
      <c r="F287" s="1">
        <v>66</v>
      </c>
      <c r="G287" s="1">
        <v>66</v>
      </c>
      <c r="H287" s="1">
        <v>0</v>
      </c>
      <c r="I287" s="1">
        <v>955</v>
      </c>
      <c r="J287" s="1">
        <v>889</v>
      </c>
      <c r="K287" s="1">
        <v>66</v>
      </c>
    </row>
    <row r="288" spans="3:11" x14ac:dyDescent="0.25">
      <c r="C288" s="1" t="s">
        <v>2649</v>
      </c>
      <c r="D288" s="1" t="s">
        <v>450</v>
      </c>
      <c r="E288" s="1" t="s">
        <v>2650</v>
      </c>
      <c r="F288" s="1">
        <v>7</v>
      </c>
      <c r="G288" s="1">
        <v>7</v>
      </c>
      <c r="H288" s="1">
        <v>0</v>
      </c>
      <c r="I288" s="1">
        <v>954</v>
      </c>
      <c r="J288" s="1">
        <v>947</v>
      </c>
      <c r="K288" s="1">
        <v>7</v>
      </c>
    </row>
    <row r="289" spans="3:11" x14ac:dyDescent="0.25">
      <c r="C289" s="1" t="s">
        <v>2651</v>
      </c>
      <c r="D289" s="1" t="s">
        <v>693</v>
      </c>
      <c r="E289" s="1" t="s">
        <v>2652</v>
      </c>
      <c r="F289" s="1">
        <v>131</v>
      </c>
      <c r="G289" s="1">
        <v>131</v>
      </c>
      <c r="H289" s="1">
        <v>0</v>
      </c>
      <c r="I289" s="1">
        <v>951</v>
      </c>
      <c r="J289" s="1">
        <v>820</v>
      </c>
      <c r="K289" s="1">
        <v>131</v>
      </c>
    </row>
    <row r="290" spans="3:11" x14ac:dyDescent="0.25">
      <c r="C290" s="1" t="s">
        <v>2823</v>
      </c>
      <c r="D290" s="1" t="s">
        <v>817</v>
      </c>
      <c r="E290" s="1" t="s">
        <v>2824</v>
      </c>
      <c r="F290" s="1">
        <v>298</v>
      </c>
      <c r="G290" s="1">
        <v>298</v>
      </c>
      <c r="H290" s="1">
        <v>0</v>
      </c>
      <c r="I290" s="1">
        <v>947</v>
      </c>
      <c r="J290" s="1">
        <v>649</v>
      </c>
      <c r="K290" s="1">
        <v>298</v>
      </c>
    </row>
    <row r="291" spans="3:11" x14ac:dyDescent="0.25">
      <c r="C291" s="1" t="s">
        <v>1146</v>
      </c>
      <c r="D291" s="1" t="s">
        <v>97</v>
      </c>
      <c r="E291" s="1" t="s">
        <v>1147</v>
      </c>
      <c r="F291" s="1">
        <v>17</v>
      </c>
      <c r="G291" s="1">
        <v>17</v>
      </c>
      <c r="H291" s="1">
        <v>0</v>
      </c>
      <c r="I291" s="1">
        <v>946</v>
      </c>
      <c r="J291" s="1">
        <v>929</v>
      </c>
      <c r="K291" s="1">
        <v>17</v>
      </c>
    </row>
    <row r="292" spans="3:11" x14ac:dyDescent="0.25">
      <c r="C292" s="1" t="s">
        <v>2653</v>
      </c>
      <c r="D292" s="1" t="s">
        <v>2171</v>
      </c>
      <c r="E292" s="1" t="s">
        <v>2654</v>
      </c>
      <c r="F292" s="1">
        <v>149</v>
      </c>
      <c r="G292" s="1">
        <v>149</v>
      </c>
      <c r="H292" s="1">
        <v>0</v>
      </c>
      <c r="I292" s="1">
        <v>943</v>
      </c>
      <c r="J292" s="1">
        <v>794</v>
      </c>
      <c r="K292" s="1">
        <v>149</v>
      </c>
    </row>
    <row r="293" spans="3:11" x14ac:dyDescent="0.25">
      <c r="C293" s="1" t="s">
        <v>2657</v>
      </c>
      <c r="D293" s="1" t="s">
        <v>803</v>
      </c>
      <c r="E293" s="1" t="s">
        <v>2658</v>
      </c>
      <c r="F293" s="1">
        <v>81</v>
      </c>
      <c r="G293" s="1">
        <v>81</v>
      </c>
      <c r="H293" s="1">
        <v>0</v>
      </c>
      <c r="I293" s="1">
        <v>941</v>
      </c>
      <c r="J293" s="1">
        <v>860</v>
      </c>
      <c r="K293" s="1">
        <v>81</v>
      </c>
    </row>
    <row r="294" spans="3:11" x14ac:dyDescent="0.25">
      <c r="C294" s="1" t="s">
        <v>2655</v>
      </c>
      <c r="D294" s="1" t="s">
        <v>648</v>
      </c>
      <c r="E294" s="1" t="s">
        <v>2656</v>
      </c>
      <c r="F294" s="1">
        <v>317</v>
      </c>
      <c r="G294" s="1">
        <v>317</v>
      </c>
      <c r="H294" s="1">
        <v>0</v>
      </c>
      <c r="I294" s="1">
        <v>940</v>
      </c>
      <c r="J294" s="1">
        <v>623</v>
      </c>
      <c r="K294" s="1">
        <v>317</v>
      </c>
    </row>
    <row r="295" spans="3:11" x14ac:dyDescent="0.25">
      <c r="C295" s="1" t="s">
        <v>2659</v>
      </c>
      <c r="D295" s="1" t="s">
        <v>451</v>
      </c>
      <c r="E295" s="1" t="s">
        <v>2660</v>
      </c>
      <c r="F295" s="1">
        <v>38</v>
      </c>
      <c r="G295" s="1">
        <v>38</v>
      </c>
      <c r="H295" s="1">
        <v>0</v>
      </c>
      <c r="I295" s="1">
        <v>937</v>
      </c>
      <c r="J295" s="1">
        <v>899</v>
      </c>
      <c r="K295" s="1">
        <v>38</v>
      </c>
    </row>
    <row r="296" spans="3:11" x14ac:dyDescent="0.25">
      <c r="C296" s="1" t="s">
        <v>2661</v>
      </c>
      <c r="D296" s="1" t="s">
        <v>2662</v>
      </c>
      <c r="E296" s="1" t="s">
        <v>2663</v>
      </c>
      <c r="F296" s="1">
        <v>-2</v>
      </c>
      <c r="G296" s="1">
        <v>-2</v>
      </c>
      <c r="H296" s="1">
        <v>0</v>
      </c>
      <c r="I296" s="1">
        <v>935</v>
      </c>
      <c r="J296" s="1">
        <v>937</v>
      </c>
      <c r="K296" s="1">
        <v>-2</v>
      </c>
    </row>
    <row r="297" spans="3:11" x14ac:dyDescent="0.25">
      <c r="C297" s="1" t="s">
        <v>2664</v>
      </c>
      <c r="D297" s="1" t="s">
        <v>690</v>
      </c>
      <c r="E297" s="1" t="s">
        <v>2665</v>
      </c>
      <c r="F297" s="1">
        <v>6</v>
      </c>
      <c r="G297" s="1">
        <v>6</v>
      </c>
      <c r="H297" s="1">
        <v>0</v>
      </c>
      <c r="I297" s="1">
        <v>934</v>
      </c>
      <c r="J297" s="1">
        <v>928</v>
      </c>
      <c r="K297" s="1">
        <v>6</v>
      </c>
    </row>
    <row r="298" spans="3:11" x14ac:dyDescent="0.25">
      <c r="C298" s="1" t="s">
        <v>2666</v>
      </c>
      <c r="D298" s="1" t="s">
        <v>449</v>
      </c>
      <c r="E298" s="1" t="s">
        <v>2667</v>
      </c>
      <c r="F298" s="1">
        <v>62</v>
      </c>
      <c r="G298" s="1">
        <v>62</v>
      </c>
      <c r="H298" s="1">
        <v>0</v>
      </c>
      <c r="I298" s="1">
        <v>923</v>
      </c>
      <c r="J298" s="1">
        <v>861</v>
      </c>
      <c r="K298" s="1">
        <v>62</v>
      </c>
    </row>
    <row r="299" spans="3:11" x14ac:dyDescent="0.25">
      <c r="C299" s="1" t="s">
        <v>1203</v>
      </c>
      <c r="D299" s="1" t="s">
        <v>112</v>
      </c>
      <c r="E299" s="1" t="s">
        <v>1204</v>
      </c>
      <c r="F299" s="1">
        <v>87</v>
      </c>
      <c r="G299" s="1">
        <v>87</v>
      </c>
      <c r="H299" s="1">
        <v>0</v>
      </c>
      <c r="I299" s="1">
        <v>920</v>
      </c>
      <c r="J299" s="1">
        <v>833</v>
      </c>
      <c r="K299" s="1">
        <v>87</v>
      </c>
    </row>
    <row r="300" spans="3:11" x14ac:dyDescent="0.25">
      <c r="C300" s="1" t="s">
        <v>1156</v>
      </c>
      <c r="D300" s="1" t="s">
        <v>1157</v>
      </c>
      <c r="E300" s="1" t="s">
        <v>1158</v>
      </c>
      <c r="F300" s="1">
        <v>6</v>
      </c>
      <c r="G300" s="1">
        <v>6</v>
      </c>
      <c r="H300" s="1">
        <v>0</v>
      </c>
      <c r="I300" s="1">
        <v>914</v>
      </c>
      <c r="J300" s="1">
        <v>908</v>
      </c>
      <c r="K300" s="1">
        <v>6</v>
      </c>
    </row>
    <row r="301" spans="3:11" x14ac:dyDescent="0.25">
      <c r="C301" s="1" t="s">
        <v>1148</v>
      </c>
      <c r="D301" s="1" t="s">
        <v>98</v>
      </c>
      <c r="E301" s="1" t="s">
        <v>1149</v>
      </c>
      <c r="F301" s="1">
        <v>121</v>
      </c>
      <c r="G301" s="1">
        <v>121</v>
      </c>
      <c r="H301" s="1">
        <v>0</v>
      </c>
      <c r="I301" s="1">
        <v>898</v>
      </c>
      <c r="J301" s="1">
        <v>777</v>
      </c>
      <c r="K301" s="1">
        <v>121</v>
      </c>
    </row>
    <row r="302" spans="3:11" x14ac:dyDescent="0.25">
      <c r="C302" s="1" t="s">
        <v>2668</v>
      </c>
      <c r="D302" s="1" t="s">
        <v>2669</v>
      </c>
      <c r="E302" s="1" t="s">
        <v>2670</v>
      </c>
      <c r="F302" s="1">
        <v>1</v>
      </c>
      <c r="G302" s="1">
        <v>1</v>
      </c>
      <c r="H302" s="1">
        <v>0</v>
      </c>
      <c r="I302" s="1">
        <v>886</v>
      </c>
      <c r="J302" s="1">
        <v>885</v>
      </c>
      <c r="K302" s="1">
        <v>1</v>
      </c>
    </row>
    <row r="303" spans="3:11" x14ac:dyDescent="0.25">
      <c r="C303" s="1" t="s">
        <v>1174</v>
      </c>
      <c r="D303" s="1" t="s">
        <v>1175</v>
      </c>
      <c r="E303" s="1" t="s">
        <v>1176</v>
      </c>
      <c r="F303" s="1">
        <v>8</v>
      </c>
      <c r="G303" s="1">
        <v>8</v>
      </c>
      <c r="H303" s="1">
        <v>0</v>
      </c>
      <c r="I303" s="1">
        <v>884</v>
      </c>
      <c r="J303" s="1">
        <v>876</v>
      </c>
      <c r="K303" s="1">
        <v>8</v>
      </c>
    </row>
    <row r="304" spans="3:11" x14ac:dyDescent="0.25">
      <c r="C304" s="1" t="s">
        <v>2677</v>
      </c>
      <c r="D304" s="1" t="s">
        <v>2678</v>
      </c>
      <c r="E304" s="1" t="s">
        <v>2679</v>
      </c>
      <c r="F304" s="1">
        <v>2</v>
      </c>
      <c r="G304" s="1">
        <v>2</v>
      </c>
      <c r="H304" s="1">
        <v>0</v>
      </c>
      <c r="I304" s="1">
        <v>882</v>
      </c>
      <c r="J304" s="1">
        <v>880</v>
      </c>
      <c r="K304" s="1">
        <v>2</v>
      </c>
    </row>
    <row r="305" spans="3:11" x14ac:dyDescent="0.25">
      <c r="C305" s="1" t="s">
        <v>2671</v>
      </c>
      <c r="D305" s="1" t="s">
        <v>841</v>
      </c>
      <c r="E305" s="1" t="s">
        <v>2672</v>
      </c>
      <c r="F305" s="1">
        <v>227</v>
      </c>
      <c r="G305" s="1">
        <v>227</v>
      </c>
      <c r="H305" s="1">
        <v>0</v>
      </c>
      <c r="I305" s="1">
        <v>882</v>
      </c>
      <c r="J305" s="1">
        <v>655</v>
      </c>
      <c r="K305" s="1">
        <v>227</v>
      </c>
    </row>
    <row r="306" spans="3:11" x14ac:dyDescent="0.25">
      <c r="C306" s="1" t="s">
        <v>1459</v>
      </c>
      <c r="D306" s="1" t="s">
        <v>149</v>
      </c>
      <c r="E306" s="1" t="s">
        <v>1460</v>
      </c>
      <c r="F306" s="1">
        <v>237</v>
      </c>
      <c r="G306" s="1">
        <v>237</v>
      </c>
      <c r="H306" s="1">
        <v>0</v>
      </c>
      <c r="I306" s="1">
        <v>881</v>
      </c>
      <c r="J306" s="1">
        <v>644</v>
      </c>
      <c r="K306" s="1">
        <v>237</v>
      </c>
    </row>
    <row r="307" spans="3:11" x14ac:dyDescent="0.25">
      <c r="C307" s="1" t="s">
        <v>1296</v>
      </c>
      <c r="D307" s="1" t="s">
        <v>157</v>
      </c>
      <c r="E307" s="1" t="s">
        <v>1297</v>
      </c>
      <c r="F307" s="1">
        <v>148</v>
      </c>
      <c r="G307" s="1">
        <v>148</v>
      </c>
      <c r="H307" s="1">
        <v>0</v>
      </c>
      <c r="I307" s="1">
        <v>880</v>
      </c>
      <c r="J307" s="1">
        <v>732</v>
      </c>
      <c r="K307" s="1">
        <v>148</v>
      </c>
    </row>
    <row r="308" spans="3:11" x14ac:dyDescent="0.25">
      <c r="C308" s="1" t="s">
        <v>2680</v>
      </c>
      <c r="D308" s="1" t="s">
        <v>809</v>
      </c>
      <c r="E308" s="1" t="s">
        <v>2681</v>
      </c>
      <c r="F308" s="1">
        <v>98</v>
      </c>
      <c r="G308" s="1">
        <v>98</v>
      </c>
      <c r="H308" s="1">
        <v>0</v>
      </c>
      <c r="I308" s="1">
        <v>871</v>
      </c>
      <c r="J308" s="1">
        <v>773</v>
      </c>
      <c r="K308" s="1">
        <v>98</v>
      </c>
    </row>
    <row r="309" spans="3:11" x14ac:dyDescent="0.25">
      <c r="C309" s="1" t="s">
        <v>2682</v>
      </c>
      <c r="D309" s="1" t="s">
        <v>800</v>
      </c>
      <c r="E309" s="1" t="s">
        <v>2683</v>
      </c>
      <c r="F309" s="1">
        <v>0</v>
      </c>
      <c r="G309" s="1">
        <v>0</v>
      </c>
      <c r="H309" s="1">
        <v>0</v>
      </c>
      <c r="I309" s="1">
        <v>869</v>
      </c>
      <c r="J309" s="1">
        <v>869</v>
      </c>
      <c r="K309" s="1">
        <v>0</v>
      </c>
    </row>
    <row r="310" spans="3:11" x14ac:dyDescent="0.25">
      <c r="C310" s="1" t="s">
        <v>1179</v>
      </c>
      <c r="D310" s="1" t="s">
        <v>106</v>
      </c>
      <c r="E310" s="1" t="s">
        <v>1180</v>
      </c>
      <c r="F310" s="1">
        <v>43</v>
      </c>
      <c r="G310" s="1">
        <v>43</v>
      </c>
      <c r="H310" s="1">
        <v>0</v>
      </c>
      <c r="I310" s="1">
        <v>867</v>
      </c>
      <c r="J310" s="1">
        <v>824</v>
      </c>
      <c r="K310" s="1">
        <v>43</v>
      </c>
    </row>
    <row r="311" spans="3:11" x14ac:dyDescent="0.25">
      <c r="C311" s="1" t="s">
        <v>2684</v>
      </c>
      <c r="D311" s="1" t="s">
        <v>801</v>
      </c>
      <c r="E311" s="1" t="s">
        <v>2685</v>
      </c>
      <c r="F311" s="1">
        <v>0</v>
      </c>
      <c r="G311" s="1">
        <v>0</v>
      </c>
      <c r="H311" s="1">
        <v>0</v>
      </c>
      <c r="I311" s="1">
        <v>862</v>
      </c>
      <c r="J311" s="1">
        <v>862</v>
      </c>
      <c r="K311" s="1">
        <v>0</v>
      </c>
    </row>
    <row r="312" spans="3:11" x14ac:dyDescent="0.25">
      <c r="C312" s="1" t="s">
        <v>2686</v>
      </c>
      <c r="D312" s="1" t="s">
        <v>842</v>
      </c>
      <c r="E312" s="1" t="s">
        <v>2687</v>
      </c>
      <c r="F312" s="1">
        <v>27</v>
      </c>
      <c r="G312" s="1">
        <v>27</v>
      </c>
      <c r="H312" s="1">
        <v>0</v>
      </c>
      <c r="I312" s="1">
        <v>860</v>
      </c>
      <c r="J312" s="1">
        <v>833</v>
      </c>
      <c r="K312" s="1">
        <v>27</v>
      </c>
    </row>
    <row r="313" spans="3:11" x14ac:dyDescent="0.25">
      <c r="C313" s="1" t="s">
        <v>2692</v>
      </c>
      <c r="D313" s="1" t="s">
        <v>2693</v>
      </c>
      <c r="E313" s="1" t="s">
        <v>2694</v>
      </c>
      <c r="F313" s="1">
        <v>11</v>
      </c>
      <c r="G313" s="1">
        <v>11</v>
      </c>
      <c r="H313" s="1">
        <v>0</v>
      </c>
      <c r="I313" s="1">
        <v>854</v>
      </c>
      <c r="J313" s="1">
        <v>843</v>
      </c>
      <c r="K313" s="1">
        <v>11</v>
      </c>
    </row>
    <row r="314" spans="3:11" x14ac:dyDescent="0.25">
      <c r="C314" s="1" t="s">
        <v>2690</v>
      </c>
      <c r="D314" s="1" t="s">
        <v>691</v>
      </c>
      <c r="E314" s="1" t="s">
        <v>2691</v>
      </c>
      <c r="F314" s="1">
        <v>29</v>
      </c>
      <c r="G314" s="1">
        <v>29</v>
      </c>
      <c r="H314" s="1">
        <v>0</v>
      </c>
      <c r="I314" s="1">
        <v>850</v>
      </c>
      <c r="J314" s="1">
        <v>821</v>
      </c>
      <c r="K314" s="1">
        <v>29</v>
      </c>
    </row>
    <row r="315" spans="3:11" x14ac:dyDescent="0.25">
      <c r="C315" s="1" t="s">
        <v>2731</v>
      </c>
      <c r="D315" s="1" t="s">
        <v>452</v>
      </c>
      <c r="E315" s="1" t="s">
        <v>2732</v>
      </c>
      <c r="F315" s="1">
        <v>2</v>
      </c>
      <c r="G315" s="1">
        <v>2</v>
      </c>
      <c r="H315" s="1">
        <v>0</v>
      </c>
      <c r="I315" s="1">
        <v>831</v>
      </c>
      <c r="J315" s="1">
        <v>829</v>
      </c>
      <c r="K315" s="1">
        <v>2</v>
      </c>
    </row>
    <row r="316" spans="3:11" x14ac:dyDescent="0.25">
      <c r="C316" s="1" t="s">
        <v>1289</v>
      </c>
      <c r="D316" s="1" t="s">
        <v>126</v>
      </c>
      <c r="E316" s="1" t="s">
        <v>1290</v>
      </c>
      <c r="F316" s="1">
        <v>71</v>
      </c>
      <c r="G316" s="1">
        <v>71</v>
      </c>
      <c r="H316" s="1">
        <v>0</v>
      </c>
      <c r="I316" s="1">
        <v>829</v>
      </c>
      <c r="J316" s="1">
        <v>758</v>
      </c>
      <c r="K316" s="1">
        <v>71</v>
      </c>
    </row>
    <row r="317" spans="3:11" x14ac:dyDescent="0.25">
      <c r="C317" s="1" t="s">
        <v>1159</v>
      </c>
      <c r="D317" s="1" t="s">
        <v>102</v>
      </c>
      <c r="E317" s="1" t="s">
        <v>1160</v>
      </c>
      <c r="F317" s="1">
        <v>8</v>
      </c>
      <c r="G317" s="1">
        <v>8</v>
      </c>
      <c r="H317" s="1">
        <v>0</v>
      </c>
      <c r="I317" s="1">
        <v>821</v>
      </c>
      <c r="J317" s="1">
        <v>813</v>
      </c>
      <c r="K317" s="1">
        <v>8</v>
      </c>
    </row>
    <row r="318" spans="3:11" x14ac:dyDescent="0.25">
      <c r="C318" s="1" t="s">
        <v>2698</v>
      </c>
      <c r="D318" s="1" t="s">
        <v>668</v>
      </c>
      <c r="E318" s="1" t="s">
        <v>2699</v>
      </c>
      <c r="F318" s="1">
        <v>116</v>
      </c>
      <c r="G318" s="1">
        <v>116</v>
      </c>
      <c r="H318" s="1">
        <v>0</v>
      </c>
      <c r="I318" s="1">
        <v>818</v>
      </c>
      <c r="J318" s="1">
        <v>702</v>
      </c>
      <c r="K318" s="1">
        <v>116</v>
      </c>
    </row>
    <row r="319" spans="3:11" x14ac:dyDescent="0.25">
      <c r="C319" s="1" t="s">
        <v>2695</v>
      </c>
      <c r="D319" s="1" t="s">
        <v>2696</v>
      </c>
      <c r="E319" s="1" t="s">
        <v>2697</v>
      </c>
      <c r="F319" s="1">
        <v>0</v>
      </c>
      <c r="G319" s="1">
        <v>0</v>
      </c>
      <c r="H319" s="1">
        <v>0</v>
      </c>
      <c r="I319" s="1">
        <v>817</v>
      </c>
      <c r="J319" s="1">
        <v>817</v>
      </c>
      <c r="K319" s="1">
        <v>0</v>
      </c>
    </row>
    <row r="320" spans="3:11" x14ac:dyDescent="0.25">
      <c r="C320" s="1" t="s">
        <v>1360</v>
      </c>
      <c r="D320" s="1" t="s">
        <v>135</v>
      </c>
      <c r="E320" s="1" t="s">
        <v>1361</v>
      </c>
      <c r="F320" s="1">
        <v>222</v>
      </c>
      <c r="G320" s="1">
        <v>222</v>
      </c>
      <c r="H320" s="1">
        <v>0</v>
      </c>
      <c r="I320" s="1">
        <v>815</v>
      </c>
      <c r="J320" s="1">
        <v>593</v>
      </c>
      <c r="K320" s="1">
        <v>222</v>
      </c>
    </row>
    <row r="321" spans="3:11" x14ac:dyDescent="0.25">
      <c r="C321" s="1" t="s">
        <v>2266</v>
      </c>
      <c r="D321" s="1" t="s">
        <v>2267</v>
      </c>
      <c r="E321" s="1" t="s">
        <v>2268</v>
      </c>
      <c r="F321" s="1">
        <v>495</v>
      </c>
      <c r="G321" s="1">
        <v>495</v>
      </c>
      <c r="H321" s="1">
        <v>0</v>
      </c>
      <c r="I321" s="1">
        <v>811</v>
      </c>
      <c r="J321" s="1">
        <v>316</v>
      </c>
      <c r="K321" s="1">
        <v>495</v>
      </c>
    </row>
    <row r="322" spans="3:11" x14ac:dyDescent="0.25">
      <c r="C322" s="1" t="s">
        <v>2700</v>
      </c>
      <c r="D322" s="1" t="s">
        <v>2701</v>
      </c>
      <c r="E322" s="1" t="s">
        <v>2702</v>
      </c>
      <c r="F322" s="1">
        <v>1</v>
      </c>
      <c r="G322" s="1">
        <v>1</v>
      </c>
      <c r="H322" s="1">
        <v>0</v>
      </c>
      <c r="I322" s="1">
        <v>809</v>
      </c>
      <c r="J322" s="1">
        <v>808</v>
      </c>
      <c r="K322" s="1">
        <v>1</v>
      </c>
    </row>
    <row r="323" spans="3:11" x14ac:dyDescent="0.25">
      <c r="C323" s="1" t="s">
        <v>2703</v>
      </c>
      <c r="D323" s="1" t="s">
        <v>843</v>
      </c>
      <c r="E323" s="1" t="s">
        <v>2704</v>
      </c>
      <c r="F323" s="1">
        <v>24</v>
      </c>
      <c r="G323" s="1">
        <v>24</v>
      </c>
      <c r="H323" s="1">
        <v>0</v>
      </c>
      <c r="I323" s="1">
        <v>809</v>
      </c>
      <c r="J323" s="1">
        <v>785</v>
      </c>
      <c r="K323" s="1">
        <v>24</v>
      </c>
    </row>
    <row r="324" spans="3:11" x14ac:dyDescent="0.25">
      <c r="C324" s="1" t="s">
        <v>1441</v>
      </c>
      <c r="D324" s="1" t="s">
        <v>147</v>
      </c>
      <c r="E324" s="1" t="s">
        <v>1442</v>
      </c>
      <c r="F324" s="1">
        <v>247</v>
      </c>
      <c r="G324" s="1">
        <v>247</v>
      </c>
      <c r="H324" s="1">
        <v>0</v>
      </c>
      <c r="I324" s="1">
        <v>809</v>
      </c>
      <c r="J324" s="1">
        <v>562</v>
      </c>
      <c r="K324" s="1">
        <v>247</v>
      </c>
    </row>
    <row r="325" spans="3:11" x14ac:dyDescent="0.25">
      <c r="C325" s="1" t="s">
        <v>1163</v>
      </c>
      <c r="D325" s="1" t="s">
        <v>104</v>
      </c>
      <c r="E325" s="1" t="s">
        <v>1164</v>
      </c>
      <c r="F325" s="1">
        <v>97</v>
      </c>
      <c r="G325" s="1">
        <v>97</v>
      </c>
      <c r="H325" s="1">
        <v>0</v>
      </c>
      <c r="I325" s="1">
        <v>807</v>
      </c>
      <c r="J325" s="1">
        <v>710</v>
      </c>
      <c r="K325" s="1">
        <v>97</v>
      </c>
    </row>
    <row r="326" spans="3:11" x14ac:dyDescent="0.25">
      <c r="C326" s="1" t="s">
        <v>2705</v>
      </c>
      <c r="D326" s="1" t="s">
        <v>2706</v>
      </c>
      <c r="E326" s="1" t="s">
        <v>2707</v>
      </c>
      <c r="F326" s="1">
        <v>1</v>
      </c>
      <c r="G326" s="1">
        <v>1</v>
      </c>
      <c r="H326" s="1">
        <v>0</v>
      </c>
      <c r="I326" s="1">
        <v>807</v>
      </c>
      <c r="J326" s="1">
        <v>806</v>
      </c>
      <c r="K326" s="1">
        <v>1</v>
      </c>
    </row>
    <row r="327" spans="3:11" x14ac:dyDescent="0.25">
      <c r="C327" s="1" t="s">
        <v>1165</v>
      </c>
      <c r="D327" s="1" t="s">
        <v>1166</v>
      </c>
      <c r="E327" s="1" t="s">
        <v>1167</v>
      </c>
      <c r="F327" s="1">
        <v>0</v>
      </c>
      <c r="G327" s="1">
        <v>0</v>
      </c>
      <c r="H327" s="1">
        <v>0</v>
      </c>
      <c r="I327" s="1">
        <v>806</v>
      </c>
      <c r="J327" s="1">
        <v>806</v>
      </c>
      <c r="K327" s="1">
        <v>0</v>
      </c>
    </row>
    <row r="328" spans="3:11" x14ac:dyDescent="0.25">
      <c r="C328" s="1" t="s">
        <v>1168</v>
      </c>
      <c r="D328" s="1" t="s">
        <v>1169</v>
      </c>
      <c r="E328" s="1" t="s">
        <v>1170</v>
      </c>
      <c r="F328" s="1">
        <v>0</v>
      </c>
      <c r="G328" s="1">
        <v>0</v>
      </c>
      <c r="H328" s="1">
        <v>0</v>
      </c>
      <c r="I328" s="1">
        <v>806</v>
      </c>
      <c r="J328" s="1">
        <v>806</v>
      </c>
      <c r="K328" s="1">
        <v>0</v>
      </c>
    </row>
    <row r="329" spans="3:11" x14ac:dyDescent="0.25">
      <c r="C329" s="1" t="s">
        <v>1171</v>
      </c>
      <c r="D329" s="1" t="s">
        <v>1172</v>
      </c>
      <c r="E329" s="1" t="s">
        <v>1173</v>
      </c>
      <c r="F329" s="1">
        <v>0</v>
      </c>
      <c r="G329" s="1">
        <v>0</v>
      </c>
      <c r="H329" s="1">
        <v>0</v>
      </c>
      <c r="I329" s="1">
        <v>805</v>
      </c>
      <c r="J329" s="1">
        <v>805</v>
      </c>
      <c r="K329" s="1">
        <v>0</v>
      </c>
    </row>
    <row r="330" spans="3:11" x14ac:dyDescent="0.25">
      <c r="C330" s="1" t="s">
        <v>2708</v>
      </c>
      <c r="D330" s="1" t="s">
        <v>802</v>
      </c>
      <c r="E330" s="1" t="s">
        <v>2709</v>
      </c>
      <c r="F330" s="1">
        <v>0</v>
      </c>
      <c r="G330" s="1">
        <v>0</v>
      </c>
      <c r="H330" s="1">
        <v>0</v>
      </c>
      <c r="I330" s="1">
        <v>805</v>
      </c>
      <c r="J330" s="1">
        <v>805</v>
      </c>
      <c r="K330" s="1">
        <v>0</v>
      </c>
    </row>
    <row r="331" spans="3:11" x14ac:dyDescent="0.25">
      <c r="C331" s="1" t="s">
        <v>2710</v>
      </c>
      <c r="D331" s="1" t="s">
        <v>694</v>
      </c>
      <c r="E331" s="1" t="s">
        <v>2711</v>
      </c>
      <c r="F331" s="1">
        <v>0</v>
      </c>
      <c r="G331" s="1">
        <v>0</v>
      </c>
      <c r="H331" s="1">
        <v>0</v>
      </c>
      <c r="I331" s="1">
        <v>802</v>
      </c>
      <c r="J331" s="1">
        <v>802</v>
      </c>
      <c r="K331" s="1">
        <v>0</v>
      </c>
    </row>
    <row r="332" spans="3:11" x14ac:dyDescent="0.25">
      <c r="C332" s="1" t="s">
        <v>2712</v>
      </c>
      <c r="D332" s="1" t="s">
        <v>2713</v>
      </c>
      <c r="E332" s="1" t="s">
        <v>2714</v>
      </c>
      <c r="F332" s="1">
        <v>21</v>
      </c>
      <c r="G332" s="1">
        <v>21</v>
      </c>
      <c r="H332" s="1">
        <v>0</v>
      </c>
      <c r="I332" s="1">
        <v>800</v>
      </c>
      <c r="J332" s="1">
        <v>779</v>
      </c>
      <c r="K332" s="1">
        <v>21</v>
      </c>
    </row>
    <row r="333" spans="3:11" x14ac:dyDescent="0.25">
      <c r="C333" s="1" t="s">
        <v>2718</v>
      </c>
      <c r="D333" s="1" t="s">
        <v>457</v>
      </c>
      <c r="E333" s="1" t="s">
        <v>2719</v>
      </c>
      <c r="F333" s="1">
        <v>47</v>
      </c>
      <c r="G333" s="1">
        <v>47</v>
      </c>
      <c r="H333" s="1">
        <v>0</v>
      </c>
      <c r="I333" s="1">
        <v>800</v>
      </c>
      <c r="J333" s="1">
        <v>753</v>
      </c>
      <c r="K333" s="1">
        <v>47</v>
      </c>
    </row>
    <row r="334" spans="3:11" x14ac:dyDescent="0.25">
      <c r="C334" s="1" t="s">
        <v>1177</v>
      </c>
      <c r="D334" s="1" t="s">
        <v>105</v>
      </c>
      <c r="E334" s="1" t="s">
        <v>1178</v>
      </c>
      <c r="F334" s="1">
        <v>69</v>
      </c>
      <c r="G334" s="1">
        <v>69</v>
      </c>
      <c r="H334" s="1">
        <v>0</v>
      </c>
      <c r="I334" s="1">
        <v>794</v>
      </c>
      <c r="J334" s="1">
        <v>725</v>
      </c>
      <c r="K334" s="1">
        <v>69</v>
      </c>
    </row>
    <row r="335" spans="3:11" x14ac:dyDescent="0.25">
      <c r="C335" s="1" t="s">
        <v>1181</v>
      </c>
      <c r="D335" s="1" t="s">
        <v>107</v>
      </c>
      <c r="E335" s="1" t="s">
        <v>1182</v>
      </c>
      <c r="F335" s="1">
        <v>44</v>
      </c>
      <c r="G335" s="1">
        <v>44</v>
      </c>
      <c r="H335" s="1">
        <v>0</v>
      </c>
      <c r="I335" s="1">
        <v>792</v>
      </c>
      <c r="J335" s="1">
        <v>748</v>
      </c>
      <c r="K335" s="1">
        <v>44</v>
      </c>
    </row>
    <row r="336" spans="3:11" x14ac:dyDescent="0.25">
      <c r="C336" s="1" t="s">
        <v>2770</v>
      </c>
      <c r="D336" s="1" t="s">
        <v>673</v>
      </c>
      <c r="E336" s="1" t="s">
        <v>2771</v>
      </c>
      <c r="F336" s="1">
        <v>228</v>
      </c>
      <c r="G336" s="1">
        <v>228</v>
      </c>
      <c r="H336" s="1">
        <v>0</v>
      </c>
      <c r="I336" s="1">
        <v>788</v>
      </c>
      <c r="J336" s="1">
        <v>560</v>
      </c>
      <c r="K336" s="1">
        <v>228</v>
      </c>
    </row>
    <row r="337" spans="3:11" x14ac:dyDescent="0.25">
      <c r="C337" s="1" t="s">
        <v>4299</v>
      </c>
      <c r="D337" s="1" t="s">
        <v>4300</v>
      </c>
      <c r="E337" s="1" t="s">
        <v>4301</v>
      </c>
      <c r="F337" s="1">
        <v>701</v>
      </c>
      <c r="G337" s="1">
        <v>701</v>
      </c>
      <c r="H337" s="1">
        <v>0</v>
      </c>
      <c r="I337" s="1">
        <v>787</v>
      </c>
      <c r="J337" s="1">
        <v>86</v>
      </c>
      <c r="K337" s="1">
        <v>701</v>
      </c>
    </row>
    <row r="338" spans="3:11" x14ac:dyDescent="0.25">
      <c r="C338" s="1" t="s">
        <v>2791</v>
      </c>
      <c r="D338" s="1" t="s">
        <v>456</v>
      </c>
      <c r="E338" s="1" t="s">
        <v>2792</v>
      </c>
      <c r="F338" s="1">
        <v>79</v>
      </c>
      <c r="G338" s="1">
        <v>79</v>
      </c>
      <c r="H338" s="1">
        <v>0</v>
      </c>
      <c r="I338" s="1">
        <v>783</v>
      </c>
      <c r="J338" s="1">
        <v>704</v>
      </c>
      <c r="K338" s="1">
        <v>79</v>
      </c>
    </row>
    <row r="339" spans="3:11" x14ac:dyDescent="0.25">
      <c r="C339" s="1" t="s">
        <v>1183</v>
      </c>
      <c r="D339" s="1" t="s">
        <v>1184</v>
      </c>
      <c r="E339" s="1" t="s">
        <v>1183</v>
      </c>
      <c r="F339" s="1">
        <v>0</v>
      </c>
      <c r="G339" s="1">
        <v>0</v>
      </c>
      <c r="H339" s="1">
        <v>0</v>
      </c>
      <c r="I339" s="1">
        <v>782</v>
      </c>
      <c r="J339" s="1">
        <v>782</v>
      </c>
      <c r="K339" s="1">
        <v>0</v>
      </c>
    </row>
    <row r="340" spans="3:11" x14ac:dyDescent="0.25">
      <c r="C340" s="1" t="s">
        <v>2715</v>
      </c>
      <c r="D340" s="1" t="s">
        <v>2716</v>
      </c>
      <c r="E340" s="1" t="s">
        <v>2717</v>
      </c>
      <c r="F340" s="1">
        <v>-1</v>
      </c>
      <c r="G340" s="1">
        <v>-1</v>
      </c>
      <c r="H340" s="1">
        <v>0</v>
      </c>
      <c r="I340" s="1">
        <v>782</v>
      </c>
      <c r="J340" s="1">
        <v>783</v>
      </c>
      <c r="K340" s="1">
        <v>-1</v>
      </c>
    </row>
    <row r="341" spans="3:11" x14ac:dyDescent="0.25">
      <c r="C341" s="1" t="s">
        <v>1613</v>
      </c>
      <c r="D341" s="1" t="s">
        <v>169</v>
      </c>
      <c r="E341" s="1" t="s">
        <v>1614</v>
      </c>
      <c r="F341" s="1">
        <v>175</v>
      </c>
      <c r="G341" s="1">
        <v>175</v>
      </c>
      <c r="H341" s="1">
        <v>0</v>
      </c>
      <c r="I341" s="1">
        <v>776</v>
      </c>
      <c r="J341" s="1">
        <v>601</v>
      </c>
      <c r="K341" s="1">
        <v>175</v>
      </c>
    </row>
    <row r="342" spans="3:11" x14ac:dyDescent="0.25">
      <c r="C342" s="1" t="s">
        <v>1264</v>
      </c>
      <c r="D342" s="1" t="s">
        <v>122</v>
      </c>
      <c r="E342" s="1" t="s">
        <v>1265</v>
      </c>
      <c r="F342" s="1">
        <v>63</v>
      </c>
      <c r="G342" s="1">
        <v>63</v>
      </c>
      <c r="H342" s="1">
        <v>0</v>
      </c>
      <c r="I342" s="1">
        <v>775</v>
      </c>
      <c r="J342" s="1">
        <v>712</v>
      </c>
      <c r="K342" s="1">
        <v>63</v>
      </c>
    </row>
    <row r="343" spans="3:11" x14ac:dyDescent="0.25">
      <c r="C343" s="1" t="s">
        <v>2720</v>
      </c>
      <c r="D343" s="1" t="s">
        <v>455</v>
      </c>
      <c r="E343" s="1" t="s">
        <v>2721</v>
      </c>
      <c r="F343" s="1">
        <v>45</v>
      </c>
      <c r="G343" s="1">
        <v>45</v>
      </c>
      <c r="H343" s="1">
        <v>0</v>
      </c>
      <c r="I343" s="1">
        <v>772</v>
      </c>
      <c r="J343" s="1">
        <v>727</v>
      </c>
      <c r="K343" s="1">
        <v>45</v>
      </c>
    </row>
    <row r="344" spans="3:11" x14ac:dyDescent="0.25">
      <c r="C344" s="1" t="s">
        <v>2722</v>
      </c>
      <c r="D344" s="1" t="s">
        <v>2723</v>
      </c>
      <c r="E344" s="1" t="s">
        <v>2724</v>
      </c>
      <c r="F344" s="1">
        <v>11</v>
      </c>
      <c r="G344" s="1">
        <v>11</v>
      </c>
      <c r="H344" s="1">
        <v>0</v>
      </c>
      <c r="I344" s="1">
        <v>767</v>
      </c>
      <c r="J344" s="1">
        <v>756</v>
      </c>
      <c r="K344" s="1">
        <v>11</v>
      </c>
    </row>
    <row r="345" spans="3:11" x14ac:dyDescent="0.25">
      <c r="C345" s="1" t="s">
        <v>2727</v>
      </c>
      <c r="D345" s="1" t="s">
        <v>458</v>
      </c>
      <c r="E345" s="1" t="s">
        <v>2728</v>
      </c>
      <c r="F345" s="1">
        <v>20</v>
      </c>
      <c r="G345" s="1">
        <v>20</v>
      </c>
      <c r="H345" s="1">
        <v>0</v>
      </c>
      <c r="I345" s="1">
        <v>758</v>
      </c>
      <c r="J345" s="1">
        <v>738</v>
      </c>
      <c r="K345" s="1">
        <v>20</v>
      </c>
    </row>
    <row r="346" spans="3:11" x14ac:dyDescent="0.25">
      <c r="C346" s="1" t="s">
        <v>2729</v>
      </c>
      <c r="D346" s="1" t="s">
        <v>660</v>
      </c>
      <c r="E346" s="1" t="s">
        <v>2730</v>
      </c>
      <c r="F346" s="1">
        <v>160</v>
      </c>
      <c r="G346" s="1">
        <v>160</v>
      </c>
      <c r="H346" s="1">
        <v>0</v>
      </c>
      <c r="I346" s="1">
        <v>756</v>
      </c>
      <c r="J346" s="1">
        <v>596</v>
      </c>
      <c r="K346" s="1">
        <v>160</v>
      </c>
    </row>
    <row r="347" spans="3:11" x14ac:dyDescent="0.25">
      <c r="C347" s="1" t="s">
        <v>1323</v>
      </c>
      <c r="D347" s="1" t="s">
        <v>162</v>
      </c>
      <c r="E347" s="1" t="s">
        <v>1324</v>
      </c>
      <c r="F347" s="1">
        <v>331</v>
      </c>
      <c r="G347" s="1">
        <v>331</v>
      </c>
      <c r="H347" s="1">
        <v>0</v>
      </c>
      <c r="I347" s="1">
        <v>754</v>
      </c>
      <c r="J347" s="1">
        <v>423</v>
      </c>
      <c r="K347" s="1">
        <v>331</v>
      </c>
    </row>
    <row r="348" spans="3:11" x14ac:dyDescent="0.25">
      <c r="C348" s="1" t="s">
        <v>1185</v>
      </c>
      <c r="D348" s="1" t="s">
        <v>1186</v>
      </c>
      <c r="E348" s="1" t="s">
        <v>1187</v>
      </c>
      <c r="F348" s="1">
        <v>7</v>
      </c>
      <c r="G348" s="1">
        <v>7</v>
      </c>
      <c r="H348" s="1">
        <v>0</v>
      </c>
      <c r="I348" s="1">
        <v>752</v>
      </c>
      <c r="J348" s="1">
        <v>745</v>
      </c>
      <c r="K348" s="1">
        <v>7</v>
      </c>
    </row>
    <row r="349" spans="3:11" x14ac:dyDescent="0.25">
      <c r="C349" s="1" t="s">
        <v>1214</v>
      </c>
      <c r="D349" s="1" t="s">
        <v>113</v>
      </c>
      <c r="E349" s="1" t="s">
        <v>1215</v>
      </c>
      <c r="F349" s="1">
        <v>59</v>
      </c>
      <c r="G349" s="1">
        <v>59</v>
      </c>
      <c r="H349" s="1">
        <v>0</v>
      </c>
      <c r="I349" s="1">
        <v>749</v>
      </c>
      <c r="J349" s="1">
        <v>690</v>
      </c>
      <c r="K349" s="1">
        <v>59</v>
      </c>
    </row>
    <row r="350" spans="3:11" x14ac:dyDescent="0.25">
      <c r="C350" s="1" t="s">
        <v>2733</v>
      </c>
      <c r="D350" s="1" t="s">
        <v>459</v>
      </c>
      <c r="E350" s="1" t="s">
        <v>2734</v>
      </c>
      <c r="F350" s="1">
        <v>94</v>
      </c>
      <c r="G350" s="1">
        <v>94</v>
      </c>
      <c r="H350" s="1">
        <v>0</v>
      </c>
      <c r="I350" s="1">
        <v>749</v>
      </c>
      <c r="J350" s="1">
        <v>655</v>
      </c>
      <c r="K350" s="1">
        <v>94</v>
      </c>
    </row>
    <row r="351" spans="3:11" x14ac:dyDescent="0.25">
      <c r="C351" s="1" t="s">
        <v>2739</v>
      </c>
      <c r="D351" s="1" t="s">
        <v>2740</v>
      </c>
      <c r="E351" s="1" t="s">
        <v>2741</v>
      </c>
      <c r="F351" s="1">
        <v>0</v>
      </c>
      <c r="G351" s="1">
        <v>0</v>
      </c>
      <c r="H351" s="1">
        <v>0</v>
      </c>
      <c r="I351" s="1">
        <v>740</v>
      </c>
      <c r="J351" s="1">
        <v>740</v>
      </c>
      <c r="K351" s="1">
        <v>0</v>
      </c>
    </row>
    <row r="352" spans="3:11" x14ac:dyDescent="0.25">
      <c r="C352" s="1" t="s">
        <v>2742</v>
      </c>
      <c r="D352" s="1" t="s">
        <v>2743</v>
      </c>
      <c r="E352" s="1" t="s">
        <v>2744</v>
      </c>
      <c r="F352" s="1">
        <v>0</v>
      </c>
      <c r="G352" s="1">
        <v>0</v>
      </c>
      <c r="H352" s="1">
        <v>0</v>
      </c>
      <c r="I352" s="1">
        <v>740</v>
      </c>
      <c r="J352" s="1">
        <v>740</v>
      </c>
      <c r="K352" s="1">
        <v>0</v>
      </c>
    </row>
    <row r="353" spans="3:11" x14ac:dyDescent="0.25">
      <c r="C353" s="1" t="s">
        <v>2745</v>
      </c>
      <c r="D353" s="1" t="s">
        <v>804</v>
      </c>
      <c r="E353" s="1" t="s">
        <v>2746</v>
      </c>
      <c r="F353" s="1">
        <v>10</v>
      </c>
      <c r="G353" s="1">
        <v>10</v>
      </c>
      <c r="H353" s="1">
        <v>0</v>
      </c>
      <c r="I353" s="1">
        <v>740</v>
      </c>
      <c r="J353" s="1">
        <v>730</v>
      </c>
      <c r="K353" s="1">
        <v>10</v>
      </c>
    </row>
    <row r="354" spans="3:11" x14ac:dyDescent="0.25">
      <c r="C354" s="1" t="s">
        <v>1188</v>
      </c>
      <c r="D354" s="1" t="s">
        <v>1189</v>
      </c>
      <c r="E354" s="1" t="s">
        <v>1190</v>
      </c>
      <c r="F354" s="1">
        <v>0</v>
      </c>
      <c r="G354" s="1">
        <v>0</v>
      </c>
      <c r="H354" s="1">
        <v>0</v>
      </c>
      <c r="I354" s="1">
        <v>739</v>
      </c>
      <c r="J354" s="1">
        <v>739</v>
      </c>
      <c r="K354" s="1">
        <v>0</v>
      </c>
    </row>
    <row r="355" spans="3:11" x14ac:dyDescent="0.25">
      <c r="C355" s="1" t="s">
        <v>2747</v>
      </c>
      <c r="D355" s="1" t="s">
        <v>453</v>
      </c>
      <c r="E355" s="1" t="s">
        <v>2748</v>
      </c>
      <c r="F355" s="1">
        <v>228</v>
      </c>
      <c r="G355" s="1">
        <v>228</v>
      </c>
      <c r="H355" s="1">
        <v>0</v>
      </c>
      <c r="I355" s="1">
        <v>737</v>
      </c>
      <c r="J355" s="1">
        <v>509</v>
      </c>
      <c r="K355" s="1">
        <v>228</v>
      </c>
    </row>
    <row r="356" spans="3:11" x14ac:dyDescent="0.25">
      <c r="C356" s="1" t="s">
        <v>4314</v>
      </c>
      <c r="D356" s="1" t="s">
        <v>4315</v>
      </c>
      <c r="E356" s="1" t="s">
        <v>4316</v>
      </c>
      <c r="F356" s="1">
        <v>284</v>
      </c>
      <c r="G356" s="1">
        <v>284</v>
      </c>
      <c r="H356" s="1">
        <v>0</v>
      </c>
      <c r="I356" s="1">
        <v>737</v>
      </c>
      <c r="J356" s="1">
        <v>453</v>
      </c>
      <c r="K356" s="1">
        <v>284</v>
      </c>
    </row>
    <row r="357" spans="3:11" x14ac:dyDescent="0.25">
      <c r="C357" s="1" t="s">
        <v>2913</v>
      </c>
      <c r="D357" s="1" t="s">
        <v>819</v>
      </c>
      <c r="E357" s="1" t="s">
        <v>2914</v>
      </c>
      <c r="F357" s="1">
        <v>245</v>
      </c>
      <c r="G357" s="1">
        <v>245</v>
      </c>
      <c r="H357" s="1">
        <v>0</v>
      </c>
      <c r="I357" s="1">
        <v>734</v>
      </c>
      <c r="J357" s="1">
        <v>489</v>
      </c>
      <c r="K357" s="1">
        <v>245</v>
      </c>
    </row>
    <row r="358" spans="3:11" x14ac:dyDescent="0.25">
      <c r="C358" s="1" t="s">
        <v>2749</v>
      </c>
      <c r="D358" s="1" t="s">
        <v>676</v>
      </c>
      <c r="E358" s="1" t="s">
        <v>2750</v>
      </c>
      <c r="F358" s="1">
        <v>262</v>
      </c>
      <c r="G358" s="1">
        <v>262</v>
      </c>
      <c r="H358" s="1">
        <v>0</v>
      </c>
      <c r="I358" s="1">
        <v>733</v>
      </c>
      <c r="J358" s="1">
        <v>471</v>
      </c>
      <c r="K358" s="1">
        <v>262</v>
      </c>
    </row>
    <row r="359" spans="3:11" x14ac:dyDescent="0.25">
      <c r="C359" s="1" t="s">
        <v>2751</v>
      </c>
      <c r="D359" s="1" t="s">
        <v>844</v>
      </c>
      <c r="E359" s="1" t="s">
        <v>2752</v>
      </c>
      <c r="F359" s="1">
        <v>9</v>
      </c>
      <c r="G359" s="1">
        <v>9</v>
      </c>
      <c r="H359" s="1">
        <v>0</v>
      </c>
      <c r="I359" s="1">
        <v>728</v>
      </c>
      <c r="J359" s="1">
        <v>719</v>
      </c>
      <c r="K359" s="1">
        <v>9</v>
      </c>
    </row>
    <row r="360" spans="3:11" x14ac:dyDescent="0.25">
      <c r="C360" s="1" t="s">
        <v>2756</v>
      </c>
      <c r="D360" s="1" t="s">
        <v>2168</v>
      </c>
      <c r="E360" s="1" t="s">
        <v>2757</v>
      </c>
      <c r="F360" s="1">
        <v>107</v>
      </c>
      <c r="G360" s="1">
        <v>107</v>
      </c>
      <c r="H360" s="1">
        <v>0</v>
      </c>
      <c r="I360" s="1">
        <v>723</v>
      </c>
      <c r="J360" s="1">
        <v>616</v>
      </c>
      <c r="K360" s="1">
        <v>107</v>
      </c>
    </row>
    <row r="361" spans="3:11" x14ac:dyDescent="0.25">
      <c r="C361" s="1" t="s">
        <v>2758</v>
      </c>
      <c r="D361" s="1" t="s">
        <v>2173</v>
      </c>
      <c r="E361" s="1" t="s">
        <v>2759</v>
      </c>
      <c r="F361" s="1">
        <v>250</v>
      </c>
      <c r="G361" s="1">
        <v>250</v>
      </c>
      <c r="H361" s="1">
        <v>0</v>
      </c>
      <c r="I361" s="1">
        <v>723</v>
      </c>
      <c r="J361" s="1">
        <v>473</v>
      </c>
      <c r="K361" s="1">
        <v>250</v>
      </c>
    </row>
    <row r="362" spans="3:11" x14ac:dyDescent="0.25">
      <c r="C362" s="1" t="s">
        <v>1191</v>
      </c>
      <c r="D362" s="1" t="s">
        <v>1192</v>
      </c>
      <c r="E362" s="1" t="s">
        <v>1193</v>
      </c>
      <c r="F362" s="1">
        <v>0</v>
      </c>
      <c r="G362" s="1">
        <v>0</v>
      </c>
      <c r="H362" s="1">
        <v>0</v>
      </c>
      <c r="I362" s="1">
        <v>721</v>
      </c>
      <c r="J362" s="1">
        <v>721</v>
      </c>
      <c r="K362" s="1">
        <v>0</v>
      </c>
    </row>
    <row r="363" spans="3:11" x14ac:dyDescent="0.25">
      <c r="C363" s="1" t="s">
        <v>2753</v>
      </c>
      <c r="D363" s="1" t="s">
        <v>2754</v>
      </c>
      <c r="E363" s="1" t="s">
        <v>2755</v>
      </c>
      <c r="F363" s="1">
        <v>0</v>
      </c>
      <c r="G363" s="1">
        <v>0</v>
      </c>
      <c r="H363" s="1">
        <v>0</v>
      </c>
      <c r="I363" s="1">
        <v>721</v>
      </c>
      <c r="J363" s="1">
        <v>721</v>
      </c>
      <c r="K363" s="1">
        <v>0</v>
      </c>
    </row>
    <row r="364" spans="3:11" x14ac:dyDescent="0.25">
      <c r="C364" s="1" t="s">
        <v>4362</v>
      </c>
      <c r="D364" s="1" t="s">
        <v>4348</v>
      </c>
      <c r="E364" s="1" t="s">
        <v>4363</v>
      </c>
      <c r="F364" s="1">
        <v>111</v>
      </c>
      <c r="G364" s="1">
        <v>111</v>
      </c>
      <c r="H364" s="1">
        <v>0</v>
      </c>
      <c r="I364" s="1">
        <v>721</v>
      </c>
      <c r="J364" s="1">
        <v>610</v>
      </c>
      <c r="K364" s="1">
        <v>111</v>
      </c>
    </row>
    <row r="365" spans="3:11" x14ac:dyDescent="0.25">
      <c r="C365" s="1" t="s">
        <v>1194</v>
      </c>
      <c r="D365" s="1" t="s">
        <v>1195</v>
      </c>
      <c r="E365" s="1" t="s">
        <v>1196</v>
      </c>
      <c r="F365" s="1">
        <v>0</v>
      </c>
      <c r="G365" s="1">
        <v>0</v>
      </c>
      <c r="H365" s="1">
        <v>0</v>
      </c>
      <c r="I365" s="1">
        <v>720</v>
      </c>
      <c r="J365" s="1">
        <v>720</v>
      </c>
      <c r="K365" s="1">
        <v>0</v>
      </c>
    </row>
    <row r="366" spans="3:11" x14ac:dyDescent="0.25">
      <c r="C366" s="1" t="s">
        <v>2768</v>
      </c>
      <c r="D366" s="1" t="s">
        <v>464</v>
      </c>
      <c r="E366" s="1" t="s">
        <v>2769</v>
      </c>
      <c r="F366" s="1">
        <v>109</v>
      </c>
      <c r="G366" s="1">
        <v>109</v>
      </c>
      <c r="H366" s="1">
        <v>0</v>
      </c>
      <c r="I366" s="1">
        <v>717</v>
      </c>
      <c r="J366" s="1">
        <v>608</v>
      </c>
      <c r="K366" s="1">
        <v>109</v>
      </c>
    </row>
    <row r="367" spans="3:11" x14ac:dyDescent="0.25">
      <c r="C367" s="1" t="s">
        <v>2760</v>
      </c>
      <c r="D367" s="1" t="s">
        <v>2761</v>
      </c>
      <c r="E367" s="1" t="s">
        <v>2762</v>
      </c>
      <c r="F367" s="1">
        <v>-1</v>
      </c>
      <c r="G367" s="1">
        <v>-1</v>
      </c>
      <c r="H367" s="1">
        <v>0</v>
      </c>
      <c r="I367" s="1">
        <v>714</v>
      </c>
      <c r="J367" s="1">
        <v>715</v>
      </c>
      <c r="K367" s="1">
        <v>-1</v>
      </c>
    </row>
    <row r="368" spans="3:11" x14ac:dyDescent="0.25">
      <c r="C368" s="1" t="s">
        <v>2763</v>
      </c>
      <c r="D368" s="1" t="s">
        <v>2764</v>
      </c>
      <c r="E368" s="1" t="s">
        <v>2765</v>
      </c>
      <c r="F368" s="1">
        <v>5</v>
      </c>
      <c r="G368" s="1">
        <v>5</v>
      </c>
      <c r="H368" s="1">
        <v>0</v>
      </c>
      <c r="I368" s="1">
        <v>711</v>
      </c>
      <c r="J368" s="1">
        <v>706</v>
      </c>
      <c r="K368" s="1">
        <v>5</v>
      </c>
    </row>
    <row r="369" spans="3:11" x14ac:dyDescent="0.25">
      <c r="C369" s="1" t="s">
        <v>2766</v>
      </c>
      <c r="D369" s="1" t="s">
        <v>454</v>
      </c>
      <c r="E369" s="1" t="s">
        <v>2767</v>
      </c>
      <c r="F369" s="1">
        <v>59</v>
      </c>
      <c r="G369" s="1">
        <v>59</v>
      </c>
      <c r="H369" s="1">
        <v>0</v>
      </c>
      <c r="I369" s="1">
        <v>707</v>
      </c>
      <c r="J369" s="1">
        <v>648</v>
      </c>
      <c r="K369" s="1">
        <v>59</v>
      </c>
    </row>
    <row r="370" spans="3:11" x14ac:dyDescent="0.25">
      <c r="C370" s="1" t="s">
        <v>1197</v>
      </c>
      <c r="D370" s="1" t="s">
        <v>109</v>
      </c>
      <c r="E370" s="1" t="s">
        <v>1198</v>
      </c>
      <c r="F370" s="1">
        <v>80</v>
      </c>
      <c r="G370" s="1">
        <v>80</v>
      </c>
      <c r="H370" s="1">
        <v>0</v>
      </c>
      <c r="I370" s="1">
        <v>706</v>
      </c>
      <c r="J370" s="1">
        <v>626</v>
      </c>
      <c r="K370" s="1">
        <v>80</v>
      </c>
    </row>
    <row r="371" spans="3:11" x14ac:dyDescent="0.25">
      <c r="C371" s="1" t="s">
        <v>1617</v>
      </c>
      <c r="D371" s="1" t="s">
        <v>171</v>
      </c>
      <c r="E371" s="1" t="s">
        <v>1618</v>
      </c>
      <c r="F371" s="1">
        <v>157</v>
      </c>
      <c r="G371" s="1">
        <v>157</v>
      </c>
      <c r="H371" s="1">
        <v>0</v>
      </c>
      <c r="I371" s="1">
        <v>704</v>
      </c>
      <c r="J371" s="1">
        <v>547</v>
      </c>
      <c r="K371" s="1">
        <v>157</v>
      </c>
    </row>
    <row r="372" spans="3:11" x14ac:dyDescent="0.25">
      <c r="C372" s="1" t="s">
        <v>2772</v>
      </c>
      <c r="D372" s="1" t="s">
        <v>2773</v>
      </c>
      <c r="E372" s="1" t="s">
        <v>2774</v>
      </c>
      <c r="F372" s="1">
        <v>4</v>
      </c>
      <c r="G372" s="1">
        <v>4</v>
      </c>
      <c r="H372" s="1">
        <v>0</v>
      </c>
      <c r="I372" s="1">
        <v>700</v>
      </c>
      <c r="J372" s="1">
        <v>696</v>
      </c>
      <c r="K372" s="1">
        <v>4</v>
      </c>
    </row>
    <row r="373" spans="3:11" x14ac:dyDescent="0.25">
      <c r="C373" s="1" t="s">
        <v>2775</v>
      </c>
      <c r="D373" s="1" t="s">
        <v>698</v>
      </c>
      <c r="E373" s="1" t="s">
        <v>2776</v>
      </c>
      <c r="F373" s="1">
        <v>18</v>
      </c>
      <c r="G373" s="1">
        <v>18</v>
      </c>
      <c r="H373" s="1">
        <v>0</v>
      </c>
      <c r="I373" s="1">
        <v>692</v>
      </c>
      <c r="J373" s="1">
        <v>674</v>
      </c>
      <c r="K373" s="1">
        <v>18</v>
      </c>
    </row>
    <row r="374" spans="3:11" x14ac:dyDescent="0.25">
      <c r="C374" s="1" t="s">
        <v>1243</v>
      </c>
      <c r="D374" s="1" t="s">
        <v>119</v>
      </c>
      <c r="E374" s="1" t="s">
        <v>1244</v>
      </c>
      <c r="F374" s="1">
        <v>0</v>
      </c>
      <c r="G374" s="1">
        <v>0</v>
      </c>
      <c r="H374" s="1">
        <v>0</v>
      </c>
      <c r="I374" s="1">
        <v>688</v>
      </c>
      <c r="J374" s="1">
        <v>688</v>
      </c>
      <c r="K374" s="1">
        <v>0</v>
      </c>
    </row>
    <row r="375" spans="3:11" x14ac:dyDescent="0.25">
      <c r="C375" s="1" t="s">
        <v>2777</v>
      </c>
      <c r="D375" s="1" t="s">
        <v>2778</v>
      </c>
      <c r="E375" s="1" t="s">
        <v>2779</v>
      </c>
      <c r="F375" s="1">
        <v>1</v>
      </c>
      <c r="G375" s="1">
        <v>1</v>
      </c>
      <c r="H375" s="1">
        <v>0</v>
      </c>
      <c r="I375" s="1">
        <v>685</v>
      </c>
      <c r="J375" s="1">
        <v>684</v>
      </c>
      <c r="K375" s="1">
        <v>1</v>
      </c>
    </row>
    <row r="376" spans="3:11" x14ac:dyDescent="0.25">
      <c r="C376" s="1" t="s">
        <v>1201</v>
      </c>
      <c r="D376" s="1" t="s">
        <v>111</v>
      </c>
      <c r="E376" s="1" t="s">
        <v>1202</v>
      </c>
      <c r="F376" s="1">
        <v>158</v>
      </c>
      <c r="G376" s="1">
        <v>158</v>
      </c>
      <c r="H376" s="1">
        <v>0</v>
      </c>
      <c r="I376" s="1">
        <v>684</v>
      </c>
      <c r="J376" s="1">
        <v>526</v>
      </c>
      <c r="K376" s="1">
        <v>158</v>
      </c>
    </row>
    <row r="377" spans="3:11" x14ac:dyDescent="0.25">
      <c r="C377" s="1" t="s">
        <v>2780</v>
      </c>
      <c r="D377" s="1" t="s">
        <v>661</v>
      </c>
      <c r="E377" s="1" t="s">
        <v>2781</v>
      </c>
      <c r="F377" s="1">
        <v>181</v>
      </c>
      <c r="G377" s="1">
        <v>181</v>
      </c>
      <c r="H377" s="1">
        <v>0</v>
      </c>
      <c r="I377" s="1">
        <v>684</v>
      </c>
      <c r="J377" s="1">
        <v>503</v>
      </c>
      <c r="K377" s="1">
        <v>181</v>
      </c>
    </row>
    <row r="378" spans="3:11" x14ac:dyDescent="0.25">
      <c r="C378" s="1" t="s">
        <v>2782</v>
      </c>
      <c r="D378" s="1" t="s">
        <v>2783</v>
      </c>
      <c r="E378" s="1" t="s">
        <v>2784</v>
      </c>
      <c r="F378" s="1">
        <v>3</v>
      </c>
      <c r="G378" s="1">
        <v>3</v>
      </c>
      <c r="H378" s="1">
        <v>0</v>
      </c>
      <c r="I378" s="1">
        <v>673</v>
      </c>
      <c r="J378" s="1">
        <v>670</v>
      </c>
      <c r="K378" s="1">
        <v>3</v>
      </c>
    </row>
    <row r="379" spans="3:11" x14ac:dyDescent="0.25">
      <c r="C379" s="1" t="s">
        <v>2785</v>
      </c>
      <c r="D379" s="1" t="s">
        <v>845</v>
      </c>
      <c r="E379" s="1" t="s">
        <v>2786</v>
      </c>
      <c r="F379" s="1">
        <v>18</v>
      </c>
      <c r="G379" s="1">
        <v>18</v>
      </c>
      <c r="H379" s="1">
        <v>0</v>
      </c>
      <c r="I379" s="1">
        <v>672</v>
      </c>
      <c r="J379" s="1">
        <v>654</v>
      </c>
      <c r="K379" s="1">
        <v>18</v>
      </c>
    </row>
    <row r="380" spans="3:11" x14ac:dyDescent="0.25">
      <c r="C380" s="1" t="s">
        <v>2787</v>
      </c>
      <c r="D380" s="1" t="s">
        <v>807</v>
      </c>
      <c r="E380" s="1" t="s">
        <v>2788</v>
      </c>
      <c r="F380" s="1">
        <v>8</v>
      </c>
      <c r="G380" s="1">
        <v>8</v>
      </c>
      <c r="H380" s="1">
        <v>0</v>
      </c>
      <c r="I380" s="1">
        <v>671</v>
      </c>
      <c r="J380" s="1">
        <v>663</v>
      </c>
      <c r="K380" s="1">
        <v>8</v>
      </c>
    </row>
    <row r="381" spans="3:11" x14ac:dyDescent="0.25">
      <c r="C381" s="1" t="s">
        <v>1205</v>
      </c>
      <c r="D381" s="1" t="s">
        <v>1206</v>
      </c>
      <c r="E381" s="1" t="s">
        <v>1207</v>
      </c>
      <c r="F381" s="1">
        <v>0</v>
      </c>
      <c r="G381" s="1">
        <v>0</v>
      </c>
      <c r="H381" s="1">
        <v>0</v>
      </c>
      <c r="I381" s="1">
        <v>670</v>
      </c>
      <c r="J381" s="1">
        <v>670</v>
      </c>
      <c r="K381" s="1">
        <v>0</v>
      </c>
    </row>
    <row r="382" spans="3:11" x14ac:dyDescent="0.25">
      <c r="C382" s="1" t="s">
        <v>2789</v>
      </c>
      <c r="D382" s="1" t="s">
        <v>603</v>
      </c>
      <c r="E382" s="1" t="s">
        <v>2790</v>
      </c>
      <c r="F382" s="1">
        <v>0</v>
      </c>
      <c r="G382" s="1">
        <v>0</v>
      </c>
      <c r="H382" s="1">
        <v>0</v>
      </c>
      <c r="I382" s="1">
        <v>669</v>
      </c>
      <c r="J382" s="1">
        <v>669</v>
      </c>
      <c r="K382" s="1">
        <v>0</v>
      </c>
    </row>
    <row r="383" spans="3:11" x14ac:dyDescent="0.25">
      <c r="C383" s="1" t="s">
        <v>1233</v>
      </c>
      <c r="D383" s="1" t="s">
        <v>117</v>
      </c>
      <c r="E383" s="1" t="s">
        <v>1234</v>
      </c>
      <c r="F383" s="1">
        <v>63</v>
      </c>
      <c r="G383" s="1">
        <v>63</v>
      </c>
      <c r="H383" s="1">
        <v>0</v>
      </c>
      <c r="I383" s="1">
        <v>668</v>
      </c>
      <c r="J383" s="1">
        <v>605</v>
      </c>
      <c r="K383" s="1">
        <v>63</v>
      </c>
    </row>
    <row r="384" spans="3:11" x14ac:dyDescent="0.25">
      <c r="C384" s="1" t="s">
        <v>2915</v>
      </c>
      <c r="D384" s="1" t="s">
        <v>2174</v>
      </c>
      <c r="E384" s="1" t="s">
        <v>2916</v>
      </c>
      <c r="F384" s="1">
        <v>344</v>
      </c>
      <c r="G384" s="1">
        <v>344</v>
      </c>
      <c r="H384" s="1">
        <v>0</v>
      </c>
      <c r="I384" s="1">
        <v>660</v>
      </c>
      <c r="J384" s="1">
        <v>316</v>
      </c>
      <c r="K384" s="1">
        <v>344</v>
      </c>
    </row>
    <row r="385" spans="3:11" x14ac:dyDescent="0.25">
      <c r="C385" s="1" t="s">
        <v>1208</v>
      </c>
      <c r="D385" s="1" t="s">
        <v>1209</v>
      </c>
      <c r="E385" s="1" t="s">
        <v>1210</v>
      </c>
      <c r="F385" s="1">
        <v>-2</v>
      </c>
      <c r="G385" s="1">
        <v>-2</v>
      </c>
      <c r="H385" s="1">
        <v>0</v>
      </c>
      <c r="I385" s="1">
        <v>658</v>
      </c>
      <c r="J385" s="1">
        <v>660</v>
      </c>
      <c r="K385" s="1">
        <v>-2</v>
      </c>
    </row>
    <row r="386" spans="3:11" x14ac:dyDescent="0.25">
      <c r="C386" s="1" t="s">
        <v>1211</v>
      </c>
      <c r="D386" s="1" t="s">
        <v>1212</v>
      </c>
      <c r="E386" s="1" t="s">
        <v>1213</v>
      </c>
      <c r="F386" s="1">
        <v>9</v>
      </c>
      <c r="G386" s="1">
        <v>9</v>
      </c>
      <c r="H386" s="1">
        <v>0</v>
      </c>
      <c r="I386" s="1">
        <v>652</v>
      </c>
      <c r="J386" s="1">
        <v>643</v>
      </c>
      <c r="K386" s="1">
        <v>9</v>
      </c>
    </row>
    <row r="387" spans="3:11" x14ac:dyDescent="0.25">
      <c r="C387" s="1" t="s">
        <v>2846</v>
      </c>
      <c r="D387" s="1" t="s">
        <v>461</v>
      </c>
      <c r="E387" s="1" t="s">
        <v>2847</v>
      </c>
      <c r="F387" s="1">
        <v>83</v>
      </c>
      <c r="G387" s="1">
        <v>83</v>
      </c>
      <c r="H387" s="1">
        <v>0</v>
      </c>
      <c r="I387" s="1">
        <v>643</v>
      </c>
      <c r="J387" s="1">
        <v>560</v>
      </c>
      <c r="K387" s="1">
        <v>83</v>
      </c>
    </row>
    <row r="388" spans="3:11" x14ac:dyDescent="0.25">
      <c r="C388" s="1" t="s">
        <v>2795</v>
      </c>
      <c r="D388" s="1" t="s">
        <v>2796</v>
      </c>
      <c r="E388" s="1" t="s">
        <v>2797</v>
      </c>
      <c r="F388" s="1">
        <v>6</v>
      </c>
      <c r="G388" s="1">
        <v>6</v>
      </c>
      <c r="H388" s="1">
        <v>0</v>
      </c>
      <c r="I388" s="1">
        <v>642</v>
      </c>
      <c r="J388" s="1">
        <v>636</v>
      </c>
      <c r="K388" s="1">
        <v>6</v>
      </c>
    </row>
    <row r="389" spans="3:11" x14ac:dyDescent="0.25">
      <c r="C389" s="1" t="s">
        <v>2798</v>
      </c>
      <c r="D389" s="1" t="s">
        <v>657</v>
      </c>
      <c r="E389" s="1" t="s">
        <v>2799</v>
      </c>
      <c r="F389" s="1">
        <v>336</v>
      </c>
      <c r="G389" s="1">
        <v>336</v>
      </c>
      <c r="H389" s="1">
        <v>0</v>
      </c>
      <c r="I389" s="1">
        <v>642</v>
      </c>
      <c r="J389" s="1">
        <v>306</v>
      </c>
      <c r="K389" s="1">
        <v>336</v>
      </c>
    </row>
    <row r="390" spans="3:11" x14ac:dyDescent="0.25">
      <c r="C390" s="1" t="s">
        <v>1216</v>
      </c>
      <c r="D390" s="1" t="s">
        <v>1217</v>
      </c>
      <c r="E390" s="1" t="s">
        <v>1216</v>
      </c>
      <c r="F390" s="1">
        <v>1</v>
      </c>
      <c r="G390" s="1">
        <v>1</v>
      </c>
      <c r="H390" s="1">
        <v>0</v>
      </c>
      <c r="I390" s="1">
        <v>641</v>
      </c>
      <c r="J390" s="1">
        <v>640</v>
      </c>
      <c r="K390" s="1">
        <v>1</v>
      </c>
    </row>
    <row r="391" spans="3:11" x14ac:dyDescent="0.25">
      <c r="C391" s="1" t="s">
        <v>1218</v>
      </c>
      <c r="D391" s="1" t="s">
        <v>1219</v>
      </c>
      <c r="E391" s="1" t="s">
        <v>1220</v>
      </c>
      <c r="F391" s="1">
        <v>0</v>
      </c>
      <c r="G391" s="1">
        <v>0</v>
      </c>
      <c r="H391" s="1">
        <v>0</v>
      </c>
      <c r="I391" s="1">
        <v>641</v>
      </c>
      <c r="J391" s="1">
        <v>641</v>
      </c>
      <c r="K391" s="1">
        <v>0</v>
      </c>
    </row>
    <row r="392" spans="3:11" x14ac:dyDescent="0.25">
      <c r="C392" s="1" t="s">
        <v>2800</v>
      </c>
      <c r="D392" s="1" t="s">
        <v>2801</v>
      </c>
      <c r="E392" s="1" t="s">
        <v>2802</v>
      </c>
      <c r="F392" s="1">
        <v>4</v>
      </c>
      <c r="G392" s="1">
        <v>4</v>
      </c>
      <c r="H392" s="1">
        <v>0</v>
      </c>
      <c r="I392" s="1">
        <v>639</v>
      </c>
      <c r="J392" s="1">
        <v>635</v>
      </c>
      <c r="K392" s="1">
        <v>4</v>
      </c>
    </row>
    <row r="393" spans="3:11" x14ac:dyDescent="0.25">
      <c r="C393" s="1" t="s">
        <v>1223</v>
      </c>
      <c r="D393" s="1" t="s">
        <v>1224</v>
      </c>
      <c r="E393" s="1" t="s">
        <v>1225</v>
      </c>
      <c r="F393" s="1">
        <v>0</v>
      </c>
      <c r="G393" s="1">
        <v>0</v>
      </c>
      <c r="H393" s="1">
        <v>0</v>
      </c>
      <c r="I393" s="1">
        <v>637</v>
      </c>
      <c r="J393" s="1">
        <v>637</v>
      </c>
      <c r="K393" s="1">
        <v>0</v>
      </c>
    </row>
    <row r="394" spans="3:11" x14ac:dyDescent="0.25">
      <c r="C394" s="1" t="s">
        <v>2803</v>
      </c>
      <c r="D394" s="1" t="s">
        <v>847</v>
      </c>
      <c r="E394" s="1" t="s">
        <v>2804</v>
      </c>
      <c r="F394" s="1">
        <v>132</v>
      </c>
      <c r="G394" s="1">
        <v>132</v>
      </c>
      <c r="H394" s="1">
        <v>0</v>
      </c>
      <c r="I394" s="1">
        <v>635</v>
      </c>
      <c r="J394" s="1">
        <v>503</v>
      </c>
      <c r="K394" s="1">
        <v>132</v>
      </c>
    </row>
    <row r="395" spans="3:11" x14ac:dyDescent="0.25">
      <c r="C395" s="1" t="s">
        <v>2805</v>
      </c>
      <c r="D395" s="1" t="s">
        <v>846</v>
      </c>
      <c r="E395" s="1" t="s">
        <v>2806</v>
      </c>
      <c r="F395" s="1">
        <v>11</v>
      </c>
      <c r="G395" s="1">
        <v>11</v>
      </c>
      <c r="H395" s="1">
        <v>0</v>
      </c>
      <c r="I395" s="1">
        <v>630</v>
      </c>
      <c r="J395" s="1">
        <v>619</v>
      </c>
      <c r="K395" s="1">
        <v>11</v>
      </c>
    </row>
    <row r="396" spans="3:11" x14ac:dyDescent="0.25">
      <c r="C396" s="1" t="s">
        <v>2807</v>
      </c>
      <c r="D396" s="1" t="s">
        <v>460</v>
      </c>
      <c r="E396" s="1" t="s">
        <v>2807</v>
      </c>
      <c r="F396" s="1">
        <v>25</v>
      </c>
      <c r="G396" s="1">
        <v>25</v>
      </c>
      <c r="H396" s="1">
        <v>0</v>
      </c>
      <c r="I396" s="1">
        <v>628</v>
      </c>
      <c r="J396" s="1">
        <v>603</v>
      </c>
      <c r="K396" s="1">
        <v>25</v>
      </c>
    </row>
    <row r="397" spans="3:11" x14ac:dyDescent="0.25">
      <c r="C397" s="1" t="s">
        <v>2808</v>
      </c>
      <c r="D397" s="1" t="s">
        <v>696</v>
      </c>
      <c r="E397" s="1" t="s">
        <v>2809</v>
      </c>
      <c r="F397" s="1">
        <v>39</v>
      </c>
      <c r="G397" s="1">
        <v>39</v>
      </c>
      <c r="H397" s="1">
        <v>0</v>
      </c>
      <c r="I397" s="1">
        <v>627</v>
      </c>
      <c r="J397" s="1">
        <v>588</v>
      </c>
      <c r="K397" s="1">
        <v>39</v>
      </c>
    </row>
    <row r="398" spans="3:11" x14ac:dyDescent="0.25">
      <c r="C398" s="1" t="s">
        <v>1287</v>
      </c>
      <c r="D398" s="1" t="s">
        <v>125</v>
      </c>
      <c r="E398" s="1" t="s">
        <v>1288</v>
      </c>
      <c r="F398" s="1">
        <v>31</v>
      </c>
      <c r="G398" s="1">
        <v>31</v>
      </c>
      <c r="H398" s="1">
        <v>0</v>
      </c>
      <c r="I398" s="1">
        <v>626</v>
      </c>
      <c r="J398" s="1">
        <v>595</v>
      </c>
      <c r="K398" s="1">
        <v>31</v>
      </c>
    </row>
    <row r="399" spans="3:11" x14ac:dyDescent="0.25">
      <c r="C399" s="1" t="s">
        <v>1449</v>
      </c>
      <c r="D399" s="1" t="s">
        <v>145</v>
      </c>
      <c r="E399" s="1" t="s">
        <v>1450</v>
      </c>
      <c r="F399" s="1">
        <v>118</v>
      </c>
      <c r="G399" s="1">
        <v>118</v>
      </c>
      <c r="H399" s="1">
        <v>0</v>
      </c>
      <c r="I399" s="1">
        <v>625</v>
      </c>
      <c r="J399" s="1">
        <v>507</v>
      </c>
      <c r="K399" s="1">
        <v>118</v>
      </c>
    </row>
    <row r="400" spans="3:11" x14ac:dyDescent="0.25">
      <c r="C400" s="1" t="s">
        <v>2810</v>
      </c>
      <c r="D400" s="1" t="s">
        <v>652</v>
      </c>
      <c r="E400" s="1" t="s">
        <v>2811</v>
      </c>
      <c r="F400" s="1">
        <v>377</v>
      </c>
      <c r="G400" s="1">
        <v>377</v>
      </c>
      <c r="H400" s="1">
        <v>0</v>
      </c>
      <c r="I400" s="1">
        <v>625</v>
      </c>
      <c r="J400" s="1">
        <v>248</v>
      </c>
      <c r="K400" s="1">
        <v>377</v>
      </c>
    </row>
    <row r="401" spans="3:11" x14ac:dyDescent="0.25">
      <c r="C401" s="1" t="s">
        <v>1226</v>
      </c>
      <c r="D401" s="1" t="s">
        <v>1227</v>
      </c>
      <c r="E401" s="1" t="s">
        <v>1228</v>
      </c>
      <c r="F401" s="1">
        <v>2</v>
      </c>
      <c r="G401" s="1">
        <v>2</v>
      </c>
      <c r="H401" s="1">
        <v>0</v>
      </c>
      <c r="I401" s="1">
        <v>623</v>
      </c>
      <c r="J401" s="1">
        <v>621</v>
      </c>
      <c r="K401" s="1">
        <v>2</v>
      </c>
    </row>
    <row r="402" spans="3:11" x14ac:dyDescent="0.25">
      <c r="C402" s="1" t="s">
        <v>1248</v>
      </c>
      <c r="D402" s="1" t="s">
        <v>1249</v>
      </c>
      <c r="E402" s="1" t="s">
        <v>1250</v>
      </c>
      <c r="F402" s="1">
        <v>2</v>
      </c>
      <c r="G402" s="1">
        <v>2</v>
      </c>
      <c r="H402" s="1">
        <v>0</v>
      </c>
      <c r="I402" s="1">
        <v>618</v>
      </c>
      <c r="J402" s="1">
        <v>616</v>
      </c>
      <c r="K402" s="1">
        <v>2</v>
      </c>
    </row>
    <row r="403" spans="3:11" x14ac:dyDescent="0.25">
      <c r="C403" s="1" t="s">
        <v>2812</v>
      </c>
      <c r="D403" s="1" t="s">
        <v>653</v>
      </c>
      <c r="E403" s="1" t="s">
        <v>2813</v>
      </c>
      <c r="F403" s="1">
        <v>11</v>
      </c>
      <c r="G403" s="1">
        <v>11</v>
      </c>
      <c r="H403" s="1">
        <v>0</v>
      </c>
      <c r="I403" s="1">
        <v>613</v>
      </c>
      <c r="J403" s="1">
        <v>602</v>
      </c>
      <c r="K403" s="1">
        <v>11</v>
      </c>
    </row>
    <row r="404" spans="3:11" x14ac:dyDescent="0.25">
      <c r="C404" s="1" t="s">
        <v>2814</v>
      </c>
      <c r="D404" s="1" t="s">
        <v>659</v>
      </c>
      <c r="E404" s="1" t="s">
        <v>2815</v>
      </c>
      <c r="F404" s="1">
        <v>236</v>
      </c>
      <c r="G404" s="1">
        <v>236</v>
      </c>
      <c r="H404" s="1">
        <v>0</v>
      </c>
      <c r="I404" s="1">
        <v>605</v>
      </c>
      <c r="J404" s="1">
        <v>369</v>
      </c>
      <c r="K404" s="1">
        <v>236</v>
      </c>
    </row>
    <row r="405" spans="3:11" x14ac:dyDescent="0.25">
      <c r="C405" s="1" t="s">
        <v>2816</v>
      </c>
      <c r="D405" s="1" t="s">
        <v>2817</v>
      </c>
      <c r="E405" s="1" t="s">
        <v>2818</v>
      </c>
      <c r="F405" s="1">
        <v>0</v>
      </c>
      <c r="G405" s="1">
        <v>0</v>
      </c>
      <c r="H405" s="1">
        <v>0</v>
      </c>
      <c r="I405" s="1">
        <v>602</v>
      </c>
      <c r="J405" s="1">
        <v>602</v>
      </c>
      <c r="K405" s="1">
        <v>0</v>
      </c>
    </row>
    <row r="406" spans="3:11" x14ac:dyDescent="0.25">
      <c r="C406" s="1" t="s">
        <v>1237</v>
      </c>
      <c r="D406" s="1" t="s">
        <v>1238</v>
      </c>
      <c r="E406" s="1" t="s">
        <v>1239</v>
      </c>
      <c r="F406" s="1">
        <v>0</v>
      </c>
      <c r="G406" s="1">
        <v>0</v>
      </c>
      <c r="H406" s="1">
        <v>0</v>
      </c>
      <c r="I406" s="1">
        <v>601</v>
      </c>
      <c r="J406" s="1">
        <v>601</v>
      </c>
      <c r="K406" s="1">
        <v>0</v>
      </c>
    </row>
    <row r="407" spans="3:11" x14ac:dyDescent="0.25">
      <c r="C407" s="1" t="s">
        <v>2819</v>
      </c>
      <c r="D407" s="1" t="s">
        <v>697</v>
      </c>
      <c r="E407" s="1" t="s">
        <v>2820</v>
      </c>
      <c r="F407" s="1">
        <v>45</v>
      </c>
      <c r="G407" s="1">
        <v>45</v>
      </c>
      <c r="H407" s="1">
        <v>0</v>
      </c>
      <c r="I407" s="1">
        <v>600</v>
      </c>
      <c r="J407" s="1">
        <v>555</v>
      </c>
      <c r="K407" s="1">
        <v>45</v>
      </c>
    </row>
    <row r="408" spans="3:11" x14ac:dyDescent="0.25">
      <c r="C408" s="1" t="s">
        <v>2821</v>
      </c>
      <c r="D408" s="1" t="s">
        <v>699</v>
      </c>
      <c r="E408" s="1" t="s">
        <v>2822</v>
      </c>
      <c r="F408" s="1">
        <v>8</v>
      </c>
      <c r="G408" s="1">
        <v>8</v>
      </c>
      <c r="H408" s="1">
        <v>0</v>
      </c>
      <c r="I408" s="1">
        <v>599</v>
      </c>
      <c r="J408" s="1">
        <v>591</v>
      </c>
      <c r="K408" s="1">
        <v>8</v>
      </c>
    </row>
    <row r="409" spans="3:11" x14ac:dyDescent="0.25">
      <c r="C409" s="1" t="s">
        <v>1240</v>
      </c>
      <c r="D409" s="1" t="s">
        <v>1241</v>
      </c>
      <c r="E409" s="1" t="s">
        <v>1242</v>
      </c>
      <c r="F409" s="1">
        <v>2</v>
      </c>
      <c r="G409" s="1">
        <v>2</v>
      </c>
      <c r="H409" s="1">
        <v>0</v>
      </c>
      <c r="I409" s="1">
        <v>585</v>
      </c>
      <c r="J409" s="1">
        <v>583</v>
      </c>
      <c r="K409" s="1">
        <v>2</v>
      </c>
    </row>
    <row r="410" spans="3:11" x14ac:dyDescent="0.25">
      <c r="C410" s="1" t="s">
        <v>1461</v>
      </c>
      <c r="D410" s="1" t="s">
        <v>150</v>
      </c>
      <c r="E410" s="1" t="s">
        <v>1462</v>
      </c>
      <c r="F410" s="1">
        <v>164</v>
      </c>
      <c r="G410" s="1">
        <v>164</v>
      </c>
      <c r="H410" s="1">
        <v>0</v>
      </c>
      <c r="I410" s="1">
        <v>585</v>
      </c>
      <c r="J410" s="1">
        <v>421</v>
      </c>
      <c r="K410" s="1">
        <v>164</v>
      </c>
    </row>
    <row r="411" spans="3:11" x14ac:dyDescent="0.25">
      <c r="C411" s="1" t="s">
        <v>2825</v>
      </c>
      <c r="D411" s="1" t="s">
        <v>2826</v>
      </c>
      <c r="E411" s="1" t="s">
        <v>2827</v>
      </c>
      <c r="F411" s="1">
        <v>0</v>
      </c>
      <c r="G411" s="1">
        <v>0</v>
      </c>
      <c r="H411" s="1">
        <v>0</v>
      </c>
      <c r="I411" s="1">
        <v>582</v>
      </c>
      <c r="J411" s="1">
        <v>582</v>
      </c>
      <c r="K411" s="1">
        <v>0</v>
      </c>
    </row>
    <row r="412" spans="3:11" x14ac:dyDescent="0.25">
      <c r="C412" s="1" t="s">
        <v>2828</v>
      </c>
      <c r="D412" s="1" t="s">
        <v>808</v>
      </c>
      <c r="E412" s="1" t="s">
        <v>2829</v>
      </c>
      <c r="F412" s="1">
        <v>23</v>
      </c>
      <c r="G412" s="1">
        <v>23</v>
      </c>
      <c r="H412" s="1">
        <v>0</v>
      </c>
      <c r="I412" s="1">
        <v>580</v>
      </c>
      <c r="J412" s="1">
        <v>557</v>
      </c>
      <c r="K412" s="1">
        <v>23</v>
      </c>
    </row>
    <row r="413" spans="3:11" x14ac:dyDescent="0.25">
      <c r="C413" s="1" t="s">
        <v>2830</v>
      </c>
      <c r="D413" s="1" t="s">
        <v>654</v>
      </c>
      <c r="E413" s="1" t="s">
        <v>2831</v>
      </c>
      <c r="F413" s="1">
        <v>465</v>
      </c>
      <c r="G413" s="1">
        <v>465</v>
      </c>
      <c r="H413" s="1">
        <v>0</v>
      </c>
      <c r="I413" s="1">
        <v>576</v>
      </c>
      <c r="J413" s="1">
        <v>111</v>
      </c>
      <c r="K413" s="1">
        <v>465</v>
      </c>
    </row>
    <row r="414" spans="3:11" x14ac:dyDescent="0.25">
      <c r="C414" s="1" t="s">
        <v>2344</v>
      </c>
      <c r="D414" s="1" t="s">
        <v>2343</v>
      </c>
      <c r="E414" s="1" t="s">
        <v>2345</v>
      </c>
      <c r="F414" s="1">
        <v>0</v>
      </c>
      <c r="G414" s="1">
        <v>0</v>
      </c>
      <c r="H414" s="1">
        <v>0</v>
      </c>
      <c r="I414" s="1">
        <v>576</v>
      </c>
      <c r="J414" s="1">
        <v>576</v>
      </c>
      <c r="K414" s="1">
        <v>0</v>
      </c>
    </row>
    <row r="415" spans="3:11" x14ac:dyDescent="0.25">
      <c r="C415" s="1" t="s">
        <v>1294</v>
      </c>
      <c r="D415" s="1" t="s">
        <v>127</v>
      </c>
      <c r="E415" s="1" t="s">
        <v>1295</v>
      </c>
      <c r="F415" s="1">
        <v>23</v>
      </c>
      <c r="G415" s="1">
        <v>23</v>
      </c>
      <c r="H415" s="1">
        <v>0</v>
      </c>
      <c r="I415" s="1">
        <v>575</v>
      </c>
      <c r="J415" s="1">
        <v>552</v>
      </c>
      <c r="K415" s="1">
        <v>23</v>
      </c>
    </row>
    <row r="416" spans="3:11" x14ac:dyDescent="0.25">
      <c r="C416" s="1" t="s">
        <v>2858</v>
      </c>
      <c r="D416" s="1" t="s">
        <v>467</v>
      </c>
      <c r="E416" s="1" t="s">
        <v>2859</v>
      </c>
      <c r="F416" s="1">
        <v>44</v>
      </c>
      <c r="G416" s="1">
        <v>44</v>
      </c>
      <c r="H416" s="1">
        <v>0</v>
      </c>
      <c r="I416" s="1">
        <v>574</v>
      </c>
      <c r="J416" s="1">
        <v>530</v>
      </c>
      <c r="K416" s="1">
        <v>44</v>
      </c>
    </row>
    <row r="417" spans="3:11" x14ac:dyDescent="0.25">
      <c r="C417" s="1" t="s">
        <v>2832</v>
      </c>
      <c r="D417" s="1" t="s">
        <v>2833</v>
      </c>
      <c r="E417" s="1" t="s">
        <v>2834</v>
      </c>
      <c r="F417" s="1">
        <v>6</v>
      </c>
      <c r="G417" s="1">
        <v>6</v>
      </c>
      <c r="H417" s="1">
        <v>0</v>
      </c>
      <c r="I417" s="1">
        <v>572</v>
      </c>
      <c r="J417" s="1">
        <v>566</v>
      </c>
      <c r="K417" s="1">
        <v>6</v>
      </c>
    </row>
    <row r="418" spans="3:11" x14ac:dyDescent="0.25">
      <c r="C418" s="1" t="s">
        <v>2835</v>
      </c>
      <c r="D418" s="1" t="s">
        <v>655</v>
      </c>
      <c r="E418" s="1" t="s">
        <v>2836</v>
      </c>
      <c r="F418" s="1">
        <v>160</v>
      </c>
      <c r="G418" s="1">
        <v>160</v>
      </c>
      <c r="H418" s="1">
        <v>0</v>
      </c>
      <c r="I418" s="1">
        <v>572</v>
      </c>
      <c r="J418" s="1">
        <v>412</v>
      </c>
      <c r="K418" s="1">
        <v>160</v>
      </c>
    </row>
    <row r="419" spans="3:11" x14ac:dyDescent="0.25">
      <c r="C419" s="1" t="s">
        <v>2837</v>
      </c>
      <c r="D419" s="1" t="s">
        <v>872</v>
      </c>
      <c r="E419" s="1" t="s">
        <v>2838</v>
      </c>
      <c r="F419" s="1">
        <v>17</v>
      </c>
      <c r="G419" s="1">
        <v>17</v>
      </c>
      <c r="H419" s="1">
        <v>0</v>
      </c>
      <c r="I419" s="1">
        <v>572</v>
      </c>
      <c r="J419" s="1">
        <v>555</v>
      </c>
      <c r="K419" s="1">
        <v>17</v>
      </c>
    </row>
    <row r="420" spans="3:11" x14ac:dyDescent="0.25">
      <c r="C420" s="1" t="s">
        <v>1284</v>
      </c>
      <c r="D420" s="1" t="s">
        <v>1285</v>
      </c>
      <c r="E420" s="1" t="s">
        <v>1286</v>
      </c>
      <c r="F420" s="1">
        <v>0</v>
      </c>
      <c r="G420" s="1">
        <v>0</v>
      </c>
      <c r="H420" s="1">
        <v>0</v>
      </c>
      <c r="I420" s="1">
        <v>571</v>
      </c>
      <c r="J420" s="1">
        <v>571</v>
      </c>
      <c r="K420" s="1">
        <v>0</v>
      </c>
    </row>
    <row r="421" spans="3:11" x14ac:dyDescent="0.25">
      <c r="C421" s="1" t="s">
        <v>2839</v>
      </c>
      <c r="D421" s="1" t="s">
        <v>462</v>
      </c>
      <c r="E421" s="1" t="s">
        <v>2840</v>
      </c>
      <c r="F421" s="1">
        <v>16</v>
      </c>
      <c r="G421" s="1">
        <v>16</v>
      </c>
      <c r="H421" s="1">
        <v>0</v>
      </c>
      <c r="I421" s="1">
        <v>568</v>
      </c>
      <c r="J421" s="1">
        <v>552</v>
      </c>
      <c r="K421" s="1">
        <v>16</v>
      </c>
    </row>
    <row r="422" spans="3:11" x14ac:dyDescent="0.25">
      <c r="C422" s="1" t="s">
        <v>2850</v>
      </c>
      <c r="D422" s="1" t="s">
        <v>2851</v>
      </c>
      <c r="E422" s="1" t="s">
        <v>2852</v>
      </c>
      <c r="F422" s="1">
        <v>-1</v>
      </c>
      <c r="G422" s="1">
        <v>-1</v>
      </c>
      <c r="H422" s="1">
        <v>0</v>
      </c>
      <c r="I422" s="1">
        <v>566</v>
      </c>
      <c r="J422" s="1">
        <v>567</v>
      </c>
      <c r="K422" s="1">
        <v>-1</v>
      </c>
    </row>
    <row r="423" spans="3:11" x14ac:dyDescent="0.25">
      <c r="C423" s="1" t="s">
        <v>1245</v>
      </c>
      <c r="D423" s="1" t="s">
        <v>1246</v>
      </c>
      <c r="E423" s="1" t="s">
        <v>1247</v>
      </c>
      <c r="F423" s="1">
        <v>-3</v>
      </c>
      <c r="G423" s="1">
        <v>-3</v>
      </c>
      <c r="H423" s="1">
        <v>0</v>
      </c>
      <c r="I423" s="1">
        <v>566</v>
      </c>
      <c r="J423" s="1">
        <v>569</v>
      </c>
      <c r="K423" s="1">
        <v>-3</v>
      </c>
    </row>
    <row r="424" spans="3:11" x14ac:dyDescent="0.25">
      <c r="C424" s="1" t="s">
        <v>2841</v>
      </c>
      <c r="D424" s="1" t="s">
        <v>656</v>
      </c>
      <c r="E424" s="1" t="s">
        <v>2842</v>
      </c>
      <c r="F424" s="1">
        <v>33</v>
      </c>
      <c r="G424" s="1">
        <v>33</v>
      </c>
      <c r="H424" s="1">
        <v>0</v>
      </c>
      <c r="I424" s="1">
        <v>565</v>
      </c>
      <c r="J424" s="1">
        <v>532</v>
      </c>
      <c r="K424" s="1">
        <v>33</v>
      </c>
    </row>
    <row r="425" spans="3:11" x14ac:dyDescent="0.25">
      <c r="C425" s="1" t="s">
        <v>2843</v>
      </c>
      <c r="D425" s="1" t="s">
        <v>2844</v>
      </c>
      <c r="E425" s="1" t="s">
        <v>2845</v>
      </c>
      <c r="F425" s="1">
        <v>1</v>
      </c>
      <c r="G425" s="1">
        <v>1</v>
      </c>
      <c r="H425" s="1">
        <v>0</v>
      </c>
      <c r="I425" s="1">
        <v>565</v>
      </c>
      <c r="J425" s="1">
        <v>564</v>
      </c>
      <c r="K425" s="1">
        <v>1</v>
      </c>
    </row>
    <row r="426" spans="3:11" x14ac:dyDescent="0.25">
      <c r="C426" s="1" t="s">
        <v>2921</v>
      </c>
      <c r="D426" s="1" t="s">
        <v>675</v>
      </c>
      <c r="E426" s="1" t="s">
        <v>2922</v>
      </c>
      <c r="F426" s="1">
        <v>237</v>
      </c>
      <c r="G426" s="1">
        <v>237</v>
      </c>
      <c r="H426" s="1">
        <v>0</v>
      </c>
      <c r="I426" s="1">
        <v>561</v>
      </c>
      <c r="J426" s="1">
        <v>324</v>
      </c>
      <c r="K426" s="1">
        <v>237</v>
      </c>
    </row>
    <row r="427" spans="3:11" x14ac:dyDescent="0.25">
      <c r="C427" s="1" t="s">
        <v>1291</v>
      </c>
      <c r="D427" s="1" t="s">
        <v>1292</v>
      </c>
      <c r="E427" s="1" t="s">
        <v>1293</v>
      </c>
      <c r="F427" s="1">
        <v>22</v>
      </c>
      <c r="G427" s="1">
        <v>22</v>
      </c>
      <c r="H427" s="1">
        <v>0</v>
      </c>
      <c r="I427" s="1">
        <v>559</v>
      </c>
      <c r="J427" s="1">
        <v>537</v>
      </c>
      <c r="K427" s="1">
        <v>22</v>
      </c>
    </row>
    <row r="428" spans="3:11" x14ac:dyDescent="0.25">
      <c r="C428" s="1" t="s">
        <v>1253</v>
      </c>
      <c r="D428" s="1" t="s">
        <v>1254</v>
      </c>
      <c r="E428" s="1" t="s">
        <v>1255</v>
      </c>
      <c r="F428" s="1">
        <v>1</v>
      </c>
      <c r="G428" s="1">
        <v>1</v>
      </c>
      <c r="H428" s="1">
        <v>0</v>
      </c>
      <c r="I428" s="1">
        <v>557</v>
      </c>
      <c r="J428" s="1">
        <v>556</v>
      </c>
      <c r="K428" s="1">
        <v>1</v>
      </c>
    </row>
    <row r="429" spans="3:11" x14ac:dyDescent="0.25">
      <c r="C429" s="1" t="s">
        <v>2848</v>
      </c>
      <c r="D429" s="1" t="s">
        <v>670</v>
      </c>
      <c r="E429" s="1" t="s">
        <v>2849</v>
      </c>
      <c r="F429" s="1">
        <v>195</v>
      </c>
      <c r="G429" s="1">
        <v>195</v>
      </c>
      <c r="H429" s="1">
        <v>0</v>
      </c>
      <c r="I429" s="1">
        <v>557</v>
      </c>
      <c r="J429" s="1">
        <v>362</v>
      </c>
      <c r="K429" s="1">
        <v>195</v>
      </c>
    </row>
    <row r="430" spans="3:11" x14ac:dyDescent="0.25">
      <c r="C430" s="1" t="s">
        <v>1256</v>
      </c>
      <c r="D430" s="1" t="s">
        <v>1257</v>
      </c>
      <c r="E430" s="1" t="s">
        <v>1258</v>
      </c>
      <c r="F430" s="1">
        <v>1</v>
      </c>
      <c r="G430" s="1">
        <v>1</v>
      </c>
      <c r="H430" s="1">
        <v>0</v>
      </c>
      <c r="I430" s="1">
        <v>556</v>
      </c>
      <c r="J430" s="1">
        <v>555</v>
      </c>
      <c r="K430" s="1">
        <v>1</v>
      </c>
    </row>
    <row r="431" spans="3:11" x14ac:dyDescent="0.25">
      <c r="C431" s="1" t="s">
        <v>1259</v>
      </c>
      <c r="D431" s="1" t="s">
        <v>1260</v>
      </c>
      <c r="E431" s="1" t="s">
        <v>1261</v>
      </c>
      <c r="F431" s="1">
        <v>0</v>
      </c>
      <c r="G431" s="1">
        <v>0</v>
      </c>
      <c r="H431" s="1">
        <v>0</v>
      </c>
      <c r="I431" s="1">
        <v>555</v>
      </c>
      <c r="J431" s="1">
        <v>555</v>
      </c>
      <c r="K431" s="1">
        <v>0</v>
      </c>
    </row>
    <row r="432" spans="3:11" x14ac:dyDescent="0.25">
      <c r="C432" s="1" t="s">
        <v>2853</v>
      </c>
      <c r="D432" s="1" t="s">
        <v>700</v>
      </c>
      <c r="E432" s="1" t="s">
        <v>2854</v>
      </c>
      <c r="F432" s="1">
        <v>66</v>
      </c>
      <c r="G432" s="1">
        <v>66</v>
      </c>
      <c r="H432" s="1">
        <v>0</v>
      </c>
      <c r="I432" s="1">
        <v>553</v>
      </c>
      <c r="J432" s="1">
        <v>487</v>
      </c>
      <c r="K432" s="1">
        <v>66</v>
      </c>
    </row>
    <row r="433" spans="3:11" x14ac:dyDescent="0.25">
      <c r="C433" s="1" t="s">
        <v>2855</v>
      </c>
      <c r="D433" s="1" t="s">
        <v>2856</v>
      </c>
      <c r="E433" s="1" t="s">
        <v>2857</v>
      </c>
      <c r="F433" s="1">
        <v>3</v>
      </c>
      <c r="G433" s="1">
        <v>3</v>
      </c>
      <c r="H433" s="1">
        <v>0</v>
      </c>
      <c r="I433" s="1">
        <v>551</v>
      </c>
      <c r="J433" s="1">
        <v>548</v>
      </c>
      <c r="K433" s="1">
        <v>3</v>
      </c>
    </row>
    <row r="434" spans="3:11" x14ac:dyDescent="0.25">
      <c r="C434" s="1" t="s">
        <v>1304</v>
      </c>
      <c r="D434" s="1" t="s">
        <v>128</v>
      </c>
      <c r="E434" s="1" t="s">
        <v>1305</v>
      </c>
      <c r="F434" s="1">
        <v>53</v>
      </c>
      <c r="G434" s="1">
        <v>53</v>
      </c>
      <c r="H434" s="1">
        <v>0</v>
      </c>
      <c r="I434" s="1">
        <v>548</v>
      </c>
      <c r="J434" s="1">
        <v>495</v>
      </c>
      <c r="K434" s="1">
        <v>53</v>
      </c>
    </row>
    <row r="435" spans="3:11" x14ac:dyDescent="0.25">
      <c r="C435" s="1" t="s">
        <v>1266</v>
      </c>
      <c r="D435" s="1" t="s">
        <v>1267</v>
      </c>
      <c r="E435" s="1" t="s">
        <v>1268</v>
      </c>
      <c r="F435" s="1">
        <v>0</v>
      </c>
      <c r="G435" s="1">
        <v>0</v>
      </c>
      <c r="H435" s="1">
        <v>0</v>
      </c>
      <c r="I435" s="1">
        <v>547</v>
      </c>
      <c r="J435" s="1">
        <v>547</v>
      </c>
      <c r="K435" s="1">
        <v>0</v>
      </c>
    </row>
    <row r="436" spans="3:11" x14ac:dyDescent="0.25">
      <c r="C436" s="1" t="s">
        <v>1273</v>
      </c>
      <c r="D436" s="1" t="s">
        <v>1274</v>
      </c>
      <c r="E436" s="1" t="s">
        <v>1275</v>
      </c>
      <c r="F436" s="1">
        <v>11</v>
      </c>
      <c r="G436" s="1">
        <v>11</v>
      </c>
      <c r="H436" s="1">
        <v>0</v>
      </c>
      <c r="I436" s="1">
        <v>547</v>
      </c>
      <c r="J436" s="1">
        <v>536</v>
      </c>
      <c r="K436" s="1">
        <v>11</v>
      </c>
    </row>
    <row r="437" spans="3:11" x14ac:dyDescent="0.25">
      <c r="C437" s="1" t="s">
        <v>1269</v>
      </c>
      <c r="D437" s="1" t="s">
        <v>123</v>
      </c>
      <c r="E437" s="1" t="s">
        <v>1270</v>
      </c>
      <c r="F437" s="1">
        <v>0</v>
      </c>
      <c r="G437" s="1">
        <v>0</v>
      </c>
      <c r="H437" s="1">
        <v>0</v>
      </c>
      <c r="I437" s="1">
        <v>544</v>
      </c>
      <c r="J437" s="1">
        <v>544</v>
      </c>
      <c r="K437" s="1">
        <v>0</v>
      </c>
    </row>
    <row r="438" spans="3:11" x14ac:dyDescent="0.25">
      <c r="C438" s="1" t="s">
        <v>1713</v>
      </c>
      <c r="D438" s="1" t="s">
        <v>179</v>
      </c>
      <c r="E438" s="1" t="s">
        <v>2163</v>
      </c>
      <c r="F438" s="1">
        <v>127</v>
      </c>
      <c r="G438" s="1">
        <v>127</v>
      </c>
      <c r="H438" s="1">
        <v>0</v>
      </c>
      <c r="I438" s="1">
        <v>544</v>
      </c>
      <c r="J438" s="1">
        <v>417</v>
      </c>
      <c r="K438" s="1">
        <v>127</v>
      </c>
    </row>
    <row r="439" spans="3:11" x14ac:dyDescent="0.25">
      <c r="C439" s="1" t="s">
        <v>1276</v>
      </c>
      <c r="D439" s="1" t="s">
        <v>1277</v>
      </c>
      <c r="E439" s="1" t="s">
        <v>1276</v>
      </c>
      <c r="F439" s="1">
        <v>3</v>
      </c>
      <c r="G439" s="1">
        <v>3</v>
      </c>
      <c r="H439" s="1">
        <v>0</v>
      </c>
      <c r="I439" s="1">
        <v>543</v>
      </c>
      <c r="J439" s="1">
        <v>540</v>
      </c>
      <c r="K439" s="1">
        <v>3</v>
      </c>
    </row>
    <row r="440" spans="3:11" x14ac:dyDescent="0.25">
      <c r="C440" s="1" t="s">
        <v>1457</v>
      </c>
      <c r="D440" s="1" t="s">
        <v>148</v>
      </c>
      <c r="E440" s="1" t="s">
        <v>1458</v>
      </c>
      <c r="F440" s="1">
        <v>253</v>
      </c>
      <c r="G440" s="1">
        <v>253</v>
      </c>
      <c r="H440" s="1">
        <v>0</v>
      </c>
      <c r="I440" s="1">
        <v>532</v>
      </c>
      <c r="J440" s="1">
        <v>279</v>
      </c>
      <c r="K440" s="1">
        <v>253</v>
      </c>
    </row>
    <row r="441" spans="3:11" x14ac:dyDescent="0.25">
      <c r="C441" s="1" t="s">
        <v>1271</v>
      </c>
      <c r="D441" s="1" t="s">
        <v>124</v>
      </c>
      <c r="E441" s="1" t="s">
        <v>1272</v>
      </c>
      <c r="F441" s="1">
        <v>37</v>
      </c>
      <c r="G441" s="1">
        <v>37</v>
      </c>
      <c r="H441" s="1">
        <v>0</v>
      </c>
      <c r="I441" s="1">
        <v>530</v>
      </c>
      <c r="J441" s="1">
        <v>493</v>
      </c>
      <c r="K441" s="1">
        <v>37</v>
      </c>
    </row>
    <row r="442" spans="3:11" x14ac:dyDescent="0.25">
      <c r="C442" s="1" t="s">
        <v>4364</v>
      </c>
      <c r="D442" s="1" t="s">
        <v>4354</v>
      </c>
      <c r="E442" s="1" t="s">
        <v>4365</v>
      </c>
      <c r="F442" s="1">
        <v>108</v>
      </c>
      <c r="G442" s="1">
        <v>108</v>
      </c>
      <c r="H442" s="1">
        <v>0</v>
      </c>
      <c r="I442" s="1">
        <v>528</v>
      </c>
      <c r="J442" s="1">
        <v>420</v>
      </c>
      <c r="K442" s="1">
        <v>108</v>
      </c>
    </row>
    <row r="443" spans="3:11" x14ac:dyDescent="0.25">
      <c r="C443" s="1" t="s">
        <v>2881</v>
      </c>
      <c r="D443" s="1" t="s">
        <v>2172</v>
      </c>
      <c r="E443" s="1" t="s">
        <v>2882</v>
      </c>
      <c r="F443" s="1">
        <v>0</v>
      </c>
      <c r="G443" s="1">
        <v>0</v>
      </c>
      <c r="H443" s="1">
        <v>0</v>
      </c>
      <c r="I443" s="1">
        <v>527</v>
      </c>
      <c r="J443" s="1">
        <v>527</v>
      </c>
      <c r="K443" s="1">
        <v>0</v>
      </c>
    </row>
    <row r="444" spans="3:11" x14ac:dyDescent="0.25">
      <c r="C444" s="1" t="s">
        <v>1278</v>
      </c>
      <c r="D444" s="1" t="s">
        <v>1279</v>
      </c>
      <c r="E444" s="1" t="s">
        <v>1280</v>
      </c>
      <c r="F444" s="1">
        <v>15</v>
      </c>
      <c r="G444" s="1">
        <v>15</v>
      </c>
      <c r="H444" s="1">
        <v>0</v>
      </c>
      <c r="I444" s="1">
        <v>522</v>
      </c>
      <c r="J444" s="1">
        <v>507</v>
      </c>
      <c r="K444" s="1">
        <v>15</v>
      </c>
    </row>
    <row r="445" spans="3:11" x14ac:dyDescent="0.25">
      <c r="C445" s="1" t="s">
        <v>2873</v>
      </c>
      <c r="D445" s="1" t="s">
        <v>2874</v>
      </c>
      <c r="E445" s="1" t="s">
        <v>2875</v>
      </c>
      <c r="F445" s="1">
        <v>1</v>
      </c>
      <c r="G445" s="1">
        <v>1</v>
      </c>
      <c r="H445" s="1">
        <v>0</v>
      </c>
      <c r="I445" s="1">
        <v>522</v>
      </c>
      <c r="J445" s="1">
        <v>521</v>
      </c>
      <c r="K445" s="1">
        <v>1</v>
      </c>
    </row>
    <row r="446" spans="3:11" x14ac:dyDescent="0.25">
      <c r="C446" s="1" t="s">
        <v>2263</v>
      </c>
      <c r="D446" s="1" t="s">
        <v>2264</v>
      </c>
      <c r="E446" s="1" t="s">
        <v>2265</v>
      </c>
      <c r="F446" s="1">
        <v>11</v>
      </c>
      <c r="G446" s="1">
        <v>11</v>
      </c>
      <c r="H446" s="1">
        <v>0</v>
      </c>
      <c r="I446" s="1">
        <v>520</v>
      </c>
      <c r="J446" s="1">
        <v>509</v>
      </c>
      <c r="K446" s="1">
        <v>11</v>
      </c>
    </row>
    <row r="447" spans="3:11" x14ac:dyDescent="0.25">
      <c r="C447" s="1" t="s">
        <v>2860</v>
      </c>
      <c r="D447" s="1" t="s">
        <v>2861</v>
      </c>
      <c r="E447" s="1" t="s">
        <v>2862</v>
      </c>
      <c r="F447" s="1">
        <v>5</v>
      </c>
      <c r="G447" s="1">
        <v>5</v>
      </c>
      <c r="H447" s="1">
        <v>0</v>
      </c>
      <c r="I447" s="1">
        <v>519</v>
      </c>
      <c r="J447" s="1">
        <v>514</v>
      </c>
      <c r="K447" s="1">
        <v>5</v>
      </c>
    </row>
    <row r="448" spans="3:11" x14ac:dyDescent="0.25">
      <c r="C448" s="1" t="s">
        <v>2863</v>
      </c>
      <c r="D448" s="1" t="s">
        <v>2864</v>
      </c>
      <c r="E448" s="1" t="s">
        <v>2865</v>
      </c>
      <c r="F448" s="1">
        <v>0</v>
      </c>
      <c r="G448" s="1">
        <v>0</v>
      </c>
      <c r="H448" s="1">
        <v>0</v>
      </c>
      <c r="I448" s="1">
        <v>518</v>
      </c>
      <c r="J448" s="1">
        <v>518</v>
      </c>
      <c r="K448" s="1">
        <v>0</v>
      </c>
    </row>
    <row r="449" spans="3:11" x14ac:dyDescent="0.25">
      <c r="C449" s="1" t="s">
        <v>2866</v>
      </c>
      <c r="D449" s="1" t="s">
        <v>2867</v>
      </c>
      <c r="E449" s="1" t="s">
        <v>2868</v>
      </c>
      <c r="F449" s="1">
        <v>0</v>
      </c>
      <c r="G449" s="1">
        <v>0</v>
      </c>
      <c r="H449" s="1">
        <v>0</v>
      </c>
      <c r="I449" s="1">
        <v>517</v>
      </c>
      <c r="J449" s="1">
        <v>517</v>
      </c>
      <c r="K449" s="1">
        <v>0</v>
      </c>
    </row>
    <row r="450" spans="3:11" x14ac:dyDescent="0.25">
      <c r="C450" s="1" t="s">
        <v>2272</v>
      </c>
      <c r="D450" s="1" t="s">
        <v>2273</v>
      </c>
      <c r="E450" s="1" t="s">
        <v>2274</v>
      </c>
      <c r="F450" s="1">
        <v>325</v>
      </c>
      <c r="G450" s="1">
        <v>325</v>
      </c>
      <c r="H450" s="1">
        <v>0</v>
      </c>
      <c r="I450" s="1">
        <v>517</v>
      </c>
      <c r="J450" s="1">
        <v>192</v>
      </c>
      <c r="K450" s="1">
        <v>325</v>
      </c>
    </row>
    <row r="451" spans="3:11" x14ac:dyDescent="0.25">
      <c r="C451" s="1" t="s">
        <v>2869</v>
      </c>
      <c r="D451" s="1" t="s">
        <v>658</v>
      </c>
      <c r="E451" s="1" t="s">
        <v>2870</v>
      </c>
      <c r="F451" s="1">
        <v>63</v>
      </c>
      <c r="G451" s="1">
        <v>63</v>
      </c>
      <c r="H451" s="1">
        <v>0</v>
      </c>
      <c r="I451" s="1">
        <v>516</v>
      </c>
      <c r="J451" s="1">
        <v>453</v>
      </c>
      <c r="K451" s="1">
        <v>63</v>
      </c>
    </row>
    <row r="452" spans="3:11" x14ac:dyDescent="0.25">
      <c r="C452" s="1" t="s">
        <v>2871</v>
      </c>
      <c r="D452" s="1" t="s">
        <v>466</v>
      </c>
      <c r="E452" s="1" t="s">
        <v>2872</v>
      </c>
      <c r="F452" s="1">
        <v>55</v>
      </c>
      <c r="G452" s="1">
        <v>55</v>
      </c>
      <c r="H452" s="1">
        <v>0</v>
      </c>
      <c r="I452" s="1">
        <v>516</v>
      </c>
      <c r="J452" s="1">
        <v>461</v>
      </c>
      <c r="K452" s="1">
        <v>55</v>
      </c>
    </row>
    <row r="453" spans="3:11" x14ac:dyDescent="0.25">
      <c r="C453" s="1" t="s">
        <v>1637</v>
      </c>
      <c r="D453" s="1" t="s">
        <v>1638</v>
      </c>
      <c r="E453" s="1" t="s">
        <v>1639</v>
      </c>
      <c r="F453" s="1">
        <v>0</v>
      </c>
      <c r="G453" s="1">
        <v>0</v>
      </c>
      <c r="H453" s="1">
        <v>0</v>
      </c>
      <c r="I453" s="1">
        <v>516</v>
      </c>
      <c r="J453" s="1">
        <v>516</v>
      </c>
      <c r="K453" s="1">
        <v>0</v>
      </c>
    </row>
    <row r="454" spans="3:11" x14ac:dyDescent="0.25">
      <c r="C454" s="1" t="s">
        <v>2876</v>
      </c>
      <c r="D454" s="1" t="s">
        <v>2877</v>
      </c>
      <c r="E454" s="1" t="s">
        <v>2878</v>
      </c>
      <c r="F454" s="1">
        <v>8</v>
      </c>
      <c r="G454" s="1">
        <v>8</v>
      </c>
      <c r="H454" s="1">
        <v>0</v>
      </c>
      <c r="I454" s="1">
        <v>512</v>
      </c>
      <c r="J454" s="1">
        <v>504</v>
      </c>
      <c r="K454" s="1">
        <v>8</v>
      </c>
    </row>
    <row r="455" spans="3:11" x14ac:dyDescent="0.25">
      <c r="C455" s="1" t="s">
        <v>1281</v>
      </c>
      <c r="D455" s="1" t="s">
        <v>1282</v>
      </c>
      <c r="E455" s="1" t="s">
        <v>1283</v>
      </c>
      <c r="F455" s="1">
        <v>52</v>
      </c>
      <c r="G455" s="1">
        <v>52</v>
      </c>
      <c r="H455" s="1">
        <v>0</v>
      </c>
      <c r="I455" s="1">
        <v>509</v>
      </c>
      <c r="J455" s="1">
        <v>457</v>
      </c>
      <c r="K455" s="1">
        <v>52</v>
      </c>
    </row>
    <row r="456" spans="3:11" x14ac:dyDescent="0.25">
      <c r="C456" s="1" t="s">
        <v>2879</v>
      </c>
      <c r="D456" s="1" t="s">
        <v>666</v>
      </c>
      <c r="E456" s="1" t="s">
        <v>2880</v>
      </c>
      <c r="F456" s="1">
        <v>229</v>
      </c>
      <c r="G456" s="1">
        <v>229</v>
      </c>
      <c r="H456" s="1">
        <v>0</v>
      </c>
      <c r="I456" s="1">
        <v>505</v>
      </c>
      <c r="J456" s="1">
        <v>276</v>
      </c>
      <c r="K456" s="1">
        <v>229</v>
      </c>
    </row>
    <row r="457" spans="3:11" x14ac:dyDescent="0.25">
      <c r="C457" s="1" t="s">
        <v>1309</v>
      </c>
      <c r="D457" s="1" t="s">
        <v>129</v>
      </c>
      <c r="E457" s="1" t="s">
        <v>1310</v>
      </c>
      <c r="F457" s="1">
        <v>78</v>
      </c>
      <c r="G457" s="1">
        <v>78</v>
      </c>
      <c r="H457" s="1">
        <v>0</v>
      </c>
      <c r="I457" s="1">
        <v>503</v>
      </c>
      <c r="J457" s="1">
        <v>425</v>
      </c>
      <c r="K457" s="1">
        <v>78</v>
      </c>
    </row>
    <row r="458" spans="3:11" x14ac:dyDescent="0.25">
      <c r="C458" s="1" t="s">
        <v>2883</v>
      </c>
      <c r="D458" s="1" t="s">
        <v>465</v>
      </c>
      <c r="E458" s="1" t="s">
        <v>2884</v>
      </c>
      <c r="F458" s="1">
        <v>33</v>
      </c>
      <c r="G458" s="1">
        <v>33</v>
      </c>
      <c r="H458" s="1">
        <v>0</v>
      </c>
      <c r="I458" s="1">
        <v>489</v>
      </c>
      <c r="J458" s="1">
        <v>456</v>
      </c>
      <c r="K458" s="1">
        <v>33</v>
      </c>
    </row>
    <row r="459" spans="3:11" x14ac:dyDescent="0.25">
      <c r="C459" s="1" t="s">
        <v>2885</v>
      </c>
      <c r="D459" s="1" t="s">
        <v>2886</v>
      </c>
      <c r="E459" s="1" t="s">
        <v>2887</v>
      </c>
      <c r="F459" s="1">
        <v>0</v>
      </c>
      <c r="G459" s="1">
        <v>0</v>
      </c>
      <c r="H459" s="1">
        <v>0</v>
      </c>
      <c r="I459" s="1">
        <v>486</v>
      </c>
      <c r="J459" s="1">
        <v>486</v>
      </c>
      <c r="K459" s="1">
        <v>0</v>
      </c>
    </row>
    <row r="460" spans="3:11" x14ac:dyDescent="0.25">
      <c r="C460" s="1" t="s">
        <v>2158</v>
      </c>
      <c r="D460" s="1" t="s">
        <v>2159</v>
      </c>
      <c r="E460" s="1" t="s">
        <v>2160</v>
      </c>
      <c r="F460" s="1">
        <v>98</v>
      </c>
      <c r="G460" s="1">
        <v>98</v>
      </c>
      <c r="H460" s="1">
        <v>0</v>
      </c>
      <c r="I460" s="1">
        <v>485</v>
      </c>
      <c r="J460" s="1">
        <v>387</v>
      </c>
      <c r="K460" s="1">
        <v>98</v>
      </c>
    </row>
    <row r="461" spans="3:11" x14ac:dyDescent="0.25">
      <c r="C461" s="1" t="s">
        <v>2888</v>
      </c>
      <c r="D461" s="1" t="s">
        <v>604</v>
      </c>
      <c r="E461" s="1" t="s">
        <v>2889</v>
      </c>
      <c r="F461" s="1">
        <v>101</v>
      </c>
      <c r="G461" s="1">
        <v>101</v>
      </c>
      <c r="H461" s="1">
        <v>0</v>
      </c>
      <c r="I461" s="1">
        <v>483</v>
      </c>
      <c r="J461" s="1">
        <v>382</v>
      </c>
      <c r="K461" s="1">
        <v>101</v>
      </c>
    </row>
    <row r="462" spans="3:11" x14ac:dyDescent="0.25">
      <c r="C462" s="1" t="s">
        <v>1615</v>
      </c>
      <c r="D462" s="1" t="s">
        <v>170</v>
      </c>
      <c r="E462" s="1" t="s">
        <v>1616</v>
      </c>
      <c r="F462" s="1">
        <v>6</v>
      </c>
      <c r="G462" s="1">
        <v>6</v>
      </c>
      <c r="H462" s="1">
        <v>0</v>
      </c>
      <c r="I462" s="1">
        <v>483</v>
      </c>
      <c r="J462" s="1">
        <v>477</v>
      </c>
      <c r="K462" s="1">
        <v>6</v>
      </c>
    </row>
    <row r="463" spans="3:11" x14ac:dyDescent="0.25">
      <c r="C463" s="1" t="s">
        <v>2890</v>
      </c>
      <c r="D463" s="1" t="s">
        <v>716</v>
      </c>
      <c r="E463" s="1" t="s">
        <v>2891</v>
      </c>
      <c r="F463" s="1">
        <v>227</v>
      </c>
      <c r="G463" s="1">
        <v>227</v>
      </c>
      <c r="H463" s="1">
        <v>0</v>
      </c>
      <c r="I463" s="1">
        <v>480</v>
      </c>
      <c r="J463" s="1">
        <v>253</v>
      </c>
      <c r="K463" s="1">
        <v>227</v>
      </c>
    </row>
    <row r="464" spans="3:11" x14ac:dyDescent="0.25">
      <c r="C464" s="1" t="s">
        <v>2040</v>
      </c>
      <c r="D464" s="1" t="s">
        <v>2041</v>
      </c>
      <c r="E464" s="1" t="s">
        <v>2042</v>
      </c>
      <c r="F464" s="1">
        <v>0</v>
      </c>
      <c r="G464" s="1">
        <v>0</v>
      </c>
      <c r="H464" s="1">
        <v>0</v>
      </c>
      <c r="I464" s="1">
        <v>480</v>
      </c>
      <c r="J464" s="1">
        <v>480</v>
      </c>
      <c r="K464" s="1">
        <v>0</v>
      </c>
    </row>
    <row r="465" spans="3:11" x14ac:dyDescent="0.25">
      <c r="C465" s="1" t="s">
        <v>2185</v>
      </c>
      <c r="D465" s="1" t="s">
        <v>2186</v>
      </c>
      <c r="E465" s="1" t="s">
        <v>2187</v>
      </c>
      <c r="F465" s="1">
        <v>0</v>
      </c>
      <c r="G465" s="1">
        <v>0</v>
      </c>
      <c r="H465" s="1">
        <v>0</v>
      </c>
      <c r="I465" s="1">
        <v>480</v>
      </c>
      <c r="J465" s="1">
        <v>480</v>
      </c>
      <c r="K465" s="1">
        <v>0</v>
      </c>
    </row>
    <row r="466" spans="3:11" x14ac:dyDescent="0.25">
      <c r="C466" s="1" t="s">
        <v>1298</v>
      </c>
      <c r="D466" s="1" t="s">
        <v>1299</v>
      </c>
      <c r="E466" s="1" t="s">
        <v>1300</v>
      </c>
      <c r="F466" s="1">
        <v>0</v>
      </c>
      <c r="G466" s="1">
        <v>0</v>
      </c>
      <c r="H466" s="1">
        <v>0</v>
      </c>
      <c r="I466" s="1">
        <v>476</v>
      </c>
      <c r="J466" s="1">
        <v>476</v>
      </c>
      <c r="K466" s="1">
        <v>0</v>
      </c>
    </row>
    <row r="467" spans="3:11" x14ac:dyDescent="0.25">
      <c r="C467" s="1" t="s">
        <v>1301</v>
      </c>
      <c r="D467" s="1" t="s">
        <v>1302</v>
      </c>
      <c r="E467" s="1" t="s">
        <v>1303</v>
      </c>
      <c r="F467" s="1">
        <v>0</v>
      </c>
      <c r="G467" s="1">
        <v>0</v>
      </c>
      <c r="H467" s="1">
        <v>0</v>
      </c>
      <c r="I467" s="1">
        <v>476</v>
      </c>
      <c r="J467" s="1">
        <v>476</v>
      </c>
      <c r="K467" s="1">
        <v>0</v>
      </c>
    </row>
    <row r="468" spans="3:11" x14ac:dyDescent="0.25">
      <c r="C468" s="1" t="s">
        <v>2892</v>
      </c>
      <c r="D468" s="1" t="s">
        <v>2893</v>
      </c>
      <c r="E468" s="1" t="s">
        <v>2894</v>
      </c>
      <c r="F468" s="1">
        <v>0</v>
      </c>
      <c r="G468" s="1">
        <v>0</v>
      </c>
      <c r="H468" s="1">
        <v>0</v>
      </c>
      <c r="I468" s="1">
        <v>474</v>
      </c>
      <c r="J468" s="1">
        <v>474</v>
      </c>
      <c r="K468" s="1">
        <v>0</v>
      </c>
    </row>
    <row r="469" spans="3:11" x14ac:dyDescent="0.25">
      <c r="C469" s="1" t="s">
        <v>2895</v>
      </c>
      <c r="D469" s="1" t="s">
        <v>811</v>
      </c>
      <c r="E469" s="1" t="s">
        <v>2896</v>
      </c>
      <c r="F469" s="1">
        <v>0</v>
      </c>
      <c r="G469" s="1">
        <v>0</v>
      </c>
      <c r="H469" s="1">
        <v>0</v>
      </c>
      <c r="I469" s="1">
        <v>474</v>
      </c>
      <c r="J469" s="1">
        <v>474</v>
      </c>
      <c r="K469" s="1">
        <v>0</v>
      </c>
    </row>
    <row r="470" spans="3:11" x14ac:dyDescent="0.25">
      <c r="C470" s="1" t="s">
        <v>2897</v>
      </c>
      <c r="D470" s="1" t="s">
        <v>2898</v>
      </c>
      <c r="E470" s="1" t="s">
        <v>2899</v>
      </c>
      <c r="F470" s="1">
        <v>2</v>
      </c>
      <c r="G470" s="1">
        <v>2</v>
      </c>
      <c r="H470" s="1">
        <v>0</v>
      </c>
      <c r="I470" s="1">
        <v>469</v>
      </c>
      <c r="J470" s="1">
        <v>467</v>
      </c>
      <c r="K470" s="1">
        <v>2</v>
      </c>
    </row>
    <row r="471" spans="3:11" x14ac:dyDescent="0.25">
      <c r="C471" s="1" t="s">
        <v>1306</v>
      </c>
      <c r="D471" s="1" t="s">
        <v>1307</v>
      </c>
      <c r="E471" s="1" t="s">
        <v>1308</v>
      </c>
      <c r="F471" s="1">
        <v>6</v>
      </c>
      <c r="G471" s="1">
        <v>6</v>
      </c>
      <c r="H471" s="1">
        <v>0</v>
      </c>
      <c r="I471" s="1">
        <v>468</v>
      </c>
      <c r="J471" s="1">
        <v>462</v>
      </c>
      <c r="K471" s="1">
        <v>6</v>
      </c>
    </row>
    <row r="472" spans="3:11" x14ac:dyDescent="0.25">
      <c r="C472" s="1" t="s">
        <v>1451</v>
      </c>
      <c r="D472" s="1" t="s">
        <v>172</v>
      </c>
      <c r="E472" s="1" t="s">
        <v>1452</v>
      </c>
      <c r="F472" s="1">
        <v>124</v>
      </c>
      <c r="G472" s="1">
        <v>124</v>
      </c>
      <c r="H472" s="1">
        <v>0</v>
      </c>
      <c r="I472" s="1">
        <v>468</v>
      </c>
      <c r="J472" s="1">
        <v>344</v>
      </c>
      <c r="K472" s="1">
        <v>124</v>
      </c>
    </row>
    <row r="473" spans="3:11" x14ac:dyDescent="0.25">
      <c r="C473" s="1" t="s">
        <v>1330</v>
      </c>
      <c r="D473" s="1" t="s">
        <v>1331</v>
      </c>
      <c r="E473" s="1" t="s">
        <v>1332</v>
      </c>
      <c r="F473" s="1">
        <v>10</v>
      </c>
      <c r="G473" s="1">
        <v>10</v>
      </c>
      <c r="H473" s="1">
        <v>0</v>
      </c>
      <c r="I473" s="1">
        <v>465</v>
      </c>
      <c r="J473" s="1">
        <v>455</v>
      </c>
      <c r="K473" s="1">
        <v>10</v>
      </c>
    </row>
    <row r="474" spans="3:11" x14ac:dyDescent="0.25">
      <c r="C474" s="1" t="s">
        <v>1471</v>
      </c>
      <c r="D474" s="1" t="s">
        <v>152</v>
      </c>
      <c r="E474" s="1" t="s">
        <v>1472</v>
      </c>
      <c r="F474" s="1">
        <v>20</v>
      </c>
      <c r="G474" s="1">
        <v>20</v>
      </c>
      <c r="H474" s="1">
        <v>0</v>
      </c>
      <c r="I474" s="1">
        <v>464</v>
      </c>
      <c r="J474" s="1">
        <v>444</v>
      </c>
      <c r="K474" s="1">
        <v>20</v>
      </c>
    </row>
    <row r="475" spans="3:11" x14ac:dyDescent="0.25">
      <c r="C475" s="1" t="s">
        <v>2900</v>
      </c>
      <c r="D475" s="1" t="s">
        <v>701</v>
      </c>
      <c r="E475" s="1" t="s">
        <v>2901</v>
      </c>
      <c r="F475" s="1">
        <v>6</v>
      </c>
      <c r="G475" s="1">
        <v>6</v>
      </c>
      <c r="H475" s="1">
        <v>0</v>
      </c>
      <c r="I475" s="1">
        <v>460</v>
      </c>
      <c r="J475" s="1">
        <v>454</v>
      </c>
      <c r="K475" s="1">
        <v>6</v>
      </c>
    </row>
    <row r="476" spans="3:11" x14ac:dyDescent="0.25">
      <c r="C476" s="1" t="s">
        <v>2904</v>
      </c>
      <c r="D476" s="1" t="s">
        <v>2905</v>
      </c>
      <c r="E476" s="1" t="s">
        <v>2906</v>
      </c>
      <c r="F476" s="1">
        <v>14</v>
      </c>
      <c r="G476" s="1">
        <v>14</v>
      </c>
      <c r="H476" s="1">
        <v>0</v>
      </c>
      <c r="I476" s="1">
        <v>459</v>
      </c>
      <c r="J476" s="1">
        <v>445</v>
      </c>
      <c r="K476" s="1">
        <v>14</v>
      </c>
    </row>
    <row r="477" spans="3:11" x14ac:dyDescent="0.25">
      <c r="C477" s="1" t="s">
        <v>1466</v>
      </c>
      <c r="D477" s="1" t="s">
        <v>151</v>
      </c>
      <c r="E477" s="1" t="s">
        <v>1467</v>
      </c>
      <c r="F477" s="1">
        <v>134</v>
      </c>
      <c r="G477" s="1">
        <v>134</v>
      </c>
      <c r="H477" s="1">
        <v>0</v>
      </c>
      <c r="I477" s="1">
        <v>459</v>
      </c>
      <c r="J477" s="1">
        <v>325</v>
      </c>
      <c r="K477" s="1">
        <v>134</v>
      </c>
    </row>
    <row r="478" spans="3:11" x14ac:dyDescent="0.25">
      <c r="C478" s="1" t="s">
        <v>2902</v>
      </c>
      <c r="D478" s="1" t="s">
        <v>710</v>
      </c>
      <c r="E478" s="1" t="s">
        <v>2903</v>
      </c>
      <c r="F478" s="1">
        <v>148</v>
      </c>
      <c r="G478" s="1">
        <v>148</v>
      </c>
      <c r="H478" s="1">
        <v>0</v>
      </c>
      <c r="I478" s="1">
        <v>459</v>
      </c>
      <c r="J478" s="1">
        <v>311</v>
      </c>
      <c r="K478" s="1">
        <v>148</v>
      </c>
    </row>
    <row r="479" spans="3:11" x14ac:dyDescent="0.25">
      <c r="C479" s="1" t="s">
        <v>1311</v>
      </c>
      <c r="D479" s="1" t="s">
        <v>1312</v>
      </c>
      <c r="E479" s="1" t="s">
        <v>1313</v>
      </c>
      <c r="F479" s="1">
        <v>1</v>
      </c>
      <c r="G479" s="1">
        <v>1</v>
      </c>
      <c r="H479" s="1">
        <v>0</v>
      </c>
      <c r="I479" s="1">
        <v>457</v>
      </c>
      <c r="J479" s="1">
        <v>456</v>
      </c>
      <c r="K479" s="1">
        <v>1</v>
      </c>
    </row>
    <row r="480" spans="3:11" x14ac:dyDescent="0.25">
      <c r="C480" s="1" t="s">
        <v>1397</v>
      </c>
      <c r="D480" s="1" t="s">
        <v>139</v>
      </c>
      <c r="E480" s="1" t="s">
        <v>1398</v>
      </c>
      <c r="F480" s="1">
        <v>10</v>
      </c>
      <c r="G480" s="1">
        <v>10</v>
      </c>
      <c r="H480" s="1">
        <v>0</v>
      </c>
      <c r="I480" s="1">
        <v>455</v>
      </c>
      <c r="J480" s="1">
        <v>445</v>
      </c>
      <c r="K480" s="1">
        <v>10</v>
      </c>
    </row>
    <row r="481" spans="3:11" x14ac:dyDescent="0.25">
      <c r="C481" s="1" t="s">
        <v>1314</v>
      </c>
      <c r="D481" s="1" t="s">
        <v>1315</v>
      </c>
      <c r="E481" s="1" t="s">
        <v>1316</v>
      </c>
      <c r="F481" s="1">
        <v>-1</v>
      </c>
      <c r="G481" s="1">
        <v>-1</v>
      </c>
      <c r="H481" s="1">
        <v>0</v>
      </c>
      <c r="I481" s="1">
        <v>453</v>
      </c>
      <c r="J481" s="1">
        <v>454</v>
      </c>
      <c r="K481" s="1">
        <v>-1</v>
      </c>
    </row>
    <row r="482" spans="3:11" x14ac:dyDescent="0.25">
      <c r="C482" s="1" t="s">
        <v>1317</v>
      </c>
      <c r="D482" s="1" t="s">
        <v>130</v>
      </c>
      <c r="E482" s="1" t="s">
        <v>1317</v>
      </c>
      <c r="F482" s="1">
        <v>7</v>
      </c>
      <c r="G482" s="1">
        <v>7</v>
      </c>
      <c r="H482" s="1">
        <v>0</v>
      </c>
      <c r="I482" s="1">
        <v>449</v>
      </c>
      <c r="J482" s="1">
        <v>442</v>
      </c>
      <c r="K482" s="1">
        <v>7</v>
      </c>
    </row>
    <row r="483" spans="3:11" x14ac:dyDescent="0.25">
      <c r="C483" s="1" t="s">
        <v>3020</v>
      </c>
      <c r="D483" s="1" t="s">
        <v>2255</v>
      </c>
      <c r="E483" s="1" t="s">
        <v>3021</v>
      </c>
      <c r="F483" s="1">
        <v>45</v>
      </c>
      <c r="G483" s="1">
        <v>45</v>
      </c>
      <c r="H483" s="1">
        <v>0</v>
      </c>
      <c r="I483" s="1">
        <v>449</v>
      </c>
      <c r="J483" s="1">
        <v>404</v>
      </c>
      <c r="K483" s="1">
        <v>45</v>
      </c>
    </row>
    <row r="484" spans="3:11" x14ac:dyDescent="0.25">
      <c r="C484" s="1" t="s">
        <v>2183</v>
      </c>
      <c r="D484" s="1" t="s">
        <v>2055</v>
      </c>
      <c r="E484" s="1" t="s">
        <v>2184</v>
      </c>
      <c r="F484" s="1">
        <v>0</v>
      </c>
      <c r="G484" s="1">
        <v>0</v>
      </c>
      <c r="H484" s="1">
        <v>0</v>
      </c>
      <c r="I484" s="1">
        <v>448</v>
      </c>
      <c r="J484" s="1">
        <v>448</v>
      </c>
      <c r="K484" s="1">
        <v>0</v>
      </c>
    </row>
    <row r="485" spans="3:11" x14ac:dyDescent="0.25">
      <c r="C485" s="1" t="s">
        <v>2907</v>
      </c>
      <c r="D485" s="1" t="s">
        <v>2908</v>
      </c>
      <c r="E485" s="1" t="s">
        <v>2909</v>
      </c>
      <c r="F485" s="1">
        <v>1</v>
      </c>
      <c r="G485" s="1">
        <v>1</v>
      </c>
      <c r="H485" s="1">
        <v>0</v>
      </c>
      <c r="I485" s="1">
        <v>444</v>
      </c>
      <c r="J485" s="1">
        <v>443</v>
      </c>
      <c r="K485" s="1">
        <v>1</v>
      </c>
    </row>
    <row r="486" spans="3:11" x14ac:dyDescent="0.25">
      <c r="C486" s="1" t="s">
        <v>2910</v>
      </c>
      <c r="D486" s="1" t="s">
        <v>2911</v>
      </c>
      <c r="E486" s="1" t="s">
        <v>2912</v>
      </c>
      <c r="F486" s="1">
        <v>0</v>
      </c>
      <c r="G486" s="1">
        <v>0</v>
      </c>
      <c r="H486" s="1">
        <v>0</v>
      </c>
      <c r="I486" s="1">
        <v>443</v>
      </c>
      <c r="J486" s="1">
        <v>443</v>
      </c>
      <c r="K486" s="1">
        <v>0</v>
      </c>
    </row>
    <row r="487" spans="3:11" x14ac:dyDescent="0.25">
      <c r="C487" s="1" t="s">
        <v>1325</v>
      </c>
      <c r="D487" s="1" t="s">
        <v>1326</v>
      </c>
      <c r="E487" s="1" t="s">
        <v>1327</v>
      </c>
      <c r="F487" s="1">
        <v>0</v>
      </c>
      <c r="G487" s="1">
        <v>0</v>
      </c>
      <c r="H487" s="1">
        <v>0</v>
      </c>
      <c r="I487" s="1">
        <v>443</v>
      </c>
      <c r="J487" s="1">
        <v>443</v>
      </c>
      <c r="K487" s="1">
        <v>0</v>
      </c>
    </row>
    <row r="488" spans="3:11" x14ac:dyDescent="0.25">
      <c r="C488" s="1" t="s">
        <v>1318</v>
      </c>
      <c r="D488" s="1" t="s">
        <v>1319</v>
      </c>
      <c r="E488" s="1" t="s">
        <v>1320</v>
      </c>
      <c r="F488" s="1">
        <v>-1</v>
      </c>
      <c r="G488" s="1">
        <v>-1</v>
      </c>
      <c r="H488" s="1">
        <v>0</v>
      </c>
      <c r="I488" s="1">
        <v>441</v>
      </c>
      <c r="J488" s="1">
        <v>442</v>
      </c>
      <c r="K488" s="1">
        <v>-1</v>
      </c>
    </row>
    <row r="489" spans="3:11" x14ac:dyDescent="0.25">
      <c r="C489" s="1" t="s">
        <v>1321</v>
      </c>
      <c r="D489" s="1" t="s">
        <v>131</v>
      </c>
      <c r="E489" s="1" t="s">
        <v>1322</v>
      </c>
      <c r="F489" s="1">
        <v>32</v>
      </c>
      <c r="G489" s="1">
        <v>32</v>
      </c>
      <c r="H489" s="1">
        <v>0</v>
      </c>
      <c r="I489" s="1">
        <v>441</v>
      </c>
      <c r="J489" s="1">
        <v>409</v>
      </c>
      <c r="K489" s="1">
        <v>32</v>
      </c>
    </row>
    <row r="490" spans="3:11" x14ac:dyDescent="0.25">
      <c r="C490" s="1" t="s">
        <v>2917</v>
      </c>
      <c r="D490" s="1" t="s">
        <v>2175</v>
      </c>
      <c r="E490" s="1" t="s">
        <v>2918</v>
      </c>
      <c r="F490" s="1">
        <v>43</v>
      </c>
      <c r="G490" s="1">
        <v>43</v>
      </c>
      <c r="H490" s="1">
        <v>0</v>
      </c>
      <c r="I490" s="1">
        <v>435</v>
      </c>
      <c r="J490" s="1">
        <v>392</v>
      </c>
      <c r="K490" s="1">
        <v>43</v>
      </c>
    </row>
    <row r="491" spans="3:11" x14ac:dyDescent="0.25">
      <c r="C491" s="1" t="s">
        <v>2925</v>
      </c>
      <c r="D491" s="1" t="s">
        <v>2170</v>
      </c>
      <c r="E491" s="1" t="s">
        <v>2926</v>
      </c>
      <c r="F491" s="1">
        <v>90</v>
      </c>
      <c r="G491" s="1">
        <v>90</v>
      </c>
      <c r="H491" s="1">
        <v>0</v>
      </c>
      <c r="I491" s="1">
        <v>434</v>
      </c>
      <c r="J491" s="1">
        <v>344</v>
      </c>
      <c r="K491" s="1">
        <v>90</v>
      </c>
    </row>
    <row r="492" spans="3:11" x14ac:dyDescent="0.25">
      <c r="C492" s="1" t="s">
        <v>2919</v>
      </c>
      <c r="D492" s="1" t="s">
        <v>708</v>
      </c>
      <c r="E492" s="1" t="s">
        <v>2920</v>
      </c>
      <c r="F492" s="1">
        <v>17</v>
      </c>
      <c r="G492" s="1">
        <v>17</v>
      </c>
      <c r="H492" s="1">
        <v>0</v>
      </c>
      <c r="I492" s="1">
        <v>432</v>
      </c>
      <c r="J492" s="1">
        <v>415</v>
      </c>
      <c r="K492" s="1">
        <v>17</v>
      </c>
    </row>
    <row r="493" spans="3:11" x14ac:dyDescent="0.25">
      <c r="C493" s="1" t="s">
        <v>2923</v>
      </c>
      <c r="D493" s="1" t="s">
        <v>2146</v>
      </c>
      <c r="E493" s="1" t="s">
        <v>2924</v>
      </c>
      <c r="F493" s="1">
        <v>345</v>
      </c>
      <c r="G493" s="1">
        <v>345</v>
      </c>
      <c r="H493" s="1">
        <v>0</v>
      </c>
      <c r="I493" s="1">
        <v>432</v>
      </c>
      <c r="J493" s="1">
        <v>87</v>
      </c>
      <c r="K493" s="1">
        <v>345</v>
      </c>
    </row>
    <row r="494" spans="3:11" x14ac:dyDescent="0.25">
      <c r="C494" s="1" t="s">
        <v>4366</v>
      </c>
      <c r="D494" s="1" t="s">
        <v>4359</v>
      </c>
      <c r="E494" s="1" t="s">
        <v>4367</v>
      </c>
      <c r="F494" s="1">
        <v>421</v>
      </c>
      <c r="G494" s="1">
        <v>421</v>
      </c>
      <c r="H494" s="1">
        <v>0</v>
      </c>
      <c r="I494" s="1">
        <v>432</v>
      </c>
      <c r="J494" s="1">
        <v>11</v>
      </c>
      <c r="K494" s="1">
        <v>421</v>
      </c>
    </row>
    <row r="495" spans="3:11" x14ac:dyDescent="0.25">
      <c r="C495" s="1" t="s">
        <v>4368</v>
      </c>
      <c r="D495" s="1" t="s">
        <v>4360</v>
      </c>
      <c r="E495" s="1" t="s">
        <v>4369</v>
      </c>
      <c r="F495" s="1">
        <v>421</v>
      </c>
      <c r="G495" s="1">
        <v>421</v>
      </c>
      <c r="H495" s="1">
        <v>0</v>
      </c>
      <c r="I495" s="1">
        <v>432</v>
      </c>
      <c r="J495" s="1">
        <v>11</v>
      </c>
      <c r="K495" s="1">
        <v>421</v>
      </c>
    </row>
    <row r="496" spans="3:11" x14ac:dyDescent="0.25">
      <c r="C496" s="1" t="s">
        <v>4370</v>
      </c>
      <c r="D496" s="1" t="s">
        <v>4361</v>
      </c>
      <c r="E496" s="1" t="s">
        <v>4371</v>
      </c>
      <c r="F496" s="1">
        <v>421</v>
      </c>
      <c r="G496" s="1">
        <v>421</v>
      </c>
      <c r="H496" s="1">
        <v>0</v>
      </c>
      <c r="I496" s="1">
        <v>432</v>
      </c>
      <c r="J496" s="1">
        <v>11</v>
      </c>
      <c r="K496" s="1">
        <v>421</v>
      </c>
    </row>
    <row r="497" spans="3:11" x14ac:dyDescent="0.25">
      <c r="C497" s="1" t="s">
        <v>2258</v>
      </c>
      <c r="D497" s="1" t="s">
        <v>2251</v>
      </c>
      <c r="E497" s="1" t="s">
        <v>2259</v>
      </c>
      <c r="F497" s="1">
        <v>26</v>
      </c>
      <c r="G497" s="1">
        <v>26</v>
      </c>
      <c r="H497" s="1">
        <v>0</v>
      </c>
      <c r="I497" s="1">
        <v>431</v>
      </c>
      <c r="J497" s="1">
        <v>405</v>
      </c>
      <c r="K497" s="1">
        <v>26</v>
      </c>
    </row>
    <row r="498" spans="3:11" x14ac:dyDescent="0.25">
      <c r="C498" s="1" t="s">
        <v>2148</v>
      </c>
      <c r="D498" s="1" t="s">
        <v>2149</v>
      </c>
      <c r="E498" s="1" t="s">
        <v>2150</v>
      </c>
      <c r="F498" s="1">
        <v>0</v>
      </c>
      <c r="G498" s="1">
        <v>0</v>
      </c>
      <c r="H498" s="1">
        <v>0</v>
      </c>
      <c r="I498" s="1">
        <v>426</v>
      </c>
      <c r="J498" s="1">
        <v>426</v>
      </c>
      <c r="K498" s="1">
        <v>0</v>
      </c>
    </row>
    <row r="499" spans="3:11" x14ac:dyDescent="0.25">
      <c r="C499" s="1" t="s">
        <v>1328</v>
      </c>
      <c r="D499" s="1" t="s">
        <v>1329</v>
      </c>
      <c r="E499" s="1" t="s">
        <v>1328</v>
      </c>
      <c r="F499" s="1">
        <v>0</v>
      </c>
      <c r="G499" s="1">
        <v>0</v>
      </c>
      <c r="H499" s="1">
        <v>0</v>
      </c>
      <c r="I499" s="1">
        <v>422</v>
      </c>
      <c r="J499" s="1">
        <v>422</v>
      </c>
      <c r="K499" s="1">
        <v>0</v>
      </c>
    </row>
    <row r="500" spans="3:11" x14ac:dyDescent="0.25">
      <c r="C500" s="1" t="s">
        <v>2927</v>
      </c>
      <c r="D500" s="1" t="s">
        <v>2227</v>
      </c>
      <c r="E500" s="1" t="s">
        <v>2928</v>
      </c>
      <c r="F500" s="1">
        <v>258</v>
      </c>
      <c r="G500" s="1">
        <v>258</v>
      </c>
      <c r="H500" s="1">
        <v>0</v>
      </c>
      <c r="I500" s="1">
        <v>419</v>
      </c>
      <c r="J500" s="1">
        <v>161</v>
      </c>
      <c r="K500" s="1">
        <v>258</v>
      </c>
    </row>
    <row r="501" spans="3:11" x14ac:dyDescent="0.25">
      <c r="C501" s="1" t="s">
        <v>2929</v>
      </c>
      <c r="D501" s="1" t="s">
        <v>2930</v>
      </c>
      <c r="E501" s="1" t="s">
        <v>2931</v>
      </c>
      <c r="F501" s="1">
        <v>0</v>
      </c>
      <c r="G501" s="1">
        <v>0</v>
      </c>
      <c r="H501" s="1">
        <v>0</v>
      </c>
      <c r="I501" s="1">
        <v>415</v>
      </c>
      <c r="J501" s="1">
        <v>415</v>
      </c>
      <c r="K501" s="1">
        <v>0</v>
      </c>
    </row>
    <row r="502" spans="3:11" x14ac:dyDescent="0.25">
      <c r="C502" s="1" t="s">
        <v>2932</v>
      </c>
      <c r="D502" s="1" t="s">
        <v>2933</v>
      </c>
      <c r="E502" s="1" t="s">
        <v>2934</v>
      </c>
      <c r="F502" s="1">
        <v>0</v>
      </c>
      <c r="G502" s="1">
        <v>0</v>
      </c>
      <c r="H502" s="1">
        <v>0</v>
      </c>
      <c r="I502" s="1">
        <v>408</v>
      </c>
      <c r="J502" s="1">
        <v>408</v>
      </c>
      <c r="K502" s="1">
        <v>0</v>
      </c>
    </row>
    <row r="503" spans="3:11" x14ac:dyDescent="0.25">
      <c r="C503" s="1" t="s">
        <v>2935</v>
      </c>
      <c r="D503" s="1" t="s">
        <v>2936</v>
      </c>
      <c r="E503" s="1" t="s">
        <v>2935</v>
      </c>
      <c r="F503" s="1">
        <v>7</v>
      </c>
      <c r="G503" s="1">
        <v>7</v>
      </c>
      <c r="H503" s="1">
        <v>0</v>
      </c>
      <c r="I503" s="1">
        <v>406</v>
      </c>
      <c r="J503" s="1">
        <v>399</v>
      </c>
      <c r="K503" s="1">
        <v>7</v>
      </c>
    </row>
    <row r="504" spans="3:11" x14ac:dyDescent="0.25">
      <c r="C504" s="1" t="s">
        <v>2945</v>
      </c>
      <c r="D504" s="1" t="s">
        <v>480</v>
      </c>
      <c r="E504" s="1" t="s">
        <v>2946</v>
      </c>
      <c r="F504" s="1">
        <v>33</v>
      </c>
      <c r="G504" s="1">
        <v>33</v>
      </c>
      <c r="H504" s="1">
        <v>0</v>
      </c>
      <c r="I504" s="1">
        <v>406</v>
      </c>
      <c r="J504" s="1">
        <v>373</v>
      </c>
      <c r="K504" s="1">
        <v>33</v>
      </c>
    </row>
    <row r="505" spans="3:11" x14ac:dyDescent="0.25">
      <c r="C505" s="1" t="s">
        <v>1349</v>
      </c>
      <c r="D505" s="1" t="s">
        <v>1350</v>
      </c>
      <c r="E505" s="1" t="s">
        <v>1351</v>
      </c>
      <c r="F505" s="1">
        <v>-4</v>
      </c>
      <c r="G505" s="1">
        <v>-4</v>
      </c>
      <c r="H505" s="1">
        <v>0</v>
      </c>
      <c r="I505" s="1">
        <v>405</v>
      </c>
      <c r="J505" s="1">
        <v>409</v>
      </c>
      <c r="K505" s="1">
        <v>-4</v>
      </c>
    </row>
    <row r="506" spans="3:11" x14ac:dyDescent="0.25">
      <c r="C506" s="1" t="s">
        <v>1333</v>
      </c>
      <c r="D506" s="1" t="s">
        <v>132</v>
      </c>
      <c r="E506" s="1" t="s">
        <v>1334</v>
      </c>
      <c r="F506" s="1">
        <v>65</v>
      </c>
      <c r="G506" s="1">
        <v>65</v>
      </c>
      <c r="H506" s="1">
        <v>0</v>
      </c>
      <c r="I506" s="1">
        <v>404</v>
      </c>
      <c r="J506" s="1">
        <v>339</v>
      </c>
      <c r="K506" s="1">
        <v>65</v>
      </c>
    </row>
    <row r="507" spans="3:11" x14ac:dyDescent="0.25">
      <c r="C507" s="1" t="s">
        <v>2937</v>
      </c>
      <c r="D507" s="1" t="s">
        <v>2938</v>
      </c>
      <c r="E507" s="1" t="s">
        <v>2939</v>
      </c>
      <c r="F507" s="1">
        <v>0</v>
      </c>
      <c r="G507" s="1">
        <v>0</v>
      </c>
      <c r="H507" s="1">
        <v>0</v>
      </c>
      <c r="I507" s="1">
        <v>404</v>
      </c>
      <c r="J507" s="1">
        <v>404</v>
      </c>
      <c r="K507" s="1">
        <v>0</v>
      </c>
    </row>
    <row r="508" spans="3:11" x14ac:dyDescent="0.25">
      <c r="C508" s="1" t="s">
        <v>2940</v>
      </c>
      <c r="D508" s="1" t="s">
        <v>702</v>
      </c>
      <c r="E508" s="1" t="s">
        <v>2941</v>
      </c>
      <c r="F508" s="1">
        <v>0</v>
      </c>
      <c r="G508" s="1">
        <v>0</v>
      </c>
      <c r="H508" s="1">
        <v>0</v>
      </c>
      <c r="I508" s="1">
        <v>404</v>
      </c>
      <c r="J508" s="1">
        <v>404</v>
      </c>
      <c r="K508" s="1">
        <v>0</v>
      </c>
    </row>
    <row r="509" spans="3:11" x14ac:dyDescent="0.25">
      <c r="C509" s="1" t="s">
        <v>2942</v>
      </c>
      <c r="D509" s="1" t="s">
        <v>2943</v>
      </c>
      <c r="E509" s="1" t="s">
        <v>2944</v>
      </c>
      <c r="F509" s="1">
        <v>0</v>
      </c>
      <c r="G509" s="1">
        <v>0</v>
      </c>
      <c r="H509" s="1">
        <v>0</v>
      </c>
      <c r="I509" s="1">
        <v>403</v>
      </c>
      <c r="J509" s="1">
        <v>403</v>
      </c>
      <c r="K509" s="1">
        <v>0</v>
      </c>
    </row>
    <row r="510" spans="3:11" x14ac:dyDescent="0.25">
      <c r="C510" s="1" t="s">
        <v>2947</v>
      </c>
      <c r="D510" s="1" t="s">
        <v>723</v>
      </c>
      <c r="E510" s="1" t="s">
        <v>2948</v>
      </c>
      <c r="F510" s="1">
        <v>281</v>
      </c>
      <c r="G510" s="1">
        <v>281</v>
      </c>
      <c r="H510" s="1">
        <v>0</v>
      </c>
      <c r="I510" s="1">
        <v>402</v>
      </c>
      <c r="J510" s="1">
        <v>121</v>
      </c>
      <c r="K510" s="1">
        <v>281</v>
      </c>
    </row>
    <row r="511" spans="3:11" x14ac:dyDescent="0.25">
      <c r="C511" s="1" t="s">
        <v>4387</v>
      </c>
      <c r="D511" s="1" t="s">
        <v>4383</v>
      </c>
      <c r="E511" s="1" t="s">
        <v>4388</v>
      </c>
      <c r="F511" s="1">
        <v>329</v>
      </c>
      <c r="G511" s="1">
        <v>329</v>
      </c>
      <c r="H511" s="1">
        <v>0</v>
      </c>
      <c r="I511" s="1">
        <v>400</v>
      </c>
      <c r="J511" s="1">
        <v>71</v>
      </c>
      <c r="K511" s="1">
        <v>329</v>
      </c>
    </row>
    <row r="512" spans="3:11" x14ac:dyDescent="0.25">
      <c r="C512" s="1" t="s">
        <v>4389</v>
      </c>
      <c r="D512" s="1" t="s">
        <v>4386</v>
      </c>
      <c r="E512" s="1" t="s">
        <v>4390</v>
      </c>
      <c r="F512" s="1">
        <v>0</v>
      </c>
      <c r="G512" s="1">
        <v>0</v>
      </c>
      <c r="H512" s="1">
        <v>0</v>
      </c>
      <c r="I512" s="1">
        <v>400</v>
      </c>
      <c r="J512" s="1">
        <v>400</v>
      </c>
      <c r="K512" s="1">
        <v>0</v>
      </c>
    </row>
    <row r="513" spans="3:11" x14ac:dyDescent="0.25">
      <c r="C513" s="1" t="s">
        <v>2990</v>
      </c>
      <c r="D513" s="1" t="s">
        <v>477</v>
      </c>
      <c r="E513" s="1" t="s">
        <v>2991</v>
      </c>
      <c r="F513" s="1">
        <v>39</v>
      </c>
      <c r="G513" s="1">
        <v>39</v>
      </c>
      <c r="H513" s="1">
        <v>0</v>
      </c>
      <c r="I513" s="1">
        <v>399</v>
      </c>
      <c r="J513" s="1">
        <v>360</v>
      </c>
      <c r="K513" s="1">
        <v>39</v>
      </c>
    </row>
    <row r="514" spans="3:11" x14ac:dyDescent="0.25">
      <c r="C514" s="1" t="s">
        <v>2949</v>
      </c>
      <c r="D514" s="1" t="s">
        <v>663</v>
      </c>
      <c r="E514" s="1" t="s">
        <v>2950</v>
      </c>
      <c r="F514" s="1">
        <v>20</v>
      </c>
      <c r="G514" s="1">
        <v>20</v>
      </c>
      <c r="H514" s="1">
        <v>0</v>
      </c>
      <c r="I514" s="1">
        <v>396</v>
      </c>
      <c r="J514" s="1">
        <v>376</v>
      </c>
      <c r="K514" s="1">
        <v>20</v>
      </c>
    </row>
    <row r="515" spans="3:11" x14ac:dyDescent="0.25">
      <c r="C515" s="1" t="s">
        <v>2951</v>
      </c>
      <c r="D515" s="1" t="s">
        <v>2952</v>
      </c>
      <c r="E515" s="1" t="s">
        <v>2953</v>
      </c>
      <c r="F515" s="1">
        <v>1</v>
      </c>
      <c r="G515" s="1">
        <v>1</v>
      </c>
      <c r="H515" s="1">
        <v>0</v>
      </c>
      <c r="I515" s="1">
        <v>395</v>
      </c>
      <c r="J515" s="1">
        <v>394</v>
      </c>
      <c r="K515" s="1">
        <v>1</v>
      </c>
    </row>
    <row r="516" spans="3:11" x14ac:dyDescent="0.25">
      <c r="C516" s="1" t="s">
        <v>2954</v>
      </c>
      <c r="D516" s="1" t="s">
        <v>662</v>
      </c>
      <c r="E516" s="1" t="s">
        <v>2955</v>
      </c>
      <c r="F516" s="1">
        <v>102</v>
      </c>
      <c r="G516" s="1">
        <v>102</v>
      </c>
      <c r="H516" s="1">
        <v>0</v>
      </c>
      <c r="I516" s="1">
        <v>395</v>
      </c>
      <c r="J516" s="1">
        <v>293</v>
      </c>
      <c r="K516" s="1">
        <v>102</v>
      </c>
    </row>
    <row r="517" spans="3:11" x14ac:dyDescent="0.25">
      <c r="C517" s="1" t="s">
        <v>1341</v>
      </c>
      <c r="D517" s="1" t="s">
        <v>133</v>
      </c>
      <c r="E517" s="1" t="s">
        <v>1342</v>
      </c>
      <c r="F517" s="1">
        <v>79</v>
      </c>
      <c r="G517" s="1">
        <v>79</v>
      </c>
      <c r="H517" s="1">
        <v>0</v>
      </c>
      <c r="I517" s="1">
        <v>394</v>
      </c>
      <c r="J517" s="1">
        <v>315</v>
      </c>
      <c r="K517" s="1">
        <v>79</v>
      </c>
    </row>
    <row r="518" spans="3:11" x14ac:dyDescent="0.25">
      <c r="C518" s="1" t="s">
        <v>2956</v>
      </c>
      <c r="D518" s="1" t="s">
        <v>2957</v>
      </c>
      <c r="E518" s="1" t="s">
        <v>2958</v>
      </c>
      <c r="F518" s="1">
        <v>9</v>
      </c>
      <c r="G518" s="1">
        <v>9</v>
      </c>
      <c r="H518" s="1">
        <v>0</v>
      </c>
      <c r="I518" s="1">
        <v>393</v>
      </c>
      <c r="J518" s="1">
        <v>384</v>
      </c>
      <c r="K518" s="1">
        <v>9</v>
      </c>
    </row>
    <row r="519" spans="3:11" x14ac:dyDescent="0.25">
      <c r="C519" s="1" t="s">
        <v>2959</v>
      </c>
      <c r="D519" s="1" t="s">
        <v>815</v>
      </c>
      <c r="E519" s="1" t="s">
        <v>2960</v>
      </c>
      <c r="F519" s="1">
        <v>0</v>
      </c>
      <c r="G519" s="1">
        <v>0</v>
      </c>
      <c r="H519" s="1">
        <v>0</v>
      </c>
      <c r="I519" s="1">
        <v>393</v>
      </c>
      <c r="J519" s="1">
        <v>393</v>
      </c>
      <c r="K519" s="1">
        <v>0</v>
      </c>
    </row>
    <row r="520" spans="3:11" x14ac:dyDescent="0.25">
      <c r="C520" s="1" t="s">
        <v>1335</v>
      </c>
      <c r="D520" s="1" t="s">
        <v>1336</v>
      </c>
      <c r="E520" s="1" t="s">
        <v>1337</v>
      </c>
      <c r="F520" s="1">
        <v>4</v>
      </c>
      <c r="G520" s="1">
        <v>4</v>
      </c>
      <c r="H520" s="1">
        <v>0</v>
      </c>
      <c r="I520" s="1">
        <v>392</v>
      </c>
      <c r="J520" s="1">
        <v>388</v>
      </c>
      <c r="K520" s="1">
        <v>4</v>
      </c>
    </row>
    <row r="521" spans="3:11" x14ac:dyDescent="0.25">
      <c r="C521" s="1" t="s">
        <v>1338</v>
      </c>
      <c r="D521" s="1" t="s">
        <v>1339</v>
      </c>
      <c r="E521" s="1" t="s">
        <v>1340</v>
      </c>
      <c r="F521" s="1">
        <v>11</v>
      </c>
      <c r="G521" s="1">
        <v>11</v>
      </c>
      <c r="H521" s="1">
        <v>0</v>
      </c>
      <c r="I521" s="1">
        <v>390</v>
      </c>
      <c r="J521" s="1">
        <v>379</v>
      </c>
      <c r="K521" s="1">
        <v>11</v>
      </c>
    </row>
    <row r="522" spans="3:11" x14ac:dyDescent="0.25">
      <c r="C522" s="1" t="s">
        <v>1521</v>
      </c>
      <c r="D522" s="1" t="s">
        <v>159</v>
      </c>
      <c r="E522" s="1" t="s">
        <v>1522</v>
      </c>
      <c r="F522" s="1">
        <v>0</v>
      </c>
      <c r="G522" s="1">
        <v>0</v>
      </c>
      <c r="H522" s="1">
        <v>0</v>
      </c>
      <c r="I522" s="1">
        <v>386</v>
      </c>
      <c r="J522" s="1">
        <v>386</v>
      </c>
      <c r="K522" s="1">
        <v>0</v>
      </c>
    </row>
    <row r="523" spans="3:11" x14ac:dyDescent="0.25">
      <c r="C523" s="1" t="s">
        <v>703</v>
      </c>
      <c r="D523" s="1" t="s">
        <v>704</v>
      </c>
      <c r="E523" s="1" t="s">
        <v>2961</v>
      </c>
      <c r="F523" s="1">
        <v>33</v>
      </c>
      <c r="G523" s="1">
        <v>33</v>
      </c>
      <c r="H523" s="1">
        <v>0</v>
      </c>
      <c r="I523" s="1">
        <v>385</v>
      </c>
      <c r="J523" s="1">
        <v>352</v>
      </c>
      <c r="K523" s="1">
        <v>33</v>
      </c>
    </row>
    <row r="524" spans="3:11" x14ac:dyDescent="0.25">
      <c r="C524" s="1" t="s">
        <v>1365</v>
      </c>
      <c r="D524" s="1" t="s">
        <v>1366</v>
      </c>
      <c r="E524" s="1" t="s">
        <v>1367</v>
      </c>
      <c r="F524" s="1">
        <v>2</v>
      </c>
      <c r="G524" s="1">
        <v>2</v>
      </c>
      <c r="H524" s="1">
        <v>0</v>
      </c>
      <c r="I524" s="1">
        <v>383</v>
      </c>
      <c r="J524" s="1">
        <v>381</v>
      </c>
      <c r="K524" s="1">
        <v>2</v>
      </c>
    </row>
    <row r="525" spans="3:11" x14ac:dyDescent="0.25">
      <c r="C525" s="1" t="s">
        <v>1426</v>
      </c>
      <c r="D525" s="1" t="s">
        <v>142</v>
      </c>
      <c r="E525" s="1" t="s">
        <v>1427</v>
      </c>
      <c r="F525" s="1">
        <v>60</v>
      </c>
      <c r="G525" s="1">
        <v>60</v>
      </c>
      <c r="H525" s="1">
        <v>0</v>
      </c>
      <c r="I525" s="1">
        <v>383</v>
      </c>
      <c r="J525" s="1">
        <v>323</v>
      </c>
      <c r="K525" s="1">
        <v>60</v>
      </c>
    </row>
    <row r="526" spans="3:11" x14ac:dyDescent="0.25">
      <c r="C526" s="1" t="s">
        <v>1346</v>
      </c>
      <c r="D526" s="1" t="s">
        <v>1347</v>
      </c>
      <c r="E526" s="1" t="s">
        <v>1348</v>
      </c>
      <c r="F526" s="1">
        <v>4</v>
      </c>
      <c r="G526" s="1">
        <v>4</v>
      </c>
      <c r="H526" s="1">
        <v>0</v>
      </c>
      <c r="I526" s="1">
        <v>382</v>
      </c>
      <c r="J526" s="1">
        <v>378</v>
      </c>
      <c r="K526" s="1">
        <v>4</v>
      </c>
    </row>
    <row r="527" spans="3:11" x14ac:dyDescent="0.25">
      <c r="C527" s="1" t="s">
        <v>1368</v>
      </c>
      <c r="D527" s="1" t="s">
        <v>1369</v>
      </c>
      <c r="E527" s="1" t="s">
        <v>1368</v>
      </c>
      <c r="F527" s="1">
        <v>-2</v>
      </c>
      <c r="G527" s="1">
        <v>-2</v>
      </c>
      <c r="H527" s="1">
        <v>0</v>
      </c>
      <c r="I527" s="1">
        <v>382</v>
      </c>
      <c r="J527" s="1">
        <v>384</v>
      </c>
      <c r="K527" s="1">
        <v>-2</v>
      </c>
    </row>
    <row r="528" spans="3:11" x14ac:dyDescent="0.25">
      <c r="C528" s="1" t="s">
        <v>1538</v>
      </c>
      <c r="D528" s="1" t="s">
        <v>161</v>
      </c>
      <c r="E528" s="1" t="s">
        <v>1539</v>
      </c>
      <c r="F528" s="1">
        <v>213</v>
      </c>
      <c r="G528" s="1">
        <v>213</v>
      </c>
      <c r="H528" s="1">
        <v>0</v>
      </c>
      <c r="I528" s="1">
        <v>381</v>
      </c>
      <c r="J528" s="1">
        <v>168</v>
      </c>
      <c r="K528" s="1">
        <v>213</v>
      </c>
    </row>
    <row r="529" spans="3:11" x14ac:dyDescent="0.25">
      <c r="C529" s="1" t="s">
        <v>1352</v>
      </c>
      <c r="D529" s="1" t="s">
        <v>134</v>
      </c>
      <c r="E529" s="1" t="s">
        <v>1353</v>
      </c>
      <c r="F529" s="1">
        <v>8</v>
      </c>
      <c r="G529" s="1">
        <v>8</v>
      </c>
      <c r="H529" s="1">
        <v>0</v>
      </c>
      <c r="I529" s="1">
        <v>380</v>
      </c>
      <c r="J529" s="1">
        <v>372</v>
      </c>
      <c r="K529" s="1">
        <v>8</v>
      </c>
    </row>
    <row r="530" spans="3:11" x14ac:dyDescent="0.25">
      <c r="C530" s="1" t="s">
        <v>2962</v>
      </c>
      <c r="D530" s="1" t="s">
        <v>664</v>
      </c>
      <c r="E530" s="1" t="s">
        <v>2963</v>
      </c>
      <c r="F530" s="1">
        <v>45</v>
      </c>
      <c r="G530" s="1">
        <v>45</v>
      </c>
      <c r="H530" s="1">
        <v>0</v>
      </c>
      <c r="I530" s="1">
        <v>380</v>
      </c>
      <c r="J530" s="1">
        <v>335</v>
      </c>
      <c r="K530" s="1">
        <v>45</v>
      </c>
    </row>
    <row r="531" spans="3:11" x14ac:dyDescent="0.25">
      <c r="C531" s="1" t="s">
        <v>1354</v>
      </c>
      <c r="D531" s="1" t="s">
        <v>1355</v>
      </c>
      <c r="E531" s="1" t="s">
        <v>1356</v>
      </c>
      <c r="F531" s="1">
        <v>1</v>
      </c>
      <c r="G531" s="1">
        <v>1</v>
      </c>
      <c r="H531" s="1">
        <v>0</v>
      </c>
      <c r="I531" s="1">
        <v>379</v>
      </c>
      <c r="J531" s="1">
        <v>378</v>
      </c>
      <c r="K531" s="1">
        <v>1</v>
      </c>
    </row>
    <row r="532" spans="3:11" x14ac:dyDescent="0.25">
      <c r="C532" s="1" t="s">
        <v>2964</v>
      </c>
      <c r="D532" s="1" t="s">
        <v>2965</v>
      </c>
      <c r="E532" s="1" t="s">
        <v>2966</v>
      </c>
      <c r="F532" s="1">
        <v>0</v>
      </c>
      <c r="G532" s="1">
        <v>0</v>
      </c>
      <c r="H532" s="1">
        <v>0</v>
      </c>
      <c r="I532" s="1">
        <v>378</v>
      </c>
      <c r="J532" s="1">
        <v>378</v>
      </c>
      <c r="K532" s="1">
        <v>0</v>
      </c>
    </row>
    <row r="533" spans="3:11" x14ac:dyDescent="0.25">
      <c r="C533" s="1" t="s">
        <v>1430</v>
      </c>
      <c r="D533" s="1" t="s">
        <v>144</v>
      </c>
      <c r="E533" s="1" t="s">
        <v>1431</v>
      </c>
      <c r="F533" s="1">
        <v>5</v>
      </c>
      <c r="G533" s="1">
        <v>5</v>
      </c>
      <c r="H533" s="1">
        <v>0</v>
      </c>
      <c r="I533" s="1">
        <v>378</v>
      </c>
      <c r="J533" s="1">
        <v>373</v>
      </c>
      <c r="K533" s="1">
        <v>5</v>
      </c>
    </row>
    <row r="534" spans="3:11" x14ac:dyDescent="0.25">
      <c r="C534" s="1" t="s">
        <v>1357</v>
      </c>
      <c r="D534" s="1" t="s">
        <v>1358</v>
      </c>
      <c r="E534" s="1" t="s">
        <v>1359</v>
      </c>
      <c r="F534" s="1">
        <v>0</v>
      </c>
      <c r="G534" s="1">
        <v>0</v>
      </c>
      <c r="H534" s="1">
        <v>0</v>
      </c>
      <c r="I534" s="1">
        <v>376</v>
      </c>
      <c r="J534" s="1">
        <v>376</v>
      </c>
      <c r="K534" s="1">
        <v>0</v>
      </c>
    </row>
    <row r="535" spans="3:11" x14ac:dyDescent="0.25">
      <c r="C535" s="1" t="s">
        <v>2967</v>
      </c>
      <c r="D535" s="1" t="s">
        <v>605</v>
      </c>
      <c r="E535" s="1" t="s">
        <v>2968</v>
      </c>
      <c r="F535" s="1">
        <v>32</v>
      </c>
      <c r="G535" s="1">
        <v>32</v>
      </c>
      <c r="H535" s="1">
        <v>0</v>
      </c>
      <c r="I535" s="1">
        <v>375</v>
      </c>
      <c r="J535" s="1">
        <v>343</v>
      </c>
      <c r="K535" s="1">
        <v>32</v>
      </c>
    </row>
    <row r="536" spans="3:11" x14ac:dyDescent="0.25">
      <c r="C536" s="1" t="s">
        <v>2252</v>
      </c>
      <c r="D536" s="1" t="s">
        <v>2253</v>
      </c>
      <c r="E536" s="1" t="s">
        <v>2254</v>
      </c>
      <c r="F536" s="1">
        <v>0</v>
      </c>
      <c r="G536" s="1">
        <v>0</v>
      </c>
      <c r="H536" s="1">
        <v>0</v>
      </c>
      <c r="I536" s="1">
        <v>375</v>
      </c>
      <c r="J536" s="1">
        <v>375</v>
      </c>
      <c r="K536" s="1">
        <v>0</v>
      </c>
    </row>
    <row r="537" spans="3:11" x14ac:dyDescent="0.25">
      <c r="C537" s="1" t="s">
        <v>2212</v>
      </c>
      <c r="D537" s="1" t="s">
        <v>1989</v>
      </c>
      <c r="E537" s="1" t="s">
        <v>2213</v>
      </c>
      <c r="F537" s="1">
        <v>4</v>
      </c>
      <c r="G537" s="1">
        <v>4</v>
      </c>
      <c r="H537" s="1">
        <v>0</v>
      </c>
      <c r="I537" s="1">
        <v>373</v>
      </c>
      <c r="J537" s="1">
        <v>369</v>
      </c>
      <c r="K537" s="1">
        <v>4</v>
      </c>
    </row>
    <row r="538" spans="3:11" x14ac:dyDescent="0.25">
      <c r="C538" s="1" t="s">
        <v>1420</v>
      </c>
      <c r="D538" s="1" t="s">
        <v>1421</v>
      </c>
      <c r="E538" s="1" t="s">
        <v>1422</v>
      </c>
      <c r="F538" s="1">
        <v>9</v>
      </c>
      <c r="G538" s="1">
        <v>9</v>
      </c>
      <c r="H538" s="1">
        <v>0</v>
      </c>
      <c r="I538" s="1">
        <v>372</v>
      </c>
      <c r="J538" s="1">
        <v>363</v>
      </c>
      <c r="K538" s="1">
        <v>9</v>
      </c>
    </row>
    <row r="539" spans="3:11" x14ac:dyDescent="0.25">
      <c r="C539" s="1" t="s">
        <v>1382</v>
      </c>
      <c r="D539" s="1" t="s">
        <v>136</v>
      </c>
      <c r="E539" s="1" t="s">
        <v>1383</v>
      </c>
      <c r="F539" s="1">
        <v>28</v>
      </c>
      <c r="G539" s="1">
        <v>28</v>
      </c>
      <c r="H539" s="1">
        <v>0</v>
      </c>
      <c r="I539" s="1">
        <v>372</v>
      </c>
      <c r="J539" s="1">
        <v>344</v>
      </c>
      <c r="K539" s="1">
        <v>28</v>
      </c>
    </row>
    <row r="540" spans="3:11" x14ac:dyDescent="0.25">
      <c r="C540" s="1" t="s">
        <v>1362</v>
      </c>
      <c r="D540" s="1" t="s">
        <v>1363</v>
      </c>
      <c r="E540" s="1" t="s">
        <v>1364</v>
      </c>
      <c r="F540" s="1">
        <v>3</v>
      </c>
      <c r="G540" s="1">
        <v>3</v>
      </c>
      <c r="H540" s="1">
        <v>0</v>
      </c>
      <c r="I540" s="1">
        <v>369</v>
      </c>
      <c r="J540" s="1">
        <v>366</v>
      </c>
      <c r="K540" s="1">
        <v>3</v>
      </c>
    </row>
    <row r="541" spans="3:11" x14ac:dyDescent="0.25">
      <c r="C541" s="1" t="s">
        <v>2969</v>
      </c>
      <c r="D541" s="1" t="s">
        <v>2970</v>
      </c>
      <c r="E541" s="1" t="s">
        <v>2971</v>
      </c>
      <c r="F541" s="1">
        <v>-6</v>
      </c>
      <c r="G541" s="1">
        <v>-6</v>
      </c>
      <c r="H541" s="1">
        <v>0</v>
      </c>
      <c r="I541" s="1">
        <v>366</v>
      </c>
      <c r="J541" s="1">
        <v>372</v>
      </c>
      <c r="K541" s="1">
        <v>-6</v>
      </c>
    </row>
    <row r="542" spans="3:11" x14ac:dyDescent="0.25">
      <c r="C542" s="1" t="s">
        <v>2987</v>
      </c>
      <c r="D542" s="1" t="s">
        <v>2988</v>
      </c>
      <c r="E542" s="1" t="s">
        <v>2989</v>
      </c>
      <c r="F542" s="1">
        <v>1</v>
      </c>
      <c r="G542" s="1">
        <v>1</v>
      </c>
      <c r="H542" s="1">
        <v>0</v>
      </c>
      <c r="I542" s="1">
        <v>366</v>
      </c>
      <c r="J542" s="1">
        <v>365</v>
      </c>
      <c r="K542" s="1">
        <v>1</v>
      </c>
    </row>
    <row r="543" spans="3:11" x14ac:dyDescent="0.25">
      <c r="C543" s="1" t="s">
        <v>1453</v>
      </c>
      <c r="D543" s="1" t="s">
        <v>146</v>
      </c>
      <c r="E543" s="1" t="s">
        <v>1454</v>
      </c>
      <c r="F543" s="1">
        <v>93</v>
      </c>
      <c r="G543" s="1">
        <v>93</v>
      </c>
      <c r="H543" s="1">
        <v>0</v>
      </c>
      <c r="I543" s="1">
        <v>366</v>
      </c>
      <c r="J543" s="1">
        <v>273</v>
      </c>
      <c r="K543" s="1">
        <v>93</v>
      </c>
    </row>
    <row r="544" spans="3:11" x14ac:dyDescent="0.25">
      <c r="C544" s="1" t="s">
        <v>1387</v>
      </c>
      <c r="D544" s="1" t="s">
        <v>1388</v>
      </c>
      <c r="E544" s="1" t="s">
        <v>1389</v>
      </c>
      <c r="F544" s="1">
        <v>-2</v>
      </c>
      <c r="G544" s="1">
        <v>-2</v>
      </c>
      <c r="H544" s="1">
        <v>0</v>
      </c>
      <c r="I544" s="1">
        <v>365</v>
      </c>
      <c r="J544" s="1">
        <v>367</v>
      </c>
      <c r="K544" s="1">
        <v>-2</v>
      </c>
    </row>
    <row r="545" spans="3:11" x14ac:dyDescent="0.25">
      <c r="C545" s="1" t="s">
        <v>1370</v>
      </c>
      <c r="D545" s="1" t="s">
        <v>1371</v>
      </c>
      <c r="E545" s="1" t="s">
        <v>1372</v>
      </c>
      <c r="F545" s="1">
        <v>0</v>
      </c>
      <c r="G545" s="1">
        <v>0</v>
      </c>
      <c r="H545" s="1">
        <v>0</v>
      </c>
      <c r="I545" s="1">
        <v>364</v>
      </c>
      <c r="J545" s="1">
        <v>364</v>
      </c>
      <c r="K545" s="1">
        <v>0</v>
      </c>
    </row>
    <row r="546" spans="3:11" x14ac:dyDescent="0.25">
      <c r="C546" s="1" t="s">
        <v>1373</v>
      </c>
      <c r="D546" s="1" t="s">
        <v>1374</v>
      </c>
      <c r="E546" s="1" t="s">
        <v>1375</v>
      </c>
      <c r="F546" s="1">
        <v>0</v>
      </c>
      <c r="G546" s="1">
        <v>0</v>
      </c>
      <c r="H546" s="1">
        <v>0</v>
      </c>
      <c r="I546" s="1">
        <v>364</v>
      </c>
      <c r="J546" s="1">
        <v>364</v>
      </c>
      <c r="K546" s="1">
        <v>0</v>
      </c>
    </row>
    <row r="547" spans="3:11" x14ac:dyDescent="0.25">
      <c r="C547" s="1" t="s">
        <v>1376</v>
      </c>
      <c r="D547" s="1" t="s">
        <v>1377</v>
      </c>
      <c r="E547" s="1" t="s">
        <v>1378</v>
      </c>
      <c r="F547" s="1">
        <v>0</v>
      </c>
      <c r="G547" s="1">
        <v>0</v>
      </c>
      <c r="H547" s="1">
        <v>0</v>
      </c>
      <c r="I547" s="1">
        <v>364</v>
      </c>
      <c r="J547" s="1">
        <v>364</v>
      </c>
      <c r="K547" s="1">
        <v>0</v>
      </c>
    </row>
    <row r="548" spans="3:11" x14ac:dyDescent="0.25">
      <c r="C548" s="1" t="s">
        <v>1379</v>
      </c>
      <c r="D548" s="1" t="s">
        <v>1380</v>
      </c>
      <c r="E548" s="1" t="s">
        <v>1381</v>
      </c>
      <c r="F548" s="1">
        <v>0</v>
      </c>
      <c r="G548" s="1">
        <v>0</v>
      </c>
      <c r="H548" s="1">
        <v>0</v>
      </c>
      <c r="I548" s="1">
        <v>363</v>
      </c>
      <c r="J548" s="1">
        <v>363</v>
      </c>
      <c r="K548" s="1">
        <v>0</v>
      </c>
    </row>
    <row r="549" spans="3:11" x14ac:dyDescent="0.25">
      <c r="C549" s="1" t="s">
        <v>2972</v>
      </c>
      <c r="D549" s="1" t="s">
        <v>818</v>
      </c>
      <c r="E549" s="1" t="s">
        <v>2973</v>
      </c>
      <c r="F549" s="1">
        <v>17</v>
      </c>
      <c r="G549" s="1">
        <v>17</v>
      </c>
      <c r="H549" s="1">
        <v>0</v>
      </c>
      <c r="I549" s="1">
        <v>363</v>
      </c>
      <c r="J549" s="1">
        <v>346</v>
      </c>
      <c r="K549" s="1">
        <v>17</v>
      </c>
    </row>
    <row r="550" spans="3:11" x14ac:dyDescent="0.25">
      <c r="C550" s="1" t="s">
        <v>2974</v>
      </c>
      <c r="D550" s="1" t="s">
        <v>705</v>
      </c>
      <c r="E550" s="1" t="s">
        <v>2975</v>
      </c>
      <c r="F550" s="1">
        <v>123</v>
      </c>
      <c r="G550" s="1">
        <v>123</v>
      </c>
      <c r="H550" s="1">
        <v>0</v>
      </c>
      <c r="I550" s="1">
        <v>362</v>
      </c>
      <c r="J550" s="1">
        <v>239</v>
      </c>
      <c r="K550" s="1">
        <v>123</v>
      </c>
    </row>
    <row r="551" spans="3:11" x14ac:dyDescent="0.25">
      <c r="C551" s="1" t="s">
        <v>2081</v>
      </c>
      <c r="D551" s="1" t="s">
        <v>2082</v>
      </c>
      <c r="E551" s="1" t="s">
        <v>2083</v>
      </c>
      <c r="F551" s="1">
        <v>102</v>
      </c>
      <c r="G551" s="1">
        <v>102</v>
      </c>
      <c r="H551" s="1">
        <v>0</v>
      </c>
      <c r="I551" s="1">
        <v>362</v>
      </c>
      <c r="J551" s="1">
        <v>260</v>
      </c>
      <c r="K551" s="1">
        <v>102</v>
      </c>
    </row>
    <row r="552" spans="3:11" x14ac:dyDescent="0.25">
      <c r="C552" s="1" t="s">
        <v>2976</v>
      </c>
      <c r="D552" s="1" t="s">
        <v>2977</v>
      </c>
      <c r="E552" s="1" t="s">
        <v>2978</v>
      </c>
      <c r="F552" s="1">
        <v>14</v>
      </c>
      <c r="G552" s="1">
        <v>14</v>
      </c>
      <c r="H552" s="1">
        <v>0</v>
      </c>
      <c r="I552" s="1">
        <v>361</v>
      </c>
      <c r="J552" s="1">
        <v>347</v>
      </c>
      <c r="K552" s="1">
        <v>14</v>
      </c>
    </row>
    <row r="553" spans="3:11" x14ac:dyDescent="0.25">
      <c r="C553" s="1" t="s">
        <v>2979</v>
      </c>
      <c r="D553" s="1" t="s">
        <v>665</v>
      </c>
      <c r="E553" s="1" t="s">
        <v>2980</v>
      </c>
      <c r="F553" s="1">
        <v>272</v>
      </c>
      <c r="G553" s="1">
        <v>272</v>
      </c>
      <c r="H553" s="1">
        <v>0</v>
      </c>
      <c r="I553" s="1">
        <v>361</v>
      </c>
      <c r="J553" s="1">
        <v>89</v>
      </c>
      <c r="K553" s="1">
        <v>272</v>
      </c>
    </row>
    <row r="554" spans="3:11" x14ac:dyDescent="0.25">
      <c r="C554" s="1" t="s">
        <v>2981</v>
      </c>
      <c r="D554" s="1" t="s">
        <v>667</v>
      </c>
      <c r="E554" s="1" t="s">
        <v>2982</v>
      </c>
      <c r="F554" s="1">
        <v>194</v>
      </c>
      <c r="G554" s="1">
        <v>194</v>
      </c>
      <c r="H554" s="1">
        <v>0</v>
      </c>
      <c r="I554" s="1">
        <v>361</v>
      </c>
      <c r="J554" s="1">
        <v>167</v>
      </c>
      <c r="K554" s="1">
        <v>194</v>
      </c>
    </row>
    <row r="555" spans="3:11" x14ac:dyDescent="0.25">
      <c r="C555" s="1" t="s">
        <v>2983</v>
      </c>
      <c r="D555" s="1" t="s">
        <v>2147</v>
      </c>
      <c r="E555" s="1" t="s">
        <v>2984</v>
      </c>
      <c r="F555" s="1">
        <v>329</v>
      </c>
      <c r="G555" s="1">
        <v>329</v>
      </c>
      <c r="H555" s="1">
        <v>0</v>
      </c>
      <c r="I555" s="1">
        <v>360</v>
      </c>
      <c r="J555" s="1">
        <v>31</v>
      </c>
      <c r="K555" s="1">
        <v>329</v>
      </c>
    </row>
    <row r="556" spans="3:11" x14ac:dyDescent="0.25">
      <c r="C556" s="1" t="s">
        <v>2278</v>
      </c>
      <c r="D556" s="1" t="s">
        <v>2279</v>
      </c>
      <c r="E556" s="1" t="s">
        <v>2280</v>
      </c>
      <c r="F556" s="1">
        <v>354</v>
      </c>
      <c r="G556" s="1">
        <v>354</v>
      </c>
      <c r="H556" s="1">
        <v>0</v>
      </c>
      <c r="I556" s="1">
        <v>360</v>
      </c>
      <c r="J556" s="1">
        <v>6</v>
      </c>
      <c r="K556" s="1">
        <v>354</v>
      </c>
    </row>
    <row r="557" spans="3:11" x14ac:dyDescent="0.25">
      <c r="C557" s="1" t="s">
        <v>2275</v>
      </c>
      <c r="D557" s="1" t="s">
        <v>2276</v>
      </c>
      <c r="E557" s="1" t="s">
        <v>2277</v>
      </c>
      <c r="F557" s="1">
        <v>336</v>
      </c>
      <c r="G557" s="1">
        <v>336</v>
      </c>
      <c r="H557" s="1">
        <v>0</v>
      </c>
      <c r="I557" s="1">
        <v>360</v>
      </c>
      <c r="J557" s="1">
        <v>24</v>
      </c>
      <c r="K557" s="1">
        <v>336</v>
      </c>
    </row>
    <row r="558" spans="3:11" x14ac:dyDescent="0.25">
      <c r="C558" s="1" t="s">
        <v>2985</v>
      </c>
      <c r="D558" s="1" t="s">
        <v>2986</v>
      </c>
      <c r="E558" s="1" t="s">
        <v>2985</v>
      </c>
      <c r="F558" s="1">
        <v>0</v>
      </c>
      <c r="G558" s="1">
        <v>0</v>
      </c>
      <c r="H558" s="1">
        <v>0</v>
      </c>
      <c r="I558" s="1">
        <v>359</v>
      </c>
      <c r="J558" s="1">
        <v>359</v>
      </c>
      <c r="K558" s="1">
        <v>0</v>
      </c>
    </row>
    <row r="559" spans="3:11" x14ac:dyDescent="0.25">
      <c r="C559" s="1" t="s">
        <v>1608</v>
      </c>
      <c r="D559" s="1" t="s">
        <v>1609</v>
      </c>
      <c r="E559" s="1" t="s">
        <v>1610</v>
      </c>
      <c r="F559" s="1">
        <v>-2</v>
      </c>
      <c r="G559" s="1">
        <v>-2</v>
      </c>
      <c r="H559" s="1">
        <v>0</v>
      </c>
      <c r="I559" s="1">
        <v>359</v>
      </c>
      <c r="J559" s="1">
        <v>361</v>
      </c>
      <c r="K559" s="1">
        <v>-2</v>
      </c>
    </row>
    <row r="560" spans="3:11" x14ac:dyDescent="0.25">
      <c r="C560" s="1" t="s">
        <v>2236</v>
      </c>
      <c r="D560" s="1" t="s">
        <v>2229</v>
      </c>
      <c r="E560" s="1" t="s">
        <v>2237</v>
      </c>
      <c r="F560" s="1">
        <v>304</v>
      </c>
      <c r="G560" s="1">
        <v>304</v>
      </c>
      <c r="H560" s="1">
        <v>0</v>
      </c>
      <c r="I560" s="1">
        <v>359</v>
      </c>
      <c r="J560" s="1">
        <v>55</v>
      </c>
      <c r="K560" s="1">
        <v>304</v>
      </c>
    </row>
    <row r="561" spans="3:11" x14ac:dyDescent="0.25">
      <c r="C561" s="1" t="s">
        <v>2281</v>
      </c>
      <c r="D561" s="1" t="s">
        <v>2282</v>
      </c>
      <c r="E561" s="1" t="s">
        <v>2283</v>
      </c>
      <c r="F561" s="1">
        <v>359</v>
      </c>
      <c r="G561" s="1">
        <v>359</v>
      </c>
      <c r="H561" s="1">
        <v>0</v>
      </c>
      <c r="I561" s="1">
        <v>359</v>
      </c>
      <c r="J561" s="1">
        <v>0</v>
      </c>
      <c r="K561" s="1">
        <v>359</v>
      </c>
    </row>
    <row r="562" spans="3:11" x14ac:dyDescent="0.25">
      <c r="C562" s="1" t="s">
        <v>1384</v>
      </c>
      <c r="D562" s="1" t="s">
        <v>1385</v>
      </c>
      <c r="E562" s="1" t="s">
        <v>1386</v>
      </c>
      <c r="F562" s="1">
        <v>15</v>
      </c>
      <c r="G562" s="1">
        <v>15</v>
      </c>
      <c r="H562" s="1">
        <v>0</v>
      </c>
      <c r="I562" s="1">
        <v>357</v>
      </c>
      <c r="J562" s="1">
        <v>342</v>
      </c>
      <c r="K562" s="1">
        <v>15</v>
      </c>
    </row>
    <row r="563" spans="3:11" x14ac:dyDescent="0.25">
      <c r="C563" s="1" t="s">
        <v>2260</v>
      </c>
      <c r="D563" s="1" t="s">
        <v>2261</v>
      </c>
      <c r="E563" s="1" t="s">
        <v>2262</v>
      </c>
      <c r="F563" s="1">
        <v>47</v>
      </c>
      <c r="G563" s="1">
        <v>47</v>
      </c>
      <c r="H563" s="1">
        <v>0</v>
      </c>
      <c r="I563" s="1">
        <v>353</v>
      </c>
      <c r="J563" s="1">
        <v>306</v>
      </c>
      <c r="K563" s="1">
        <v>47</v>
      </c>
    </row>
    <row r="564" spans="3:11" x14ac:dyDescent="0.25">
      <c r="C564" s="1" t="s">
        <v>1390</v>
      </c>
      <c r="D564" s="1" t="s">
        <v>1391</v>
      </c>
      <c r="E564" s="1" t="s">
        <v>1392</v>
      </c>
      <c r="F564" s="1">
        <v>45</v>
      </c>
      <c r="G564" s="1">
        <v>45</v>
      </c>
      <c r="H564" s="1">
        <v>0</v>
      </c>
      <c r="I564" s="1">
        <v>352</v>
      </c>
      <c r="J564" s="1">
        <v>307</v>
      </c>
      <c r="K564" s="1">
        <v>45</v>
      </c>
    </row>
    <row r="565" spans="3:11" x14ac:dyDescent="0.25">
      <c r="C565" s="1" t="s">
        <v>1404</v>
      </c>
      <c r="D565" s="1" t="s">
        <v>1405</v>
      </c>
      <c r="E565" s="1" t="s">
        <v>1406</v>
      </c>
      <c r="F565" s="1">
        <v>16</v>
      </c>
      <c r="G565" s="1">
        <v>16</v>
      </c>
      <c r="H565" s="1">
        <v>0</v>
      </c>
      <c r="I565" s="1">
        <v>350</v>
      </c>
      <c r="J565" s="1">
        <v>334</v>
      </c>
      <c r="K565" s="1">
        <v>16</v>
      </c>
    </row>
    <row r="566" spans="3:11" x14ac:dyDescent="0.25">
      <c r="C566" s="1" t="s">
        <v>2992</v>
      </c>
      <c r="D566" s="1" t="s">
        <v>848</v>
      </c>
      <c r="E566" s="1" t="s">
        <v>2993</v>
      </c>
      <c r="F566" s="1">
        <v>4</v>
      </c>
      <c r="G566" s="1">
        <v>4</v>
      </c>
      <c r="H566" s="1">
        <v>0</v>
      </c>
      <c r="I566" s="1">
        <v>347</v>
      </c>
      <c r="J566" s="1">
        <v>343</v>
      </c>
      <c r="K566" s="1">
        <v>4</v>
      </c>
    </row>
    <row r="567" spans="3:11" x14ac:dyDescent="0.25">
      <c r="C567" s="1" t="s">
        <v>2996</v>
      </c>
      <c r="D567" s="1" t="s">
        <v>2152</v>
      </c>
      <c r="E567" s="1" t="s">
        <v>2997</v>
      </c>
      <c r="F567" s="1">
        <v>116</v>
      </c>
      <c r="G567" s="1">
        <v>116</v>
      </c>
      <c r="H567" s="1">
        <v>0</v>
      </c>
      <c r="I567" s="1">
        <v>345</v>
      </c>
      <c r="J567" s="1">
        <v>229</v>
      </c>
      <c r="K567" s="1">
        <v>116</v>
      </c>
    </row>
    <row r="568" spans="3:11" x14ac:dyDescent="0.25">
      <c r="C568" s="1" t="s">
        <v>3022</v>
      </c>
      <c r="D568" s="1" t="s">
        <v>3023</v>
      </c>
      <c r="E568" s="1" t="s">
        <v>3024</v>
      </c>
      <c r="F568" s="1">
        <v>1</v>
      </c>
      <c r="G568" s="1">
        <v>1</v>
      </c>
      <c r="H568" s="1">
        <v>0</v>
      </c>
      <c r="I568" s="1">
        <v>344</v>
      </c>
      <c r="J568" s="1">
        <v>343</v>
      </c>
      <c r="K568" s="1">
        <v>1</v>
      </c>
    </row>
    <row r="569" spans="3:11" x14ac:dyDescent="0.25">
      <c r="C569" s="1" t="s">
        <v>1495</v>
      </c>
      <c r="D569" s="1" t="s">
        <v>1496</v>
      </c>
      <c r="E569" s="1" t="s">
        <v>1497</v>
      </c>
      <c r="F569" s="1">
        <v>14</v>
      </c>
      <c r="G569" s="1">
        <v>14</v>
      </c>
      <c r="H569" s="1">
        <v>0</v>
      </c>
      <c r="I569" s="1">
        <v>342</v>
      </c>
      <c r="J569" s="1">
        <v>328</v>
      </c>
      <c r="K569" s="1">
        <v>14</v>
      </c>
    </row>
    <row r="570" spans="3:11" x14ac:dyDescent="0.25">
      <c r="C570" s="1" t="s">
        <v>2994</v>
      </c>
      <c r="D570" s="1" t="s">
        <v>871</v>
      </c>
      <c r="E570" s="1" t="s">
        <v>2995</v>
      </c>
      <c r="F570" s="1">
        <v>193</v>
      </c>
      <c r="G570" s="1">
        <v>193</v>
      </c>
      <c r="H570" s="1">
        <v>0</v>
      </c>
      <c r="I570" s="1">
        <v>342</v>
      </c>
      <c r="J570" s="1">
        <v>149</v>
      </c>
      <c r="K570" s="1">
        <v>193</v>
      </c>
    </row>
    <row r="571" spans="3:11" x14ac:dyDescent="0.25">
      <c r="C571" s="1" t="s">
        <v>3066</v>
      </c>
      <c r="D571" s="1" t="s">
        <v>2151</v>
      </c>
      <c r="E571" s="1" t="s">
        <v>3067</v>
      </c>
      <c r="F571" s="1">
        <v>145</v>
      </c>
      <c r="G571" s="1">
        <v>145</v>
      </c>
      <c r="H571" s="1">
        <v>0</v>
      </c>
      <c r="I571" s="1">
        <v>342</v>
      </c>
      <c r="J571" s="1">
        <v>197</v>
      </c>
      <c r="K571" s="1">
        <v>145</v>
      </c>
    </row>
    <row r="572" spans="3:11" x14ac:dyDescent="0.25">
      <c r="C572" s="1" t="s">
        <v>2998</v>
      </c>
      <c r="D572" s="1" t="s">
        <v>468</v>
      </c>
      <c r="E572" s="1" t="s">
        <v>2999</v>
      </c>
      <c r="F572" s="1">
        <v>81</v>
      </c>
      <c r="G572" s="1">
        <v>81</v>
      </c>
      <c r="H572" s="1">
        <v>0</v>
      </c>
      <c r="I572" s="1">
        <v>341</v>
      </c>
      <c r="J572" s="1">
        <v>260</v>
      </c>
      <c r="K572" s="1">
        <v>81</v>
      </c>
    </row>
    <row r="573" spans="3:11" x14ac:dyDescent="0.25">
      <c r="C573" s="1" t="s">
        <v>4261</v>
      </c>
      <c r="D573" s="1" t="s">
        <v>4262</v>
      </c>
      <c r="E573" s="1" t="s">
        <v>4263</v>
      </c>
      <c r="F573" s="1">
        <v>320</v>
      </c>
      <c r="G573" s="1">
        <v>320</v>
      </c>
      <c r="H573" s="1">
        <v>0</v>
      </c>
      <c r="I573" s="1">
        <v>341</v>
      </c>
      <c r="J573" s="1">
        <v>21</v>
      </c>
      <c r="K573" s="1">
        <v>320</v>
      </c>
    </row>
    <row r="574" spans="3:11" x14ac:dyDescent="0.25">
      <c r="C574" s="1" t="s">
        <v>1413</v>
      </c>
      <c r="D574" s="1" t="s">
        <v>1414</v>
      </c>
      <c r="E574" s="1" t="s">
        <v>1415</v>
      </c>
      <c r="F574" s="1">
        <v>-3</v>
      </c>
      <c r="G574" s="1">
        <v>-3</v>
      </c>
      <c r="H574" s="1">
        <v>0</v>
      </c>
      <c r="I574" s="1">
        <v>340</v>
      </c>
      <c r="J574" s="1">
        <v>343</v>
      </c>
      <c r="K574" s="1">
        <v>-3</v>
      </c>
    </row>
    <row r="575" spans="3:11" x14ac:dyDescent="0.25">
      <c r="C575" s="1" t="s">
        <v>3012</v>
      </c>
      <c r="D575" s="1" t="s">
        <v>3013</v>
      </c>
      <c r="E575" s="1" t="s">
        <v>3014</v>
      </c>
      <c r="F575" s="1">
        <v>12</v>
      </c>
      <c r="G575" s="1">
        <v>12</v>
      </c>
      <c r="H575" s="1">
        <v>0</v>
      </c>
      <c r="I575" s="1">
        <v>340</v>
      </c>
      <c r="J575" s="1">
        <v>328</v>
      </c>
      <c r="K575" s="1">
        <v>12</v>
      </c>
    </row>
    <row r="576" spans="3:11" x14ac:dyDescent="0.25">
      <c r="C576" s="1" t="s">
        <v>3000</v>
      </c>
      <c r="D576" s="1" t="s">
        <v>469</v>
      </c>
      <c r="E576" s="1" t="s">
        <v>3001</v>
      </c>
      <c r="F576" s="1">
        <v>65</v>
      </c>
      <c r="G576" s="1">
        <v>65</v>
      </c>
      <c r="H576" s="1">
        <v>0</v>
      </c>
      <c r="I576" s="1">
        <v>340</v>
      </c>
      <c r="J576" s="1">
        <v>275</v>
      </c>
      <c r="K576" s="1">
        <v>65</v>
      </c>
    </row>
    <row r="577" spans="3:11" x14ac:dyDescent="0.25">
      <c r="C577" s="1" t="s">
        <v>1393</v>
      </c>
      <c r="D577" s="1" t="s">
        <v>137</v>
      </c>
      <c r="E577" s="1" t="s">
        <v>1394</v>
      </c>
      <c r="F577" s="1">
        <v>15</v>
      </c>
      <c r="G577" s="1">
        <v>15</v>
      </c>
      <c r="H577" s="1">
        <v>0</v>
      </c>
      <c r="I577" s="1">
        <v>340</v>
      </c>
      <c r="J577" s="1">
        <v>325</v>
      </c>
      <c r="K577" s="1">
        <v>15</v>
      </c>
    </row>
    <row r="578" spans="3:11" x14ac:dyDescent="0.25">
      <c r="C578" s="1" t="s">
        <v>3002</v>
      </c>
      <c r="D578" s="1" t="s">
        <v>471</v>
      </c>
      <c r="E578" s="1" t="s">
        <v>3003</v>
      </c>
      <c r="F578" s="1">
        <v>6</v>
      </c>
      <c r="G578" s="1">
        <v>6</v>
      </c>
      <c r="H578" s="1">
        <v>0</v>
      </c>
      <c r="I578" s="1">
        <v>340</v>
      </c>
      <c r="J578" s="1">
        <v>334</v>
      </c>
      <c r="K578" s="1">
        <v>6</v>
      </c>
    </row>
    <row r="579" spans="3:11" x14ac:dyDescent="0.25">
      <c r="C579" s="1" t="s">
        <v>3133</v>
      </c>
      <c r="D579" s="1" t="s">
        <v>2161</v>
      </c>
      <c r="E579" s="1" t="s">
        <v>3134</v>
      </c>
      <c r="F579" s="1">
        <v>179</v>
      </c>
      <c r="G579" s="1">
        <v>179</v>
      </c>
      <c r="H579" s="1">
        <v>0</v>
      </c>
      <c r="I579" s="1">
        <v>339</v>
      </c>
      <c r="J579" s="1">
        <v>160</v>
      </c>
      <c r="K579" s="1">
        <v>179</v>
      </c>
    </row>
    <row r="580" spans="3:11" x14ac:dyDescent="0.25">
      <c r="C580" s="1" t="s">
        <v>3004</v>
      </c>
      <c r="D580" s="1" t="s">
        <v>3005</v>
      </c>
      <c r="E580" s="1" t="s">
        <v>3006</v>
      </c>
      <c r="F580" s="1">
        <v>0</v>
      </c>
      <c r="G580" s="1">
        <v>0</v>
      </c>
      <c r="H580" s="1">
        <v>0</v>
      </c>
      <c r="I580" s="1">
        <v>337</v>
      </c>
      <c r="J580" s="1">
        <v>337</v>
      </c>
      <c r="K580" s="1">
        <v>0</v>
      </c>
    </row>
    <row r="581" spans="3:11" x14ac:dyDescent="0.25">
      <c r="C581" s="1" t="s">
        <v>1423</v>
      </c>
      <c r="D581" s="1" t="s">
        <v>1424</v>
      </c>
      <c r="E581" s="1" t="s">
        <v>1425</v>
      </c>
      <c r="F581" s="1">
        <v>0</v>
      </c>
      <c r="G581" s="1">
        <v>0</v>
      </c>
      <c r="H581" s="1">
        <v>0</v>
      </c>
      <c r="I581" s="1">
        <v>335</v>
      </c>
      <c r="J581" s="1">
        <v>335</v>
      </c>
      <c r="K581" s="1">
        <v>0</v>
      </c>
    </row>
    <row r="582" spans="3:11" x14ac:dyDescent="0.25">
      <c r="C582" s="1" t="s">
        <v>1714</v>
      </c>
      <c r="D582" s="1" t="s">
        <v>180</v>
      </c>
      <c r="E582" s="1" t="s">
        <v>1715</v>
      </c>
      <c r="F582" s="1">
        <v>87</v>
      </c>
      <c r="G582" s="1">
        <v>87</v>
      </c>
      <c r="H582" s="1">
        <v>0</v>
      </c>
      <c r="I582" s="1">
        <v>332</v>
      </c>
      <c r="J582" s="1">
        <v>245</v>
      </c>
      <c r="K582" s="1">
        <v>87</v>
      </c>
    </row>
    <row r="583" spans="3:11" x14ac:dyDescent="0.25">
      <c r="C583" s="1" t="s">
        <v>3007</v>
      </c>
      <c r="D583" s="1" t="s">
        <v>3008</v>
      </c>
      <c r="E583" s="1" t="s">
        <v>3009</v>
      </c>
      <c r="F583" s="1">
        <v>0</v>
      </c>
      <c r="G583" s="1">
        <v>0</v>
      </c>
      <c r="H583" s="1">
        <v>0</v>
      </c>
      <c r="I583" s="1">
        <v>331</v>
      </c>
      <c r="J583" s="1">
        <v>331</v>
      </c>
      <c r="K583" s="1">
        <v>0</v>
      </c>
    </row>
    <row r="584" spans="3:11" x14ac:dyDescent="0.25">
      <c r="C584" s="1" t="s">
        <v>3010</v>
      </c>
      <c r="D584" s="1" t="s">
        <v>669</v>
      </c>
      <c r="E584" s="1" t="s">
        <v>3011</v>
      </c>
      <c r="F584" s="1">
        <v>27</v>
      </c>
      <c r="G584" s="1">
        <v>27</v>
      </c>
      <c r="H584" s="1">
        <v>0</v>
      </c>
      <c r="I584" s="1">
        <v>331</v>
      </c>
      <c r="J584" s="1">
        <v>304</v>
      </c>
      <c r="K584" s="1">
        <v>27</v>
      </c>
    </row>
    <row r="585" spans="3:11" x14ac:dyDescent="0.25">
      <c r="C585" s="1" t="s">
        <v>1395</v>
      </c>
      <c r="D585" s="1" t="s">
        <v>138</v>
      </c>
      <c r="E585" s="1" t="s">
        <v>1396</v>
      </c>
      <c r="F585" s="1">
        <v>27</v>
      </c>
      <c r="G585" s="1">
        <v>27</v>
      </c>
      <c r="H585" s="1">
        <v>0</v>
      </c>
      <c r="I585" s="1">
        <v>330</v>
      </c>
      <c r="J585" s="1">
        <v>303</v>
      </c>
      <c r="K585" s="1">
        <v>27</v>
      </c>
    </row>
    <row r="586" spans="3:11" x14ac:dyDescent="0.25">
      <c r="C586" s="1" t="s">
        <v>1399</v>
      </c>
      <c r="D586" s="1" t="s">
        <v>140</v>
      </c>
      <c r="E586" s="1" t="s">
        <v>1400</v>
      </c>
      <c r="F586" s="1">
        <v>171</v>
      </c>
      <c r="G586" s="1">
        <v>171</v>
      </c>
      <c r="H586" s="1">
        <v>0</v>
      </c>
      <c r="I586" s="1">
        <v>329</v>
      </c>
      <c r="J586" s="1">
        <v>158</v>
      </c>
      <c r="K586" s="1">
        <v>171</v>
      </c>
    </row>
    <row r="587" spans="3:11" x14ac:dyDescent="0.25">
      <c r="C587" s="1" t="s">
        <v>1401</v>
      </c>
      <c r="D587" s="1" t="s">
        <v>1402</v>
      </c>
      <c r="E587" s="1" t="s">
        <v>1403</v>
      </c>
      <c r="F587" s="1">
        <v>0</v>
      </c>
      <c r="G587" s="1">
        <v>0</v>
      </c>
      <c r="H587" s="1">
        <v>0</v>
      </c>
      <c r="I587" s="1">
        <v>328</v>
      </c>
      <c r="J587" s="1">
        <v>328</v>
      </c>
      <c r="K587" s="1">
        <v>0</v>
      </c>
    </row>
    <row r="588" spans="3:11" x14ac:dyDescent="0.25">
      <c r="C588" s="1" t="s">
        <v>1407</v>
      </c>
      <c r="D588" s="1" t="s">
        <v>1408</v>
      </c>
      <c r="E588" s="1" t="s">
        <v>1409</v>
      </c>
      <c r="F588" s="1">
        <v>0</v>
      </c>
      <c r="G588" s="1">
        <v>0</v>
      </c>
      <c r="H588" s="1">
        <v>0</v>
      </c>
      <c r="I588" s="1">
        <v>327</v>
      </c>
      <c r="J588" s="1">
        <v>327</v>
      </c>
      <c r="K588" s="1">
        <v>0</v>
      </c>
    </row>
    <row r="589" spans="3:11" x14ac:dyDescent="0.25">
      <c r="C589" s="1" t="s">
        <v>3015</v>
      </c>
      <c r="D589" s="1" t="s">
        <v>706</v>
      </c>
      <c r="E589" s="1" t="s">
        <v>3016</v>
      </c>
      <c r="F589" s="1">
        <v>164</v>
      </c>
      <c r="G589" s="1">
        <v>164</v>
      </c>
      <c r="H589" s="1">
        <v>0</v>
      </c>
      <c r="I589" s="1">
        <v>325</v>
      </c>
      <c r="J589" s="1">
        <v>161</v>
      </c>
      <c r="K589" s="1">
        <v>164</v>
      </c>
    </row>
    <row r="590" spans="3:11" x14ac:dyDescent="0.25">
      <c r="C590" s="1" t="s">
        <v>1416</v>
      </c>
      <c r="D590" s="1" t="s">
        <v>1417</v>
      </c>
      <c r="E590" s="1" t="s">
        <v>1416</v>
      </c>
      <c r="F590" s="1">
        <v>-2</v>
      </c>
      <c r="G590" s="1">
        <v>-2</v>
      </c>
      <c r="H590" s="1">
        <v>0</v>
      </c>
      <c r="I590" s="1">
        <v>322</v>
      </c>
      <c r="J590" s="1">
        <v>324</v>
      </c>
      <c r="K590" s="1">
        <v>-2</v>
      </c>
    </row>
    <row r="591" spans="3:11" x14ac:dyDescent="0.25">
      <c r="C591" s="1" t="s">
        <v>1485</v>
      </c>
      <c r="D591" s="1" t="s">
        <v>1486</v>
      </c>
      <c r="E591" s="1" t="s">
        <v>1487</v>
      </c>
      <c r="F591" s="1">
        <v>15</v>
      </c>
      <c r="G591" s="1">
        <v>15</v>
      </c>
      <c r="H591" s="1">
        <v>0</v>
      </c>
      <c r="I591" s="1">
        <v>322</v>
      </c>
      <c r="J591" s="1">
        <v>307</v>
      </c>
      <c r="K591" s="1">
        <v>15</v>
      </c>
    </row>
    <row r="592" spans="3:11" x14ac:dyDescent="0.25">
      <c r="C592" s="1" t="s">
        <v>4269</v>
      </c>
      <c r="D592" s="1" t="s">
        <v>4270</v>
      </c>
      <c r="E592" s="1" t="s">
        <v>4271</v>
      </c>
      <c r="F592" s="1">
        <v>200</v>
      </c>
      <c r="G592" s="1">
        <v>200</v>
      </c>
      <c r="H592" s="1">
        <v>0</v>
      </c>
      <c r="I592" s="1">
        <v>322</v>
      </c>
      <c r="J592" s="1">
        <v>122</v>
      </c>
      <c r="K592" s="1">
        <v>200</v>
      </c>
    </row>
    <row r="593" spans="3:11" x14ac:dyDescent="0.25">
      <c r="C593" s="1" t="s">
        <v>3017</v>
      </c>
      <c r="D593" s="1" t="s">
        <v>3018</v>
      </c>
      <c r="E593" s="1" t="s">
        <v>3019</v>
      </c>
      <c r="F593" s="1">
        <v>6</v>
      </c>
      <c r="G593" s="1">
        <v>6</v>
      </c>
      <c r="H593" s="1">
        <v>0</v>
      </c>
      <c r="I593" s="1">
        <v>321</v>
      </c>
      <c r="J593" s="1">
        <v>315</v>
      </c>
      <c r="K593" s="1">
        <v>6</v>
      </c>
    </row>
    <row r="594" spans="3:11" x14ac:dyDescent="0.25">
      <c r="C594" s="1" t="s">
        <v>3025</v>
      </c>
      <c r="D594" s="1" t="s">
        <v>472</v>
      </c>
      <c r="E594" s="1" t="s">
        <v>3026</v>
      </c>
      <c r="F594" s="1">
        <v>1</v>
      </c>
      <c r="G594" s="1">
        <v>1</v>
      </c>
      <c r="H594" s="1">
        <v>0</v>
      </c>
      <c r="I594" s="1">
        <v>321</v>
      </c>
      <c r="J594" s="1">
        <v>320</v>
      </c>
      <c r="K594" s="1">
        <v>1</v>
      </c>
    </row>
    <row r="595" spans="3:11" x14ac:dyDescent="0.25">
      <c r="C595" s="1" t="s">
        <v>1410</v>
      </c>
      <c r="D595" s="1" t="s">
        <v>1411</v>
      </c>
      <c r="E595" s="1" t="s">
        <v>1412</v>
      </c>
      <c r="F595" s="1">
        <v>0</v>
      </c>
      <c r="G595" s="1">
        <v>0</v>
      </c>
      <c r="H595" s="1">
        <v>0</v>
      </c>
      <c r="I595" s="1">
        <v>320</v>
      </c>
      <c r="J595" s="1">
        <v>320</v>
      </c>
      <c r="K595" s="1">
        <v>0</v>
      </c>
    </row>
    <row r="596" spans="3:11" x14ac:dyDescent="0.25">
      <c r="C596" s="1" t="s">
        <v>2284</v>
      </c>
      <c r="D596" s="1" t="s">
        <v>2285</v>
      </c>
      <c r="E596" s="1" t="s">
        <v>2286</v>
      </c>
      <c r="F596" s="1">
        <v>-4</v>
      </c>
      <c r="G596" s="1">
        <v>-4</v>
      </c>
      <c r="H596" s="1">
        <v>0</v>
      </c>
      <c r="I596" s="1">
        <v>320</v>
      </c>
      <c r="J596" s="1">
        <v>324</v>
      </c>
      <c r="K596" s="1">
        <v>-4</v>
      </c>
    </row>
    <row r="597" spans="3:11" x14ac:dyDescent="0.25">
      <c r="C597" s="1" t="s">
        <v>4272</v>
      </c>
      <c r="D597" s="1" t="s">
        <v>4273</v>
      </c>
      <c r="E597" s="1" t="s">
        <v>4274</v>
      </c>
      <c r="F597" s="1">
        <v>154</v>
      </c>
      <c r="G597" s="1">
        <v>154</v>
      </c>
      <c r="H597" s="1">
        <v>0</v>
      </c>
      <c r="I597" s="1">
        <v>319</v>
      </c>
      <c r="J597" s="1">
        <v>165</v>
      </c>
      <c r="K597" s="1">
        <v>154</v>
      </c>
    </row>
    <row r="598" spans="3:11" x14ac:dyDescent="0.25">
      <c r="C598" s="1" t="s">
        <v>1418</v>
      </c>
      <c r="D598" s="1" t="s">
        <v>141</v>
      </c>
      <c r="E598" s="1" t="s">
        <v>1419</v>
      </c>
      <c r="F598" s="1">
        <v>14</v>
      </c>
      <c r="G598" s="1">
        <v>14</v>
      </c>
      <c r="H598" s="1">
        <v>0</v>
      </c>
      <c r="I598" s="1">
        <v>314</v>
      </c>
      <c r="J598" s="1">
        <v>300</v>
      </c>
      <c r="K598" s="1">
        <v>14</v>
      </c>
    </row>
    <row r="599" spans="3:11" x14ac:dyDescent="0.25">
      <c r="C599" s="1" t="s">
        <v>3029</v>
      </c>
      <c r="D599" s="1" t="s">
        <v>709</v>
      </c>
      <c r="E599" s="1" t="s">
        <v>3030</v>
      </c>
      <c r="F599" s="1">
        <v>0</v>
      </c>
      <c r="G599" s="1">
        <v>0</v>
      </c>
      <c r="H599" s="1">
        <v>0</v>
      </c>
      <c r="I599" s="1">
        <v>308</v>
      </c>
      <c r="J599" s="1">
        <v>308</v>
      </c>
      <c r="K599" s="1">
        <v>0</v>
      </c>
    </row>
    <row r="600" spans="3:11" x14ac:dyDescent="0.25">
      <c r="C600" s="1" t="s">
        <v>1428</v>
      </c>
      <c r="D600" s="1" t="s">
        <v>143</v>
      </c>
      <c r="E600" s="1" t="s">
        <v>1429</v>
      </c>
      <c r="F600" s="1">
        <v>0</v>
      </c>
      <c r="G600" s="1">
        <v>0</v>
      </c>
      <c r="H600" s="1">
        <v>0</v>
      </c>
      <c r="I600" s="1">
        <v>308</v>
      </c>
      <c r="J600" s="1">
        <v>308</v>
      </c>
      <c r="K600" s="1">
        <v>0</v>
      </c>
    </row>
    <row r="601" spans="3:11" x14ac:dyDescent="0.25">
      <c r="C601" s="1" t="s">
        <v>3033</v>
      </c>
      <c r="D601" s="1" t="s">
        <v>2224</v>
      </c>
      <c r="E601" s="1" t="s">
        <v>3034</v>
      </c>
      <c r="F601" s="1">
        <v>0</v>
      </c>
      <c r="G601" s="1">
        <v>0</v>
      </c>
      <c r="H601" s="1">
        <v>0</v>
      </c>
      <c r="I601" s="1">
        <v>307</v>
      </c>
      <c r="J601" s="1">
        <v>307</v>
      </c>
      <c r="K601" s="1">
        <v>0</v>
      </c>
    </row>
    <row r="602" spans="3:11" x14ac:dyDescent="0.25">
      <c r="C602" s="1" t="s">
        <v>2084</v>
      </c>
      <c r="D602" s="1" t="s">
        <v>2085</v>
      </c>
      <c r="E602" s="1" t="s">
        <v>2086</v>
      </c>
      <c r="F602" s="1">
        <v>132</v>
      </c>
      <c r="G602" s="1">
        <v>132</v>
      </c>
      <c r="H602" s="1">
        <v>0</v>
      </c>
      <c r="I602" s="1">
        <v>306</v>
      </c>
      <c r="J602" s="1">
        <v>174</v>
      </c>
      <c r="K602" s="1">
        <v>132</v>
      </c>
    </row>
    <row r="603" spans="3:11" x14ac:dyDescent="0.25">
      <c r="C603" s="1" t="s">
        <v>3031</v>
      </c>
      <c r="D603" s="1" t="s">
        <v>2226</v>
      </c>
      <c r="E603" s="1" t="s">
        <v>3032</v>
      </c>
      <c r="F603" s="1">
        <v>188</v>
      </c>
      <c r="G603" s="1">
        <v>188</v>
      </c>
      <c r="H603" s="1">
        <v>0</v>
      </c>
      <c r="I603" s="1">
        <v>306</v>
      </c>
      <c r="J603" s="1">
        <v>118</v>
      </c>
      <c r="K603" s="1">
        <v>188</v>
      </c>
    </row>
    <row r="604" spans="3:11" x14ac:dyDescent="0.25">
      <c r="C604" s="1" t="s">
        <v>1478</v>
      </c>
      <c r="D604" s="1" t="s">
        <v>1479</v>
      </c>
      <c r="E604" s="1" t="s">
        <v>1480</v>
      </c>
      <c r="F604" s="1">
        <v>46</v>
      </c>
      <c r="G604" s="1">
        <v>46</v>
      </c>
      <c r="H604" s="1">
        <v>0</v>
      </c>
      <c r="I604" s="1">
        <v>303</v>
      </c>
      <c r="J604" s="1">
        <v>257</v>
      </c>
      <c r="K604" s="1">
        <v>46</v>
      </c>
    </row>
    <row r="605" spans="3:11" x14ac:dyDescent="0.25">
      <c r="C605" s="1" t="s">
        <v>1463</v>
      </c>
      <c r="D605" s="1" t="s">
        <v>1464</v>
      </c>
      <c r="E605" s="1" t="s">
        <v>1465</v>
      </c>
      <c r="F605" s="1">
        <v>16</v>
      </c>
      <c r="G605" s="1">
        <v>16</v>
      </c>
      <c r="H605" s="1">
        <v>0</v>
      </c>
      <c r="I605" s="1">
        <v>302</v>
      </c>
      <c r="J605" s="1">
        <v>286</v>
      </c>
      <c r="K605" s="1">
        <v>16</v>
      </c>
    </row>
    <row r="606" spans="3:11" x14ac:dyDescent="0.25">
      <c r="C606" s="1" t="s">
        <v>1468</v>
      </c>
      <c r="D606" s="1" t="s">
        <v>1469</v>
      </c>
      <c r="E606" s="1" t="s">
        <v>1470</v>
      </c>
      <c r="F606" s="1">
        <v>8</v>
      </c>
      <c r="G606" s="1">
        <v>8</v>
      </c>
      <c r="H606" s="1">
        <v>0</v>
      </c>
      <c r="I606" s="1">
        <v>302</v>
      </c>
      <c r="J606" s="1">
        <v>294</v>
      </c>
      <c r="K606" s="1">
        <v>8</v>
      </c>
    </row>
    <row r="607" spans="3:11" x14ac:dyDescent="0.25">
      <c r="C607" s="1" t="s">
        <v>3085</v>
      </c>
      <c r="D607" s="1" t="s">
        <v>820</v>
      </c>
      <c r="E607" s="1" t="s">
        <v>3086</v>
      </c>
      <c r="F607" s="1">
        <v>55</v>
      </c>
      <c r="G607" s="1">
        <v>55</v>
      </c>
      <c r="H607" s="1">
        <v>0</v>
      </c>
      <c r="I607" s="1">
        <v>302</v>
      </c>
      <c r="J607" s="1">
        <v>247</v>
      </c>
      <c r="K607" s="1">
        <v>55</v>
      </c>
    </row>
    <row r="608" spans="3:11" x14ac:dyDescent="0.25">
      <c r="C608" s="1" t="s">
        <v>1432</v>
      </c>
      <c r="D608" s="1" t="s">
        <v>1433</v>
      </c>
      <c r="E608" s="1" t="s">
        <v>1434</v>
      </c>
      <c r="F608" s="1">
        <v>1</v>
      </c>
      <c r="G608" s="1">
        <v>1</v>
      </c>
      <c r="H608" s="1">
        <v>0</v>
      </c>
      <c r="I608" s="1">
        <v>300</v>
      </c>
      <c r="J608" s="1">
        <v>299</v>
      </c>
      <c r="K608" s="1">
        <v>1</v>
      </c>
    </row>
    <row r="609" spans="3:11" x14ac:dyDescent="0.25">
      <c r="C609" s="1" t="s">
        <v>1435</v>
      </c>
      <c r="D609" s="1" t="s">
        <v>1436</v>
      </c>
      <c r="E609" s="1" t="s">
        <v>1437</v>
      </c>
      <c r="F609" s="1">
        <v>33</v>
      </c>
      <c r="G609" s="1">
        <v>33</v>
      </c>
      <c r="H609" s="1">
        <v>0</v>
      </c>
      <c r="I609" s="1">
        <v>299</v>
      </c>
      <c r="J609" s="1">
        <v>266</v>
      </c>
      <c r="K609" s="1">
        <v>33</v>
      </c>
    </row>
    <row r="610" spans="3:11" x14ac:dyDescent="0.25">
      <c r="C610" s="1" t="s">
        <v>1438</v>
      </c>
      <c r="D610" s="1" t="s">
        <v>1439</v>
      </c>
      <c r="E610" s="1" t="s">
        <v>1440</v>
      </c>
      <c r="F610" s="1">
        <v>14</v>
      </c>
      <c r="G610" s="1">
        <v>14</v>
      </c>
      <c r="H610" s="1">
        <v>0</v>
      </c>
      <c r="I610" s="1">
        <v>298</v>
      </c>
      <c r="J610" s="1">
        <v>284</v>
      </c>
      <c r="K610" s="1">
        <v>14</v>
      </c>
    </row>
    <row r="611" spans="3:11" x14ac:dyDescent="0.25">
      <c r="C611" s="1" t="s">
        <v>1443</v>
      </c>
      <c r="D611" s="1" t="s">
        <v>1444</v>
      </c>
      <c r="E611" s="1" t="s">
        <v>1445</v>
      </c>
      <c r="F611" s="1">
        <v>1</v>
      </c>
      <c r="G611" s="1">
        <v>1</v>
      </c>
      <c r="H611" s="1">
        <v>0</v>
      </c>
      <c r="I611" s="1">
        <v>298</v>
      </c>
      <c r="J611" s="1">
        <v>297</v>
      </c>
      <c r="K611" s="1">
        <v>1</v>
      </c>
    </row>
    <row r="612" spans="3:11" x14ac:dyDescent="0.25">
      <c r="C612" s="1" t="s">
        <v>2043</v>
      </c>
      <c r="D612" s="1" t="s">
        <v>2044</v>
      </c>
      <c r="E612" s="1" t="s">
        <v>2045</v>
      </c>
      <c r="F612" s="1">
        <v>43</v>
      </c>
      <c r="G612" s="1">
        <v>43</v>
      </c>
      <c r="H612" s="1">
        <v>0</v>
      </c>
      <c r="I612" s="1">
        <v>298</v>
      </c>
      <c r="J612" s="1">
        <v>255</v>
      </c>
      <c r="K612" s="1">
        <v>43</v>
      </c>
    </row>
    <row r="613" spans="3:11" x14ac:dyDescent="0.25">
      <c r="C613" s="1" t="s">
        <v>1526</v>
      </c>
      <c r="D613" s="1" t="s">
        <v>160</v>
      </c>
      <c r="E613" s="1" t="s">
        <v>1527</v>
      </c>
      <c r="F613" s="1">
        <v>59</v>
      </c>
      <c r="G613" s="1">
        <v>59</v>
      </c>
      <c r="H613" s="1">
        <v>0</v>
      </c>
      <c r="I613" s="1">
        <v>297</v>
      </c>
      <c r="J613" s="1">
        <v>238</v>
      </c>
      <c r="K613" s="1">
        <v>59</v>
      </c>
    </row>
    <row r="614" spans="3:11" x14ac:dyDescent="0.25">
      <c r="C614" s="1" t="s">
        <v>1446</v>
      </c>
      <c r="D614" s="1" t="s">
        <v>1447</v>
      </c>
      <c r="E614" s="1" t="s">
        <v>1448</v>
      </c>
      <c r="F614" s="1">
        <v>0</v>
      </c>
      <c r="G614" s="1">
        <v>0</v>
      </c>
      <c r="H614" s="1">
        <v>0</v>
      </c>
      <c r="I614" s="1">
        <v>294</v>
      </c>
      <c r="J614" s="1">
        <v>294</v>
      </c>
      <c r="K614" s="1">
        <v>0</v>
      </c>
    </row>
    <row r="615" spans="3:11" x14ac:dyDescent="0.25">
      <c r="C615" s="1" t="s">
        <v>1481</v>
      </c>
      <c r="D615" s="1" t="s">
        <v>154</v>
      </c>
      <c r="E615" s="1" t="s">
        <v>1482</v>
      </c>
      <c r="F615" s="1">
        <v>117</v>
      </c>
      <c r="G615" s="1">
        <v>117</v>
      </c>
      <c r="H615" s="1">
        <v>0</v>
      </c>
      <c r="I615" s="1">
        <v>290</v>
      </c>
      <c r="J615" s="1">
        <v>173</v>
      </c>
      <c r="K615" s="1">
        <v>117</v>
      </c>
    </row>
    <row r="616" spans="3:11" x14ac:dyDescent="0.25">
      <c r="C616" s="1" t="s">
        <v>3035</v>
      </c>
      <c r="D616" s="1" t="s">
        <v>707</v>
      </c>
      <c r="E616" s="1" t="s">
        <v>3036</v>
      </c>
      <c r="F616" s="1">
        <v>21</v>
      </c>
      <c r="G616" s="1">
        <v>21</v>
      </c>
      <c r="H616" s="1">
        <v>0</v>
      </c>
      <c r="I616" s="1">
        <v>288</v>
      </c>
      <c r="J616" s="1">
        <v>267</v>
      </c>
      <c r="K616" s="1">
        <v>21</v>
      </c>
    </row>
    <row r="617" spans="3:11" x14ac:dyDescent="0.25">
      <c r="C617" s="1" t="s">
        <v>3037</v>
      </c>
      <c r="D617" s="1" t="s">
        <v>1510</v>
      </c>
      <c r="E617" s="1" t="s">
        <v>3038</v>
      </c>
      <c r="F617" s="1">
        <v>13</v>
      </c>
      <c r="G617" s="1">
        <v>13</v>
      </c>
      <c r="H617" s="1">
        <v>0</v>
      </c>
      <c r="I617" s="1">
        <v>288</v>
      </c>
      <c r="J617" s="1">
        <v>275</v>
      </c>
      <c r="K617" s="1">
        <v>13</v>
      </c>
    </row>
    <row r="618" spans="3:11" x14ac:dyDescent="0.25">
      <c r="C618" s="1" t="s">
        <v>3039</v>
      </c>
      <c r="D618" s="1" t="s">
        <v>3040</v>
      </c>
      <c r="E618" s="1" t="s">
        <v>3041</v>
      </c>
      <c r="F618" s="1">
        <v>12</v>
      </c>
      <c r="G618" s="1">
        <v>12</v>
      </c>
      <c r="H618" s="1">
        <v>0</v>
      </c>
      <c r="I618" s="1">
        <v>287</v>
      </c>
      <c r="J618" s="1">
        <v>275</v>
      </c>
      <c r="K618" s="1">
        <v>12</v>
      </c>
    </row>
    <row r="619" spans="3:11" x14ac:dyDescent="0.25">
      <c r="C619" s="1" t="s">
        <v>3042</v>
      </c>
      <c r="D619" s="1" t="s">
        <v>3043</v>
      </c>
      <c r="E619" s="1" t="s">
        <v>3044</v>
      </c>
      <c r="F619" s="1">
        <v>3</v>
      </c>
      <c r="G619" s="1">
        <v>3</v>
      </c>
      <c r="H619" s="1">
        <v>0</v>
      </c>
      <c r="I619" s="1">
        <v>286</v>
      </c>
      <c r="J619" s="1">
        <v>283</v>
      </c>
      <c r="K619" s="1">
        <v>3</v>
      </c>
    </row>
    <row r="620" spans="3:11" x14ac:dyDescent="0.25">
      <c r="C620" s="1" t="s">
        <v>3045</v>
      </c>
      <c r="D620" s="1" t="s">
        <v>473</v>
      </c>
      <c r="E620" s="1" t="s">
        <v>3046</v>
      </c>
      <c r="F620" s="1">
        <v>8</v>
      </c>
      <c r="G620" s="1">
        <v>8</v>
      </c>
      <c r="H620" s="1">
        <v>0</v>
      </c>
      <c r="I620" s="1">
        <v>285</v>
      </c>
      <c r="J620" s="1">
        <v>277</v>
      </c>
      <c r="K620" s="1">
        <v>8</v>
      </c>
    </row>
    <row r="621" spans="3:11" x14ac:dyDescent="0.25">
      <c r="C621" s="1" t="s">
        <v>2061</v>
      </c>
      <c r="D621" s="1" t="s">
        <v>2062</v>
      </c>
      <c r="E621" s="1" t="s">
        <v>2063</v>
      </c>
      <c r="F621" s="1">
        <v>4</v>
      </c>
      <c r="G621" s="1">
        <v>4</v>
      </c>
      <c r="H621" s="1">
        <v>0</v>
      </c>
      <c r="I621" s="1">
        <v>284</v>
      </c>
      <c r="J621" s="1">
        <v>280</v>
      </c>
      <c r="K621" s="1">
        <v>4</v>
      </c>
    </row>
    <row r="622" spans="3:11" x14ac:dyDescent="0.25">
      <c r="C622" s="1" t="s">
        <v>3098</v>
      </c>
      <c r="D622" s="1" t="s">
        <v>479</v>
      </c>
      <c r="E622" s="1" t="s">
        <v>3099</v>
      </c>
      <c r="F622" s="1">
        <v>47</v>
      </c>
      <c r="G622" s="1">
        <v>47</v>
      </c>
      <c r="H622" s="1">
        <v>0</v>
      </c>
      <c r="I622" s="1">
        <v>283</v>
      </c>
      <c r="J622" s="1">
        <v>236</v>
      </c>
      <c r="K622" s="1">
        <v>47</v>
      </c>
    </row>
    <row r="623" spans="3:11" x14ac:dyDescent="0.25">
      <c r="C623" s="1" t="s">
        <v>1476</v>
      </c>
      <c r="D623" s="1" t="s">
        <v>153</v>
      </c>
      <c r="E623" s="1" t="s">
        <v>1477</v>
      </c>
      <c r="F623" s="1">
        <v>111</v>
      </c>
      <c r="G623" s="1">
        <v>111</v>
      </c>
      <c r="H623" s="1">
        <v>0</v>
      </c>
      <c r="I623" s="1">
        <v>283</v>
      </c>
      <c r="J623" s="1">
        <v>172</v>
      </c>
      <c r="K623" s="1">
        <v>111</v>
      </c>
    </row>
    <row r="624" spans="3:11" x14ac:dyDescent="0.25">
      <c r="C624" s="1" t="s">
        <v>1553</v>
      </c>
      <c r="D624" s="1" t="s">
        <v>1554</v>
      </c>
      <c r="E624" s="1" t="s">
        <v>1555</v>
      </c>
      <c r="F624" s="1">
        <v>0</v>
      </c>
      <c r="G624" s="1">
        <v>0</v>
      </c>
      <c r="H624" s="1">
        <v>0</v>
      </c>
      <c r="I624" s="1">
        <v>282</v>
      </c>
      <c r="J624" s="1">
        <v>282</v>
      </c>
      <c r="K624" s="1">
        <v>0</v>
      </c>
    </row>
    <row r="625" spans="3:11" x14ac:dyDescent="0.25">
      <c r="C625" s="1" t="s">
        <v>3047</v>
      </c>
      <c r="D625" s="1" t="s">
        <v>611</v>
      </c>
      <c r="E625" s="1" t="s">
        <v>3048</v>
      </c>
      <c r="F625" s="1">
        <v>1</v>
      </c>
      <c r="G625" s="1">
        <v>1</v>
      </c>
      <c r="H625" s="1">
        <v>0</v>
      </c>
      <c r="I625" s="1">
        <v>282</v>
      </c>
      <c r="J625" s="1">
        <v>281</v>
      </c>
      <c r="K625" s="1">
        <v>1</v>
      </c>
    </row>
    <row r="626" spans="3:11" x14ac:dyDescent="0.25">
      <c r="C626" s="1" t="s">
        <v>1498</v>
      </c>
      <c r="D626" s="1" t="s">
        <v>1499</v>
      </c>
      <c r="E626" s="1" t="s">
        <v>1500</v>
      </c>
      <c r="F626" s="1">
        <v>23</v>
      </c>
      <c r="G626" s="1">
        <v>23</v>
      </c>
      <c r="H626" s="1">
        <v>0</v>
      </c>
      <c r="I626" s="1">
        <v>282</v>
      </c>
      <c r="J626" s="1">
        <v>259</v>
      </c>
      <c r="K626" s="1">
        <v>23</v>
      </c>
    </row>
    <row r="627" spans="3:11" x14ac:dyDescent="0.25">
      <c r="C627" s="1" t="s">
        <v>1473</v>
      </c>
      <c r="D627" s="1" t="s">
        <v>1474</v>
      </c>
      <c r="E627" s="1" t="s">
        <v>1475</v>
      </c>
      <c r="F627" s="1">
        <v>2</v>
      </c>
      <c r="G627" s="1">
        <v>2</v>
      </c>
      <c r="H627" s="1">
        <v>0</v>
      </c>
      <c r="I627" s="1">
        <v>282</v>
      </c>
      <c r="J627" s="1">
        <v>280</v>
      </c>
      <c r="K627" s="1">
        <v>2</v>
      </c>
    </row>
    <row r="628" spans="3:11" x14ac:dyDescent="0.25">
      <c r="C628" s="1" t="s">
        <v>3049</v>
      </c>
      <c r="D628" s="1" t="s">
        <v>3050</v>
      </c>
      <c r="E628" s="1" t="s">
        <v>3051</v>
      </c>
      <c r="F628" s="1">
        <v>0</v>
      </c>
      <c r="G628" s="1">
        <v>0</v>
      </c>
      <c r="H628" s="1">
        <v>0</v>
      </c>
      <c r="I628" s="1">
        <v>282</v>
      </c>
      <c r="J628" s="1">
        <v>282</v>
      </c>
      <c r="K628" s="1">
        <v>0</v>
      </c>
    </row>
    <row r="629" spans="3:11" x14ac:dyDescent="0.25">
      <c r="C629" s="1" t="s">
        <v>4343</v>
      </c>
      <c r="D629" s="1" t="s">
        <v>4341</v>
      </c>
      <c r="E629" s="1" t="s">
        <v>4344</v>
      </c>
      <c r="F629" s="1">
        <v>215</v>
      </c>
      <c r="G629" s="1">
        <v>215</v>
      </c>
      <c r="H629" s="1">
        <v>0</v>
      </c>
      <c r="I629" s="1">
        <v>281</v>
      </c>
      <c r="J629" s="1">
        <v>66</v>
      </c>
      <c r="K629" s="1">
        <v>215</v>
      </c>
    </row>
    <row r="630" spans="3:11" x14ac:dyDescent="0.25">
      <c r="C630" s="1" t="s">
        <v>4372</v>
      </c>
      <c r="D630" s="1" t="s">
        <v>4350</v>
      </c>
      <c r="E630" s="1" t="s">
        <v>4373</v>
      </c>
      <c r="F630" s="1">
        <v>71</v>
      </c>
      <c r="G630" s="1">
        <v>71</v>
      </c>
      <c r="H630" s="1">
        <v>0</v>
      </c>
      <c r="I630" s="1">
        <v>281</v>
      </c>
      <c r="J630" s="1">
        <v>210</v>
      </c>
      <c r="K630" s="1">
        <v>71</v>
      </c>
    </row>
    <row r="631" spans="3:11" x14ac:dyDescent="0.25">
      <c r="C631" s="1" t="s">
        <v>3052</v>
      </c>
      <c r="D631" s="1" t="s">
        <v>3053</v>
      </c>
      <c r="E631" s="1" t="s">
        <v>3054</v>
      </c>
      <c r="F631" s="1">
        <v>1</v>
      </c>
      <c r="G631" s="1">
        <v>1</v>
      </c>
      <c r="H631" s="1">
        <v>0</v>
      </c>
      <c r="I631" s="1">
        <v>280</v>
      </c>
      <c r="J631" s="1">
        <v>279</v>
      </c>
      <c r="K631" s="1">
        <v>1</v>
      </c>
    </row>
    <row r="632" spans="3:11" x14ac:dyDescent="0.25">
      <c r="C632" s="1" t="s">
        <v>3055</v>
      </c>
      <c r="D632" s="1" t="s">
        <v>849</v>
      </c>
      <c r="E632" s="1" t="s">
        <v>3056</v>
      </c>
      <c r="F632" s="1">
        <v>108</v>
      </c>
      <c r="G632" s="1">
        <v>108</v>
      </c>
      <c r="H632" s="1">
        <v>0</v>
      </c>
      <c r="I632" s="1">
        <v>280</v>
      </c>
      <c r="J632" s="1">
        <v>172</v>
      </c>
      <c r="K632" s="1">
        <v>108</v>
      </c>
    </row>
    <row r="633" spans="3:11" x14ac:dyDescent="0.25">
      <c r="C633" s="1" t="s">
        <v>1483</v>
      </c>
      <c r="D633" s="1" t="s">
        <v>155</v>
      </c>
      <c r="E633" s="1" t="s">
        <v>1484</v>
      </c>
      <c r="F633" s="1">
        <v>0</v>
      </c>
      <c r="G633" s="1">
        <v>0</v>
      </c>
      <c r="H633" s="1">
        <v>0</v>
      </c>
      <c r="I633" s="1">
        <v>280</v>
      </c>
      <c r="J633" s="1">
        <v>280</v>
      </c>
      <c r="K633" s="1">
        <v>0</v>
      </c>
    </row>
    <row r="634" spans="3:11" x14ac:dyDescent="0.25">
      <c r="C634" s="1" t="s">
        <v>3061</v>
      </c>
      <c r="D634" s="1" t="s">
        <v>3062</v>
      </c>
      <c r="E634" s="1" t="s">
        <v>3063</v>
      </c>
      <c r="F634" s="1">
        <v>1</v>
      </c>
      <c r="G634" s="1">
        <v>1</v>
      </c>
      <c r="H634" s="1">
        <v>0</v>
      </c>
      <c r="I634" s="1">
        <v>279</v>
      </c>
      <c r="J634" s="1">
        <v>278</v>
      </c>
      <c r="K634" s="1">
        <v>1</v>
      </c>
    </row>
    <row r="635" spans="3:11" x14ac:dyDescent="0.25">
      <c r="C635" s="1" t="s">
        <v>3057</v>
      </c>
      <c r="D635" s="1" t="s">
        <v>474</v>
      </c>
      <c r="E635" s="1" t="s">
        <v>3058</v>
      </c>
      <c r="F635" s="1">
        <v>27</v>
      </c>
      <c r="G635" s="1">
        <v>27</v>
      </c>
      <c r="H635" s="1">
        <v>0</v>
      </c>
      <c r="I635" s="1">
        <v>279</v>
      </c>
      <c r="J635" s="1">
        <v>252</v>
      </c>
      <c r="K635" s="1">
        <v>27</v>
      </c>
    </row>
    <row r="636" spans="3:11" x14ac:dyDescent="0.25">
      <c r="C636" s="1" t="s">
        <v>1619</v>
      </c>
      <c r="D636" s="1" t="s">
        <v>1620</v>
      </c>
      <c r="E636" s="1" t="s">
        <v>1621</v>
      </c>
      <c r="F636" s="1">
        <v>4</v>
      </c>
      <c r="G636" s="1">
        <v>4</v>
      </c>
      <c r="H636" s="1">
        <v>0</v>
      </c>
      <c r="I636" s="1">
        <v>279</v>
      </c>
      <c r="J636" s="1">
        <v>275</v>
      </c>
      <c r="K636" s="1">
        <v>4</v>
      </c>
    </row>
    <row r="637" spans="3:11" x14ac:dyDescent="0.25">
      <c r="C637" s="1" t="s">
        <v>3059</v>
      </c>
      <c r="D637" s="1" t="s">
        <v>3060</v>
      </c>
      <c r="E637" s="1" t="s">
        <v>3059</v>
      </c>
      <c r="F637" s="1">
        <v>3</v>
      </c>
      <c r="G637" s="1">
        <v>3</v>
      </c>
      <c r="H637" s="1">
        <v>0</v>
      </c>
      <c r="I637" s="1">
        <v>276</v>
      </c>
      <c r="J637" s="1">
        <v>273</v>
      </c>
      <c r="K637" s="1">
        <v>3</v>
      </c>
    </row>
    <row r="638" spans="3:11" x14ac:dyDescent="0.25">
      <c r="C638" s="1" t="s">
        <v>4296</v>
      </c>
      <c r="D638" s="1" t="s">
        <v>4297</v>
      </c>
      <c r="E638" s="1" t="s">
        <v>4298</v>
      </c>
      <c r="F638" s="1">
        <v>242</v>
      </c>
      <c r="G638" s="1">
        <v>242</v>
      </c>
      <c r="H638" s="1">
        <v>0</v>
      </c>
      <c r="I638" s="1">
        <v>270</v>
      </c>
      <c r="J638" s="1">
        <v>28</v>
      </c>
      <c r="K638" s="1">
        <v>242</v>
      </c>
    </row>
    <row r="639" spans="3:11" x14ac:dyDescent="0.25">
      <c r="C639" s="1" t="s">
        <v>3070</v>
      </c>
      <c r="D639" s="1" t="s">
        <v>3071</v>
      </c>
      <c r="E639" s="1" t="s">
        <v>3072</v>
      </c>
      <c r="F639" s="1">
        <v>6</v>
      </c>
      <c r="G639" s="1">
        <v>6</v>
      </c>
      <c r="H639" s="1">
        <v>0</v>
      </c>
      <c r="I639" s="1">
        <v>267</v>
      </c>
      <c r="J639" s="1">
        <v>261</v>
      </c>
      <c r="K639" s="1">
        <v>6</v>
      </c>
    </row>
    <row r="640" spans="3:11" x14ac:dyDescent="0.25">
      <c r="C640" s="1" t="s">
        <v>3064</v>
      </c>
      <c r="D640" s="1" t="s">
        <v>711</v>
      </c>
      <c r="E640" s="1" t="s">
        <v>3065</v>
      </c>
      <c r="F640" s="1">
        <v>23</v>
      </c>
      <c r="G640" s="1">
        <v>23</v>
      </c>
      <c r="H640" s="1">
        <v>0</v>
      </c>
      <c r="I640" s="1">
        <v>266</v>
      </c>
      <c r="J640" s="1">
        <v>243</v>
      </c>
      <c r="K640" s="1">
        <v>23</v>
      </c>
    </row>
    <row r="641" spans="3:11" x14ac:dyDescent="0.25">
      <c r="C641" s="1" t="s">
        <v>1488</v>
      </c>
      <c r="D641" s="1" t="s">
        <v>166</v>
      </c>
      <c r="E641" s="1" t="s">
        <v>1489</v>
      </c>
      <c r="F641" s="1">
        <v>1</v>
      </c>
      <c r="G641" s="1">
        <v>1</v>
      </c>
      <c r="H641" s="1">
        <v>0</v>
      </c>
      <c r="I641" s="1">
        <v>266</v>
      </c>
      <c r="J641" s="1">
        <v>265</v>
      </c>
      <c r="K641" s="1">
        <v>1</v>
      </c>
    </row>
    <row r="642" spans="3:11" x14ac:dyDescent="0.25">
      <c r="C642" s="1" t="s">
        <v>3068</v>
      </c>
      <c r="D642" s="1" t="s">
        <v>850</v>
      </c>
      <c r="E642" s="1" t="s">
        <v>3069</v>
      </c>
      <c r="F642" s="1">
        <v>9</v>
      </c>
      <c r="G642" s="1">
        <v>9</v>
      </c>
      <c r="H642" s="1">
        <v>0</v>
      </c>
      <c r="I642" s="1">
        <v>264</v>
      </c>
      <c r="J642" s="1">
        <v>255</v>
      </c>
      <c r="K642" s="1">
        <v>9</v>
      </c>
    </row>
    <row r="643" spans="3:11" x14ac:dyDescent="0.25">
      <c r="C643" s="1" t="s">
        <v>4290</v>
      </c>
      <c r="D643" s="1" t="s">
        <v>4291</v>
      </c>
      <c r="E643" s="1" t="s">
        <v>4292</v>
      </c>
      <c r="F643" s="1">
        <v>203</v>
      </c>
      <c r="G643" s="1">
        <v>203</v>
      </c>
      <c r="H643" s="1">
        <v>0</v>
      </c>
      <c r="I643" s="1">
        <v>264</v>
      </c>
      <c r="J643" s="1">
        <v>61</v>
      </c>
      <c r="K643" s="1">
        <v>203</v>
      </c>
    </row>
    <row r="644" spans="3:11" x14ac:dyDescent="0.25">
      <c r="C644" s="1" t="s">
        <v>4403</v>
      </c>
      <c r="D644" s="1" t="s">
        <v>4404</v>
      </c>
      <c r="E644" s="1" t="s">
        <v>4405</v>
      </c>
      <c r="F644" s="1">
        <v>264</v>
      </c>
      <c r="G644" s="1">
        <v>264</v>
      </c>
      <c r="H644" s="1">
        <v>0</v>
      </c>
      <c r="I644" s="1">
        <v>264</v>
      </c>
      <c r="J644" s="1">
        <v>0</v>
      </c>
      <c r="K644" s="1">
        <v>264</v>
      </c>
    </row>
    <row r="645" spans="3:11" x14ac:dyDescent="0.25">
      <c r="C645" s="1" t="s">
        <v>3073</v>
      </c>
      <c r="D645" s="1" t="s">
        <v>712</v>
      </c>
      <c r="E645" s="1" t="s">
        <v>3074</v>
      </c>
      <c r="F645" s="1">
        <v>41</v>
      </c>
      <c r="G645" s="1">
        <v>41</v>
      </c>
      <c r="H645" s="1">
        <v>0</v>
      </c>
      <c r="I645" s="1">
        <v>263</v>
      </c>
      <c r="J645" s="1">
        <v>222</v>
      </c>
      <c r="K645" s="1">
        <v>41</v>
      </c>
    </row>
    <row r="646" spans="3:11" x14ac:dyDescent="0.25">
      <c r="C646" s="1" t="s">
        <v>1492</v>
      </c>
      <c r="D646" s="1" t="s">
        <v>1493</v>
      </c>
      <c r="E646" s="1" t="s">
        <v>1494</v>
      </c>
      <c r="F646" s="1">
        <v>0</v>
      </c>
      <c r="G646" s="1">
        <v>0</v>
      </c>
      <c r="H646" s="1">
        <v>0</v>
      </c>
      <c r="I646" s="1">
        <v>258</v>
      </c>
      <c r="J646" s="1">
        <v>258</v>
      </c>
      <c r="K646" s="1">
        <v>0</v>
      </c>
    </row>
    <row r="647" spans="3:11" x14ac:dyDescent="0.25">
      <c r="C647" s="1" t="s">
        <v>1570</v>
      </c>
      <c r="D647" s="1" t="s">
        <v>1571</v>
      </c>
      <c r="E647" s="1" t="s">
        <v>1572</v>
      </c>
      <c r="F647" s="1">
        <v>1</v>
      </c>
      <c r="G647" s="1">
        <v>1</v>
      </c>
      <c r="H647" s="1">
        <v>0</v>
      </c>
      <c r="I647" s="1">
        <v>257</v>
      </c>
      <c r="J647" s="1">
        <v>256</v>
      </c>
      <c r="K647" s="1">
        <v>1</v>
      </c>
    </row>
    <row r="648" spans="3:11" x14ac:dyDescent="0.25">
      <c r="C648" s="1" t="s">
        <v>3075</v>
      </c>
      <c r="D648" s="1" t="s">
        <v>728</v>
      </c>
      <c r="E648" s="1" t="s">
        <v>3076</v>
      </c>
      <c r="F648" s="1">
        <v>85</v>
      </c>
      <c r="G648" s="1">
        <v>85</v>
      </c>
      <c r="H648" s="1">
        <v>0</v>
      </c>
      <c r="I648" s="1">
        <v>256</v>
      </c>
      <c r="J648" s="1">
        <v>171</v>
      </c>
      <c r="K648" s="1">
        <v>85</v>
      </c>
    </row>
    <row r="649" spans="3:11" x14ac:dyDescent="0.25">
      <c r="C649" s="1" t="s">
        <v>4328</v>
      </c>
      <c r="D649" s="1" t="s">
        <v>4329</v>
      </c>
      <c r="E649" s="1" t="s">
        <v>4330</v>
      </c>
      <c r="F649" s="1">
        <v>17</v>
      </c>
      <c r="G649" s="1">
        <v>17</v>
      </c>
      <c r="H649" s="1">
        <v>0</v>
      </c>
      <c r="I649" s="1">
        <v>256</v>
      </c>
      <c r="J649" s="1">
        <v>239</v>
      </c>
      <c r="K649" s="1">
        <v>17</v>
      </c>
    </row>
    <row r="650" spans="3:11" x14ac:dyDescent="0.25">
      <c r="C650" s="1" t="s">
        <v>3077</v>
      </c>
      <c r="D650" s="1" t="s">
        <v>3078</v>
      </c>
      <c r="E650" s="1" t="s">
        <v>3079</v>
      </c>
      <c r="F650" s="1">
        <v>4</v>
      </c>
      <c r="G650" s="1">
        <v>4</v>
      </c>
      <c r="H650" s="1">
        <v>0</v>
      </c>
      <c r="I650" s="1">
        <v>255</v>
      </c>
      <c r="J650" s="1">
        <v>251</v>
      </c>
      <c r="K650" s="1">
        <v>4</v>
      </c>
    </row>
    <row r="651" spans="3:11" x14ac:dyDescent="0.25">
      <c r="C651" s="1" t="s">
        <v>2219</v>
      </c>
      <c r="D651" s="1" t="s">
        <v>2220</v>
      </c>
      <c r="E651" s="1" t="s">
        <v>2221</v>
      </c>
      <c r="F651" s="1">
        <v>0</v>
      </c>
      <c r="G651" s="1">
        <v>0</v>
      </c>
      <c r="H651" s="1">
        <v>0</v>
      </c>
      <c r="I651" s="1">
        <v>255</v>
      </c>
      <c r="J651" s="1">
        <v>255</v>
      </c>
      <c r="K651" s="1">
        <v>0</v>
      </c>
    </row>
    <row r="652" spans="3:11" x14ac:dyDescent="0.25">
      <c r="C652" s="1" t="s">
        <v>3080</v>
      </c>
      <c r="D652" s="1" t="s">
        <v>475</v>
      </c>
      <c r="E652" s="1" t="s">
        <v>3081</v>
      </c>
      <c r="F652" s="1">
        <v>68</v>
      </c>
      <c r="G652" s="1">
        <v>68</v>
      </c>
      <c r="H652" s="1">
        <v>0</v>
      </c>
      <c r="I652" s="1">
        <v>254</v>
      </c>
      <c r="J652" s="1">
        <v>186</v>
      </c>
      <c r="K652" s="1">
        <v>68</v>
      </c>
    </row>
    <row r="653" spans="3:11" x14ac:dyDescent="0.25">
      <c r="C653" s="1" t="s">
        <v>3082</v>
      </c>
      <c r="D653" s="1" t="s">
        <v>3083</v>
      </c>
      <c r="E653" s="1" t="s">
        <v>3084</v>
      </c>
      <c r="F653" s="1">
        <v>2</v>
      </c>
      <c r="G653" s="1">
        <v>2</v>
      </c>
      <c r="H653" s="1">
        <v>0</v>
      </c>
      <c r="I653" s="1">
        <v>253</v>
      </c>
      <c r="J653" s="1">
        <v>251</v>
      </c>
      <c r="K653" s="1">
        <v>2</v>
      </c>
    </row>
    <row r="654" spans="3:11" x14ac:dyDescent="0.25">
      <c r="C654" s="1" t="s">
        <v>1564</v>
      </c>
      <c r="D654" s="1" t="s">
        <v>1565</v>
      </c>
      <c r="E654" s="1" t="s">
        <v>1566</v>
      </c>
      <c r="F654" s="1">
        <v>-5</v>
      </c>
      <c r="G654" s="1">
        <v>-5</v>
      </c>
      <c r="H654" s="1">
        <v>0</v>
      </c>
      <c r="I654" s="1">
        <v>253</v>
      </c>
      <c r="J654" s="1">
        <v>258</v>
      </c>
      <c r="K654" s="1">
        <v>-5</v>
      </c>
    </row>
    <row r="655" spans="3:11" x14ac:dyDescent="0.25">
      <c r="C655" s="1" t="s">
        <v>2112</v>
      </c>
      <c r="D655" s="1" t="s">
        <v>2113</v>
      </c>
      <c r="E655" s="1" t="s">
        <v>2114</v>
      </c>
      <c r="F655" s="1">
        <v>0</v>
      </c>
      <c r="G655" s="1">
        <v>0</v>
      </c>
      <c r="H655" s="1">
        <v>0</v>
      </c>
      <c r="I655" s="1">
        <v>253</v>
      </c>
      <c r="J655" s="1">
        <v>253</v>
      </c>
      <c r="K655" s="1">
        <v>0</v>
      </c>
    </row>
    <row r="656" spans="3:11" x14ac:dyDescent="0.25">
      <c r="C656" s="1" t="s">
        <v>1501</v>
      </c>
      <c r="D656" s="1" t="s">
        <v>1502</v>
      </c>
      <c r="E656" s="1" t="s">
        <v>1503</v>
      </c>
      <c r="F656" s="1">
        <v>13</v>
      </c>
      <c r="G656" s="1">
        <v>13</v>
      </c>
      <c r="H656" s="1">
        <v>0</v>
      </c>
      <c r="I656" s="1">
        <v>252</v>
      </c>
      <c r="J656" s="1">
        <v>239</v>
      </c>
      <c r="K656" s="1">
        <v>13</v>
      </c>
    </row>
    <row r="657" spans="3:11" x14ac:dyDescent="0.25">
      <c r="C657" s="1" t="s">
        <v>1507</v>
      </c>
      <c r="D657" s="1" t="s">
        <v>1508</v>
      </c>
      <c r="E657" s="1" t="s">
        <v>1509</v>
      </c>
      <c r="F657" s="1">
        <v>3</v>
      </c>
      <c r="G657" s="1">
        <v>3</v>
      </c>
      <c r="H657" s="1">
        <v>0</v>
      </c>
      <c r="I657" s="1">
        <v>252</v>
      </c>
      <c r="J657" s="1">
        <v>249</v>
      </c>
      <c r="K657" s="1">
        <v>3</v>
      </c>
    </row>
    <row r="658" spans="3:11" x14ac:dyDescent="0.25">
      <c r="C658" s="1" t="s">
        <v>3087</v>
      </c>
      <c r="D658" s="1" t="s">
        <v>713</v>
      </c>
      <c r="E658" s="1" t="s">
        <v>3088</v>
      </c>
      <c r="F658" s="1">
        <v>4</v>
      </c>
      <c r="G658" s="1">
        <v>4</v>
      </c>
      <c r="H658" s="1">
        <v>0</v>
      </c>
      <c r="I658" s="1">
        <v>250</v>
      </c>
      <c r="J658" s="1">
        <v>246</v>
      </c>
      <c r="K658" s="1">
        <v>4</v>
      </c>
    </row>
    <row r="659" spans="3:11" x14ac:dyDescent="0.25">
      <c r="C659" s="1" t="s">
        <v>3093</v>
      </c>
      <c r="D659" s="1" t="s">
        <v>3094</v>
      </c>
      <c r="E659" s="1" t="s">
        <v>3095</v>
      </c>
      <c r="F659" s="1">
        <v>23</v>
      </c>
      <c r="G659" s="1">
        <v>23</v>
      </c>
      <c r="H659" s="1">
        <v>0</v>
      </c>
      <c r="I659" s="1">
        <v>250</v>
      </c>
      <c r="J659" s="1">
        <v>227</v>
      </c>
      <c r="K659" s="1">
        <v>23</v>
      </c>
    </row>
    <row r="660" spans="3:11" x14ac:dyDescent="0.25">
      <c r="C660" s="1" t="s">
        <v>3089</v>
      </c>
      <c r="D660" s="1" t="s">
        <v>622</v>
      </c>
      <c r="E660" s="1" t="s">
        <v>623</v>
      </c>
      <c r="F660" s="1">
        <v>18</v>
      </c>
      <c r="G660" s="1">
        <v>18</v>
      </c>
      <c r="H660" s="1">
        <v>0</v>
      </c>
      <c r="I660" s="1">
        <v>248</v>
      </c>
      <c r="J660" s="1">
        <v>230</v>
      </c>
      <c r="K660" s="1">
        <v>18</v>
      </c>
    </row>
    <row r="661" spans="3:11" x14ac:dyDescent="0.25">
      <c r="C661" s="1" t="s">
        <v>3090</v>
      </c>
      <c r="D661" s="1" t="s">
        <v>3091</v>
      </c>
      <c r="E661" s="1" t="s">
        <v>3092</v>
      </c>
      <c r="F661" s="1">
        <v>0</v>
      </c>
      <c r="G661" s="1">
        <v>0</v>
      </c>
      <c r="H661" s="1">
        <v>0</v>
      </c>
      <c r="I661" s="1">
        <v>245</v>
      </c>
      <c r="J661" s="1">
        <v>245</v>
      </c>
      <c r="K661" s="1">
        <v>0</v>
      </c>
    </row>
    <row r="662" spans="3:11" x14ac:dyDescent="0.25">
      <c r="C662" s="1" t="s">
        <v>1518</v>
      </c>
      <c r="D662" s="1" t="s">
        <v>1519</v>
      </c>
      <c r="E662" s="1" t="s">
        <v>1520</v>
      </c>
      <c r="F662" s="1">
        <v>0</v>
      </c>
      <c r="G662" s="1">
        <v>0</v>
      </c>
      <c r="H662" s="1">
        <v>0</v>
      </c>
      <c r="I662" s="1">
        <v>245</v>
      </c>
      <c r="J662" s="1">
        <v>245</v>
      </c>
      <c r="K662" s="1">
        <v>0</v>
      </c>
    </row>
    <row r="663" spans="3:11" x14ac:dyDescent="0.25">
      <c r="C663" s="1" t="s">
        <v>3096</v>
      </c>
      <c r="D663" s="1" t="s">
        <v>714</v>
      </c>
      <c r="E663" s="1" t="s">
        <v>3097</v>
      </c>
      <c r="F663" s="1">
        <v>6</v>
      </c>
      <c r="G663" s="1">
        <v>6</v>
      </c>
      <c r="H663" s="1">
        <v>0</v>
      </c>
      <c r="I663" s="1">
        <v>244</v>
      </c>
      <c r="J663" s="1">
        <v>238</v>
      </c>
      <c r="K663" s="1">
        <v>6</v>
      </c>
    </row>
    <row r="664" spans="3:11" x14ac:dyDescent="0.25">
      <c r="C664" s="1" t="s">
        <v>3100</v>
      </c>
      <c r="D664" s="1" t="s">
        <v>715</v>
      </c>
      <c r="E664" s="1" t="s">
        <v>3101</v>
      </c>
      <c r="F664" s="1">
        <v>5</v>
      </c>
      <c r="G664" s="1">
        <v>5</v>
      </c>
      <c r="H664" s="1">
        <v>0</v>
      </c>
      <c r="I664" s="1">
        <v>242</v>
      </c>
      <c r="J664" s="1">
        <v>237</v>
      </c>
      <c r="K664" s="1">
        <v>5</v>
      </c>
    </row>
    <row r="665" spans="3:11" x14ac:dyDescent="0.25">
      <c r="C665" s="1" t="s">
        <v>3102</v>
      </c>
      <c r="D665" s="1" t="s">
        <v>476</v>
      </c>
      <c r="E665" s="1" t="s">
        <v>3103</v>
      </c>
      <c r="F665" s="1">
        <v>110</v>
      </c>
      <c r="G665" s="1">
        <v>110</v>
      </c>
      <c r="H665" s="1">
        <v>0</v>
      </c>
      <c r="I665" s="1">
        <v>242</v>
      </c>
      <c r="J665" s="1">
        <v>132</v>
      </c>
      <c r="K665" s="1">
        <v>110</v>
      </c>
    </row>
    <row r="666" spans="3:11" x14ac:dyDescent="0.25">
      <c r="C666" s="1" t="s">
        <v>3104</v>
      </c>
      <c r="D666" s="1" t="s">
        <v>3105</v>
      </c>
      <c r="E666" s="1" t="s">
        <v>3106</v>
      </c>
      <c r="F666" s="1">
        <v>0</v>
      </c>
      <c r="G666" s="1">
        <v>0</v>
      </c>
      <c r="H666" s="1">
        <v>0</v>
      </c>
      <c r="I666" s="1">
        <v>241</v>
      </c>
      <c r="J666" s="1">
        <v>241</v>
      </c>
      <c r="K666" s="1">
        <v>0</v>
      </c>
    </row>
    <row r="667" spans="3:11" x14ac:dyDescent="0.25">
      <c r="C667" s="1" t="s">
        <v>4374</v>
      </c>
      <c r="D667" s="1" t="s">
        <v>4349</v>
      </c>
      <c r="E667" s="1" t="s">
        <v>4375</v>
      </c>
      <c r="F667" s="1">
        <v>231</v>
      </c>
      <c r="G667" s="1">
        <v>231</v>
      </c>
      <c r="H667" s="1">
        <v>0</v>
      </c>
      <c r="I667" s="1">
        <v>241</v>
      </c>
      <c r="J667" s="1">
        <v>10</v>
      </c>
      <c r="K667" s="1">
        <v>231</v>
      </c>
    </row>
    <row r="668" spans="3:11" x14ac:dyDescent="0.25">
      <c r="C668" s="1" t="s">
        <v>1504</v>
      </c>
      <c r="D668" s="1" t="s">
        <v>1505</v>
      </c>
      <c r="E668" s="1" t="s">
        <v>1506</v>
      </c>
      <c r="F668" s="1">
        <v>0</v>
      </c>
      <c r="G668" s="1">
        <v>0</v>
      </c>
      <c r="H668" s="1">
        <v>0</v>
      </c>
      <c r="I668" s="1">
        <v>240</v>
      </c>
      <c r="J668" s="1">
        <v>240</v>
      </c>
      <c r="K668" s="1">
        <v>0</v>
      </c>
    </row>
    <row r="669" spans="3:11" x14ac:dyDescent="0.25">
      <c r="C669" s="1" t="s">
        <v>3107</v>
      </c>
      <c r="D669" s="1" t="s">
        <v>3108</v>
      </c>
      <c r="E669" s="1" t="s">
        <v>3109</v>
      </c>
      <c r="F669" s="1">
        <v>0</v>
      </c>
      <c r="G669" s="1">
        <v>0</v>
      </c>
      <c r="H669" s="1">
        <v>0</v>
      </c>
      <c r="I669" s="1">
        <v>240</v>
      </c>
      <c r="J669" s="1">
        <v>240</v>
      </c>
      <c r="K669" s="1">
        <v>0</v>
      </c>
    </row>
    <row r="670" spans="3:11" x14ac:dyDescent="0.25">
      <c r="C670" s="1" t="s">
        <v>1511</v>
      </c>
      <c r="D670" s="1" t="s">
        <v>1512</v>
      </c>
      <c r="E670" s="1" t="s">
        <v>1513</v>
      </c>
      <c r="F670" s="1">
        <v>0</v>
      </c>
      <c r="G670" s="1">
        <v>0</v>
      </c>
      <c r="H670" s="1">
        <v>0</v>
      </c>
      <c r="I670" s="1">
        <v>239</v>
      </c>
      <c r="J670" s="1">
        <v>239</v>
      </c>
      <c r="K670" s="1">
        <v>0</v>
      </c>
    </row>
    <row r="671" spans="3:11" x14ac:dyDescent="0.25">
      <c r="C671" s="1" t="s">
        <v>3110</v>
      </c>
      <c r="D671" s="1" t="s">
        <v>851</v>
      </c>
      <c r="E671" s="1" t="s">
        <v>3111</v>
      </c>
      <c r="F671" s="1">
        <v>69</v>
      </c>
      <c r="G671" s="1">
        <v>69</v>
      </c>
      <c r="H671" s="1">
        <v>0</v>
      </c>
      <c r="I671" s="1">
        <v>239</v>
      </c>
      <c r="J671" s="1">
        <v>170</v>
      </c>
      <c r="K671" s="1">
        <v>69</v>
      </c>
    </row>
    <row r="672" spans="3:11" x14ac:dyDescent="0.25">
      <c r="C672" s="1" t="s">
        <v>1514</v>
      </c>
      <c r="D672" s="1" t="s">
        <v>1515</v>
      </c>
      <c r="E672" s="1" t="s">
        <v>1514</v>
      </c>
      <c r="F672" s="1">
        <v>1</v>
      </c>
      <c r="G672" s="1">
        <v>1</v>
      </c>
      <c r="H672" s="1">
        <v>0</v>
      </c>
      <c r="I672" s="1">
        <v>237</v>
      </c>
      <c r="J672" s="1">
        <v>236</v>
      </c>
      <c r="K672" s="1">
        <v>1</v>
      </c>
    </row>
    <row r="673" spans="3:11" x14ac:dyDescent="0.25">
      <c r="C673" s="1" t="s">
        <v>3112</v>
      </c>
      <c r="D673" s="1" t="s">
        <v>3113</v>
      </c>
      <c r="E673" s="1" t="s">
        <v>3114</v>
      </c>
      <c r="F673" s="1">
        <v>0</v>
      </c>
      <c r="G673" s="1">
        <v>0</v>
      </c>
      <c r="H673" s="1">
        <v>0</v>
      </c>
      <c r="I673" s="1">
        <v>237</v>
      </c>
      <c r="J673" s="1">
        <v>237</v>
      </c>
      <c r="K673" s="1">
        <v>0</v>
      </c>
    </row>
    <row r="674" spans="3:11" x14ac:dyDescent="0.25">
      <c r="C674" s="1" t="s">
        <v>1528</v>
      </c>
      <c r="D674" s="1" t="s">
        <v>1529</v>
      </c>
      <c r="E674" s="1" t="s">
        <v>1528</v>
      </c>
      <c r="F674" s="1">
        <v>-5</v>
      </c>
      <c r="G674" s="1">
        <v>-5</v>
      </c>
      <c r="H674" s="1">
        <v>0</v>
      </c>
      <c r="I674" s="1">
        <v>237</v>
      </c>
      <c r="J674" s="1">
        <v>242</v>
      </c>
      <c r="K674" s="1">
        <v>-5</v>
      </c>
    </row>
    <row r="675" spans="3:11" x14ac:dyDescent="0.25">
      <c r="C675" s="1" t="s">
        <v>1603</v>
      </c>
      <c r="D675" s="1" t="s">
        <v>1604</v>
      </c>
      <c r="E675" s="1" t="s">
        <v>1605</v>
      </c>
      <c r="F675" s="1">
        <v>-4</v>
      </c>
      <c r="G675" s="1">
        <v>-4</v>
      </c>
      <c r="H675" s="1">
        <v>0</v>
      </c>
      <c r="I675" s="1">
        <v>237</v>
      </c>
      <c r="J675" s="1">
        <v>241</v>
      </c>
      <c r="K675" s="1">
        <v>-4</v>
      </c>
    </row>
    <row r="676" spans="3:11" x14ac:dyDescent="0.25">
      <c r="C676" s="1" t="s">
        <v>3115</v>
      </c>
      <c r="D676" s="1" t="s">
        <v>3116</v>
      </c>
      <c r="E676" s="1" t="s">
        <v>3117</v>
      </c>
      <c r="F676" s="1">
        <v>7</v>
      </c>
      <c r="G676" s="1">
        <v>7</v>
      </c>
      <c r="H676" s="1">
        <v>0</v>
      </c>
      <c r="I676" s="1">
        <v>236</v>
      </c>
      <c r="J676" s="1">
        <v>229</v>
      </c>
      <c r="K676" s="1">
        <v>7</v>
      </c>
    </row>
    <row r="677" spans="3:11" x14ac:dyDescent="0.25">
      <c r="C677" s="1" t="s">
        <v>1544</v>
      </c>
      <c r="D677" s="1" t="s">
        <v>1545</v>
      </c>
      <c r="E677" s="1" t="s">
        <v>1546</v>
      </c>
      <c r="F677" s="1">
        <v>18</v>
      </c>
      <c r="G677" s="1">
        <v>18</v>
      </c>
      <c r="H677" s="1">
        <v>0</v>
      </c>
      <c r="I677" s="1">
        <v>236</v>
      </c>
      <c r="J677" s="1">
        <v>218</v>
      </c>
      <c r="K677" s="1">
        <v>18</v>
      </c>
    </row>
    <row r="678" spans="3:11" x14ac:dyDescent="0.25">
      <c r="C678" s="1" t="s">
        <v>1516</v>
      </c>
      <c r="D678" s="1" t="s">
        <v>158</v>
      </c>
      <c r="E678" s="1" t="s">
        <v>1517</v>
      </c>
      <c r="F678" s="1">
        <v>0</v>
      </c>
      <c r="G678" s="1">
        <v>0</v>
      </c>
      <c r="H678" s="1">
        <v>0</v>
      </c>
      <c r="I678" s="1">
        <v>236</v>
      </c>
      <c r="J678" s="1">
        <v>236</v>
      </c>
      <c r="K678" s="1">
        <v>0</v>
      </c>
    </row>
    <row r="679" spans="3:11" x14ac:dyDescent="0.25">
      <c r="C679" s="1" t="s">
        <v>1530</v>
      </c>
      <c r="D679" s="1" t="s">
        <v>1531</v>
      </c>
      <c r="E679" s="1" t="s">
        <v>1532</v>
      </c>
      <c r="F679" s="1">
        <v>-2</v>
      </c>
      <c r="G679" s="1">
        <v>-2</v>
      </c>
      <c r="H679" s="1">
        <v>0</v>
      </c>
      <c r="I679" s="1">
        <v>232</v>
      </c>
      <c r="J679" s="1">
        <v>234</v>
      </c>
      <c r="K679" s="1">
        <v>-2</v>
      </c>
    </row>
    <row r="680" spans="3:11" x14ac:dyDescent="0.25">
      <c r="C680" s="1" t="s">
        <v>3118</v>
      </c>
      <c r="D680" s="1" t="s">
        <v>717</v>
      </c>
      <c r="E680" s="1" t="s">
        <v>3119</v>
      </c>
      <c r="F680" s="1">
        <v>11</v>
      </c>
      <c r="G680" s="1">
        <v>11</v>
      </c>
      <c r="H680" s="1">
        <v>0</v>
      </c>
      <c r="I680" s="1">
        <v>232</v>
      </c>
      <c r="J680" s="1">
        <v>221</v>
      </c>
      <c r="K680" s="1">
        <v>11</v>
      </c>
    </row>
    <row r="681" spans="3:11" x14ac:dyDescent="0.25">
      <c r="C681" s="1" t="s">
        <v>3120</v>
      </c>
      <c r="D681" s="1" t="s">
        <v>3121</v>
      </c>
      <c r="E681" s="1" t="s">
        <v>3122</v>
      </c>
      <c r="F681" s="1">
        <v>0</v>
      </c>
      <c r="G681" s="1">
        <v>0</v>
      </c>
      <c r="H681" s="1">
        <v>0</v>
      </c>
      <c r="I681" s="1">
        <v>232</v>
      </c>
      <c r="J681" s="1">
        <v>232</v>
      </c>
      <c r="K681" s="1">
        <v>0</v>
      </c>
    </row>
    <row r="682" spans="3:11" x14ac:dyDescent="0.25">
      <c r="C682" s="1" t="s">
        <v>1561</v>
      </c>
      <c r="D682" s="1" t="s">
        <v>1562</v>
      </c>
      <c r="E682" s="1" t="s">
        <v>1563</v>
      </c>
      <c r="F682" s="1">
        <v>4</v>
      </c>
      <c r="G682" s="1">
        <v>4</v>
      </c>
      <c r="H682" s="1">
        <v>0</v>
      </c>
      <c r="I682" s="1">
        <v>232</v>
      </c>
      <c r="J682" s="1">
        <v>228</v>
      </c>
      <c r="K682" s="1">
        <v>4</v>
      </c>
    </row>
    <row r="683" spans="3:11" x14ac:dyDescent="0.25">
      <c r="C683" s="1" t="s">
        <v>1606</v>
      </c>
      <c r="D683" s="1" t="s">
        <v>1607</v>
      </c>
      <c r="E683" s="1" t="s">
        <v>1606</v>
      </c>
      <c r="F683" s="1">
        <v>-4</v>
      </c>
      <c r="G683" s="1">
        <v>-4</v>
      </c>
      <c r="H683" s="1">
        <v>0</v>
      </c>
      <c r="I683" s="1">
        <v>230</v>
      </c>
      <c r="J683" s="1">
        <v>234</v>
      </c>
      <c r="K683" s="1">
        <v>-4</v>
      </c>
    </row>
    <row r="684" spans="3:11" x14ac:dyDescent="0.25">
      <c r="C684" s="1" t="s">
        <v>2078</v>
      </c>
      <c r="D684" s="1" t="s">
        <v>2079</v>
      </c>
      <c r="E684" s="1" t="s">
        <v>2080</v>
      </c>
      <c r="F684" s="1">
        <v>134</v>
      </c>
      <c r="G684" s="1">
        <v>134</v>
      </c>
      <c r="H684" s="1">
        <v>0</v>
      </c>
      <c r="I684" s="1">
        <v>229</v>
      </c>
      <c r="J684" s="1">
        <v>95</v>
      </c>
      <c r="K684" s="1">
        <v>134</v>
      </c>
    </row>
    <row r="685" spans="3:11" x14ac:dyDescent="0.25">
      <c r="C685" s="1" t="s">
        <v>3130</v>
      </c>
      <c r="D685" s="1" t="s">
        <v>3131</v>
      </c>
      <c r="E685" s="1" t="s">
        <v>3132</v>
      </c>
      <c r="F685" s="1">
        <v>4</v>
      </c>
      <c r="G685" s="1">
        <v>4</v>
      </c>
      <c r="H685" s="1">
        <v>0</v>
      </c>
      <c r="I685" s="1">
        <v>227</v>
      </c>
      <c r="J685" s="1">
        <v>223</v>
      </c>
      <c r="K685" s="1">
        <v>4</v>
      </c>
    </row>
    <row r="686" spans="3:11" x14ac:dyDescent="0.25">
      <c r="C686" s="1" t="s">
        <v>3123</v>
      </c>
      <c r="D686" s="1" t="s">
        <v>487</v>
      </c>
      <c r="E686" s="1" t="s">
        <v>3124</v>
      </c>
      <c r="F686" s="1">
        <v>98</v>
      </c>
      <c r="G686" s="1">
        <v>98</v>
      </c>
      <c r="H686" s="1">
        <v>0</v>
      </c>
      <c r="I686" s="1">
        <v>227</v>
      </c>
      <c r="J686" s="1">
        <v>129</v>
      </c>
      <c r="K686" s="1">
        <v>98</v>
      </c>
    </row>
    <row r="687" spans="3:11" x14ac:dyDescent="0.25">
      <c r="C687" s="1" t="s">
        <v>3125</v>
      </c>
      <c r="D687" s="1" t="s">
        <v>3126</v>
      </c>
      <c r="E687" s="1" t="s">
        <v>3127</v>
      </c>
      <c r="F687" s="1">
        <v>1</v>
      </c>
      <c r="G687" s="1">
        <v>1</v>
      </c>
      <c r="H687" s="1">
        <v>0</v>
      </c>
      <c r="I687" s="1">
        <v>226</v>
      </c>
      <c r="J687" s="1">
        <v>225</v>
      </c>
      <c r="K687" s="1">
        <v>1</v>
      </c>
    </row>
    <row r="688" spans="3:11" x14ac:dyDescent="0.25">
      <c r="C688" s="1" t="s">
        <v>3128</v>
      </c>
      <c r="D688" s="1" t="s">
        <v>718</v>
      </c>
      <c r="E688" s="1" t="s">
        <v>3129</v>
      </c>
      <c r="F688" s="1">
        <v>0</v>
      </c>
      <c r="G688" s="1">
        <v>0</v>
      </c>
      <c r="H688" s="1">
        <v>0</v>
      </c>
      <c r="I688" s="1">
        <v>226</v>
      </c>
      <c r="J688" s="1">
        <v>226</v>
      </c>
      <c r="K688" s="1">
        <v>0</v>
      </c>
    </row>
    <row r="689" spans="3:11" x14ac:dyDescent="0.25">
      <c r="C689" s="1" t="s">
        <v>3135</v>
      </c>
      <c r="D689" s="1" t="s">
        <v>2162</v>
      </c>
      <c r="E689" s="1" t="s">
        <v>3136</v>
      </c>
      <c r="F689" s="1">
        <v>88</v>
      </c>
      <c r="G689" s="1">
        <v>88</v>
      </c>
      <c r="H689" s="1">
        <v>0</v>
      </c>
      <c r="I689" s="1">
        <v>225</v>
      </c>
      <c r="J689" s="1">
        <v>137</v>
      </c>
      <c r="K689" s="1">
        <v>88</v>
      </c>
    </row>
    <row r="690" spans="3:11" x14ac:dyDescent="0.25">
      <c r="C690" s="1" t="s">
        <v>1523</v>
      </c>
      <c r="D690" s="1" t="s">
        <v>1524</v>
      </c>
      <c r="E690" s="1" t="s">
        <v>1525</v>
      </c>
      <c r="F690" s="1">
        <v>0</v>
      </c>
      <c r="G690" s="1">
        <v>0</v>
      </c>
      <c r="H690" s="1">
        <v>0</v>
      </c>
      <c r="I690" s="1">
        <v>224</v>
      </c>
      <c r="J690" s="1">
        <v>224</v>
      </c>
      <c r="K690" s="1">
        <v>0</v>
      </c>
    </row>
    <row r="691" spans="3:11" x14ac:dyDescent="0.25">
      <c r="C691" s="1" t="s">
        <v>3137</v>
      </c>
      <c r="D691" s="1" t="s">
        <v>737</v>
      </c>
      <c r="E691" s="1" t="s">
        <v>3138</v>
      </c>
      <c r="F691" s="1">
        <v>58</v>
      </c>
      <c r="G691" s="1">
        <v>58</v>
      </c>
      <c r="H691" s="1">
        <v>0</v>
      </c>
      <c r="I691" s="1">
        <v>224</v>
      </c>
      <c r="J691" s="1">
        <v>166</v>
      </c>
      <c r="K691" s="1">
        <v>58</v>
      </c>
    </row>
    <row r="692" spans="3:11" x14ac:dyDescent="0.25">
      <c r="C692" s="1" t="s">
        <v>4334</v>
      </c>
      <c r="D692" s="1" t="s">
        <v>4335</v>
      </c>
      <c r="E692" s="1" t="s">
        <v>4336</v>
      </c>
      <c r="F692" s="1">
        <v>214</v>
      </c>
      <c r="G692" s="1">
        <v>214</v>
      </c>
      <c r="H692" s="1">
        <v>0</v>
      </c>
      <c r="I692" s="1">
        <v>224</v>
      </c>
      <c r="J692" s="1">
        <v>10</v>
      </c>
      <c r="K692" s="1">
        <v>214</v>
      </c>
    </row>
    <row r="693" spans="3:11" x14ac:dyDescent="0.25">
      <c r="C693" s="1" t="s">
        <v>4337</v>
      </c>
      <c r="D693" s="1" t="s">
        <v>4338</v>
      </c>
      <c r="E693" s="1" t="s">
        <v>4339</v>
      </c>
      <c r="F693" s="1">
        <v>208</v>
      </c>
      <c r="G693" s="1">
        <v>208</v>
      </c>
      <c r="H693" s="1">
        <v>0</v>
      </c>
      <c r="I693" s="1">
        <v>224</v>
      </c>
      <c r="J693" s="1">
        <v>16</v>
      </c>
      <c r="K693" s="1">
        <v>208</v>
      </c>
    </row>
    <row r="694" spans="3:11" x14ac:dyDescent="0.25">
      <c r="C694" s="1" t="s">
        <v>3139</v>
      </c>
      <c r="D694" s="1" t="s">
        <v>3140</v>
      </c>
      <c r="E694" s="1" t="s">
        <v>3141</v>
      </c>
      <c r="F694" s="1">
        <v>-2</v>
      </c>
      <c r="G694" s="1">
        <v>-2</v>
      </c>
      <c r="H694" s="1">
        <v>0</v>
      </c>
      <c r="I694" s="1">
        <v>223</v>
      </c>
      <c r="J694" s="1">
        <v>225</v>
      </c>
      <c r="K694" s="1">
        <v>-2</v>
      </c>
    </row>
    <row r="695" spans="3:11" x14ac:dyDescent="0.25">
      <c r="C695" s="1" t="s">
        <v>3142</v>
      </c>
      <c r="D695" s="1" t="s">
        <v>672</v>
      </c>
      <c r="E695" s="1" t="s">
        <v>3143</v>
      </c>
      <c r="F695" s="1">
        <v>0</v>
      </c>
      <c r="G695" s="1">
        <v>0</v>
      </c>
      <c r="H695" s="1">
        <v>0</v>
      </c>
      <c r="I695" s="1">
        <v>222</v>
      </c>
      <c r="J695" s="1">
        <v>222</v>
      </c>
      <c r="K695" s="1">
        <v>0</v>
      </c>
    </row>
    <row r="696" spans="3:11" x14ac:dyDescent="0.25">
      <c r="C696" s="1" t="s">
        <v>3144</v>
      </c>
      <c r="D696" s="1" t="s">
        <v>3145</v>
      </c>
      <c r="E696" s="1" t="s">
        <v>3146</v>
      </c>
      <c r="F696" s="1">
        <v>0</v>
      </c>
      <c r="G696" s="1">
        <v>0</v>
      </c>
      <c r="H696" s="1">
        <v>0</v>
      </c>
      <c r="I696" s="1">
        <v>220</v>
      </c>
      <c r="J696" s="1">
        <v>220</v>
      </c>
      <c r="K696" s="1">
        <v>0</v>
      </c>
    </row>
    <row r="697" spans="3:11" x14ac:dyDescent="0.25">
      <c r="C697" s="1" t="s">
        <v>4275</v>
      </c>
      <c r="D697" s="1" t="s">
        <v>4276</v>
      </c>
      <c r="E697" s="1" t="s">
        <v>4277</v>
      </c>
      <c r="F697" s="1">
        <v>0</v>
      </c>
      <c r="G697" s="1">
        <v>0</v>
      </c>
      <c r="H697" s="1">
        <v>0</v>
      </c>
      <c r="I697" s="1">
        <v>220</v>
      </c>
      <c r="J697" s="1">
        <v>220</v>
      </c>
      <c r="K697" s="1">
        <v>0</v>
      </c>
    </row>
    <row r="698" spans="3:11" x14ac:dyDescent="0.25">
      <c r="C698" s="1" t="s">
        <v>3147</v>
      </c>
      <c r="D698" s="1" t="s">
        <v>3148</v>
      </c>
      <c r="E698" s="1" t="s">
        <v>3149</v>
      </c>
      <c r="F698" s="1">
        <v>42</v>
      </c>
      <c r="G698" s="1">
        <v>42</v>
      </c>
      <c r="H698" s="1">
        <v>0</v>
      </c>
      <c r="I698" s="1">
        <v>219</v>
      </c>
      <c r="J698" s="1">
        <v>177</v>
      </c>
      <c r="K698" s="1">
        <v>42</v>
      </c>
    </row>
    <row r="699" spans="3:11" x14ac:dyDescent="0.25">
      <c r="C699" s="1" t="s">
        <v>3150</v>
      </c>
      <c r="D699" s="1" t="s">
        <v>606</v>
      </c>
      <c r="E699" s="1" t="s">
        <v>3151</v>
      </c>
      <c r="F699" s="1">
        <v>12</v>
      </c>
      <c r="G699" s="1">
        <v>12</v>
      </c>
      <c r="H699" s="1">
        <v>0</v>
      </c>
      <c r="I699" s="1">
        <v>219</v>
      </c>
      <c r="J699" s="1">
        <v>207</v>
      </c>
      <c r="K699" s="1">
        <v>12</v>
      </c>
    </row>
    <row r="700" spans="3:11" x14ac:dyDescent="0.25">
      <c r="C700" s="1" t="s">
        <v>1536</v>
      </c>
      <c r="D700" s="1" t="s">
        <v>164</v>
      </c>
      <c r="E700" s="1" t="s">
        <v>1537</v>
      </c>
      <c r="F700" s="1">
        <v>0</v>
      </c>
      <c r="G700" s="1">
        <v>0</v>
      </c>
      <c r="H700" s="1">
        <v>0</v>
      </c>
      <c r="I700" s="1">
        <v>219</v>
      </c>
      <c r="J700" s="1">
        <v>219</v>
      </c>
      <c r="K700" s="1">
        <v>0</v>
      </c>
    </row>
    <row r="701" spans="3:11" x14ac:dyDescent="0.25">
      <c r="C701" s="1" t="s">
        <v>1533</v>
      </c>
      <c r="D701" s="1" t="s">
        <v>1534</v>
      </c>
      <c r="E701" s="1" t="s">
        <v>1535</v>
      </c>
      <c r="F701" s="1">
        <v>41</v>
      </c>
      <c r="G701" s="1">
        <v>41</v>
      </c>
      <c r="H701" s="1">
        <v>0</v>
      </c>
      <c r="I701" s="1">
        <v>218</v>
      </c>
      <c r="J701" s="1">
        <v>177</v>
      </c>
      <c r="K701" s="1">
        <v>41</v>
      </c>
    </row>
    <row r="702" spans="3:11" x14ac:dyDescent="0.25">
      <c r="C702" s="1" t="s">
        <v>3152</v>
      </c>
      <c r="D702" s="1" t="s">
        <v>671</v>
      </c>
      <c r="E702" s="1" t="s">
        <v>3153</v>
      </c>
      <c r="F702" s="1">
        <v>212</v>
      </c>
      <c r="G702" s="1">
        <v>212</v>
      </c>
      <c r="H702" s="1">
        <v>0</v>
      </c>
      <c r="I702" s="1">
        <v>216</v>
      </c>
      <c r="J702" s="1">
        <v>4</v>
      </c>
      <c r="K702" s="1">
        <v>212</v>
      </c>
    </row>
    <row r="703" spans="3:11" x14ac:dyDescent="0.25">
      <c r="C703" s="1" t="s">
        <v>1540</v>
      </c>
      <c r="D703" s="1" t="s">
        <v>163</v>
      </c>
      <c r="E703" s="1" t="s">
        <v>1541</v>
      </c>
      <c r="F703" s="1">
        <v>0</v>
      </c>
      <c r="G703" s="1">
        <v>0</v>
      </c>
      <c r="H703" s="1">
        <v>0</v>
      </c>
      <c r="I703" s="1">
        <v>216</v>
      </c>
      <c r="J703" s="1">
        <v>216</v>
      </c>
      <c r="K703" s="1">
        <v>0</v>
      </c>
    </row>
    <row r="704" spans="3:11" x14ac:dyDescent="0.25">
      <c r="C704" s="1" t="s">
        <v>1542</v>
      </c>
      <c r="D704" s="1" t="s">
        <v>165</v>
      </c>
      <c r="E704" s="1" t="s">
        <v>1543</v>
      </c>
      <c r="F704" s="1">
        <v>0</v>
      </c>
      <c r="G704" s="1">
        <v>0</v>
      </c>
      <c r="H704" s="1">
        <v>0</v>
      </c>
      <c r="I704" s="1">
        <v>216</v>
      </c>
      <c r="J704" s="1">
        <v>216</v>
      </c>
      <c r="K704" s="1">
        <v>0</v>
      </c>
    </row>
    <row r="705" spans="3:11" x14ac:dyDescent="0.25">
      <c r="C705" s="1" t="s">
        <v>2293</v>
      </c>
      <c r="D705" s="1" t="s">
        <v>2294</v>
      </c>
      <c r="E705" s="1" t="s">
        <v>2295</v>
      </c>
      <c r="F705" s="1">
        <v>216</v>
      </c>
      <c r="G705" s="1">
        <v>216</v>
      </c>
      <c r="H705" s="1">
        <v>0</v>
      </c>
      <c r="I705" s="1">
        <v>216</v>
      </c>
      <c r="J705" s="1">
        <v>0</v>
      </c>
      <c r="K705" s="1">
        <v>216</v>
      </c>
    </row>
    <row r="706" spans="3:11" x14ac:dyDescent="0.25">
      <c r="C706" s="1" t="s">
        <v>2290</v>
      </c>
      <c r="D706" s="1" t="s">
        <v>2291</v>
      </c>
      <c r="E706" s="1" t="s">
        <v>2292</v>
      </c>
      <c r="F706" s="1">
        <v>210</v>
      </c>
      <c r="G706" s="1">
        <v>210</v>
      </c>
      <c r="H706" s="1">
        <v>0</v>
      </c>
      <c r="I706" s="1">
        <v>216</v>
      </c>
      <c r="J706" s="1">
        <v>6</v>
      </c>
      <c r="K706" s="1">
        <v>210</v>
      </c>
    </row>
    <row r="707" spans="3:11" x14ac:dyDescent="0.25">
      <c r="C707" s="1" t="s">
        <v>2287</v>
      </c>
      <c r="D707" s="1" t="s">
        <v>2288</v>
      </c>
      <c r="E707" s="1" t="s">
        <v>2289</v>
      </c>
      <c r="F707" s="1">
        <v>198</v>
      </c>
      <c r="G707" s="1">
        <v>198</v>
      </c>
      <c r="H707" s="1">
        <v>0</v>
      </c>
      <c r="I707" s="1">
        <v>216</v>
      </c>
      <c r="J707" s="1">
        <v>18</v>
      </c>
      <c r="K707" s="1">
        <v>198</v>
      </c>
    </row>
    <row r="708" spans="3:11" x14ac:dyDescent="0.25">
      <c r="C708" s="1" t="s">
        <v>3154</v>
      </c>
      <c r="D708" s="1" t="s">
        <v>3155</v>
      </c>
      <c r="E708" s="1" t="s">
        <v>3156</v>
      </c>
      <c r="F708" s="1">
        <v>0</v>
      </c>
      <c r="G708" s="1">
        <v>0</v>
      </c>
      <c r="H708" s="1">
        <v>0</v>
      </c>
      <c r="I708" s="1">
        <v>211</v>
      </c>
      <c r="J708" s="1">
        <v>211</v>
      </c>
      <c r="K708" s="1">
        <v>0</v>
      </c>
    </row>
    <row r="709" spans="3:11" x14ac:dyDescent="0.25">
      <c r="C709" s="1" t="s">
        <v>3157</v>
      </c>
      <c r="D709" s="1" t="s">
        <v>3158</v>
      </c>
      <c r="E709" s="1" t="s">
        <v>3159</v>
      </c>
      <c r="F709" s="1">
        <v>1</v>
      </c>
      <c r="G709" s="1">
        <v>1</v>
      </c>
      <c r="H709" s="1">
        <v>0</v>
      </c>
      <c r="I709" s="1">
        <v>211</v>
      </c>
      <c r="J709" s="1">
        <v>210</v>
      </c>
      <c r="K709" s="1">
        <v>1</v>
      </c>
    </row>
    <row r="710" spans="3:11" x14ac:dyDescent="0.25">
      <c r="C710" s="1" t="s">
        <v>3160</v>
      </c>
      <c r="D710" s="1" t="s">
        <v>3161</v>
      </c>
      <c r="E710" s="1" t="s">
        <v>3162</v>
      </c>
      <c r="F710" s="1">
        <v>-2</v>
      </c>
      <c r="G710" s="1">
        <v>-2</v>
      </c>
      <c r="H710" s="1">
        <v>0</v>
      </c>
      <c r="I710" s="1">
        <v>211</v>
      </c>
      <c r="J710" s="1">
        <v>213</v>
      </c>
      <c r="K710" s="1">
        <v>-2</v>
      </c>
    </row>
    <row r="711" spans="3:11" x14ac:dyDescent="0.25">
      <c r="C711" s="1" t="s">
        <v>3163</v>
      </c>
      <c r="D711" s="1" t="s">
        <v>3164</v>
      </c>
      <c r="E711" s="1" t="s">
        <v>3165</v>
      </c>
      <c r="F711" s="1">
        <v>0</v>
      </c>
      <c r="G711" s="1">
        <v>0</v>
      </c>
      <c r="H711" s="1">
        <v>0</v>
      </c>
      <c r="I711" s="1">
        <v>210</v>
      </c>
      <c r="J711" s="1">
        <v>210</v>
      </c>
      <c r="K711" s="1">
        <v>0</v>
      </c>
    </row>
    <row r="712" spans="3:11" x14ac:dyDescent="0.25">
      <c r="C712" s="1" t="s">
        <v>1556</v>
      </c>
      <c r="D712" s="1" t="s">
        <v>1557</v>
      </c>
      <c r="E712" s="1" t="s">
        <v>1558</v>
      </c>
      <c r="F712" s="1">
        <v>6</v>
      </c>
      <c r="G712" s="1">
        <v>6</v>
      </c>
      <c r="H712" s="1">
        <v>0</v>
      </c>
      <c r="I712" s="1">
        <v>210</v>
      </c>
      <c r="J712" s="1">
        <v>204</v>
      </c>
      <c r="K712" s="1">
        <v>6</v>
      </c>
    </row>
    <row r="713" spans="3:11" x14ac:dyDescent="0.25">
      <c r="C713" s="1" t="s">
        <v>3166</v>
      </c>
      <c r="D713" s="1" t="s">
        <v>3167</v>
      </c>
      <c r="E713" s="1" t="s">
        <v>3168</v>
      </c>
      <c r="F713" s="1">
        <v>1</v>
      </c>
      <c r="G713" s="1">
        <v>1</v>
      </c>
      <c r="H713" s="1">
        <v>0</v>
      </c>
      <c r="I713" s="1">
        <v>208</v>
      </c>
      <c r="J713" s="1">
        <v>207</v>
      </c>
      <c r="K713" s="1">
        <v>1</v>
      </c>
    </row>
    <row r="714" spans="3:11" x14ac:dyDescent="0.25">
      <c r="C714" s="1" t="s">
        <v>3169</v>
      </c>
      <c r="D714" s="1" t="s">
        <v>612</v>
      </c>
      <c r="E714" s="1" t="s">
        <v>3170</v>
      </c>
      <c r="F714" s="1">
        <v>3</v>
      </c>
      <c r="G714" s="1">
        <v>3</v>
      </c>
      <c r="H714" s="1">
        <v>0</v>
      </c>
      <c r="I714" s="1">
        <v>208</v>
      </c>
      <c r="J714" s="1">
        <v>205</v>
      </c>
      <c r="K714" s="1">
        <v>3</v>
      </c>
    </row>
    <row r="715" spans="3:11" x14ac:dyDescent="0.25">
      <c r="C715" s="1" t="s">
        <v>3178</v>
      </c>
      <c r="D715" s="1" t="s">
        <v>719</v>
      </c>
      <c r="E715" s="1" t="s">
        <v>3179</v>
      </c>
      <c r="F715" s="1">
        <v>0</v>
      </c>
      <c r="G715" s="1">
        <v>0</v>
      </c>
      <c r="H715" s="1">
        <v>0</v>
      </c>
      <c r="I715" s="1">
        <v>208</v>
      </c>
      <c r="J715" s="1">
        <v>208</v>
      </c>
      <c r="K715" s="1">
        <v>0</v>
      </c>
    </row>
    <row r="716" spans="3:11" x14ac:dyDescent="0.25">
      <c r="C716" s="1" t="s">
        <v>3171</v>
      </c>
      <c r="D716" s="1" t="s">
        <v>3172</v>
      </c>
      <c r="E716" s="1" t="s">
        <v>3173</v>
      </c>
      <c r="F716" s="1">
        <v>10</v>
      </c>
      <c r="G716" s="1">
        <v>10</v>
      </c>
      <c r="H716" s="1">
        <v>0</v>
      </c>
      <c r="I716" s="1">
        <v>206</v>
      </c>
      <c r="J716" s="1">
        <v>196</v>
      </c>
      <c r="K716" s="1">
        <v>10</v>
      </c>
    </row>
    <row r="717" spans="3:11" x14ac:dyDescent="0.25">
      <c r="C717" s="1" t="s">
        <v>1547</v>
      </c>
      <c r="D717" s="1" t="s">
        <v>1548</v>
      </c>
      <c r="E717" s="1" t="s">
        <v>1549</v>
      </c>
      <c r="F717" s="1">
        <v>0</v>
      </c>
      <c r="G717" s="1">
        <v>0</v>
      </c>
      <c r="H717" s="1">
        <v>0</v>
      </c>
      <c r="I717" s="1">
        <v>206</v>
      </c>
      <c r="J717" s="1">
        <v>206</v>
      </c>
      <c r="K717" s="1">
        <v>0</v>
      </c>
    </row>
    <row r="718" spans="3:11" x14ac:dyDescent="0.25">
      <c r="C718" s="1" t="s">
        <v>1550</v>
      </c>
      <c r="D718" s="1" t="s">
        <v>1551</v>
      </c>
      <c r="E718" s="1" t="s">
        <v>1552</v>
      </c>
      <c r="F718" s="1">
        <v>8</v>
      </c>
      <c r="G718" s="1">
        <v>8</v>
      </c>
      <c r="H718" s="1">
        <v>0</v>
      </c>
      <c r="I718" s="1">
        <v>205</v>
      </c>
      <c r="J718" s="1">
        <v>197</v>
      </c>
      <c r="K718" s="1">
        <v>8</v>
      </c>
    </row>
    <row r="719" spans="3:11" x14ac:dyDescent="0.25">
      <c r="C719" s="1" t="s">
        <v>3174</v>
      </c>
      <c r="D719" s="1" t="s">
        <v>3175</v>
      </c>
      <c r="E719" s="1" t="s">
        <v>3174</v>
      </c>
      <c r="F719" s="1">
        <v>0</v>
      </c>
      <c r="G719" s="1">
        <v>0</v>
      </c>
      <c r="H719" s="1">
        <v>0</v>
      </c>
      <c r="I719" s="1">
        <v>205</v>
      </c>
      <c r="J719" s="1">
        <v>205</v>
      </c>
      <c r="K719" s="1">
        <v>0</v>
      </c>
    </row>
    <row r="720" spans="3:11" x14ac:dyDescent="0.25">
      <c r="C720" s="1" t="s">
        <v>1559</v>
      </c>
      <c r="D720" s="1" t="s">
        <v>1560</v>
      </c>
      <c r="E720" s="1" t="s">
        <v>1559</v>
      </c>
      <c r="F720" s="1">
        <v>0</v>
      </c>
      <c r="G720" s="1">
        <v>0</v>
      </c>
      <c r="H720" s="1">
        <v>0</v>
      </c>
      <c r="I720" s="1">
        <v>203</v>
      </c>
      <c r="J720" s="1">
        <v>203</v>
      </c>
      <c r="K720" s="1">
        <v>0</v>
      </c>
    </row>
    <row r="721" spans="3:11" x14ac:dyDescent="0.25">
      <c r="C721" s="1" t="s">
        <v>1577</v>
      </c>
      <c r="D721" s="1" t="s">
        <v>1578</v>
      </c>
      <c r="E721" s="1" t="s">
        <v>1579</v>
      </c>
      <c r="F721" s="1">
        <v>-3</v>
      </c>
      <c r="G721" s="1">
        <v>-3</v>
      </c>
      <c r="H721" s="1">
        <v>0</v>
      </c>
      <c r="I721" s="1">
        <v>203</v>
      </c>
      <c r="J721" s="1">
        <v>206</v>
      </c>
      <c r="K721" s="1">
        <v>-3</v>
      </c>
    </row>
    <row r="722" spans="3:11" x14ac:dyDescent="0.25">
      <c r="C722" s="1" t="s">
        <v>1575</v>
      </c>
      <c r="D722" s="1" t="s">
        <v>1576</v>
      </c>
      <c r="E722" s="1" t="s">
        <v>1575</v>
      </c>
      <c r="F722" s="1">
        <v>3</v>
      </c>
      <c r="G722" s="1">
        <v>3</v>
      </c>
      <c r="H722" s="1">
        <v>0</v>
      </c>
      <c r="I722" s="1">
        <v>202</v>
      </c>
      <c r="J722" s="1">
        <v>199</v>
      </c>
      <c r="K722" s="1">
        <v>3</v>
      </c>
    </row>
    <row r="723" spans="3:11" x14ac:dyDescent="0.25">
      <c r="C723" s="1" t="s">
        <v>3176</v>
      </c>
      <c r="D723" s="1" t="s">
        <v>855</v>
      </c>
      <c r="E723" s="1" t="s">
        <v>3177</v>
      </c>
      <c r="F723" s="1">
        <v>50</v>
      </c>
      <c r="G723" s="1">
        <v>50</v>
      </c>
      <c r="H723" s="1">
        <v>0</v>
      </c>
      <c r="I723" s="1">
        <v>199</v>
      </c>
      <c r="J723" s="1">
        <v>149</v>
      </c>
      <c r="K723" s="1">
        <v>50</v>
      </c>
    </row>
    <row r="724" spans="3:11" x14ac:dyDescent="0.25">
      <c r="C724" s="1" t="s">
        <v>1567</v>
      </c>
      <c r="D724" s="1" t="s">
        <v>1568</v>
      </c>
      <c r="E724" s="1" t="s">
        <v>1569</v>
      </c>
      <c r="F724" s="1">
        <v>3</v>
      </c>
      <c r="G724" s="1">
        <v>3</v>
      </c>
      <c r="H724" s="1">
        <v>0</v>
      </c>
      <c r="I724" s="1">
        <v>194</v>
      </c>
      <c r="J724" s="1">
        <v>191</v>
      </c>
      <c r="K724" s="1">
        <v>3</v>
      </c>
    </row>
    <row r="725" spans="3:11" x14ac:dyDescent="0.25">
      <c r="C725" s="1" t="s">
        <v>3180</v>
      </c>
      <c r="D725" s="1" t="s">
        <v>3181</v>
      </c>
      <c r="E725" s="1" t="s">
        <v>3182</v>
      </c>
      <c r="F725" s="1">
        <v>0</v>
      </c>
      <c r="G725" s="1">
        <v>0</v>
      </c>
      <c r="H725" s="1">
        <v>0</v>
      </c>
      <c r="I725" s="1">
        <v>194</v>
      </c>
      <c r="J725" s="1">
        <v>194</v>
      </c>
      <c r="K725" s="1">
        <v>0</v>
      </c>
    </row>
    <row r="726" spans="3:11" x14ac:dyDescent="0.25">
      <c r="C726" s="1" t="s">
        <v>3183</v>
      </c>
      <c r="D726" s="1" t="s">
        <v>3184</v>
      </c>
      <c r="E726" s="1" t="s">
        <v>3185</v>
      </c>
      <c r="F726" s="1">
        <v>0</v>
      </c>
      <c r="G726" s="1">
        <v>0</v>
      </c>
      <c r="H726" s="1">
        <v>0</v>
      </c>
      <c r="I726" s="1">
        <v>193</v>
      </c>
      <c r="J726" s="1">
        <v>193</v>
      </c>
      <c r="K726" s="1">
        <v>0</v>
      </c>
    </row>
    <row r="727" spans="3:11" x14ac:dyDescent="0.25">
      <c r="C727" s="1" t="s">
        <v>3186</v>
      </c>
      <c r="D727" s="1" t="s">
        <v>624</v>
      </c>
      <c r="E727" s="1" t="s">
        <v>625</v>
      </c>
      <c r="F727" s="1">
        <v>22</v>
      </c>
      <c r="G727" s="1">
        <v>22</v>
      </c>
      <c r="H727" s="1">
        <v>0</v>
      </c>
      <c r="I727" s="1">
        <v>192</v>
      </c>
      <c r="J727" s="1">
        <v>170</v>
      </c>
      <c r="K727" s="1">
        <v>22</v>
      </c>
    </row>
    <row r="728" spans="3:11" x14ac:dyDescent="0.25">
      <c r="C728" s="1" t="s">
        <v>3187</v>
      </c>
      <c r="D728" s="1" t="s">
        <v>3188</v>
      </c>
      <c r="E728" s="1" t="s">
        <v>3189</v>
      </c>
      <c r="F728" s="1">
        <v>0</v>
      </c>
      <c r="G728" s="1">
        <v>0</v>
      </c>
      <c r="H728" s="1">
        <v>0</v>
      </c>
      <c r="I728" s="1">
        <v>192</v>
      </c>
      <c r="J728" s="1">
        <v>192</v>
      </c>
      <c r="K728" s="1">
        <v>0</v>
      </c>
    </row>
    <row r="729" spans="3:11" x14ac:dyDescent="0.25">
      <c r="C729" s="1" t="s">
        <v>1591</v>
      </c>
      <c r="D729" s="1" t="s">
        <v>1592</v>
      </c>
      <c r="E729" s="1" t="s">
        <v>1593</v>
      </c>
      <c r="F729" s="1">
        <v>2</v>
      </c>
      <c r="G729" s="1">
        <v>2</v>
      </c>
      <c r="H729" s="1">
        <v>0</v>
      </c>
      <c r="I729" s="1">
        <v>190</v>
      </c>
      <c r="J729" s="1">
        <v>188</v>
      </c>
      <c r="K729" s="1">
        <v>2</v>
      </c>
    </row>
    <row r="730" spans="3:11" x14ac:dyDescent="0.25">
      <c r="C730" s="1" t="s">
        <v>3192</v>
      </c>
      <c r="D730" s="1" t="s">
        <v>3193</v>
      </c>
      <c r="E730" s="1" t="s">
        <v>3194</v>
      </c>
      <c r="F730" s="1">
        <v>3</v>
      </c>
      <c r="G730" s="1">
        <v>3</v>
      </c>
      <c r="H730" s="1">
        <v>0</v>
      </c>
      <c r="I730" s="1">
        <v>188</v>
      </c>
      <c r="J730" s="1">
        <v>185</v>
      </c>
      <c r="K730" s="1">
        <v>3</v>
      </c>
    </row>
    <row r="731" spans="3:11" x14ac:dyDescent="0.25">
      <c r="C731" s="1" t="s">
        <v>2234</v>
      </c>
      <c r="D731" s="1" t="s">
        <v>2228</v>
      </c>
      <c r="E731" s="1" t="s">
        <v>2235</v>
      </c>
      <c r="F731" s="1">
        <v>3</v>
      </c>
      <c r="G731" s="1">
        <v>3</v>
      </c>
      <c r="H731" s="1">
        <v>0</v>
      </c>
      <c r="I731" s="1">
        <v>188</v>
      </c>
      <c r="J731" s="1">
        <v>185</v>
      </c>
      <c r="K731" s="1">
        <v>3</v>
      </c>
    </row>
    <row r="732" spans="3:11" x14ac:dyDescent="0.25">
      <c r="C732" s="1" t="s">
        <v>1580</v>
      </c>
      <c r="D732" s="1" t="s">
        <v>1581</v>
      </c>
      <c r="E732" s="1" t="s">
        <v>1582</v>
      </c>
      <c r="F732" s="1">
        <v>2</v>
      </c>
      <c r="G732" s="1">
        <v>2</v>
      </c>
      <c r="H732" s="1">
        <v>0</v>
      </c>
      <c r="I732" s="1">
        <v>186</v>
      </c>
      <c r="J732" s="1">
        <v>184</v>
      </c>
      <c r="K732" s="1">
        <v>2</v>
      </c>
    </row>
    <row r="733" spans="3:11" x14ac:dyDescent="0.25">
      <c r="C733" s="1" t="s">
        <v>1583</v>
      </c>
      <c r="D733" s="1" t="s">
        <v>1584</v>
      </c>
      <c r="E733" s="1" t="s">
        <v>1585</v>
      </c>
      <c r="F733" s="1">
        <v>0</v>
      </c>
      <c r="G733" s="1">
        <v>0</v>
      </c>
      <c r="H733" s="1">
        <v>0</v>
      </c>
      <c r="I733" s="1">
        <v>186</v>
      </c>
      <c r="J733" s="1">
        <v>186</v>
      </c>
      <c r="K733" s="1">
        <v>0</v>
      </c>
    </row>
    <row r="734" spans="3:11" x14ac:dyDescent="0.25">
      <c r="C734" s="1" t="s">
        <v>3190</v>
      </c>
      <c r="D734" s="1" t="s">
        <v>720</v>
      </c>
      <c r="E734" s="1" t="s">
        <v>3191</v>
      </c>
      <c r="F734" s="1">
        <v>0</v>
      </c>
      <c r="G734" s="1">
        <v>0</v>
      </c>
      <c r="H734" s="1">
        <v>0</v>
      </c>
      <c r="I734" s="1">
        <v>186</v>
      </c>
      <c r="J734" s="1">
        <v>186</v>
      </c>
      <c r="K734" s="1">
        <v>0</v>
      </c>
    </row>
    <row r="735" spans="3:11" x14ac:dyDescent="0.25">
      <c r="C735" s="1" t="s">
        <v>1586</v>
      </c>
      <c r="D735" s="1" t="s">
        <v>168</v>
      </c>
      <c r="E735" s="1" t="s">
        <v>1587</v>
      </c>
      <c r="F735" s="1">
        <v>0</v>
      </c>
      <c r="G735" s="1">
        <v>0</v>
      </c>
      <c r="H735" s="1">
        <v>0</v>
      </c>
      <c r="I735" s="1">
        <v>185</v>
      </c>
      <c r="J735" s="1">
        <v>185</v>
      </c>
      <c r="K735" s="1">
        <v>0</v>
      </c>
    </row>
    <row r="736" spans="3:11" x14ac:dyDescent="0.25">
      <c r="C736" s="1" t="s">
        <v>3208</v>
      </c>
      <c r="D736" s="1" t="s">
        <v>3209</v>
      </c>
      <c r="E736" s="1" t="s">
        <v>3210</v>
      </c>
      <c r="F736" s="1">
        <v>0</v>
      </c>
      <c r="G736" s="1">
        <v>0</v>
      </c>
      <c r="H736" s="1">
        <v>0</v>
      </c>
      <c r="I736" s="1">
        <v>185</v>
      </c>
      <c r="J736" s="1">
        <v>185</v>
      </c>
      <c r="K736" s="1">
        <v>0</v>
      </c>
    </row>
    <row r="737" spans="3:11" x14ac:dyDescent="0.25">
      <c r="C737" s="1" t="s">
        <v>3195</v>
      </c>
      <c r="D737" s="1" t="s">
        <v>481</v>
      </c>
      <c r="E737" s="1" t="s">
        <v>3196</v>
      </c>
      <c r="F737" s="1">
        <v>32</v>
      </c>
      <c r="G737" s="1">
        <v>32</v>
      </c>
      <c r="H737" s="1">
        <v>0</v>
      </c>
      <c r="I737" s="1">
        <v>181</v>
      </c>
      <c r="J737" s="1">
        <v>149</v>
      </c>
      <c r="K737" s="1">
        <v>32</v>
      </c>
    </row>
    <row r="738" spans="3:11" x14ac:dyDescent="0.25">
      <c r="C738" s="1" t="s">
        <v>1588</v>
      </c>
      <c r="D738" s="1" t="s">
        <v>1589</v>
      </c>
      <c r="E738" s="1" t="s">
        <v>1590</v>
      </c>
      <c r="F738" s="1">
        <v>1</v>
      </c>
      <c r="G738" s="1">
        <v>1</v>
      </c>
      <c r="H738" s="1">
        <v>0</v>
      </c>
      <c r="I738" s="1">
        <v>180</v>
      </c>
      <c r="J738" s="1">
        <v>179</v>
      </c>
      <c r="K738" s="1">
        <v>1</v>
      </c>
    </row>
    <row r="739" spans="3:11" x14ac:dyDescent="0.25">
      <c r="C739" s="1" t="s">
        <v>1594</v>
      </c>
      <c r="D739" s="1" t="s">
        <v>1595</v>
      </c>
      <c r="E739" s="1" t="s">
        <v>1596</v>
      </c>
      <c r="F739" s="1">
        <v>43</v>
      </c>
      <c r="G739" s="1">
        <v>43</v>
      </c>
      <c r="H739" s="1">
        <v>0</v>
      </c>
      <c r="I739" s="1">
        <v>180</v>
      </c>
      <c r="J739" s="1">
        <v>137</v>
      </c>
      <c r="K739" s="1">
        <v>43</v>
      </c>
    </row>
    <row r="740" spans="3:11" x14ac:dyDescent="0.25">
      <c r="C740" s="1" t="s">
        <v>3197</v>
      </c>
      <c r="D740" s="1" t="s">
        <v>3198</v>
      </c>
      <c r="E740" s="1" t="s">
        <v>3199</v>
      </c>
      <c r="F740" s="1">
        <v>0</v>
      </c>
      <c r="G740" s="1">
        <v>0</v>
      </c>
      <c r="H740" s="1">
        <v>0</v>
      </c>
      <c r="I740" s="1">
        <v>180</v>
      </c>
      <c r="J740" s="1">
        <v>180</v>
      </c>
      <c r="K740" s="1">
        <v>0</v>
      </c>
    </row>
    <row r="741" spans="3:11" x14ac:dyDescent="0.25">
      <c r="C741" s="1" t="s">
        <v>1631</v>
      </c>
      <c r="D741" s="1" t="s">
        <v>1632</v>
      </c>
      <c r="E741" s="1" t="s">
        <v>1633</v>
      </c>
      <c r="F741" s="1">
        <v>-4</v>
      </c>
      <c r="G741" s="1">
        <v>-4</v>
      </c>
      <c r="H741" s="1">
        <v>0</v>
      </c>
      <c r="I741" s="1">
        <v>179</v>
      </c>
      <c r="J741" s="1">
        <v>183</v>
      </c>
      <c r="K741" s="1">
        <v>-4</v>
      </c>
    </row>
    <row r="742" spans="3:11" x14ac:dyDescent="0.25">
      <c r="C742" s="1" t="s">
        <v>4406</v>
      </c>
      <c r="D742" s="1" t="s">
        <v>4407</v>
      </c>
      <c r="E742" s="1" t="s">
        <v>4408</v>
      </c>
      <c r="F742" s="1">
        <v>176</v>
      </c>
      <c r="G742" s="1">
        <v>176</v>
      </c>
      <c r="H742" s="1">
        <v>0</v>
      </c>
      <c r="I742" s="1">
        <v>176</v>
      </c>
      <c r="J742" s="1">
        <v>0</v>
      </c>
      <c r="K742" s="1">
        <v>176</v>
      </c>
    </row>
    <row r="743" spans="3:11" x14ac:dyDescent="0.25">
      <c r="C743" s="1" t="s">
        <v>3200</v>
      </c>
      <c r="D743" s="1" t="s">
        <v>3201</v>
      </c>
      <c r="E743" s="1" t="s">
        <v>3202</v>
      </c>
      <c r="F743" s="1">
        <v>6</v>
      </c>
      <c r="G743" s="1">
        <v>6</v>
      </c>
      <c r="H743" s="1">
        <v>0</v>
      </c>
      <c r="I743" s="1">
        <v>175</v>
      </c>
      <c r="J743" s="1">
        <v>169</v>
      </c>
      <c r="K743" s="1">
        <v>6</v>
      </c>
    </row>
    <row r="744" spans="3:11" x14ac:dyDescent="0.25">
      <c r="C744" s="1" t="s">
        <v>1597</v>
      </c>
      <c r="D744" s="1" t="s">
        <v>1598</v>
      </c>
      <c r="E744" s="1" t="s">
        <v>1599</v>
      </c>
      <c r="F744" s="1">
        <v>0</v>
      </c>
      <c r="G744" s="1">
        <v>0</v>
      </c>
      <c r="H744" s="1">
        <v>0</v>
      </c>
      <c r="I744" s="1">
        <v>175</v>
      </c>
      <c r="J744" s="1">
        <v>175</v>
      </c>
      <c r="K744" s="1">
        <v>0</v>
      </c>
    </row>
    <row r="745" spans="3:11" x14ac:dyDescent="0.25">
      <c r="C745" s="1" t="s">
        <v>1611</v>
      </c>
      <c r="D745" s="1" t="s">
        <v>1612</v>
      </c>
      <c r="E745" s="1" t="s">
        <v>1611</v>
      </c>
      <c r="F745" s="1">
        <v>2</v>
      </c>
      <c r="G745" s="1">
        <v>2</v>
      </c>
      <c r="H745" s="1">
        <v>0</v>
      </c>
      <c r="I745" s="1">
        <v>175</v>
      </c>
      <c r="J745" s="1">
        <v>173</v>
      </c>
      <c r="K745" s="1">
        <v>2</v>
      </c>
    </row>
    <row r="746" spans="3:11" x14ac:dyDescent="0.25">
      <c r="C746" s="1" t="s">
        <v>3203</v>
      </c>
      <c r="D746" s="1" t="s">
        <v>721</v>
      </c>
      <c r="E746" s="1" t="s">
        <v>3204</v>
      </c>
      <c r="F746" s="1">
        <v>3</v>
      </c>
      <c r="G746" s="1">
        <v>3</v>
      </c>
      <c r="H746" s="1">
        <v>0</v>
      </c>
      <c r="I746" s="1">
        <v>175</v>
      </c>
      <c r="J746" s="1">
        <v>172</v>
      </c>
      <c r="K746" s="1">
        <v>3</v>
      </c>
    </row>
    <row r="747" spans="3:11" x14ac:dyDescent="0.25">
      <c r="C747" s="1" t="s">
        <v>3205</v>
      </c>
      <c r="D747" s="1" t="s">
        <v>3206</v>
      </c>
      <c r="E747" s="1" t="s">
        <v>3207</v>
      </c>
      <c r="F747" s="1">
        <v>28</v>
      </c>
      <c r="G747" s="1">
        <v>28</v>
      </c>
      <c r="H747" s="1">
        <v>0</v>
      </c>
      <c r="I747" s="1">
        <v>174</v>
      </c>
      <c r="J747" s="1">
        <v>146</v>
      </c>
      <c r="K747" s="1">
        <v>28</v>
      </c>
    </row>
    <row r="748" spans="3:11" x14ac:dyDescent="0.25">
      <c r="C748" s="1" t="s">
        <v>1600</v>
      </c>
      <c r="D748" s="1" t="s">
        <v>1601</v>
      </c>
      <c r="E748" s="1" t="s">
        <v>1602</v>
      </c>
      <c r="F748" s="1">
        <v>-2</v>
      </c>
      <c r="G748" s="1">
        <v>-2</v>
      </c>
      <c r="H748" s="1">
        <v>0</v>
      </c>
      <c r="I748" s="1">
        <v>173</v>
      </c>
      <c r="J748" s="1">
        <v>175</v>
      </c>
      <c r="K748" s="1">
        <v>-2</v>
      </c>
    </row>
    <row r="749" spans="3:11" x14ac:dyDescent="0.25">
      <c r="C749" s="1" t="s">
        <v>3211</v>
      </c>
      <c r="D749" s="1" t="s">
        <v>3212</v>
      </c>
      <c r="E749" s="1" t="s">
        <v>3213</v>
      </c>
      <c r="F749" s="1">
        <v>11</v>
      </c>
      <c r="G749" s="1">
        <v>11</v>
      </c>
      <c r="H749" s="1">
        <v>0</v>
      </c>
      <c r="I749" s="1">
        <v>172</v>
      </c>
      <c r="J749" s="1">
        <v>161</v>
      </c>
      <c r="K749" s="1">
        <v>11</v>
      </c>
    </row>
    <row r="750" spans="3:11" x14ac:dyDescent="0.25">
      <c r="C750" s="1" t="s">
        <v>3214</v>
      </c>
      <c r="D750" s="1" t="s">
        <v>626</v>
      </c>
      <c r="E750" s="1" t="s">
        <v>627</v>
      </c>
      <c r="F750" s="1">
        <v>0</v>
      </c>
      <c r="G750" s="1">
        <v>0</v>
      </c>
      <c r="H750" s="1">
        <v>0</v>
      </c>
      <c r="I750" s="1">
        <v>172</v>
      </c>
      <c r="J750" s="1">
        <v>172</v>
      </c>
      <c r="K750" s="1">
        <v>0</v>
      </c>
    </row>
    <row r="751" spans="3:11" x14ac:dyDescent="0.25">
      <c r="C751" s="1" t="s">
        <v>3312</v>
      </c>
      <c r="D751" s="1" t="s">
        <v>825</v>
      </c>
      <c r="E751" s="1" t="s">
        <v>3313</v>
      </c>
      <c r="F751" s="1">
        <v>49</v>
      </c>
      <c r="G751" s="1">
        <v>49</v>
      </c>
      <c r="H751" s="1">
        <v>0</v>
      </c>
      <c r="I751" s="1">
        <v>171</v>
      </c>
      <c r="J751" s="1">
        <v>122</v>
      </c>
      <c r="K751" s="1">
        <v>49</v>
      </c>
    </row>
    <row r="752" spans="3:11" x14ac:dyDescent="0.25">
      <c r="C752" s="1" t="s">
        <v>3215</v>
      </c>
      <c r="D752" s="1" t="s">
        <v>3216</v>
      </c>
      <c r="E752" s="1" t="s">
        <v>3217</v>
      </c>
      <c r="F752" s="1">
        <v>1</v>
      </c>
      <c r="G752" s="1">
        <v>1</v>
      </c>
      <c r="H752" s="1">
        <v>0</v>
      </c>
      <c r="I752" s="1">
        <v>170</v>
      </c>
      <c r="J752" s="1">
        <v>169</v>
      </c>
      <c r="K752" s="1">
        <v>1</v>
      </c>
    </row>
    <row r="753" spans="3:11" x14ac:dyDescent="0.25">
      <c r="C753" s="1" t="s">
        <v>2214</v>
      </c>
      <c r="D753" s="1" t="s">
        <v>2075</v>
      </c>
      <c r="E753" s="1" t="s">
        <v>2215</v>
      </c>
      <c r="F753" s="1">
        <v>131</v>
      </c>
      <c r="G753" s="1">
        <v>131</v>
      </c>
      <c r="H753" s="1">
        <v>0</v>
      </c>
      <c r="I753" s="1">
        <v>170</v>
      </c>
      <c r="J753" s="1">
        <v>39</v>
      </c>
      <c r="K753" s="1">
        <v>131</v>
      </c>
    </row>
    <row r="754" spans="3:11" x14ac:dyDescent="0.25">
      <c r="C754" s="1" t="s">
        <v>3218</v>
      </c>
      <c r="D754" s="1" t="s">
        <v>735</v>
      </c>
      <c r="E754" s="1" t="s">
        <v>3219</v>
      </c>
      <c r="F754" s="1">
        <v>30</v>
      </c>
      <c r="G754" s="1">
        <v>30</v>
      </c>
      <c r="H754" s="1">
        <v>0</v>
      </c>
      <c r="I754" s="1">
        <v>168</v>
      </c>
      <c r="J754" s="1">
        <v>138</v>
      </c>
      <c r="K754" s="1">
        <v>30</v>
      </c>
    </row>
    <row r="755" spans="3:11" x14ac:dyDescent="0.25">
      <c r="C755" s="1" t="s">
        <v>3239</v>
      </c>
      <c r="D755" s="1" t="s">
        <v>3240</v>
      </c>
      <c r="E755" s="1" t="s">
        <v>3241</v>
      </c>
      <c r="F755" s="1">
        <v>1</v>
      </c>
      <c r="G755" s="1">
        <v>1</v>
      </c>
      <c r="H755" s="1">
        <v>0</v>
      </c>
      <c r="I755" s="1">
        <v>167</v>
      </c>
      <c r="J755" s="1">
        <v>166</v>
      </c>
      <c r="K755" s="1">
        <v>1</v>
      </c>
    </row>
    <row r="756" spans="3:11" x14ac:dyDescent="0.25">
      <c r="C756" s="1" t="s">
        <v>1628</v>
      </c>
      <c r="D756" s="1" t="s">
        <v>1629</v>
      </c>
      <c r="E756" s="1" t="s">
        <v>1630</v>
      </c>
      <c r="F756" s="1">
        <v>0</v>
      </c>
      <c r="G756" s="1">
        <v>0</v>
      </c>
      <c r="H756" s="1">
        <v>0</v>
      </c>
      <c r="I756" s="1">
        <v>166</v>
      </c>
      <c r="J756" s="1">
        <v>166</v>
      </c>
      <c r="K756" s="1">
        <v>0</v>
      </c>
    </row>
    <row r="757" spans="3:11" x14ac:dyDescent="0.25">
      <c r="C757" s="1" t="s">
        <v>3220</v>
      </c>
      <c r="D757" s="1" t="s">
        <v>3221</v>
      </c>
      <c r="E757" s="1" t="s">
        <v>3222</v>
      </c>
      <c r="F757" s="1">
        <v>0</v>
      </c>
      <c r="G757" s="1">
        <v>0</v>
      </c>
      <c r="H757" s="1">
        <v>0</v>
      </c>
      <c r="I757" s="1">
        <v>165</v>
      </c>
      <c r="J757" s="1">
        <v>165</v>
      </c>
      <c r="K757" s="1">
        <v>0</v>
      </c>
    </row>
    <row r="758" spans="3:11" x14ac:dyDescent="0.25">
      <c r="C758" s="1" t="s">
        <v>3332</v>
      </c>
      <c r="D758" s="1" t="s">
        <v>826</v>
      </c>
      <c r="E758" s="1" t="s">
        <v>3333</v>
      </c>
      <c r="F758" s="1">
        <v>66</v>
      </c>
      <c r="G758" s="1">
        <v>66</v>
      </c>
      <c r="H758" s="1">
        <v>0</v>
      </c>
      <c r="I758" s="1">
        <v>165</v>
      </c>
      <c r="J758" s="1">
        <v>99</v>
      </c>
      <c r="K758" s="1">
        <v>66</v>
      </c>
    </row>
    <row r="759" spans="3:11" x14ac:dyDescent="0.25">
      <c r="C759" s="1" t="s">
        <v>2135</v>
      </c>
      <c r="D759" s="1" t="s">
        <v>2136</v>
      </c>
      <c r="E759" s="1" t="s">
        <v>2137</v>
      </c>
      <c r="F759" s="1">
        <v>37</v>
      </c>
      <c r="G759" s="1">
        <v>37</v>
      </c>
      <c r="H759" s="1">
        <v>0</v>
      </c>
      <c r="I759" s="1">
        <v>165</v>
      </c>
      <c r="J759" s="1">
        <v>128</v>
      </c>
      <c r="K759" s="1">
        <v>37</v>
      </c>
    </row>
    <row r="760" spans="3:11" x14ac:dyDescent="0.25">
      <c r="C760" s="1" t="s">
        <v>3223</v>
      </c>
      <c r="D760" s="1" t="s">
        <v>3224</v>
      </c>
      <c r="E760" s="1" t="s">
        <v>3225</v>
      </c>
      <c r="F760" s="1">
        <v>5</v>
      </c>
      <c r="G760" s="1">
        <v>5</v>
      </c>
      <c r="H760" s="1">
        <v>0</v>
      </c>
      <c r="I760" s="1">
        <v>164</v>
      </c>
      <c r="J760" s="1">
        <v>159</v>
      </c>
      <c r="K760" s="1">
        <v>5</v>
      </c>
    </row>
    <row r="761" spans="3:11" x14ac:dyDescent="0.25">
      <c r="C761" s="1" t="s">
        <v>3226</v>
      </c>
      <c r="D761" s="1" t="s">
        <v>722</v>
      </c>
      <c r="E761" s="1" t="s">
        <v>3227</v>
      </c>
      <c r="F761" s="1">
        <v>39</v>
      </c>
      <c r="G761" s="1">
        <v>39</v>
      </c>
      <c r="H761" s="1">
        <v>0</v>
      </c>
      <c r="I761" s="1">
        <v>162</v>
      </c>
      <c r="J761" s="1">
        <v>123</v>
      </c>
      <c r="K761" s="1">
        <v>39</v>
      </c>
    </row>
    <row r="762" spans="3:11" x14ac:dyDescent="0.25">
      <c r="C762" s="1" t="s">
        <v>3228</v>
      </c>
      <c r="D762" s="1" t="s">
        <v>736</v>
      </c>
      <c r="E762" s="1" t="s">
        <v>3229</v>
      </c>
      <c r="F762" s="1">
        <v>160</v>
      </c>
      <c r="G762" s="1">
        <v>160</v>
      </c>
      <c r="H762" s="1">
        <v>0</v>
      </c>
      <c r="I762" s="1">
        <v>160</v>
      </c>
      <c r="J762" s="1">
        <v>0</v>
      </c>
      <c r="K762" s="1">
        <v>160</v>
      </c>
    </row>
    <row r="763" spans="3:11" x14ac:dyDescent="0.25">
      <c r="C763" s="1" t="s">
        <v>4264</v>
      </c>
      <c r="D763" s="1" t="s">
        <v>4265</v>
      </c>
      <c r="E763" s="1" t="s">
        <v>4266</v>
      </c>
      <c r="F763" s="1">
        <v>110</v>
      </c>
      <c r="G763" s="1">
        <v>110</v>
      </c>
      <c r="H763" s="1">
        <v>0</v>
      </c>
      <c r="I763" s="1">
        <v>160</v>
      </c>
      <c r="J763" s="1">
        <v>50</v>
      </c>
      <c r="K763" s="1">
        <v>110</v>
      </c>
    </row>
    <row r="764" spans="3:11" x14ac:dyDescent="0.25">
      <c r="C764" s="1" t="s">
        <v>3230</v>
      </c>
      <c r="D764" s="1" t="s">
        <v>3231</v>
      </c>
      <c r="E764" s="1" t="s">
        <v>3232</v>
      </c>
      <c r="F764" s="1">
        <v>14</v>
      </c>
      <c r="G764" s="1">
        <v>14</v>
      </c>
      <c r="H764" s="1">
        <v>0</v>
      </c>
      <c r="I764" s="1">
        <v>158</v>
      </c>
      <c r="J764" s="1">
        <v>144</v>
      </c>
      <c r="K764" s="1">
        <v>14</v>
      </c>
    </row>
    <row r="765" spans="3:11" x14ac:dyDescent="0.25">
      <c r="C765" s="1" t="s">
        <v>1702</v>
      </c>
      <c r="D765" s="1" t="s">
        <v>1703</v>
      </c>
      <c r="E765" s="1" t="s">
        <v>1704</v>
      </c>
      <c r="F765" s="1">
        <v>5</v>
      </c>
      <c r="G765" s="1">
        <v>5</v>
      </c>
      <c r="H765" s="1">
        <v>0</v>
      </c>
      <c r="I765" s="1">
        <v>158</v>
      </c>
      <c r="J765" s="1">
        <v>153</v>
      </c>
      <c r="K765" s="1">
        <v>5</v>
      </c>
    </row>
    <row r="766" spans="3:11" x14ac:dyDescent="0.25">
      <c r="C766" s="1" t="s">
        <v>3233</v>
      </c>
      <c r="D766" s="1" t="s">
        <v>3234</v>
      </c>
      <c r="E766" s="1" t="s">
        <v>3235</v>
      </c>
      <c r="F766" s="1">
        <v>5</v>
      </c>
      <c r="G766" s="1">
        <v>5</v>
      </c>
      <c r="H766" s="1">
        <v>0</v>
      </c>
      <c r="I766" s="1">
        <v>156</v>
      </c>
      <c r="J766" s="1">
        <v>151</v>
      </c>
      <c r="K766" s="1">
        <v>5</v>
      </c>
    </row>
    <row r="767" spans="3:11" x14ac:dyDescent="0.25">
      <c r="C767" s="1" t="s">
        <v>4302</v>
      </c>
      <c r="D767" s="1" t="s">
        <v>4303</v>
      </c>
      <c r="E767" s="1" t="s">
        <v>4304</v>
      </c>
      <c r="F767" s="1">
        <v>70</v>
      </c>
      <c r="G767" s="1">
        <v>70</v>
      </c>
      <c r="H767" s="1">
        <v>0</v>
      </c>
      <c r="I767" s="1">
        <v>156</v>
      </c>
      <c r="J767" s="1">
        <v>86</v>
      </c>
      <c r="K767" s="1">
        <v>70</v>
      </c>
    </row>
    <row r="768" spans="3:11" x14ac:dyDescent="0.25">
      <c r="C768" s="1" t="s">
        <v>4305</v>
      </c>
      <c r="D768" s="1" t="s">
        <v>4306</v>
      </c>
      <c r="E768" s="1" t="s">
        <v>4307</v>
      </c>
      <c r="F768" s="1">
        <v>86</v>
      </c>
      <c r="G768" s="1">
        <v>86</v>
      </c>
      <c r="H768" s="1">
        <v>0</v>
      </c>
      <c r="I768" s="1">
        <v>156</v>
      </c>
      <c r="J768" s="1">
        <v>70</v>
      </c>
      <c r="K768" s="1">
        <v>86</v>
      </c>
    </row>
    <row r="769" spans="3:11" x14ac:dyDescent="0.25">
      <c r="C769" s="1" t="s">
        <v>4308</v>
      </c>
      <c r="D769" s="1" t="s">
        <v>4309</v>
      </c>
      <c r="E769" s="1" t="s">
        <v>4310</v>
      </c>
      <c r="F769" s="1">
        <v>61</v>
      </c>
      <c r="G769" s="1">
        <v>61</v>
      </c>
      <c r="H769" s="1">
        <v>0</v>
      </c>
      <c r="I769" s="1">
        <v>156</v>
      </c>
      <c r="J769" s="1">
        <v>95</v>
      </c>
      <c r="K769" s="1">
        <v>61</v>
      </c>
    </row>
    <row r="770" spans="3:11" x14ac:dyDescent="0.25">
      <c r="C770" s="1" t="s">
        <v>3236</v>
      </c>
      <c r="D770" s="1" t="s">
        <v>3237</v>
      </c>
      <c r="E770" s="1" t="s">
        <v>3238</v>
      </c>
      <c r="F770" s="1">
        <v>-2</v>
      </c>
      <c r="G770" s="1">
        <v>-2</v>
      </c>
      <c r="H770" s="1">
        <v>0</v>
      </c>
      <c r="I770" s="1">
        <v>155</v>
      </c>
      <c r="J770" s="1">
        <v>157</v>
      </c>
      <c r="K770" s="1">
        <v>-2</v>
      </c>
    </row>
    <row r="771" spans="3:11" x14ac:dyDescent="0.25">
      <c r="C771" s="1" t="s">
        <v>1640</v>
      </c>
      <c r="D771" s="1" t="s">
        <v>1641</v>
      </c>
      <c r="E771" s="1" t="s">
        <v>1642</v>
      </c>
      <c r="F771" s="1">
        <v>0</v>
      </c>
      <c r="G771" s="1">
        <v>0</v>
      </c>
      <c r="H771" s="1">
        <v>0</v>
      </c>
      <c r="I771" s="1">
        <v>154</v>
      </c>
      <c r="J771" s="1">
        <v>154</v>
      </c>
      <c r="K771" s="1">
        <v>0</v>
      </c>
    </row>
    <row r="772" spans="3:11" x14ac:dyDescent="0.25">
      <c r="C772" s="1" t="s">
        <v>1651</v>
      </c>
      <c r="D772" s="1" t="s">
        <v>175</v>
      </c>
      <c r="E772" s="1" t="s">
        <v>1652</v>
      </c>
      <c r="F772" s="1">
        <v>36</v>
      </c>
      <c r="G772" s="1">
        <v>36</v>
      </c>
      <c r="H772" s="1">
        <v>0</v>
      </c>
      <c r="I772" s="1">
        <v>154</v>
      </c>
      <c r="J772" s="1">
        <v>118</v>
      </c>
      <c r="K772" s="1">
        <v>36</v>
      </c>
    </row>
    <row r="773" spans="3:11" x14ac:dyDescent="0.25">
      <c r="C773" s="1" t="s">
        <v>1622</v>
      </c>
      <c r="D773" s="1" t="s">
        <v>1623</v>
      </c>
      <c r="E773" s="1" t="s">
        <v>1624</v>
      </c>
      <c r="F773" s="1">
        <v>4</v>
      </c>
      <c r="G773" s="1">
        <v>4</v>
      </c>
      <c r="H773" s="1">
        <v>0</v>
      </c>
      <c r="I773" s="1">
        <v>152</v>
      </c>
      <c r="J773" s="1">
        <v>148</v>
      </c>
      <c r="K773" s="1">
        <v>4</v>
      </c>
    </row>
    <row r="774" spans="3:11" x14ac:dyDescent="0.25">
      <c r="C774" s="1" t="s">
        <v>1625</v>
      </c>
      <c r="D774" s="1" t="s">
        <v>1626</v>
      </c>
      <c r="E774" s="1" t="s">
        <v>1627</v>
      </c>
      <c r="F774" s="1">
        <v>0</v>
      </c>
      <c r="G774" s="1">
        <v>0</v>
      </c>
      <c r="H774" s="1">
        <v>0</v>
      </c>
      <c r="I774" s="1">
        <v>151</v>
      </c>
      <c r="J774" s="1">
        <v>151</v>
      </c>
      <c r="K774" s="1">
        <v>0</v>
      </c>
    </row>
    <row r="775" spans="3:11" x14ac:dyDescent="0.25">
      <c r="C775" s="1" t="s">
        <v>3242</v>
      </c>
      <c r="D775" s="1" t="s">
        <v>724</v>
      </c>
      <c r="E775" s="1" t="s">
        <v>3243</v>
      </c>
      <c r="F775" s="1">
        <v>41</v>
      </c>
      <c r="G775" s="1">
        <v>41</v>
      </c>
      <c r="H775" s="1">
        <v>0</v>
      </c>
      <c r="I775" s="1">
        <v>151</v>
      </c>
      <c r="J775" s="1">
        <v>110</v>
      </c>
      <c r="K775" s="1">
        <v>41</v>
      </c>
    </row>
    <row r="776" spans="3:11" x14ac:dyDescent="0.25">
      <c r="C776" s="1" t="s">
        <v>3244</v>
      </c>
      <c r="D776" s="1" t="s">
        <v>3245</v>
      </c>
      <c r="E776" s="1" t="s">
        <v>3246</v>
      </c>
      <c r="F776" s="1">
        <v>5</v>
      </c>
      <c r="G776" s="1">
        <v>5</v>
      </c>
      <c r="H776" s="1">
        <v>0</v>
      </c>
      <c r="I776" s="1">
        <v>150</v>
      </c>
      <c r="J776" s="1">
        <v>145</v>
      </c>
      <c r="K776" s="1">
        <v>5</v>
      </c>
    </row>
    <row r="777" spans="3:11" x14ac:dyDescent="0.25">
      <c r="C777" s="1" t="s">
        <v>3247</v>
      </c>
      <c r="D777" s="1" t="s">
        <v>3248</v>
      </c>
      <c r="E777" s="1" t="s">
        <v>3249</v>
      </c>
      <c r="F777" s="1">
        <v>1</v>
      </c>
      <c r="G777" s="1">
        <v>1</v>
      </c>
      <c r="H777" s="1">
        <v>0</v>
      </c>
      <c r="I777" s="1">
        <v>149</v>
      </c>
      <c r="J777" s="1">
        <v>148</v>
      </c>
      <c r="K777" s="1">
        <v>1</v>
      </c>
    </row>
    <row r="778" spans="3:11" x14ac:dyDescent="0.25">
      <c r="C778" s="1" t="s">
        <v>3262</v>
      </c>
      <c r="D778" s="1" t="s">
        <v>3263</v>
      </c>
      <c r="E778" s="1" t="s">
        <v>3264</v>
      </c>
      <c r="F778" s="1">
        <v>0</v>
      </c>
      <c r="G778" s="1">
        <v>0</v>
      </c>
      <c r="H778" s="1">
        <v>0</v>
      </c>
      <c r="I778" s="1">
        <v>149</v>
      </c>
      <c r="J778" s="1">
        <v>149</v>
      </c>
      <c r="K778" s="1">
        <v>0</v>
      </c>
    </row>
    <row r="779" spans="3:11" x14ac:dyDescent="0.25">
      <c r="C779" s="1" t="s">
        <v>2087</v>
      </c>
      <c r="D779" s="1" t="s">
        <v>2088</v>
      </c>
      <c r="E779" s="1" t="s">
        <v>2089</v>
      </c>
      <c r="F779" s="1">
        <v>130</v>
      </c>
      <c r="G779" s="1">
        <v>130</v>
      </c>
      <c r="H779" s="1">
        <v>0</v>
      </c>
      <c r="I779" s="1">
        <v>149</v>
      </c>
      <c r="J779" s="1">
        <v>19</v>
      </c>
      <c r="K779" s="1">
        <v>130</v>
      </c>
    </row>
    <row r="780" spans="3:11" x14ac:dyDescent="0.25">
      <c r="C780" s="1" t="s">
        <v>3250</v>
      </c>
      <c r="D780" s="1" t="s">
        <v>3251</v>
      </c>
      <c r="E780" s="1" t="s">
        <v>3252</v>
      </c>
      <c r="F780" s="1">
        <v>-4</v>
      </c>
      <c r="G780" s="1">
        <v>-4</v>
      </c>
      <c r="H780" s="1">
        <v>0</v>
      </c>
      <c r="I780" s="1">
        <v>148</v>
      </c>
      <c r="J780" s="1">
        <v>152</v>
      </c>
      <c r="K780" s="1">
        <v>-4</v>
      </c>
    </row>
    <row r="781" spans="3:11" x14ac:dyDescent="0.25">
      <c r="C781" s="1" t="s">
        <v>2049</v>
      </c>
      <c r="D781" s="1" t="s">
        <v>2050</v>
      </c>
      <c r="E781" s="1" t="s">
        <v>2051</v>
      </c>
      <c r="F781" s="1">
        <v>23</v>
      </c>
      <c r="G781" s="1">
        <v>23</v>
      </c>
      <c r="H781" s="1">
        <v>0</v>
      </c>
      <c r="I781" s="1">
        <v>148</v>
      </c>
      <c r="J781" s="1">
        <v>125</v>
      </c>
      <c r="K781" s="1">
        <v>23</v>
      </c>
    </row>
    <row r="782" spans="3:11" x14ac:dyDescent="0.25">
      <c r="C782" s="1" t="s">
        <v>3253</v>
      </c>
      <c r="D782" s="1" t="s">
        <v>3254</v>
      </c>
      <c r="E782" s="1" t="s">
        <v>3255</v>
      </c>
      <c r="F782" s="1">
        <v>-1</v>
      </c>
      <c r="G782" s="1">
        <v>-1</v>
      </c>
      <c r="H782" s="1">
        <v>0</v>
      </c>
      <c r="I782" s="1">
        <v>146</v>
      </c>
      <c r="J782" s="1">
        <v>147</v>
      </c>
      <c r="K782" s="1">
        <v>-1</v>
      </c>
    </row>
    <row r="783" spans="3:11" x14ac:dyDescent="0.25">
      <c r="C783" s="1" t="s">
        <v>2046</v>
      </c>
      <c r="D783" s="1" t="s">
        <v>2047</v>
      </c>
      <c r="E783" s="1" t="s">
        <v>2048</v>
      </c>
      <c r="F783" s="1">
        <v>61</v>
      </c>
      <c r="G783" s="1">
        <v>61</v>
      </c>
      <c r="H783" s="1">
        <v>0</v>
      </c>
      <c r="I783" s="1">
        <v>146</v>
      </c>
      <c r="J783" s="1">
        <v>85</v>
      </c>
      <c r="K783" s="1">
        <v>61</v>
      </c>
    </row>
    <row r="784" spans="3:11" x14ac:dyDescent="0.25">
      <c r="C784" s="1" t="s">
        <v>2205</v>
      </c>
      <c r="D784" s="1" t="s">
        <v>174</v>
      </c>
      <c r="E784" s="1" t="s">
        <v>2206</v>
      </c>
      <c r="F784" s="1">
        <v>62</v>
      </c>
      <c r="G784" s="1">
        <v>62</v>
      </c>
      <c r="H784" s="1">
        <v>0</v>
      </c>
      <c r="I784" s="1">
        <v>145</v>
      </c>
      <c r="J784" s="1">
        <v>83</v>
      </c>
      <c r="K784" s="1">
        <v>62</v>
      </c>
    </row>
    <row r="785" spans="3:11" x14ac:dyDescent="0.25">
      <c r="C785" s="1" t="s">
        <v>3256</v>
      </c>
      <c r="D785" s="1" t="s">
        <v>485</v>
      </c>
      <c r="E785" s="1" t="s">
        <v>3257</v>
      </c>
      <c r="F785" s="1">
        <v>42</v>
      </c>
      <c r="G785" s="1">
        <v>42</v>
      </c>
      <c r="H785" s="1">
        <v>0</v>
      </c>
      <c r="I785" s="1">
        <v>145</v>
      </c>
      <c r="J785" s="1">
        <v>103</v>
      </c>
      <c r="K785" s="1">
        <v>42</v>
      </c>
    </row>
    <row r="786" spans="3:11" x14ac:dyDescent="0.25">
      <c r="C786" s="1" t="s">
        <v>1699</v>
      </c>
      <c r="D786" s="1" t="s">
        <v>1700</v>
      </c>
      <c r="E786" s="1" t="s">
        <v>1701</v>
      </c>
      <c r="F786" s="1">
        <v>-3</v>
      </c>
      <c r="G786" s="1">
        <v>-3</v>
      </c>
      <c r="H786" s="1">
        <v>0</v>
      </c>
      <c r="I786" s="1">
        <v>144</v>
      </c>
      <c r="J786" s="1">
        <v>147</v>
      </c>
      <c r="K786" s="1">
        <v>-3</v>
      </c>
    </row>
    <row r="787" spans="3:11" x14ac:dyDescent="0.25">
      <c r="C787" s="1" t="s">
        <v>3258</v>
      </c>
      <c r="D787" s="1" t="s">
        <v>2164</v>
      </c>
      <c r="E787" s="1" t="s">
        <v>3259</v>
      </c>
      <c r="F787" s="1">
        <v>21</v>
      </c>
      <c r="G787" s="1">
        <v>21</v>
      </c>
      <c r="H787" s="1">
        <v>0</v>
      </c>
      <c r="I787" s="1">
        <v>144</v>
      </c>
      <c r="J787" s="1">
        <v>123</v>
      </c>
      <c r="K787" s="1">
        <v>21</v>
      </c>
    </row>
    <row r="788" spans="3:11" x14ac:dyDescent="0.25">
      <c r="C788" s="1" t="s">
        <v>1676</v>
      </c>
      <c r="D788" s="1" t="s">
        <v>177</v>
      </c>
      <c r="E788" s="1" t="s">
        <v>1677</v>
      </c>
      <c r="F788" s="1">
        <v>17</v>
      </c>
      <c r="G788" s="1">
        <v>17</v>
      </c>
      <c r="H788" s="1">
        <v>0</v>
      </c>
      <c r="I788" s="1">
        <v>142</v>
      </c>
      <c r="J788" s="1">
        <v>125</v>
      </c>
      <c r="K788" s="1">
        <v>17</v>
      </c>
    </row>
    <row r="789" spans="3:11" x14ac:dyDescent="0.25">
      <c r="C789" s="1" t="s">
        <v>1634</v>
      </c>
      <c r="D789" s="1" t="s">
        <v>1635</v>
      </c>
      <c r="E789" s="1" t="s">
        <v>1636</v>
      </c>
      <c r="F789" s="1">
        <v>0</v>
      </c>
      <c r="G789" s="1">
        <v>0</v>
      </c>
      <c r="H789" s="1">
        <v>0</v>
      </c>
      <c r="I789" s="1">
        <v>141</v>
      </c>
      <c r="J789" s="1">
        <v>141</v>
      </c>
      <c r="K789" s="1">
        <v>0</v>
      </c>
    </row>
    <row r="790" spans="3:11" x14ac:dyDescent="0.25">
      <c r="C790" s="1" t="s">
        <v>3260</v>
      </c>
      <c r="D790" s="1" t="s">
        <v>725</v>
      </c>
      <c r="E790" s="1" t="s">
        <v>3261</v>
      </c>
      <c r="F790" s="1">
        <v>6</v>
      </c>
      <c r="G790" s="1">
        <v>6</v>
      </c>
      <c r="H790" s="1">
        <v>0</v>
      </c>
      <c r="I790" s="1">
        <v>141</v>
      </c>
      <c r="J790" s="1">
        <v>135</v>
      </c>
      <c r="K790" s="1">
        <v>6</v>
      </c>
    </row>
    <row r="791" spans="3:11" x14ac:dyDescent="0.25">
      <c r="C791" s="1" t="s">
        <v>1662</v>
      </c>
      <c r="D791" s="1" t="s">
        <v>1663</v>
      </c>
      <c r="E791" s="1" t="s">
        <v>1664</v>
      </c>
      <c r="F791" s="1">
        <v>13</v>
      </c>
      <c r="G791" s="1">
        <v>13</v>
      </c>
      <c r="H791" s="1">
        <v>0</v>
      </c>
      <c r="I791" s="1">
        <v>140</v>
      </c>
      <c r="J791" s="1">
        <v>127</v>
      </c>
      <c r="K791" s="1">
        <v>13</v>
      </c>
    </row>
    <row r="792" spans="3:11" x14ac:dyDescent="0.25">
      <c r="C792" s="1" t="s">
        <v>3265</v>
      </c>
      <c r="D792" s="1" t="s">
        <v>3266</v>
      </c>
      <c r="E792" s="1" t="s">
        <v>3265</v>
      </c>
      <c r="F792" s="1">
        <v>0</v>
      </c>
      <c r="G792" s="1">
        <v>0</v>
      </c>
      <c r="H792" s="1">
        <v>0</v>
      </c>
      <c r="I792" s="1">
        <v>140</v>
      </c>
      <c r="J792" s="1">
        <v>140</v>
      </c>
      <c r="K792" s="1">
        <v>0</v>
      </c>
    </row>
    <row r="793" spans="3:11" x14ac:dyDescent="0.25">
      <c r="C793" s="1" t="s">
        <v>3267</v>
      </c>
      <c r="D793" s="1" t="s">
        <v>726</v>
      </c>
      <c r="E793" s="1" t="s">
        <v>3268</v>
      </c>
      <c r="F793" s="1">
        <v>59</v>
      </c>
      <c r="G793" s="1">
        <v>59</v>
      </c>
      <c r="H793" s="1">
        <v>0</v>
      </c>
      <c r="I793" s="1">
        <v>140</v>
      </c>
      <c r="J793" s="1">
        <v>81</v>
      </c>
      <c r="K793" s="1">
        <v>59</v>
      </c>
    </row>
    <row r="794" spans="3:11" x14ac:dyDescent="0.25">
      <c r="C794" s="1" t="s">
        <v>1693</v>
      </c>
      <c r="D794" s="1" t="s">
        <v>1694</v>
      </c>
      <c r="E794" s="1" t="s">
        <v>1695</v>
      </c>
      <c r="F794" s="1">
        <v>-1</v>
      </c>
      <c r="G794" s="1">
        <v>-1</v>
      </c>
      <c r="H794" s="1">
        <v>0</v>
      </c>
      <c r="I794" s="1">
        <v>138</v>
      </c>
      <c r="J794" s="1">
        <v>139</v>
      </c>
      <c r="K794" s="1">
        <v>-1</v>
      </c>
    </row>
    <row r="795" spans="3:11" x14ac:dyDescent="0.25">
      <c r="C795" s="1" t="s">
        <v>3269</v>
      </c>
      <c r="D795" s="1" t="s">
        <v>727</v>
      </c>
      <c r="E795" s="1" t="s">
        <v>3270</v>
      </c>
      <c r="F795" s="1">
        <v>45</v>
      </c>
      <c r="G795" s="1">
        <v>45</v>
      </c>
      <c r="H795" s="1">
        <v>0</v>
      </c>
      <c r="I795" s="1">
        <v>137</v>
      </c>
      <c r="J795" s="1">
        <v>92</v>
      </c>
      <c r="K795" s="1">
        <v>45</v>
      </c>
    </row>
    <row r="796" spans="3:11" x14ac:dyDescent="0.25">
      <c r="C796" s="1" t="s">
        <v>1737</v>
      </c>
      <c r="D796" s="1" t="s">
        <v>1738</v>
      </c>
      <c r="E796" s="1" t="s">
        <v>1739</v>
      </c>
      <c r="F796" s="1">
        <v>0</v>
      </c>
      <c r="G796" s="1">
        <v>0</v>
      </c>
      <c r="H796" s="1">
        <v>0</v>
      </c>
      <c r="I796" s="1">
        <v>137</v>
      </c>
      <c r="J796" s="1">
        <v>137</v>
      </c>
      <c r="K796" s="1">
        <v>0</v>
      </c>
    </row>
    <row r="797" spans="3:11" x14ac:dyDescent="0.25">
      <c r="C797" s="1" t="s">
        <v>3271</v>
      </c>
      <c r="D797" s="1" t="s">
        <v>3272</v>
      </c>
      <c r="E797" s="1" t="s">
        <v>3273</v>
      </c>
      <c r="F797" s="1">
        <v>0</v>
      </c>
      <c r="G797" s="1">
        <v>0</v>
      </c>
      <c r="H797" s="1">
        <v>0</v>
      </c>
      <c r="I797" s="1">
        <v>136</v>
      </c>
      <c r="J797" s="1">
        <v>136</v>
      </c>
      <c r="K797" s="1">
        <v>0</v>
      </c>
    </row>
    <row r="798" spans="3:11" x14ac:dyDescent="0.25">
      <c r="C798" s="1" t="s">
        <v>3274</v>
      </c>
      <c r="D798" s="1" t="s">
        <v>3275</v>
      </c>
      <c r="E798" s="1" t="s">
        <v>3274</v>
      </c>
      <c r="F798" s="1">
        <v>17</v>
      </c>
      <c r="G798" s="1">
        <v>17</v>
      </c>
      <c r="H798" s="1">
        <v>0</v>
      </c>
      <c r="I798" s="1">
        <v>135</v>
      </c>
      <c r="J798" s="1">
        <v>118</v>
      </c>
      <c r="K798" s="1">
        <v>17</v>
      </c>
    </row>
    <row r="799" spans="3:11" x14ac:dyDescent="0.25">
      <c r="C799" s="1" t="s">
        <v>3276</v>
      </c>
      <c r="D799" s="1" t="s">
        <v>3277</v>
      </c>
      <c r="E799" s="1" t="s">
        <v>3278</v>
      </c>
      <c r="F799" s="1">
        <v>0</v>
      </c>
      <c r="G799" s="1">
        <v>0</v>
      </c>
      <c r="H799" s="1">
        <v>0</v>
      </c>
      <c r="I799" s="1">
        <v>135</v>
      </c>
      <c r="J799" s="1">
        <v>135</v>
      </c>
      <c r="K799" s="1">
        <v>0</v>
      </c>
    </row>
    <row r="800" spans="3:11" x14ac:dyDescent="0.25">
      <c r="C800" s="1" t="s">
        <v>3279</v>
      </c>
      <c r="D800" s="1" t="s">
        <v>3280</v>
      </c>
      <c r="E800" s="1" t="s">
        <v>3281</v>
      </c>
      <c r="F800" s="1">
        <v>3</v>
      </c>
      <c r="G800" s="1">
        <v>3</v>
      </c>
      <c r="H800" s="1">
        <v>0</v>
      </c>
      <c r="I800" s="1">
        <v>134</v>
      </c>
      <c r="J800" s="1">
        <v>131</v>
      </c>
      <c r="K800" s="1">
        <v>3</v>
      </c>
    </row>
    <row r="801" spans="3:11" x14ac:dyDescent="0.25">
      <c r="C801" s="1" t="s">
        <v>3282</v>
      </c>
      <c r="D801" s="1" t="s">
        <v>3283</v>
      </c>
      <c r="E801" s="1" t="s">
        <v>3284</v>
      </c>
      <c r="F801" s="1">
        <v>2</v>
      </c>
      <c r="G801" s="1">
        <v>2</v>
      </c>
      <c r="H801" s="1">
        <v>0</v>
      </c>
      <c r="I801" s="1">
        <v>134</v>
      </c>
      <c r="J801" s="1">
        <v>132</v>
      </c>
      <c r="K801" s="1">
        <v>2</v>
      </c>
    </row>
    <row r="802" spans="3:11" x14ac:dyDescent="0.25">
      <c r="C802" s="1" t="s">
        <v>3285</v>
      </c>
      <c r="D802" s="1" t="s">
        <v>3286</v>
      </c>
      <c r="E802" s="1" t="s">
        <v>3285</v>
      </c>
      <c r="F802" s="1">
        <v>0</v>
      </c>
      <c r="G802" s="1">
        <v>0</v>
      </c>
      <c r="H802" s="1">
        <v>0</v>
      </c>
      <c r="I802" s="1">
        <v>133</v>
      </c>
      <c r="J802" s="1">
        <v>133</v>
      </c>
      <c r="K802" s="1">
        <v>0</v>
      </c>
    </row>
    <row r="803" spans="3:11" x14ac:dyDescent="0.25">
      <c r="C803" s="1" t="s">
        <v>1746</v>
      </c>
      <c r="D803" s="1" t="s">
        <v>1747</v>
      </c>
      <c r="E803" s="1" t="s">
        <v>1748</v>
      </c>
      <c r="F803" s="1">
        <v>2</v>
      </c>
      <c r="G803" s="1">
        <v>2</v>
      </c>
      <c r="H803" s="1">
        <v>0</v>
      </c>
      <c r="I803" s="1">
        <v>132</v>
      </c>
      <c r="J803" s="1">
        <v>130</v>
      </c>
      <c r="K803" s="1">
        <v>2</v>
      </c>
    </row>
    <row r="804" spans="3:11" x14ac:dyDescent="0.25">
      <c r="C804" s="1" t="s">
        <v>3295</v>
      </c>
      <c r="D804" s="1" t="s">
        <v>3296</v>
      </c>
      <c r="E804" s="1" t="s">
        <v>3297</v>
      </c>
      <c r="F804" s="1">
        <v>2</v>
      </c>
      <c r="G804" s="1">
        <v>2</v>
      </c>
      <c r="H804" s="1">
        <v>0</v>
      </c>
      <c r="I804" s="1">
        <v>132</v>
      </c>
      <c r="J804" s="1">
        <v>130</v>
      </c>
      <c r="K804" s="1">
        <v>2</v>
      </c>
    </row>
    <row r="805" spans="3:11" x14ac:dyDescent="0.25">
      <c r="C805" s="1" t="s">
        <v>2096</v>
      </c>
      <c r="D805" s="1" t="s">
        <v>2097</v>
      </c>
      <c r="E805" s="1" t="s">
        <v>2098</v>
      </c>
      <c r="F805" s="1">
        <v>-3</v>
      </c>
      <c r="G805" s="1">
        <v>-3</v>
      </c>
      <c r="H805" s="1">
        <v>0</v>
      </c>
      <c r="I805" s="1">
        <v>132</v>
      </c>
      <c r="J805" s="1">
        <v>135</v>
      </c>
      <c r="K805" s="1">
        <v>-3</v>
      </c>
    </row>
    <row r="806" spans="3:11" x14ac:dyDescent="0.25">
      <c r="C806" s="1" t="s">
        <v>3287</v>
      </c>
      <c r="D806" s="1" t="s">
        <v>3288</v>
      </c>
      <c r="E806" s="1" t="s">
        <v>3289</v>
      </c>
      <c r="F806" s="1">
        <v>8</v>
      </c>
      <c r="G806" s="1">
        <v>8</v>
      </c>
      <c r="H806" s="1">
        <v>0</v>
      </c>
      <c r="I806" s="1">
        <v>131</v>
      </c>
      <c r="J806" s="1">
        <v>123</v>
      </c>
      <c r="K806" s="1">
        <v>8</v>
      </c>
    </row>
    <row r="807" spans="3:11" x14ac:dyDescent="0.25">
      <c r="C807" s="1" t="s">
        <v>3290</v>
      </c>
      <c r="D807" s="1" t="s">
        <v>3291</v>
      </c>
      <c r="E807" s="1" t="s">
        <v>3292</v>
      </c>
      <c r="F807" s="1">
        <v>1</v>
      </c>
      <c r="G807" s="1">
        <v>1</v>
      </c>
      <c r="H807" s="1">
        <v>0</v>
      </c>
      <c r="I807" s="1">
        <v>131</v>
      </c>
      <c r="J807" s="1">
        <v>130</v>
      </c>
      <c r="K807" s="1">
        <v>1</v>
      </c>
    </row>
    <row r="808" spans="3:11" x14ac:dyDescent="0.25">
      <c r="C808" s="1" t="s">
        <v>3293</v>
      </c>
      <c r="D808" s="1" t="s">
        <v>854</v>
      </c>
      <c r="E808" s="1" t="s">
        <v>3294</v>
      </c>
      <c r="F808" s="1">
        <v>0</v>
      </c>
      <c r="G808" s="1">
        <v>0</v>
      </c>
      <c r="H808" s="1">
        <v>0</v>
      </c>
      <c r="I808" s="1">
        <v>131</v>
      </c>
      <c r="J808" s="1">
        <v>131</v>
      </c>
      <c r="K808" s="1">
        <v>0</v>
      </c>
    </row>
    <row r="809" spans="3:11" x14ac:dyDescent="0.25">
      <c r="C809" s="1" t="s">
        <v>3298</v>
      </c>
      <c r="D809" s="1" t="s">
        <v>853</v>
      </c>
      <c r="E809" s="1" t="s">
        <v>3299</v>
      </c>
      <c r="F809" s="1">
        <v>0</v>
      </c>
      <c r="G809" s="1">
        <v>0</v>
      </c>
      <c r="H809" s="1">
        <v>0</v>
      </c>
      <c r="I809" s="1">
        <v>130</v>
      </c>
      <c r="J809" s="1">
        <v>130</v>
      </c>
      <c r="K809" s="1">
        <v>0</v>
      </c>
    </row>
    <row r="810" spans="3:11" x14ac:dyDescent="0.25">
      <c r="C810" s="1" t="s">
        <v>1725</v>
      </c>
      <c r="D810" s="1" t="s">
        <v>1726</v>
      </c>
      <c r="E810" s="1" t="s">
        <v>1727</v>
      </c>
      <c r="F810" s="1">
        <v>9</v>
      </c>
      <c r="G810" s="1">
        <v>9</v>
      </c>
      <c r="H810" s="1">
        <v>0</v>
      </c>
      <c r="I810" s="1">
        <v>130</v>
      </c>
      <c r="J810" s="1">
        <v>121</v>
      </c>
      <c r="K810" s="1">
        <v>9</v>
      </c>
    </row>
    <row r="811" spans="3:11" x14ac:dyDescent="0.25">
      <c r="C811" s="1" t="s">
        <v>1740</v>
      </c>
      <c r="D811" s="1" t="s">
        <v>1741</v>
      </c>
      <c r="E811" s="1" t="s">
        <v>1742</v>
      </c>
      <c r="F811" s="1">
        <v>5</v>
      </c>
      <c r="G811" s="1">
        <v>5</v>
      </c>
      <c r="H811" s="1">
        <v>0</v>
      </c>
      <c r="I811" s="1">
        <v>129</v>
      </c>
      <c r="J811" s="1">
        <v>124</v>
      </c>
      <c r="K811" s="1">
        <v>5</v>
      </c>
    </row>
    <row r="812" spans="3:11" x14ac:dyDescent="0.25">
      <c r="C812" s="1" t="s">
        <v>1643</v>
      </c>
      <c r="D812" s="1" t="s">
        <v>1644</v>
      </c>
      <c r="E812" s="1" t="s">
        <v>1645</v>
      </c>
      <c r="F812" s="1">
        <v>16</v>
      </c>
      <c r="G812" s="1">
        <v>16</v>
      </c>
      <c r="H812" s="1">
        <v>0</v>
      </c>
      <c r="I812" s="1">
        <v>128</v>
      </c>
      <c r="J812" s="1">
        <v>112</v>
      </c>
      <c r="K812" s="1">
        <v>16</v>
      </c>
    </row>
    <row r="813" spans="3:11" x14ac:dyDescent="0.25">
      <c r="C813" s="1" t="s">
        <v>1646</v>
      </c>
      <c r="D813" s="1" t="s">
        <v>1647</v>
      </c>
      <c r="E813" s="1" t="s">
        <v>1648</v>
      </c>
      <c r="F813" s="1">
        <v>7</v>
      </c>
      <c r="G813" s="1">
        <v>7</v>
      </c>
      <c r="H813" s="1">
        <v>0</v>
      </c>
      <c r="I813" s="1">
        <v>128</v>
      </c>
      <c r="J813" s="1">
        <v>121</v>
      </c>
      <c r="K813" s="1">
        <v>7</v>
      </c>
    </row>
    <row r="814" spans="3:11" x14ac:dyDescent="0.25">
      <c r="C814" s="1" t="s">
        <v>1649</v>
      </c>
      <c r="D814" s="1" t="s">
        <v>1650</v>
      </c>
      <c r="E814" s="1" t="s">
        <v>1649</v>
      </c>
      <c r="F814" s="1">
        <v>-2</v>
      </c>
      <c r="G814" s="1">
        <v>-2</v>
      </c>
      <c r="H814" s="1">
        <v>0</v>
      </c>
      <c r="I814" s="1">
        <v>128</v>
      </c>
      <c r="J814" s="1">
        <v>130</v>
      </c>
      <c r="K814" s="1">
        <v>-2</v>
      </c>
    </row>
    <row r="815" spans="3:11" x14ac:dyDescent="0.25">
      <c r="C815" s="1" t="s">
        <v>1792</v>
      </c>
      <c r="D815" s="1" t="s">
        <v>1793</v>
      </c>
      <c r="E815" s="1" t="s">
        <v>1794</v>
      </c>
      <c r="F815" s="1">
        <v>20</v>
      </c>
      <c r="G815" s="1">
        <v>20</v>
      </c>
      <c r="H815" s="1">
        <v>0</v>
      </c>
      <c r="I815" s="1">
        <v>128</v>
      </c>
      <c r="J815" s="1">
        <v>108</v>
      </c>
      <c r="K815" s="1">
        <v>20</v>
      </c>
    </row>
    <row r="816" spans="3:11" x14ac:dyDescent="0.25">
      <c r="C816" s="1" t="s">
        <v>3300</v>
      </c>
      <c r="D816" s="1" t="s">
        <v>3301</v>
      </c>
      <c r="E816" s="1" t="s">
        <v>3302</v>
      </c>
      <c r="F816" s="1">
        <v>11</v>
      </c>
      <c r="G816" s="1">
        <v>11</v>
      </c>
      <c r="H816" s="1">
        <v>0</v>
      </c>
      <c r="I816" s="1">
        <v>127</v>
      </c>
      <c r="J816" s="1">
        <v>116</v>
      </c>
      <c r="K816" s="1">
        <v>11</v>
      </c>
    </row>
    <row r="817" spans="3:11" x14ac:dyDescent="0.25">
      <c r="C817" s="1" t="s">
        <v>1938</v>
      </c>
      <c r="D817" s="1" t="s">
        <v>1939</v>
      </c>
      <c r="E817" s="1" t="s">
        <v>1940</v>
      </c>
      <c r="F817" s="1">
        <v>2</v>
      </c>
      <c r="G817" s="1">
        <v>2</v>
      </c>
      <c r="H817" s="1">
        <v>0</v>
      </c>
      <c r="I817" s="1">
        <v>127</v>
      </c>
      <c r="J817" s="1">
        <v>125</v>
      </c>
      <c r="K817" s="1">
        <v>2</v>
      </c>
    </row>
    <row r="818" spans="3:11" x14ac:dyDescent="0.25">
      <c r="C818" s="1" t="s">
        <v>1719</v>
      </c>
      <c r="D818" s="1" t="s">
        <v>1720</v>
      </c>
      <c r="E818" s="1" t="s">
        <v>1721</v>
      </c>
      <c r="F818" s="1">
        <v>3</v>
      </c>
      <c r="G818" s="1">
        <v>3</v>
      </c>
      <c r="H818" s="1">
        <v>0</v>
      </c>
      <c r="I818" s="1">
        <v>126</v>
      </c>
      <c r="J818" s="1">
        <v>123</v>
      </c>
      <c r="K818" s="1">
        <v>3</v>
      </c>
    </row>
    <row r="819" spans="3:11" x14ac:dyDescent="0.25">
      <c r="C819" s="1" t="s">
        <v>1653</v>
      </c>
      <c r="D819" s="1" t="s">
        <v>1654</v>
      </c>
      <c r="E819" s="1" t="s">
        <v>1655</v>
      </c>
      <c r="F819" s="1">
        <v>4</v>
      </c>
      <c r="G819" s="1">
        <v>4</v>
      </c>
      <c r="H819" s="1">
        <v>0</v>
      </c>
      <c r="I819" s="1">
        <v>126</v>
      </c>
      <c r="J819" s="1">
        <v>122</v>
      </c>
      <c r="K819" s="1">
        <v>4</v>
      </c>
    </row>
    <row r="820" spans="3:11" x14ac:dyDescent="0.25">
      <c r="C820" s="1" t="s">
        <v>1656</v>
      </c>
      <c r="D820" s="1" t="s">
        <v>1657</v>
      </c>
      <c r="E820" s="1" t="s">
        <v>1658</v>
      </c>
      <c r="F820" s="1">
        <v>-1</v>
      </c>
      <c r="G820" s="1">
        <v>-1</v>
      </c>
      <c r="H820" s="1">
        <v>0</v>
      </c>
      <c r="I820" s="1">
        <v>125</v>
      </c>
      <c r="J820" s="1">
        <v>126</v>
      </c>
      <c r="K820" s="1">
        <v>-1</v>
      </c>
    </row>
    <row r="821" spans="3:11" x14ac:dyDescent="0.25">
      <c r="C821" s="1" t="s">
        <v>3303</v>
      </c>
      <c r="D821" s="1" t="s">
        <v>852</v>
      </c>
      <c r="E821" s="1" t="s">
        <v>3304</v>
      </c>
      <c r="F821" s="1">
        <v>0</v>
      </c>
      <c r="G821" s="1">
        <v>0</v>
      </c>
      <c r="H821" s="1">
        <v>0</v>
      </c>
      <c r="I821" s="1">
        <v>125</v>
      </c>
      <c r="J821" s="1">
        <v>125</v>
      </c>
      <c r="K821" s="1">
        <v>0</v>
      </c>
    </row>
    <row r="822" spans="3:11" x14ac:dyDescent="0.25">
      <c r="C822" s="1" t="s">
        <v>3305</v>
      </c>
      <c r="D822" s="1" t="s">
        <v>821</v>
      </c>
      <c r="E822" s="1" t="s">
        <v>3306</v>
      </c>
      <c r="F822" s="1">
        <v>0</v>
      </c>
      <c r="G822" s="1">
        <v>0</v>
      </c>
      <c r="H822" s="1">
        <v>0</v>
      </c>
      <c r="I822" s="1">
        <v>125</v>
      </c>
      <c r="J822" s="1">
        <v>125</v>
      </c>
      <c r="K822" s="1">
        <v>0</v>
      </c>
    </row>
    <row r="823" spans="3:11" x14ac:dyDescent="0.25">
      <c r="C823" s="1" t="s">
        <v>1659</v>
      </c>
      <c r="D823" s="1" t="s">
        <v>1660</v>
      </c>
      <c r="E823" s="1" t="s">
        <v>1661</v>
      </c>
      <c r="F823" s="1">
        <v>0</v>
      </c>
      <c r="G823" s="1">
        <v>0</v>
      </c>
      <c r="H823" s="1">
        <v>0</v>
      </c>
      <c r="I823" s="1">
        <v>124</v>
      </c>
      <c r="J823" s="1">
        <v>124</v>
      </c>
      <c r="K823" s="1">
        <v>0</v>
      </c>
    </row>
    <row r="824" spans="3:11" x14ac:dyDescent="0.25">
      <c r="C824" s="1" t="s">
        <v>3307</v>
      </c>
      <c r="D824" s="1" t="s">
        <v>482</v>
      </c>
      <c r="E824" s="1" t="s">
        <v>3308</v>
      </c>
      <c r="F824" s="1">
        <v>6</v>
      </c>
      <c r="G824" s="1">
        <v>6</v>
      </c>
      <c r="H824" s="1">
        <v>0</v>
      </c>
      <c r="I824" s="1">
        <v>123</v>
      </c>
      <c r="J824" s="1">
        <v>117</v>
      </c>
      <c r="K824" s="1">
        <v>6</v>
      </c>
    </row>
    <row r="825" spans="3:11" x14ac:dyDescent="0.25">
      <c r="C825" s="1" t="s">
        <v>1668</v>
      </c>
      <c r="D825" s="1" t="s">
        <v>176</v>
      </c>
      <c r="E825" s="1" t="s">
        <v>1669</v>
      </c>
      <c r="F825" s="1">
        <v>33</v>
      </c>
      <c r="G825" s="1">
        <v>33</v>
      </c>
      <c r="H825" s="1">
        <v>0</v>
      </c>
      <c r="I825" s="1">
        <v>123</v>
      </c>
      <c r="J825" s="1">
        <v>90</v>
      </c>
      <c r="K825" s="1">
        <v>33</v>
      </c>
    </row>
    <row r="826" spans="3:11" x14ac:dyDescent="0.25">
      <c r="C826" s="1" t="s">
        <v>3309</v>
      </c>
      <c r="D826" s="1" t="s">
        <v>3310</v>
      </c>
      <c r="E826" s="1" t="s">
        <v>3311</v>
      </c>
      <c r="F826" s="1">
        <v>10</v>
      </c>
      <c r="G826" s="1">
        <v>10</v>
      </c>
      <c r="H826" s="1">
        <v>0</v>
      </c>
      <c r="I826" s="1">
        <v>123</v>
      </c>
      <c r="J826" s="1">
        <v>113</v>
      </c>
      <c r="K826" s="1">
        <v>10</v>
      </c>
    </row>
    <row r="827" spans="3:11" x14ac:dyDescent="0.25">
      <c r="C827" s="1" t="s">
        <v>1665</v>
      </c>
      <c r="D827" s="1" t="s">
        <v>1666</v>
      </c>
      <c r="E827" s="1" t="s">
        <v>1667</v>
      </c>
      <c r="F827" s="1">
        <v>0</v>
      </c>
      <c r="G827" s="1">
        <v>0</v>
      </c>
      <c r="H827" s="1">
        <v>0</v>
      </c>
      <c r="I827" s="1">
        <v>122</v>
      </c>
      <c r="J827" s="1">
        <v>122</v>
      </c>
      <c r="K827" s="1">
        <v>0</v>
      </c>
    </row>
    <row r="828" spans="3:11" x14ac:dyDescent="0.25">
      <c r="C828" s="1" t="s">
        <v>3314</v>
      </c>
      <c r="D828" s="1" t="s">
        <v>3315</v>
      </c>
      <c r="E828" s="1" t="s">
        <v>3316</v>
      </c>
      <c r="F828" s="1">
        <v>1</v>
      </c>
      <c r="G828" s="1">
        <v>1</v>
      </c>
      <c r="H828" s="1">
        <v>0</v>
      </c>
      <c r="I828" s="1">
        <v>122</v>
      </c>
      <c r="J828" s="1">
        <v>121</v>
      </c>
      <c r="K828" s="1">
        <v>1</v>
      </c>
    </row>
    <row r="829" spans="3:11" x14ac:dyDescent="0.25">
      <c r="C829" s="1" t="s">
        <v>1784</v>
      </c>
      <c r="D829" s="1" t="s">
        <v>184</v>
      </c>
      <c r="E829" s="1" t="s">
        <v>1785</v>
      </c>
      <c r="F829" s="1">
        <v>53</v>
      </c>
      <c r="G829" s="1">
        <v>53</v>
      </c>
      <c r="H829" s="1">
        <v>0</v>
      </c>
      <c r="I829" s="1">
        <v>122</v>
      </c>
      <c r="J829" s="1">
        <v>69</v>
      </c>
      <c r="K829" s="1">
        <v>53</v>
      </c>
    </row>
    <row r="830" spans="3:11" x14ac:dyDescent="0.25">
      <c r="C830" s="1" t="s">
        <v>1670</v>
      </c>
      <c r="D830" s="1" t="s">
        <v>1671</v>
      </c>
      <c r="E830" s="1" t="s">
        <v>1672</v>
      </c>
      <c r="F830" s="1">
        <v>14</v>
      </c>
      <c r="G830" s="1">
        <v>14</v>
      </c>
      <c r="H830" s="1">
        <v>0</v>
      </c>
      <c r="I830" s="1">
        <v>121</v>
      </c>
      <c r="J830" s="1">
        <v>107</v>
      </c>
      <c r="K830" s="1">
        <v>14</v>
      </c>
    </row>
    <row r="831" spans="3:11" x14ac:dyDescent="0.25">
      <c r="C831" s="1" t="s">
        <v>1684</v>
      </c>
      <c r="D831" s="1" t="s">
        <v>1685</v>
      </c>
      <c r="E831" s="1" t="s">
        <v>1686</v>
      </c>
      <c r="F831" s="1">
        <v>18</v>
      </c>
      <c r="G831" s="1">
        <v>18</v>
      </c>
      <c r="H831" s="1">
        <v>0</v>
      </c>
      <c r="I831" s="1">
        <v>121</v>
      </c>
      <c r="J831" s="1">
        <v>103</v>
      </c>
      <c r="K831" s="1">
        <v>18</v>
      </c>
    </row>
    <row r="832" spans="3:11" x14ac:dyDescent="0.25">
      <c r="C832" s="1" t="s">
        <v>1761</v>
      </c>
      <c r="D832" s="1" t="s">
        <v>181</v>
      </c>
      <c r="E832" s="1" t="s">
        <v>1762</v>
      </c>
      <c r="F832" s="1">
        <v>33</v>
      </c>
      <c r="G832" s="1">
        <v>33</v>
      </c>
      <c r="H832" s="1">
        <v>0</v>
      </c>
      <c r="I832" s="1">
        <v>121</v>
      </c>
      <c r="J832" s="1">
        <v>88</v>
      </c>
      <c r="K832" s="1">
        <v>33</v>
      </c>
    </row>
    <row r="833" spans="3:11" x14ac:dyDescent="0.25">
      <c r="C833" s="1" t="s">
        <v>1891</v>
      </c>
      <c r="D833" s="1" t="s">
        <v>1892</v>
      </c>
      <c r="E833" s="1" t="s">
        <v>1893</v>
      </c>
      <c r="F833" s="1">
        <v>-1</v>
      </c>
      <c r="G833" s="1">
        <v>-1</v>
      </c>
      <c r="H833" s="1">
        <v>0</v>
      </c>
      <c r="I833" s="1">
        <v>121</v>
      </c>
      <c r="J833" s="1">
        <v>122</v>
      </c>
      <c r="K833" s="1">
        <v>-1</v>
      </c>
    </row>
    <row r="834" spans="3:11" x14ac:dyDescent="0.25">
      <c r="C834" s="1" t="s">
        <v>1673</v>
      </c>
      <c r="D834" s="1" t="s">
        <v>1674</v>
      </c>
      <c r="E834" s="1" t="s">
        <v>1675</v>
      </c>
      <c r="F834" s="1">
        <v>0</v>
      </c>
      <c r="G834" s="1">
        <v>0</v>
      </c>
      <c r="H834" s="1">
        <v>0</v>
      </c>
      <c r="I834" s="1">
        <v>120</v>
      </c>
      <c r="J834" s="1">
        <v>120</v>
      </c>
      <c r="K834" s="1">
        <v>0</v>
      </c>
    </row>
    <row r="835" spans="3:11" x14ac:dyDescent="0.25">
      <c r="C835" s="1" t="s">
        <v>3317</v>
      </c>
      <c r="D835" s="1" t="s">
        <v>3318</v>
      </c>
      <c r="E835" s="1" t="s">
        <v>3319</v>
      </c>
      <c r="F835" s="1">
        <v>2</v>
      </c>
      <c r="G835" s="1">
        <v>2</v>
      </c>
      <c r="H835" s="1">
        <v>0</v>
      </c>
      <c r="I835" s="1">
        <v>120</v>
      </c>
      <c r="J835" s="1">
        <v>118</v>
      </c>
      <c r="K835" s="1">
        <v>2</v>
      </c>
    </row>
    <row r="836" spans="3:11" x14ac:dyDescent="0.25">
      <c r="C836" s="1" t="s">
        <v>1678</v>
      </c>
      <c r="D836" s="1" t="s">
        <v>1679</v>
      </c>
      <c r="E836" s="1" t="s">
        <v>1680</v>
      </c>
      <c r="F836" s="1">
        <v>-1</v>
      </c>
      <c r="G836" s="1">
        <v>-1</v>
      </c>
      <c r="H836" s="1">
        <v>0</v>
      </c>
      <c r="I836" s="1">
        <v>119</v>
      </c>
      <c r="J836" s="1">
        <v>120</v>
      </c>
      <c r="K836" s="1">
        <v>-1</v>
      </c>
    </row>
    <row r="837" spans="3:11" x14ac:dyDescent="0.25">
      <c r="C837" s="1" t="s">
        <v>3320</v>
      </c>
      <c r="D837" s="1" t="s">
        <v>3321</v>
      </c>
      <c r="E837" s="1" t="s">
        <v>3322</v>
      </c>
      <c r="F837" s="1">
        <v>3</v>
      </c>
      <c r="G837" s="1">
        <v>3</v>
      </c>
      <c r="H837" s="1">
        <v>0</v>
      </c>
      <c r="I837" s="1">
        <v>119</v>
      </c>
      <c r="J837" s="1">
        <v>116</v>
      </c>
      <c r="K837" s="1">
        <v>3</v>
      </c>
    </row>
    <row r="838" spans="3:11" x14ac:dyDescent="0.25">
      <c r="C838" s="1" t="s">
        <v>1681</v>
      </c>
      <c r="D838" s="1" t="s">
        <v>1682</v>
      </c>
      <c r="E838" s="1" t="s">
        <v>1683</v>
      </c>
      <c r="F838" s="1">
        <v>3</v>
      </c>
      <c r="G838" s="1">
        <v>3</v>
      </c>
      <c r="H838" s="1">
        <v>0</v>
      </c>
      <c r="I838" s="1">
        <v>119</v>
      </c>
      <c r="J838" s="1">
        <v>116</v>
      </c>
      <c r="K838" s="1">
        <v>3</v>
      </c>
    </row>
    <row r="839" spans="3:11" x14ac:dyDescent="0.25">
      <c r="C839" s="1" t="s">
        <v>3323</v>
      </c>
      <c r="D839" s="1" t="s">
        <v>483</v>
      </c>
      <c r="E839" s="1" t="s">
        <v>3324</v>
      </c>
      <c r="F839" s="1">
        <v>15</v>
      </c>
      <c r="G839" s="1">
        <v>15</v>
      </c>
      <c r="H839" s="1">
        <v>0</v>
      </c>
      <c r="I839" s="1">
        <v>119</v>
      </c>
      <c r="J839" s="1">
        <v>104</v>
      </c>
      <c r="K839" s="1">
        <v>15</v>
      </c>
    </row>
    <row r="840" spans="3:11" x14ac:dyDescent="0.25">
      <c r="C840" s="1" t="s">
        <v>2238</v>
      </c>
      <c r="D840" s="1" t="s">
        <v>2231</v>
      </c>
      <c r="E840" s="1" t="s">
        <v>2239</v>
      </c>
      <c r="F840" s="1">
        <v>8</v>
      </c>
      <c r="G840" s="1">
        <v>8</v>
      </c>
      <c r="H840" s="1">
        <v>0</v>
      </c>
      <c r="I840" s="1">
        <v>119</v>
      </c>
      <c r="J840" s="1">
        <v>111</v>
      </c>
      <c r="K840" s="1">
        <v>8</v>
      </c>
    </row>
    <row r="841" spans="3:11" x14ac:dyDescent="0.25">
      <c r="C841" s="1" t="s">
        <v>3325</v>
      </c>
      <c r="D841" s="1" t="s">
        <v>613</v>
      </c>
      <c r="E841" s="1" t="s">
        <v>3326</v>
      </c>
      <c r="F841" s="1">
        <v>71</v>
      </c>
      <c r="G841" s="1">
        <v>71</v>
      </c>
      <c r="H841" s="1">
        <v>0</v>
      </c>
      <c r="I841" s="1">
        <v>118</v>
      </c>
      <c r="J841" s="1">
        <v>47</v>
      </c>
      <c r="K841" s="1">
        <v>71</v>
      </c>
    </row>
    <row r="842" spans="3:11" x14ac:dyDescent="0.25">
      <c r="C842" s="1" t="s">
        <v>3327</v>
      </c>
      <c r="D842" s="1" t="s">
        <v>822</v>
      </c>
      <c r="E842" s="1" t="s">
        <v>3328</v>
      </c>
      <c r="F842" s="1">
        <v>9</v>
      </c>
      <c r="G842" s="1">
        <v>9</v>
      </c>
      <c r="H842" s="1">
        <v>0</v>
      </c>
      <c r="I842" s="1">
        <v>118</v>
      </c>
      <c r="J842" s="1">
        <v>109</v>
      </c>
      <c r="K842" s="1">
        <v>9</v>
      </c>
    </row>
    <row r="843" spans="3:11" x14ac:dyDescent="0.25">
      <c r="C843" s="1" t="s">
        <v>3329</v>
      </c>
      <c r="D843" s="1" t="s">
        <v>3330</v>
      </c>
      <c r="E843" s="1" t="s">
        <v>3331</v>
      </c>
      <c r="F843" s="1">
        <v>2</v>
      </c>
      <c r="G843" s="1">
        <v>2</v>
      </c>
      <c r="H843" s="1">
        <v>0</v>
      </c>
      <c r="I843" s="1">
        <v>117</v>
      </c>
      <c r="J843" s="1">
        <v>115</v>
      </c>
      <c r="K843" s="1">
        <v>2</v>
      </c>
    </row>
    <row r="844" spans="3:11" x14ac:dyDescent="0.25">
      <c r="C844" s="1" t="s">
        <v>3334</v>
      </c>
      <c r="D844" s="1" t="s">
        <v>3335</v>
      </c>
      <c r="E844" s="1" t="s">
        <v>3336</v>
      </c>
      <c r="F844" s="1">
        <v>5</v>
      </c>
      <c r="G844" s="1">
        <v>5</v>
      </c>
      <c r="H844" s="1">
        <v>0</v>
      </c>
      <c r="I844" s="1">
        <v>117</v>
      </c>
      <c r="J844" s="1">
        <v>112</v>
      </c>
      <c r="K844" s="1">
        <v>5</v>
      </c>
    </row>
    <row r="845" spans="3:11" x14ac:dyDescent="0.25">
      <c r="C845" s="1" t="s">
        <v>3337</v>
      </c>
      <c r="D845" s="1" t="s">
        <v>3338</v>
      </c>
      <c r="E845" s="1" t="s">
        <v>3339</v>
      </c>
      <c r="F845" s="1">
        <v>4</v>
      </c>
      <c r="G845" s="1">
        <v>4</v>
      </c>
      <c r="H845" s="1">
        <v>0</v>
      </c>
      <c r="I845" s="1">
        <v>116</v>
      </c>
      <c r="J845" s="1">
        <v>112</v>
      </c>
      <c r="K845" s="1">
        <v>4</v>
      </c>
    </row>
    <row r="846" spans="3:11" x14ac:dyDescent="0.25">
      <c r="C846" s="1" t="s">
        <v>3340</v>
      </c>
      <c r="D846" s="1" t="s">
        <v>3341</v>
      </c>
      <c r="E846" s="1" t="s">
        <v>3342</v>
      </c>
      <c r="F846" s="1">
        <v>24</v>
      </c>
      <c r="G846" s="1">
        <v>24</v>
      </c>
      <c r="H846" s="1">
        <v>0</v>
      </c>
      <c r="I846" s="1">
        <v>116</v>
      </c>
      <c r="J846" s="1">
        <v>92</v>
      </c>
      <c r="K846" s="1">
        <v>24</v>
      </c>
    </row>
    <row r="847" spans="3:11" x14ac:dyDescent="0.25">
      <c r="C847" s="1" t="s">
        <v>3343</v>
      </c>
      <c r="D847" s="1" t="s">
        <v>3344</v>
      </c>
      <c r="E847" s="1" t="s">
        <v>3345</v>
      </c>
      <c r="F847" s="1">
        <v>0</v>
      </c>
      <c r="G847" s="1">
        <v>0</v>
      </c>
      <c r="H847" s="1">
        <v>0</v>
      </c>
      <c r="I847" s="1">
        <v>115</v>
      </c>
      <c r="J847" s="1">
        <v>115</v>
      </c>
      <c r="K847" s="1">
        <v>0</v>
      </c>
    </row>
    <row r="848" spans="3:11" x14ac:dyDescent="0.25">
      <c r="C848" s="1" t="s">
        <v>1696</v>
      </c>
      <c r="D848" s="1" t="s">
        <v>1697</v>
      </c>
      <c r="E848" s="1" t="s">
        <v>1698</v>
      </c>
      <c r="F848" s="1">
        <v>5</v>
      </c>
      <c r="G848" s="1">
        <v>5</v>
      </c>
      <c r="H848" s="1">
        <v>0</v>
      </c>
      <c r="I848" s="1">
        <v>115</v>
      </c>
      <c r="J848" s="1">
        <v>110</v>
      </c>
      <c r="K848" s="1">
        <v>5</v>
      </c>
    </row>
    <row r="849" spans="3:11" x14ac:dyDescent="0.25">
      <c r="C849" s="1" t="s">
        <v>1687</v>
      </c>
      <c r="D849" s="1" t="s">
        <v>1688</v>
      </c>
      <c r="E849" s="1" t="s">
        <v>1689</v>
      </c>
      <c r="F849" s="1">
        <v>10</v>
      </c>
      <c r="G849" s="1">
        <v>10</v>
      </c>
      <c r="H849" s="1">
        <v>0</v>
      </c>
      <c r="I849" s="1">
        <v>113</v>
      </c>
      <c r="J849" s="1">
        <v>103</v>
      </c>
      <c r="K849" s="1">
        <v>10</v>
      </c>
    </row>
    <row r="850" spans="3:11" x14ac:dyDescent="0.25">
      <c r="C850" s="1" t="s">
        <v>1690</v>
      </c>
      <c r="D850" s="1" t="s">
        <v>1691</v>
      </c>
      <c r="E850" s="1" t="s">
        <v>1692</v>
      </c>
      <c r="F850" s="1">
        <v>5</v>
      </c>
      <c r="G850" s="1">
        <v>5</v>
      </c>
      <c r="H850" s="1">
        <v>0</v>
      </c>
      <c r="I850" s="1">
        <v>113</v>
      </c>
      <c r="J850" s="1">
        <v>108</v>
      </c>
      <c r="K850" s="1">
        <v>5</v>
      </c>
    </row>
    <row r="851" spans="3:11" x14ac:dyDescent="0.25">
      <c r="C851" s="1" t="s">
        <v>3413</v>
      </c>
      <c r="D851" s="1" t="s">
        <v>3414</v>
      </c>
      <c r="E851" s="1" t="s">
        <v>3413</v>
      </c>
      <c r="F851" s="1">
        <v>2</v>
      </c>
      <c r="G851" s="1">
        <v>2</v>
      </c>
      <c r="H851" s="1">
        <v>0</v>
      </c>
      <c r="I851" s="1">
        <v>112</v>
      </c>
      <c r="J851" s="1">
        <v>110</v>
      </c>
      <c r="K851" s="1">
        <v>2</v>
      </c>
    </row>
    <row r="852" spans="3:11" x14ac:dyDescent="0.25">
      <c r="C852" s="1" t="s">
        <v>3346</v>
      </c>
      <c r="D852" s="1" t="s">
        <v>614</v>
      </c>
      <c r="E852" s="1" t="s">
        <v>3347</v>
      </c>
      <c r="F852" s="1">
        <v>16</v>
      </c>
      <c r="G852" s="1">
        <v>16</v>
      </c>
      <c r="H852" s="1">
        <v>0</v>
      </c>
      <c r="I852" s="1">
        <v>110</v>
      </c>
      <c r="J852" s="1">
        <v>94</v>
      </c>
      <c r="K852" s="1">
        <v>16</v>
      </c>
    </row>
    <row r="853" spans="3:11" x14ac:dyDescent="0.25">
      <c r="C853" s="1" t="s">
        <v>1767</v>
      </c>
      <c r="D853" s="1" t="s">
        <v>1768</v>
      </c>
      <c r="E853" s="1" t="s">
        <v>1769</v>
      </c>
      <c r="F853" s="1">
        <v>1</v>
      </c>
      <c r="G853" s="1">
        <v>1</v>
      </c>
      <c r="H853" s="1">
        <v>0</v>
      </c>
      <c r="I853" s="1">
        <v>110</v>
      </c>
      <c r="J853" s="1">
        <v>109</v>
      </c>
      <c r="K853" s="1">
        <v>1</v>
      </c>
    </row>
    <row r="854" spans="3:11" x14ac:dyDescent="0.25">
      <c r="C854" s="1" t="s">
        <v>1857</v>
      </c>
      <c r="D854" s="1" t="s">
        <v>1858</v>
      </c>
      <c r="E854" s="1" t="s">
        <v>1859</v>
      </c>
      <c r="F854" s="1">
        <v>1</v>
      </c>
      <c r="G854" s="1">
        <v>1</v>
      </c>
      <c r="H854" s="1">
        <v>0</v>
      </c>
      <c r="I854" s="1">
        <v>110</v>
      </c>
      <c r="J854" s="1">
        <v>109</v>
      </c>
      <c r="K854" s="1">
        <v>1</v>
      </c>
    </row>
    <row r="855" spans="3:11" x14ac:dyDescent="0.25">
      <c r="C855" s="1" t="s">
        <v>3348</v>
      </c>
      <c r="D855" s="1" t="s">
        <v>484</v>
      </c>
      <c r="E855" s="1" t="s">
        <v>3349</v>
      </c>
      <c r="F855" s="1">
        <v>16</v>
      </c>
      <c r="G855" s="1">
        <v>16</v>
      </c>
      <c r="H855" s="1">
        <v>0</v>
      </c>
      <c r="I855" s="1">
        <v>109</v>
      </c>
      <c r="J855" s="1">
        <v>93</v>
      </c>
      <c r="K855" s="1">
        <v>16</v>
      </c>
    </row>
    <row r="856" spans="3:11" x14ac:dyDescent="0.25">
      <c r="C856" s="1" t="s">
        <v>3350</v>
      </c>
      <c r="D856" s="1" t="s">
        <v>3351</v>
      </c>
      <c r="E856" s="1" t="s">
        <v>3352</v>
      </c>
      <c r="F856" s="1">
        <v>1</v>
      </c>
      <c r="G856" s="1">
        <v>1</v>
      </c>
      <c r="H856" s="1">
        <v>0</v>
      </c>
      <c r="I856" s="1">
        <v>108</v>
      </c>
      <c r="J856" s="1">
        <v>107</v>
      </c>
      <c r="K856" s="1">
        <v>1</v>
      </c>
    </row>
    <row r="857" spans="3:11" x14ac:dyDescent="0.25">
      <c r="C857" s="1" t="s">
        <v>3353</v>
      </c>
      <c r="D857" s="1" t="s">
        <v>3354</v>
      </c>
      <c r="E857" s="1" t="s">
        <v>3355</v>
      </c>
      <c r="F857" s="1">
        <v>0</v>
      </c>
      <c r="G857" s="1">
        <v>0</v>
      </c>
      <c r="H857" s="1">
        <v>0</v>
      </c>
      <c r="I857" s="1">
        <v>107</v>
      </c>
      <c r="J857" s="1">
        <v>107</v>
      </c>
      <c r="K857" s="1">
        <v>0</v>
      </c>
    </row>
    <row r="858" spans="3:11" x14ac:dyDescent="0.25">
      <c r="C858" s="1" t="s">
        <v>1705</v>
      </c>
      <c r="D858" s="1" t="s">
        <v>1706</v>
      </c>
      <c r="E858" s="1" t="s">
        <v>1707</v>
      </c>
      <c r="F858" s="1">
        <v>12</v>
      </c>
      <c r="G858" s="1">
        <v>12</v>
      </c>
      <c r="H858" s="1">
        <v>0</v>
      </c>
      <c r="I858" s="1">
        <v>107</v>
      </c>
      <c r="J858" s="1">
        <v>95</v>
      </c>
      <c r="K858" s="1">
        <v>12</v>
      </c>
    </row>
    <row r="859" spans="3:11" x14ac:dyDescent="0.25">
      <c r="C859" s="1" t="s">
        <v>1840</v>
      </c>
      <c r="D859" s="1" t="s">
        <v>187</v>
      </c>
      <c r="E859" s="1" t="s">
        <v>1841</v>
      </c>
      <c r="F859" s="1">
        <v>55</v>
      </c>
      <c r="G859" s="1">
        <v>55</v>
      </c>
      <c r="H859" s="1">
        <v>0</v>
      </c>
      <c r="I859" s="1">
        <v>107</v>
      </c>
      <c r="J859" s="1">
        <v>52</v>
      </c>
      <c r="K859" s="1">
        <v>55</v>
      </c>
    </row>
    <row r="860" spans="3:11" x14ac:dyDescent="0.25">
      <c r="C860" s="1" t="s">
        <v>3356</v>
      </c>
      <c r="D860" s="1" t="s">
        <v>3357</v>
      </c>
      <c r="E860" s="1" t="s">
        <v>3358</v>
      </c>
      <c r="F860" s="1">
        <v>2</v>
      </c>
      <c r="G860" s="1">
        <v>2</v>
      </c>
      <c r="H860" s="1">
        <v>0</v>
      </c>
      <c r="I860" s="1">
        <v>106</v>
      </c>
      <c r="J860" s="1">
        <v>104</v>
      </c>
      <c r="K860" s="1">
        <v>2</v>
      </c>
    </row>
    <row r="861" spans="3:11" x14ac:dyDescent="0.25">
      <c r="C861" s="1" t="s">
        <v>1708</v>
      </c>
      <c r="D861" s="1" t="s">
        <v>1709</v>
      </c>
      <c r="E861" s="1" t="s">
        <v>1710</v>
      </c>
      <c r="F861" s="1">
        <v>5</v>
      </c>
      <c r="G861" s="1">
        <v>5</v>
      </c>
      <c r="H861" s="1">
        <v>0</v>
      </c>
      <c r="I861" s="1">
        <v>105</v>
      </c>
      <c r="J861" s="1">
        <v>100</v>
      </c>
      <c r="K861" s="1">
        <v>5</v>
      </c>
    </row>
    <row r="862" spans="3:11" x14ac:dyDescent="0.25">
      <c r="C862" s="1" t="s">
        <v>3359</v>
      </c>
      <c r="D862" s="1" t="s">
        <v>615</v>
      </c>
      <c r="E862" s="1" t="s">
        <v>3360</v>
      </c>
      <c r="F862" s="1">
        <v>34</v>
      </c>
      <c r="G862" s="1">
        <v>34</v>
      </c>
      <c r="H862" s="1">
        <v>0</v>
      </c>
      <c r="I862" s="1">
        <v>105</v>
      </c>
      <c r="J862" s="1">
        <v>71</v>
      </c>
      <c r="K862" s="1">
        <v>34</v>
      </c>
    </row>
    <row r="863" spans="3:11" x14ac:dyDescent="0.25">
      <c r="C863" s="1" t="s">
        <v>3361</v>
      </c>
      <c r="D863" s="1" t="s">
        <v>3362</v>
      </c>
      <c r="E863" s="1" t="s">
        <v>3363</v>
      </c>
      <c r="F863" s="1">
        <v>0</v>
      </c>
      <c r="G863" s="1">
        <v>0</v>
      </c>
      <c r="H863" s="1">
        <v>0</v>
      </c>
      <c r="I863" s="1">
        <v>105</v>
      </c>
      <c r="J863" s="1">
        <v>105</v>
      </c>
      <c r="K863" s="1">
        <v>0</v>
      </c>
    </row>
    <row r="864" spans="3:11" x14ac:dyDescent="0.25">
      <c r="C864" s="1" t="s">
        <v>3364</v>
      </c>
      <c r="D864" s="1" t="s">
        <v>2153</v>
      </c>
      <c r="E864" s="1" t="s">
        <v>3365</v>
      </c>
      <c r="F864" s="1">
        <v>9</v>
      </c>
      <c r="G864" s="1">
        <v>9</v>
      </c>
      <c r="H864" s="1">
        <v>0</v>
      </c>
      <c r="I864" s="1">
        <v>105</v>
      </c>
      <c r="J864" s="1">
        <v>96</v>
      </c>
      <c r="K864" s="1">
        <v>9</v>
      </c>
    </row>
    <row r="865" spans="3:11" x14ac:dyDescent="0.25">
      <c r="C865" s="1" t="s">
        <v>1711</v>
      </c>
      <c r="D865" s="1" t="s">
        <v>178</v>
      </c>
      <c r="E865" s="1" t="s">
        <v>1712</v>
      </c>
      <c r="F865" s="1">
        <v>53</v>
      </c>
      <c r="G865" s="1">
        <v>53</v>
      </c>
      <c r="H865" s="1">
        <v>0</v>
      </c>
      <c r="I865" s="1">
        <v>104</v>
      </c>
      <c r="J865" s="1">
        <v>51</v>
      </c>
      <c r="K865" s="1">
        <v>53</v>
      </c>
    </row>
    <row r="866" spans="3:11" x14ac:dyDescent="0.25">
      <c r="C866" s="1" t="s">
        <v>1716</v>
      </c>
      <c r="D866" s="1" t="s">
        <v>1717</v>
      </c>
      <c r="E866" s="1" t="s">
        <v>1718</v>
      </c>
      <c r="F866" s="1">
        <v>0</v>
      </c>
      <c r="G866" s="1">
        <v>0</v>
      </c>
      <c r="H866" s="1">
        <v>0</v>
      </c>
      <c r="I866" s="1">
        <v>103</v>
      </c>
      <c r="J866" s="1">
        <v>103</v>
      </c>
      <c r="K866" s="1">
        <v>0</v>
      </c>
    </row>
    <row r="867" spans="3:11" x14ac:dyDescent="0.25">
      <c r="C867" s="1" t="s">
        <v>3366</v>
      </c>
      <c r="D867" s="1" t="s">
        <v>3367</v>
      </c>
      <c r="E867" s="1" t="s">
        <v>3366</v>
      </c>
      <c r="F867" s="1">
        <v>0</v>
      </c>
      <c r="G867" s="1">
        <v>0</v>
      </c>
      <c r="H867" s="1">
        <v>0</v>
      </c>
      <c r="I867" s="1">
        <v>103</v>
      </c>
      <c r="J867" s="1">
        <v>103</v>
      </c>
      <c r="K867" s="1">
        <v>0</v>
      </c>
    </row>
    <row r="868" spans="3:11" x14ac:dyDescent="0.25">
      <c r="C868" s="1" t="s">
        <v>3377</v>
      </c>
      <c r="D868" s="1" t="s">
        <v>3378</v>
      </c>
      <c r="E868" s="1" t="s">
        <v>3379</v>
      </c>
      <c r="F868" s="1">
        <v>3</v>
      </c>
      <c r="G868" s="1">
        <v>3</v>
      </c>
      <c r="H868" s="1">
        <v>0</v>
      </c>
      <c r="I868" s="1">
        <v>103</v>
      </c>
      <c r="J868" s="1">
        <v>100</v>
      </c>
      <c r="K868" s="1">
        <v>3</v>
      </c>
    </row>
    <row r="869" spans="3:11" x14ac:dyDescent="0.25">
      <c r="C869" s="1" t="s">
        <v>3394</v>
      </c>
      <c r="D869" s="1" t="s">
        <v>3395</v>
      </c>
      <c r="E869" s="1" t="s">
        <v>3396</v>
      </c>
      <c r="F869" s="1">
        <v>3</v>
      </c>
      <c r="G869" s="1">
        <v>3</v>
      </c>
      <c r="H869" s="1">
        <v>0</v>
      </c>
      <c r="I869" s="1">
        <v>102</v>
      </c>
      <c r="J869" s="1">
        <v>99</v>
      </c>
      <c r="K869" s="1">
        <v>3</v>
      </c>
    </row>
    <row r="870" spans="3:11" x14ac:dyDescent="0.25">
      <c r="C870" s="1" t="s">
        <v>3368</v>
      </c>
      <c r="D870" s="1" t="s">
        <v>3369</v>
      </c>
      <c r="E870" s="1" t="s">
        <v>3370</v>
      </c>
      <c r="F870" s="1">
        <v>11</v>
      </c>
      <c r="G870" s="1">
        <v>11</v>
      </c>
      <c r="H870" s="1">
        <v>0</v>
      </c>
      <c r="I870" s="1">
        <v>102</v>
      </c>
      <c r="J870" s="1">
        <v>91</v>
      </c>
      <c r="K870" s="1">
        <v>11</v>
      </c>
    </row>
    <row r="871" spans="3:11" x14ac:dyDescent="0.25">
      <c r="C871" s="1" t="s">
        <v>3383</v>
      </c>
      <c r="D871" s="1" t="s">
        <v>3384</v>
      </c>
      <c r="E871" s="1" t="s">
        <v>3383</v>
      </c>
      <c r="F871" s="1">
        <v>3</v>
      </c>
      <c r="G871" s="1">
        <v>3</v>
      </c>
      <c r="H871" s="1">
        <v>0</v>
      </c>
      <c r="I871" s="1">
        <v>102</v>
      </c>
      <c r="J871" s="1">
        <v>99</v>
      </c>
      <c r="K871" s="1">
        <v>3</v>
      </c>
    </row>
    <row r="872" spans="3:11" x14ac:dyDescent="0.25">
      <c r="C872" s="1" t="s">
        <v>3371</v>
      </c>
      <c r="D872" s="1" t="s">
        <v>3372</v>
      </c>
      <c r="E872" s="1" t="s">
        <v>3373</v>
      </c>
      <c r="F872" s="1">
        <v>7</v>
      </c>
      <c r="G872" s="1">
        <v>7</v>
      </c>
      <c r="H872" s="1">
        <v>0</v>
      </c>
      <c r="I872" s="1">
        <v>101</v>
      </c>
      <c r="J872" s="1">
        <v>94</v>
      </c>
      <c r="K872" s="1">
        <v>7</v>
      </c>
    </row>
    <row r="873" spans="3:11" x14ac:dyDescent="0.25">
      <c r="C873" s="1" t="s">
        <v>3374</v>
      </c>
      <c r="D873" s="1" t="s">
        <v>3375</v>
      </c>
      <c r="E873" s="1" t="s">
        <v>3376</v>
      </c>
      <c r="F873" s="1">
        <v>-2</v>
      </c>
      <c r="G873" s="1">
        <v>-2</v>
      </c>
      <c r="H873" s="1">
        <v>0</v>
      </c>
      <c r="I873" s="1">
        <v>101</v>
      </c>
      <c r="J873" s="1">
        <v>103</v>
      </c>
      <c r="K873" s="1">
        <v>-2</v>
      </c>
    </row>
    <row r="874" spans="3:11" x14ac:dyDescent="0.25">
      <c r="C874" s="1" t="s">
        <v>1845</v>
      </c>
      <c r="D874" s="1" t="s">
        <v>1846</v>
      </c>
      <c r="E874" s="1" t="s">
        <v>1847</v>
      </c>
      <c r="F874" s="1">
        <v>6</v>
      </c>
      <c r="G874" s="1">
        <v>6</v>
      </c>
      <c r="H874" s="1">
        <v>0</v>
      </c>
      <c r="I874" s="1">
        <v>101</v>
      </c>
      <c r="J874" s="1">
        <v>95</v>
      </c>
      <c r="K874" s="1">
        <v>6</v>
      </c>
    </row>
    <row r="875" spans="3:11" x14ac:dyDescent="0.25">
      <c r="C875" s="1" t="s">
        <v>1728</v>
      </c>
      <c r="D875" s="1" t="s">
        <v>1729</v>
      </c>
      <c r="E875" s="1" t="s">
        <v>1730</v>
      </c>
      <c r="F875" s="1">
        <v>45</v>
      </c>
      <c r="G875" s="1">
        <v>45</v>
      </c>
      <c r="H875" s="1">
        <v>0</v>
      </c>
      <c r="I875" s="1">
        <v>100</v>
      </c>
      <c r="J875" s="1">
        <v>55</v>
      </c>
      <c r="K875" s="1">
        <v>45</v>
      </c>
    </row>
    <row r="876" spans="3:11" x14ac:dyDescent="0.25">
      <c r="C876" s="1" t="s">
        <v>3380</v>
      </c>
      <c r="D876" s="1" t="s">
        <v>3381</v>
      </c>
      <c r="E876" s="1" t="s">
        <v>3382</v>
      </c>
      <c r="F876" s="1">
        <v>0</v>
      </c>
      <c r="G876" s="1">
        <v>0</v>
      </c>
      <c r="H876" s="1">
        <v>0</v>
      </c>
      <c r="I876" s="1">
        <v>100</v>
      </c>
      <c r="J876" s="1">
        <v>100</v>
      </c>
      <c r="K876" s="1">
        <v>0</v>
      </c>
    </row>
    <row r="877" spans="3:11" x14ac:dyDescent="0.25">
      <c r="C877" s="1" t="s">
        <v>3385</v>
      </c>
      <c r="D877" s="1" t="s">
        <v>3386</v>
      </c>
      <c r="E877" s="1" t="s">
        <v>3387</v>
      </c>
      <c r="F877" s="1">
        <v>0</v>
      </c>
      <c r="G877" s="1">
        <v>0</v>
      </c>
      <c r="H877" s="1">
        <v>0</v>
      </c>
      <c r="I877" s="1">
        <v>99</v>
      </c>
      <c r="J877" s="1">
        <v>99</v>
      </c>
      <c r="K877" s="1">
        <v>0</v>
      </c>
    </row>
    <row r="878" spans="3:11" x14ac:dyDescent="0.25">
      <c r="C878" s="1" t="s">
        <v>1722</v>
      </c>
      <c r="D878" s="1" t="s">
        <v>1723</v>
      </c>
      <c r="E878" s="1" t="s">
        <v>1724</v>
      </c>
      <c r="F878" s="1">
        <v>18</v>
      </c>
      <c r="G878" s="1">
        <v>18</v>
      </c>
      <c r="H878" s="1">
        <v>0</v>
      </c>
      <c r="I878" s="1">
        <v>98</v>
      </c>
      <c r="J878" s="1">
        <v>80</v>
      </c>
      <c r="K878" s="1">
        <v>18</v>
      </c>
    </row>
    <row r="879" spans="3:11" x14ac:dyDescent="0.25">
      <c r="C879" s="1" t="s">
        <v>1765</v>
      </c>
      <c r="D879" s="1" t="s">
        <v>1766</v>
      </c>
      <c r="E879" s="1" t="s">
        <v>1765</v>
      </c>
      <c r="F879" s="1">
        <v>1</v>
      </c>
      <c r="G879" s="1">
        <v>1</v>
      </c>
      <c r="H879" s="1">
        <v>0</v>
      </c>
      <c r="I879" s="1">
        <v>98</v>
      </c>
      <c r="J879" s="1">
        <v>97</v>
      </c>
      <c r="K879" s="1">
        <v>1</v>
      </c>
    </row>
    <row r="880" spans="3:11" x14ac:dyDescent="0.25">
      <c r="C880" s="1" t="s">
        <v>3388</v>
      </c>
      <c r="D880" s="1" t="s">
        <v>3389</v>
      </c>
      <c r="E880" s="1" t="s">
        <v>3390</v>
      </c>
      <c r="F880" s="1">
        <v>0</v>
      </c>
      <c r="G880" s="1">
        <v>0</v>
      </c>
      <c r="H880" s="1">
        <v>0</v>
      </c>
      <c r="I880" s="1">
        <v>98</v>
      </c>
      <c r="J880" s="1">
        <v>98</v>
      </c>
      <c r="K880" s="1">
        <v>0</v>
      </c>
    </row>
    <row r="881" spans="3:11" x14ac:dyDescent="0.25">
      <c r="C881" s="1" t="s">
        <v>1734</v>
      </c>
      <c r="D881" s="1" t="s">
        <v>1735</v>
      </c>
      <c r="E881" s="1" t="s">
        <v>1736</v>
      </c>
      <c r="F881" s="1">
        <v>-4</v>
      </c>
      <c r="G881" s="1">
        <v>-4</v>
      </c>
      <c r="H881" s="1">
        <v>0</v>
      </c>
      <c r="I881" s="1">
        <v>98</v>
      </c>
      <c r="J881" s="1">
        <v>102</v>
      </c>
      <c r="K881" s="1">
        <v>-4</v>
      </c>
    </row>
    <row r="882" spans="3:11" x14ac:dyDescent="0.25">
      <c r="C882" s="1" t="s">
        <v>3391</v>
      </c>
      <c r="D882" s="1" t="s">
        <v>3392</v>
      </c>
      <c r="E882" s="1" t="s">
        <v>3393</v>
      </c>
      <c r="F882" s="1">
        <v>13</v>
      </c>
      <c r="G882" s="1">
        <v>13</v>
      </c>
      <c r="H882" s="1">
        <v>0</v>
      </c>
      <c r="I882" s="1">
        <v>98</v>
      </c>
      <c r="J882" s="1">
        <v>85</v>
      </c>
      <c r="K882" s="1">
        <v>13</v>
      </c>
    </row>
    <row r="883" spans="3:11" x14ac:dyDescent="0.25">
      <c r="C883" s="1" t="s">
        <v>1749</v>
      </c>
      <c r="D883" s="1" t="s">
        <v>1750</v>
      </c>
      <c r="E883" s="1" t="s">
        <v>1751</v>
      </c>
      <c r="F883" s="1">
        <v>-5</v>
      </c>
      <c r="G883" s="1">
        <v>-5</v>
      </c>
      <c r="H883" s="1">
        <v>0</v>
      </c>
      <c r="I883" s="1">
        <v>97</v>
      </c>
      <c r="J883" s="1">
        <v>102</v>
      </c>
      <c r="K883" s="1">
        <v>-5</v>
      </c>
    </row>
    <row r="884" spans="3:11" x14ac:dyDescent="0.25">
      <c r="C884" s="1" t="s">
        <v>3397</v>
      </c>
      <c r="D884" s="1" t="s">
        <v>3398</v>
      </c>
      <c r="E884" s="1" t="s">
        <v>3399</v>
      </c>
      <c r="F884" s="1">
        <v>5</v>
      </c>
      <c r="G884" s="1">
        <v>5</v>
      </c>
      <c r="H884" s="1">
        <v>0</v>
      </c>
      <c r="I884" s="1">
        <v>97</v>
      </c>
      <c r="J884" s="1">
        <v>92</v>
      </c>
      <c r="K884" s="1">
        <v>5</v>
      </c>
    </row>
    <row r="885" spans="3:11" x14ac:dyDescent="0.25">
      <c r="C885" s="1" t="s">
        <v>1971</v>
      </c>
      <c r="D885" s="1" t="s">
        <v>1972</v>
      </c>
      <c r="E885" s="1" t="s">
        <v>1973</v>
      </c>
      <c r="F885" s="1">
        <v>0</v>
      </c>
      <c r="G885" s="1">
        <v>0</v>
      </c>
      <c r="H885" s="1">
        <v>0</v>
      </c>
      <c r="I885" s="1">
        <v>97</v>
      </c>
      <c r="J885" s="1">
        <v>97</v>
      </c>
      <c r="K885" s="1">
        <v>0</v>
      </c>
    </row>
    <row r="886" spans="3:11" x14ac:dyDescent="0.25">
      <c r="C886" s="1" t="s">
        <v>3400</v>
      </c>
      <c r="D886" s="1" t="s">
        <v>3401</v>
      </c>
      <c r="E886" s="1" t="s">
        <v>3400</v>
      </c>
      <c r="F886" s="1">
        <v>3</v>
      </c>
      <c r="G886" s="1">
        <v>3</v>
      </c>
      <c r="H886" s="1">
        <v>0</v>
      </c>
      <c r="I886" s="1">
        <v>96</v>
      </c>
      <c r="J886" s="1">
        <v>93</v>
      </c>
      <c r="K886" s="1">
        <v>3</v>
      </c>
    </row>
    <row r="887" spans="3:11" x14ac:dyDescent="0.25">
      <c r="C887" s="1" t="s">
        <v>3402</v>
      </c>
      <c r="D887" s="1" t="s">
        <v>3403</v>
      </c>
      <c r="E887" s="1" t="s">
        <v>3404</v>
      </c>
      <c r="F887" s="1">
        <v>-1</v>
      </c>
      <c r="G887" s="1">
        <v>-1</v>
      </c>
      <c r="H887" s="1">
        <v>0</v>
      </c>
      <c r="I887" s="1">
        <v>96</v>
      </c>
      <c r="J887" s="1">
        <v>97</v>
      </c>
      <c r="K887" s="1">
        <v>-1</v>
      </c>
    </row>
    <row r="888" spans="3:11" x14ac:dyDescent="0.25">
      <c r="C888" s="1" t="s">
        <v>1795</v>
      </c>
      <c r="D888" s="1" t="s">
        <v>1796</v>
      </c>
      <c r="E888" s="1" t="s">
        <v>1797</v>
      </c>
      <c r="F888" s="1">
        <v>2</v>
      </c>
      <c r="G888" s="1">
        <v>2</v>
      </c>
      <c r="H888" s="1">
        <v>0</v>
      </c>
      <c r="I888" s="1">
        <v>96</v>
      </c>
      <c r="J888" s="1">
        <v>94</v>
      </c>
      <c r="K888" s="1">
        <v>2</v>
      </c>
    </row>
    <row r="889" spans="3:11" x14ac:dyDescent="0.25">
      <c r="C889" s="1" t="s">
        <v>1877</v>
      </c>
      <c r="D889" s="1" t="s">
        <v>1878</v>
      </c>
      <c r="E889" s="1" t="s">
        <v>1877</v>
      </c>
      <c r="F889" s="1">
        <v>17</v>
      </c>
      <c r="G889" s="1">
        <v>17</v>
      </c>
      <c r="H889" s="1">
        <v>0</v>
      </c>
      <c r="I889" s="1">
        <v>96</v>
      </c>
      <c r="J889" s="1">
        <v>79</v>
      </c>
      <c r="K889" s="1">
        <v>17</v>
      </c>
    </row>
    <row r="890" spans="3:11" x14ac:dyDescent="0.25">
      <c r="C890" s="1" t="s">
        <v>1731</v>
      </c>
      <c r="D890" s="1" t="s">
        <v>1732</v>
      </c>
      <c r="E890" s="1" t="s">
        <v>1733</v>
      </c>
      <c r="F890" s="1">
        <v>0</v>
      </c>
      <c r="G890" s="1">
        <v>0</v>
      </c>
      <c r="H890" s="1">
        <v>0</v>
      </c>
      <c r="I890" s="1">
        <v>95</v>
      </c>
      <c r="J890" s="1">
        <v>95</v>
      </c>
      <c r="K890" s="1">
        <v>0</v>
      </c>
    </row>
    <row r="891" spans="3:11" x14ac:dyDescent="0.25">
      <c r="C891" s="1" t="s">
        <v>3405</v>
      </c>
      <c r="D891" s="1" t="s">
        <v>3406</v>
      </c>
      <c r="E891" s="1" t="s">
        <v>3407</v>
      </c>
      <c r="F891" s="1">
        <v>0</v>
      </c>
      <c r="G891" s="1">
        <v>0</v>
      </c>
      <c r="H891" s="1">
        <v>0</v>
      </c>
      <c r="I891" s="1">
        <v>95</v>
      </c>
      <c r="J891" s="1">
        <v>95</v>
      </c>
      <c r="K891" s="1">
        <v>0</v>
      </c>
    </row>
    <row r="892" spans="3:11" x14ac:dyDescent="0.25">
      <c r="C892" s="1" t="s">
        <v>1755</v>
      </c>
      <c r="D892" s="1" t="s">
        <v>1756</v>
      </c>
      <c r="E892" s="1" t="s">
        <v>1757</v>
      </c>
      <c r="F892" s="1">
        <v>23</v>
      </c>
      <c r="G892" s="1">
        <v>23</v>
      </c>
      <c r="H892" s="1">
        <v>0</v>
      </c>
      <c r="I892" s="1">
        <v>95</v>
      </c>
      <c r="J892" s="1">
        <v>72</v>
      </c>
      <c r="K892" s="1">
        <v>23</v>
      </c>
    </row>
    <row r="893" spans="3:11" x14ac:dyDescent="0.25">
      <c r="C893" s="1" t="s">
        <v>3408</v>
      </c>
      <c r="D893" s="1" t="s">
        <v>486</v>
      </c>
      <c r="E893" s="1" t="s">
        <v>3409</v>
      </c>
      <c r="F893" s="1">
        <v>5</v>
      </c>
      <c r="G893" s="1">
        <v>5</v>
      </c>
      <c r="H893" s="1">
        <v>0</v>
      </c>
      <c r="I893" s="1">
        <v>95</v>
      </c>
      <c r="J893" s="1">
        <v>90</v>
      </c>
      <c r="K893" s="1">
        <v>5</v>
      </c>
    </row>
    <row r="894" spans="3:11" x14ac:dyDescent="0.25">
      <c r="C894" s="1" t="s">
        <v>3423</v>
      </c>
      <c r="D894" s="1" t="s">
        <v>3424</v>
      </c>
      <c r="E894" s="1" t="s">
        <v>3425</v>
      </c>
      <c r="F894" s="1">
        <v>9</v>
      </c>
      <c r="G894" s="1">
        <v>9</v>
      </c>
      <c r="H894" s="1">
        <v>0</v>
      </c>
      <c r="I894" s="1">
        <v>95</v>
      </c>
      <c r="J894" s="1">
        <v>86</v>
      </c>
      <c r="K894" s="1">
        <v>9</v>
      </c>
    </row>
    <row r="895" spans="3:11" x14ac:dyDescent="0.25">
      <c r="C895" s="1" t="s">
        <v>3410</v>
      </c>
      <c r="D895" s="1" t="s">
        <v>3411</v>
      </c>
      <c r="E895" s="1" t="s">
        <v>3412</v>
      </c>
      <c r="F895" s="1">
        <v>-5</v>
      </c>
      <c r="G895" s="1">
        <v>-5</v>
      </c>
      <c r="H895" s="1">
        <v>0</v>
      </c>
      <c r="I895" s="1">
        <v>94</v>
      </c>
      <c r="J895" s="1">
        <v>99</v>
      </c>
      <c r="K895" s="1">
        <v>-5</v>
      </c>
    </row>
    <row r="896" spans="3:11" x14ac:dyDescent="0.25">
      <c r="C896" s="1" t="s">
        <v>3415</v>
      </c>
      <c r="D896" s="1" t="s">
        <v>3416</v>
      </c>
      <c r="E896" s="1" t="s">
        <v>3417</v>
      </c>
      <c r="F896" s="1">
        <v>28</v>
      </c>
      <c r="G896" s="1">
        <v>28</v>
      </c>
      <c r="H896" s="1">
        <v>0</v>
      </c>
      <c r="I896" s="1">
        <v>94</v>
      </c>
      <c r="J896" s="1">
        <v>66</v>
      </c>
      <c r="K896" s="1">
        <v>28</v>
      </c>
    </row>
    <row r="897" spans="3:11" x14ac:dyDescent="0.25">
      <c r="C897" s="1" t="s">
        <v>3418</v>
      </c>
      <c r="D897" s="1" t="s">
        <v>3419</v>
      </c>
      <c r="E897" s="1" t="s">
        <v>3420</v>
      </c>
      <c r="F897" s="1">
        <v>0</v>
      </c>
      <c r="G897" s="1">
        <v>0</v>
      </c>
      <c r="H897" s="1">
        <v>0</v>
      </c>
      <c r="I897" s="1">
        <v>94</v>
      </c>
      <c r="J897" s="1">
        <v>94</v>
      </c>
      <c r="K897" s="1">
        <v>0</v>
      </c>
    </row>
    <row r="898" spans="3:11" x14ac:dyDescent="0.25">
      <c r="C898" s="1" t="s">
        <v>1743</v>
      </c>
      <c r="D898" s="1" t="s">
        <v>1744</v>
      </c>
      <c r="E898" s="1" t="s">
        <v>1745</v>
      </c>
      <c r="F898" s="1">
        <v>17</v>
      </c>
      <c r="G898" s="1">
        <v>17</v>
      </c>
      <c r="H898" s="1">
        <v>0</v>
      </c>
      <c r="I898" s="1">
        <v>93</v>
      </c>
      <c r="J898" s="1">
        <v>76</v>
      </c>
      <c r="K898" s="1">
        <v>17</v>
      </c>
    </row>
    <row r="899" spans="3:11" x14ac:dyDescent="0.25">
      <c r="C899" s="1" t="s">
        <v>3421</v>
      </c>
      <c r="D899" s="1" t="s">
        <v>729</v>
      </c>
      <c r="E899" s="1" t="s">
        <v>3422</v>
      </c>
      <c r="F899" s="1">
        <v>0</v>
      </c>
      <c r="G899" s="1">
        <v>0</v>
      </c>
      <c r="H899" s="1">
        <v>0</v>
      </c>
      <c r="I899" s="1">
        <v>93</v>
      </c>
      <c r="J899" s="1">
        <v>93</v>
      </c>
      <c r="K899" s="1">
        <v>0</v>
      </c>
    </row>
    <row r="900" spans="3:11" x14ac:dyDescent="0.25">
      <c r="C900" s="1" t="s">
        <v>2052</v>
      </c>
      <c r="D900" s="1" t="s">
        <v>2053</v>
      </c>
      <c r="E900" s="1" t="s">
        <v>2054</v>
      </c>
      <c r="F900" s="1">
        <v>1</v>
      </c>
      <c r="G900" s="1">
        <v>1</v>
      </c>
      <c r="H900" s="1">
        <v>0</v>
      </c>
      <c r="I900" s="1">
        <v>93</v>
      </c>
      <c r="J900" s="1">
        <v>92</v>
      </c>
      <c r="K900" s="1">
        <v>1</v>
      </c>
    </row>
    <row r="901" spans="3:11" x14ac:dyDescent="0.25">
      <c r="C901" s="1" t="s">
        <v>3426</v>
      </c>
      <c r="D901" s="1" t="s">
        <v>730</v>
      </c>
      <c r="E901" s="1" t="s">
        <v>3427</v>
      </c>
      <c r="F901" s="1">
        <v>28</v>
      </c>
      <c r="G901" s="1">
        <v>28</v>
      </c>
      <c r="H901" s="1">
        <v>0</v>
      </c>
      <c r="I901" s="1">
        <v>91</v>
      </c>
      <c r="J901" s="1">
        <v>63</v>
      </c>
      <c r="K901" s="1">
        <v>28</v>
      </c>
    </row>
    <row r="902" spans="3:11" x14ac:dyDescent="0.25">
      <c r="C902" s="1" t="s">
        <v>3428</v>
      </c>
      <c r="D902" s="1" t="s">
        <v>3429</v>
      </c>
      <c r="E902" s="1" t="s">
        <v>3430</v>
      </c>
      <c r="F902" s="1">
        <v>1</v>
      </c>
      <c r="G902" s="1">
        <v>1</v>
      </c>
      <c r="H902" s="1">
        <v>0</v>
      </c>
      <c r="I902" s="1">
        <v>91</v>
      </c>
      <c r="J902" s="1">
        <v>90</v>
      </c>
      <c r="K902" s="1">
        <v>1</v>
      </c>
    </row>
    <row r="903" spans="3:11" x14ac:dyDescent="0.25">
      <c r="C903" s="1" t="s">
        <v>3431</v>
      </c>
      <c r="D903" s="1" t="s">
        <v>3432</v>
      </c>
      <c r="E903" s="1" t="s">
        <v>3433</v>
      </c>
      <c r="F903" s="1">
        <v>1</v>
      </c>
      <c r="G903" s="1">
        <v>1</v>
      </c>
      <c r="H903" s="1">
        <v>0</v>
      </c>
      <c r="I903" s="1">
        <v>90</v>
      </c>
      <c r="J903" s="1">
        <v>89</v>
      </c>
      <c r="K903" s="1">
        <v>1</v>
      </c>
    </row>
    <row r="904" spans="3:11" x14ac:dyDescent="0.25">
      <c r="C904" s="1" t="s">
        <v>3434</v>
      </c>
      <c r="D904" s="1" t="s">
        <v>3435</v>
      </c>
      <c r="E904" s="1" t="s">
        <v>3436</v>
      </c>
      <c r="F904" s="1">
        <v>24</v>
      </c>
      <c r="G904" s="1">
        <v>24</v>
      </c>
      <c r="H904" s="1">
        <v>0</v>
      </c>
      <c r="I904" s="1">
        <v>90</v>
      </c>
      <c r="J904" s="1">
        <v>66</v>
      </c>
      <c r="K904" s="1">
        <v>24</v>
      </c>
    </row>
    <row r="905" spans="3:11" x14ac:dyDescent="0.25">
      <c r="C905" s="1" t="s">
        <v>3437</v>
      </c>
      <c r="D905" s="1" t="s">
        <v>3438</v>
      </c>
      <c r="E905" s="1" t="s">
        <v>3439</v>
      </c>
      <c r="F905" s="1">
        <v>7</v>
      </c>
      <c r="G905" s="1">
        <v>7</v>
      </c>
      <c r="H905" s="1">
        <v>0</v>
      </c>
      <c r="I905" s="1">
        <v>90</v>
      </c>
      <c r="J905" s="1">
        <v>83</v>
      </c>
      <c r="K905" s="1">
        <v>7</v>
      </c>
    </row>
    <row r="906" spans="3:11" x14ac:dyDescent="0.25">
      <c r="C906" s="1" t="s">
        <v>4293</v>
      </c>
      <c r="D906" s="1" t="s">
        <v>4294</v>
      </c>
      <c r="E906" s="1" t="s">
        <v>4295</v>
      </c>
      <c r="F906" s="1">
        <v>68</v>
      </c>
      <c r="G906" s="1">
        <v>68</v>
      </c>
      <c r="H906" s="1">
        <v>0</v>
      </c>
      <c r="I906" s="1">
        <v>90</v>
      </c>
      <c r="J906" s="1">
        <v>22</v>
      </c>
      <c r="K906" s="1">
        <v>68</v>
      </c>
    </row>
    <row r="907" spans="3:11" x14ac:dyDescent="0.25">
      <c r="C907" s="1" t="s">
        <v>607</v>
      </c>
      <c r="D907" s="1" t="s">
        <v>608</v>
      </c>
      <c r="E907" s="1" t="s">
        <v>607</v>
      </c>
      <c r="F907" s="1">
        <v>58</v>
      </c>
      <c r="G907" s="1">
        <v>58</v>
      </c>
      <c r="H907" s="1">
        <v>0</v>
      </c>
      <c r="I907" s="1">
        <v>89</v>
      </c>
      <c r="J907" s="1">
        <v>31</v>
      </c>
      <c r="K907" s="1">
        <v>58</v>
      </c>
    </row>
    <row r="908" spans="3:11" x14ac:dyDescent="0.25">
      <c r="C908" s="1" t="s">
        <v>3440</v>
      </c>
      <c r="D908" s="1" t="s">
        <v>3441</v>
      </c>
      <c r="E908" s="1" t="s">
        <v>3442</v>
      </c>
      <c r="F908" s="1">
        <v>2</v>
      </c>
      <c r="G908" s="1">
        <v>2</v>
      </c>
      <c r="H908" s="1">
        <v>0</v>
      </c>
      <c r="I908" s="1">
        <v>89</v>
      </c>
      <c r="J908" s="1">
        <v>87</v>
      </c>
      <c r="K908" s="1">
        <v>2</v>
      </c>
    </row>
    <row r="909" spans="3:11" x14ac:dyDescent="0.25">
      <c r="C909" s="1" t="s">
        <v>3443</v>
      </c>
      <c r="D909" s="1" t="s">
        <v>823</v>
      </c>
      <c r="E909" s="1" t="s">
        <v>3444</v>
      </c>
      <c r="F909" s="1">
        <v>23</v>
      </c>
      <c r="G909" s="1">
        <v>23</v>
      </c>
      <c r="H909" s="1">
        <v>0</v>
      </c>
      <c r="I909" s="1">
        <v>89</v>
      </c>
      <c r="J909" s="1">
        <v>66</v>
      </c>
      <c r="K909" s="1">
        <v>23</v>
      </c>
    </row>
    <row r="910" spans="3:11" x14ac:dyDescent="0.25">
      <c r="C910" s="1" t="s">
        <v>1899</v>
      </c>
      <c r="D910" s="1" t="s">
        <v>1900</v>
      </c>
      <c r="E910" s="1" t="s">
        <v>1901</v>
      </c>
      <c r="F910" s="1">
        <v>0</v>
      </c>
      <c r="G910" s="1">
        <v>0</v>
      </c>
      <c r="H910" s="1">
        <v>0</v>
      </c>
      <c r="I910" s="1">
        <v>89</v>
      </c>
      <c r="J910" s="1">
        <v>89</v>
      </c>
      <c r="K910" s="1">
        <v>0</v>
      </c>
    </row>
    <row r="911" spans="3:11" x14ac:dyDescent="0.25">
      <c r="C911" s="1" t="s">
        <v>3445</v>
      </c>
      <c r="D911" s="1" t="s">
        <v>3446</v>
      </c>
      <c r="E911" s="1" t="s">
        <v>3445</v>
      </c>
      <c r="F911" s="1">
        <v>-1</v>
      </c>
      <c r="G911" s="1">
        <v>-1</v>
      </c>
      <c r="H911" s="1">
        <v>0</v>
      </c>
      <c r="I911" s="1">
        <v>88</v>
      </c>
      <c r="J911" s="1">
        <v>89</v>
      </c>
      <c r="K911" s="1">
        <v>-1</v>
      </c>
    </row>
    <row r="912" spans="3:11" x14ac:dyDescent="0.25">
      <c r="C912" s="1" t="s">
        <v>3447</v>
      </c>
      <c r="D912" s="1" t="s">
        <v>731</v>
      </c>
      <c r="E912" s="1" t="s">
        <v>3448</v>
      </c>
      <c r="F912" s="1">
        <v>5</v>
      </c>
      <c r="G912" s="1">
        <v>5</v>
      </c>
      <c r="H912" s="1">
        <v>0</v>
      </c>
      <c r="I912" s="1">
        <v>88</v>
      </c>
      <c r="J912" s="1">
        <v>83</v>
      </c>
      <c r="K912" s="1">
        <v>5</v>
      </c>
    </row>
    <row r="913" spans="3:11" x14ac:dyDescent="0.25">
      <c r="C913" s="1" t="s">
        <v>3449</v>
      </c>
      <c r="D913" s="1" t="s">
        <v>3450</v>
      </c>
      <c r="E913" s="1" t="s">
        <v>3451</v>
      </c>
      <c r="F913" s="1">
        <v>2</v>
      </c>
      <c r="G913" s="1">
        <v>2</v>
      </c>
      <c r="H913" s="1">
        <v>0</v>
      </c>
      <c r="I913" s="1">
        <v>87</v>
      </c>
      <c r="J913" s="1">
        <v>85</v>
      </c>
      <c r="K913" s="1">
        <v>2</v>
      </c>
    </row>
    <row r="914" spans="3:11" x14ac:dyDescent="0.25">
      <c r="C914" s="1" t="s">
        <v>3452</v>
      </c>
      <c r="D914" s="1" t="s">
        <v>3453</v>
      </c>
      <c r="E914" s="1" t="s">
        <v>3454</v>
      </c>
      <c r="F914" s="1">
        <v>1</v>
      </c>
      <c r="G914" s="1">
        <v>1</v>
      </c>
      <c r="H914" s="1">
        <v>0</v>
      </c>
      <c r="I914" s="1">
        <v>87</v>
      </c>
      <c r="J914" s="1">
        <v>86</v>
      </c>
      <c r="K914" s="1">
        <v>1</v>
      </c>
    </row>
    <row r="915" spans="3:11" x14ac:dyDescent="0.25">
      <c r="C915" s="1" t="s">
        <v>1752</v>
      </c>
      <c r="D915" s="1" t="s">
        <v>1753</v>
      </c>
      <c r="E915" s="1" t="s">
        <v>1754</v>
      </c>
      <c r="F915" s="1">
        <v>0</v>
      </c>
      <c r="G915" s="1">
        <v>0</v>
      </c>
      <c r="H915" s="1">
        <v>0</v>
      </c>
      <c r="I915" s="1">
        <v>87</v>
      </c>
      <c r="J915" s="1">
        <v>87</v>
      </c>
      <c r="K915" s="1">
        <v>0</v>
      </c>
    </row>
    <row r="916" spans="3:11" x14ac:dyDescent="0.25">
      <c r="C916" s="1" t="s">
        <v>3455</v>
      </c>
      <c r="D916" s="1" t="s">
        <v>3456</v>
      </c>
      <c r="E916" s="1" t="s">
        <v>3457</v>
      </c>
      <c r="F916" s="1">
        <v>0</v>
      </c>
      <c r="G916" s="1">
        <v>0</v>
      </c>
      <c r="H916" s="1">
        <v>0</v>
      </c>
      <c r="I916" s="1">
        <v>86</v>
      </c>
      <c r="J916" s="1">
        <v>86</v>
      </c>
      <c r="K916" s="1">
        <v>0</v>
      </c>
    </row>
    <row r="917" spans="3:11" x14ac:dyDescent="0.25">
      <c r="C917" s="1" t="s">
        <v>1758</v>
      </c>
      <c r="D917" s="1" t="s">
        <v>1759</v>
      </c>
      <c r="E917" s="1" t="s">
        <v>1760</v>
      </c>
      <c r="F917" s="1">
        <v>3</v>
      </c>
      <c r="G917" s="1">
        <v>3</v>
      </c>
      <c r="H917" s="1">
        <v>0</v>
      </c>
      <c r="I917" s="1">
        <v>85</v>
      </c>
      <c r="J917" s="1">
        <v>82</v>
      </c>
      <c r="K917" s="1">
        <v>3</v>
      </c>
    </row>
    <row r="918" spans="3:11" x14ac:dyDescent="0.25">
      <c r="C918" s="1" t="s">
        <v>3458</v>
      </c>
      <c r="D918" s="1" t="s">
        <v>3459</v>
      </c>
      <c r="E918" s="1" t="s">
        <v>3460</v>
      </c>
      <c r="F918" s="1">
        <v>-2</v>
      </c>
      <c r="G918" s="1">
        <v>-2</v>
      </c>
      <c r="H918" s="1">
        <v>0</v>
      </c>
      <c r="I918" s="1">
        <v>83</v>
      </c>
      <c r="J918" s="1">
        <v>85</v>
      </c>
      <c r="K918" s="1">
        <v>-2</v>
      </c>
    </row>
    <row r="919" spans="3:11" x14ac:dyDescent="0.25">
      <c r="C919" s="1" t="s">
        <v>3461</v>
      </c>
      <c r="D919" s="1" t="s">
        <v>3462</v>
      </c>
      <c r="E919" s="1" t="s">
        <v>3463</v>
      </c>
      <c r="F919" s="1">
        <v>3</v>
      </c>
      <c r="G919" s="1">
        <v>3</v>
      </c>
      <c r="H919" s="1">
        <v>0</v>
      </c>
      <c r="I919" s="1">
        <v>83</v>
      </c>
      <c r="J919" s="1">
        <v>80</v>
      </c>
      <c r="K919" s="1">
        <v>3</v>
      </c>
    </row>
    <row r="920" spans="3:11" x14ac:dyDescent="0.25">
      <c r="C920" s="1" t="s">
        <v>1822</v>
      </c>
      <c r="D920" s="1" t="s">
        <v>1823</v>
      </c>
      <c r="E920" s="1" t="s">
        <v>1824</v>
      </c>
      <c r="F920" s="1">
        <v>-2</v>
      </c>
      <c r="G920" s="1">
        <v>-2</v>
      </c>
      <c r="H920" s="1">
        <v>0</v>
      </c>
      <c r="I920" s="1">
        <v>82</v>
      </c>
      <c r="J920" s="1">
        <v>84</v>
      </c>
      <c r="K920" s="1">
        <v>-2</v>
      </c>
    </row>
    <row r="921" spans="3:11" x14ac:dyDescent="0.25">
      <c r="C921" s="1" t="s">
        <v>3464</v>
      </c>
      <c r="D921" s="1" t="s">
        <v>3465</v>
      </c>
      <c r="E921" s="1" t="s">
        <v>3466</v>
      </c>
      <c r="F921" s="1">
        <v>0</v>
      </c>
      <c r="G921" s="1">
        <v>0</v>
      </c>
      <c r="H921" s="1">
        <v>0</v>
      </c>
      <c r="I921" s="1">
        <v>82</v>
      </c>
      <c r="J921" s="1">
        <v>82</v>
      </c>
      <c r="K921" s="1">
        <v>0</v>
      </c>
    </row>
    <row r="922" spans="3:11" x14ac:dyDescent="0.25">
      <c r="C922" s="1" t="s">
        <v>2340</v>
      </c>
      <c r="D922" s="1" t="s">
        <v>2341</v>
      </c>
      <c r="E922" s="1" t="s">
        <v>2342</v>
      </c>
      <c r="F922" s="1">
        <v>0</v>
      </c>
      <c r="G922" s="1">
        <v>0</v>
      </c>
      <c r="H922" s="1">
        <v>0</v>
      </c>
      <c r="I922" s="1">
        <v>82</v>
      </c>
      <c r="J922" s="1">
        <v>82</v>
      </c>
      <c r="K922" s="1">
        <v>0</v>
      </c>
    </row>
    <row r="923" spans="3:11" x14ac:dyDescent="0.25">
      <c r="C923" s="1" t="s">
        <v>3467</v>
      </c>
      <c r="D923" s="1" t="s">
        <v>616</v>
      </c>
      <c r="E923" s="1" t="s">
        <v>3468</v>
      </c>
      <c r="F923" s="1">
        <v>55</v>
      </c>
      <c r="G923" s="1">
        <v>55</v>
      </c>
      <c r="H923" s="1">
        <v>0</v>
      </c>
      <c r="I923" s="1">
        <v>81</v>
      </c>
      <c r="J923" s="1">
        <v>26</v>
      </c>
      <c r="K923" s="1">
        <v>55</v>
      </c>
    </row>
    <row r="924" spans="3:11" x14ac:dyDescent="0.25">
      <c r="C924" s="1" t="s">
        <v>1779</v>
      </c>
      <c r="D924" s="1" t="s">
        <v>1780</v>
      </c>
      <c r="E924" s="1" t="s">
        <v>1781</v>
      </c>
      <c r="F924" s="1">
        <v>1</v>
      </c>
      <c r="G924" s="1">
        <v>1</v>
      </c>
      <c r="H924" s="1">
        <v>0</v>
      </c>
      <c r="I924" s="1">
        <v>81</v>
      </c>
      <c r="J924" s="1">
        <v>80</v>
      </c>
      <c r="K924" s="1">
        <v>1</v>
      </c>
    </row>
    <row r="925" spans="3:11" x14ac:dyDescent="0.25">
      <c r="C925" s="1" t="s">
        <v>1804</v>
      </c>
      <c r="D925" s="1" t="s">
        <v>1805</v>
      </c>
      <c r="E925" s="1" t="s">
        <v>1806</v>
      </c>
      <c r="F925" s="1">
        <v>-4</v>
      </c>
      <c r="G925" s="1">
        <v>-4</v>
      </c>
      <c r="H925" s="1">
        <v>0</v>
      </c>
      <c r="I925" s="1">
        <v>81</v>
      </c>
      <c r="J925" s="1">
        <v>85</v>
      </c>
      <c r="K925" s="1">
        <v>-4</v>
      </c>
    </row>
    <row r="926" spans="3:11" x14ac:dyDescent="0.25">
      <c r="C926" s="1" t="s">
        <v>3469</v>
      </c>
      <c r="D926" s="1" t="s">
        <v>856</v>
      </c>
      <c r="E926" s="1" t="s">
        <v>3470</v>
      </c>
      <c r="F926" s="1">
        <v>0</v>
      </c>
      <c r="G926" s="1">
        <v>0</v>
      </c>
      <c r="H926" s="1">
        <v>0</v>
      </c>
      <c r="I926" s="1">
        <v>81</v>
      </c>
      <c r="J926" s="1">
        <v>81</v>
      </c>
      <c r="K926" s="1">
        <v>0</v>
      </c>
    </row>
    <row r="927" spans="3:11" x14ac:dyDescent="0.25">
      <c r="C927" s="1" t="s">
        <v>1763</v>
      </c>
      <c r="D927" s="1" t="s">
        <v>182</v>
      </c>
      <c r="E927" s="1" t="s">
        <v>1764</v>
      </c>
      <c r="F927" s="1">
        <v>47</v>
      </c>
      <c r="G927" s="1">
        <v>47</v>
      </c>
      <c r="H927" s="1">
        <v>0</v>
      </c>
      <c r="I927" s="1">
        <v>81</v>
      </c>
      <c r="J927" s="1">
        <v>34</v>
      </c>
      <c r="K927" s="1">
        <v>47</v>
      </c>
    </row>
    <row r="928" spans="3:11" x14ac:dyDescent="0.25">
      <c r="C928" s="1" t="s">
        <v>3502</v>
      </c>
      <c r="D928" s="1" t="s">
        <v>3503</v>
      </c>
      <c r="E928" s="1" t="s">
        <v>3504</v>
      </c>
      <c r="F928" s="1">
        <v>44</v>
      </c>
      <c r="G928" s="1">
        <v>44</v>
      </c>
      <c r="H928" s="1">
        <v>0</v>
      </c>
      <c r="I928" s="1">
        <v>80</v>
      </c>
      <c r="J928" s="1">
        <v>36</v>
      </c>
      <c r="K928" s="1">
        <v>44</v>
      </c>
    </row>
    <row r="929" spans="3:11" x14ac:dyDescent="0.25">
      <c r="C929" s="1" t="s">
        <v>3471</v>
      </c>
      <c r="D929" s="1" t="s">
        <v>857</v>
      </c>
      <c r="E929" s="1" t="s">
        <v>3472</v>
      </c>
      <c r="F929" s="1">
        <v>17</v>
      </c>
      <c r="G929" s="1">
        <v>17</v>
      </c>
      <c r="H929" s="1">
        <v>0</v>
      </c>
      <c r="I929" s="1">
        <v>80</v>
      </c>
      <c r="J929" s="1">
        <v>63</v>
      </c>
      <c r="K929" s="1">
        <v>17</v>
      </c>
    </row>
    <row r="930" spans="3:11" x14ac:dyDescent="0.25">
      <c r="C930" s="1" t="s">
        <v>3473</v>
      </c>
      <c r="D930" s="1" t="s">
        <v>3474</v>
      </c>
      <c r="E930" s="1" t="s">
        <v>3475</v>
      </c>
      <c r="F930" s="1">
        <v>15</v>
      </c>
      <c r="G930" s="1">
        <v>15</v>
      </c>
      <c r="H930" s="1">
        <v>0</v>
      </c>
      <c r="I930" s="1">
        <v>79</v>
      </c>
      <c r="J930" s="1">
        <v>64</v>
      </c>
      <c r="K930" s="1">
        <v>15</v>
      </c>
    </row>
    <row r="931" spans="3:11" x14ac:dyDescent="0.25">
      <c r="C931" s="1" t="s">
        <v>3476</v>
      </c>
      <c r="D931" s="1" t="s">
        <v>3477</v>
      </c>
      <c r="E931" s="1" t="s">
        <v>3478</v>
      </c>
      <c r="F931" s="1">
        <v>0</v>
      </c>
      <c r="G931" s="1">
        <v>0</v>
      </c>
      <c r="H931" s="1">
        <v>0</v>
      </c>
      <c r="I931" s="1">
        <v>79</v>
      </c>
      <c r="J931" s="1">
        <v>79</v>
      </c>
      <c r="K931" s="1">
        <v>0</v>
      </c>
    </row>
    <row r="932" spans="3:11" x14ac:dyDescent="0.25">
      <c r="C932" s="1" t="s">
        <v>3486</v>
      </c>
      <c r="D932" s="1" t="s">
        <v>732</v>
      </c>
      <c r="E932" s="1" t="s">
        <v>3487</v>
      </c>
      <c r="F932" s="1">
        <v>7</v>
      </c>
      <c r="G932" s="1">
        <v>7</v>
      </c>
      <c r="H932" s="1">
        <v>0</v>
      </c>
      <c r="I932" s="1">
        <v>79</v>
      </c>
      <c r="J932" s="1">
        <v>72</v>
      </c>
      <c r="K932" s="1">
        <v>7</v>
      </c>
    </row>
    <row r="933" spans="3:11" x14ac:dyDescent="0.25">
      <c r="C933" s="1" t="s">
        <v>1789</v>
      </c>
      <c r="D933" s="1" t="s">
        <v>1790</v>
      </c>
      <c r="E933" s="1" t="s">
        <v>1791</v>
      </c>
      <c r="F933" s="1">
        <v>26</v>
      </c>
      <c r="G933" s="1">
        <v>26</v>
      </c>
      <c r="H933" s="1">
        <v>0</v>
      </c>
      <c r="I933" s="1">
        <v>79</v>
      </c>
      <c r="J933" s="1">
        <v>53</v>
      </c>
      <c r="K933" s="1">
        <v>26</v>
      </c>
    </row>
    <row r="934" spans="3:11" x14ac:dyDescent="0.25">
      <c r="C934" s="1" t="s">
        <v>3479</v>
      </c>
      <c r="D934" s="1" t="s">
        <v>3480</v>
      </c>
      <c r="E934" s="1" t="s">
        <v>3481</v>
      </c>
      <c r="F934" s="1">
        <v>-5</v>
      </c>
      <c r="G934" s="1">
        <v>-5</v>
      </c>
      <c r="H934" s="1">
        <v>0</v>
      </c>
      <c r="I934" s="1">
        <v>79</v>
      </c>
      <c r="J934" s="1">
        <v>84</v>
      </c>
      <c r="K934" s="1">
        <v>-5</v>
      </c>
    </row>
    <row r="935" spans="3:11" x14ac:dyDescent="0.25">
      <c r="C935" s="1" t="s">
        <v>3482</v>
      </c>
      <c r="D935" s="1" t="s">
        <v>617</v>
      </c>
      <c r="E935" s="1" t="s">
        <v>3483</v>
      </c>
      <c r="F935" s="1">
        <v>69</v>
      </c>
      <c r="G935" s="1">
        <v>69</v>
      </c>
      <c r="H935" s="1">
        <v>0</v>
      </c>
      <c r="I935" s="1">
        <v>78</v>
      </c>
      <c r="J935" s="1">
        <v>9</v>
      </c>
      <c r="K935" s="1">
        <v>69</v>
      </c>
    </row>
    <row r="936" spans="3:11" x14ac:dyDescent="0.25">
      <c r="C936" s="1" t="s">
        <v>3484</v>
      </c>
      <c r="D936" s="1" t="s">
        <v>618</v>
      </c>
      <c r="E936" s="1" t="s">
        <v>3485</v>
      </c>
      <c r="F936" s="1">
        <v>63</v>
      </c>
      <c r="G936" s="1">
        <v>63</v>
      </c>
      <c r="H936" s="1">
        <v>0</v>
      </c>
      <c r="I936" s="1">
        <v>78</v>
      </c>
      <c r="J936" s="1">
        <v>15</v>
      </c>
      <c r="K936" s="1">
        <v>63</v>
      </c>
    </row>
    <row r="937" spans="3:11" x14ac:dyDescent="0.25">
      <c r="C937" s="1" t="s">
        <v>3488</v>
      </c>
      <c r="D937" s="1" t="s">
        <v>3489</v>
      </c>
      <c r="E937" s="1" t="s">
        <v>3490</v>
      </c>
      <c r="F937" s="1">
        <v>4</v>
      </c>
      <c r="G937" s="1">
        <v>4</v>
      </c>
      <c r="H937" s="1">
        <v>0</v>
      </c>
      <c r="I937" s="1">
        <v>78</v>
      </c>
      <c r="J937" s="1">
        <v>74</v>
      </c>
      <c r="K937" s="1">
        <v>4</v>
      </c>
    </row>
    <row r="938" spans="3:11" x14ac:dyDescent="0.25">
      <c r="C938" s="1" t="s">
        <v>1842</v>
      </c>
      <c r="D938" s="1" t="s">
        <v>1843</v>
      </c>
      <c r="E938" s="1" t="s">
        <v>1844</v>
      </c>
      <c r="F938" s="1">
        <v>-2</v>
      </c>
      <c r="G938" s="1">
        <v>-2</v>
      </c>
      <c r="H938" s="1">
        <v>0</v>
      </c>
      <c r="I938" s="1">
        <v>78</v>
      </c>
      <c r="J938" s="1">
        <v>80</v>
      </c>
      <c r="K938" s="1">
        <v>-2</v>
      </c>
    </row>
    <row r="939" spans="3:11" x14ac:dyDescent="0.25">
      <c r="C939" s="1" t="s">
        <v>1770</v>
      </c>
      <c r="D939" s="1" t="s">
        <v>1771</v>
      </c>
      <c r="E939" s="1" t="s">
        <v>1772</v>
      </c>
      <c r="F939" s="1">
        <v>0</v>
      </c>
      <c r="G939" s="1">
        <v>0</v>
      </c>
      <c r="H939" s="1">
        <v>0</v>
      </c>
      <c r="I939" s="1">
        <v>77</v>
      </c>
      <c r="J939" s="1">
        <v>77</v>
      </c>
      <c r="K939" s="1">
        <v>0</v>
      </c>
    </row>
    <row r="940" spans="3:11" x14ac:dyDescent="0.25">
      <c r="C940" s="1" t="s">
        <v>3491</v>
      </c>
      <c r="D940" s="1" t="s">
        <v>3492</v>
      </c>
      <c r="E940" s="1" t="s">
        <v>3493</v>
      </c>
      <c r="F940" s="1">
        <v>0</v>
      </c>
      <c r="G940" s="1">
        <v>0</v>
      </c>
      <c r="H940" s="1">
        <v>0</v>
      </c>
      <c r="I940" s="1">
        <v>77</v>
      </c>
      <c r="J940" s="1">
        <v>77</v>
      </c>
      <c r="K940" s="1">
        <v>0</v>
      </c>
    </row>
    <row r="941" spans="3:11" x14ac:dyDescent="0.25">
      <c r="C941" s="1" t="s">
        <v>3494</v>
      </c>
      <c r="D941" s="1" t="s">
        <v>3495</v>
      </c>
      <c r="E941" s="1" t="s">
        <v>3496</v>
      </c>
      <c r="F941" s="1">
        <v>-4</v>
      </c>
      <c r="G941" s="1">
        <v>-4</v>
      </c>
      <c r="H941" s="1">
        <v>0</v>
      </c>
      <c r="I941" s="1">
        <v>77</v>
      </c>
      <c r="J941" s="1">
        <v>81</v>
      </c>
      <c r="K941" s="1">
        <v>-4</v>
      </c>
    </row>
    <row r="942" spans="3:11" x14ac:dyDescent="0.25">
      <c r="C942" s="1" t="s">
        <v>3497</v>
      </c>
      <c r="D942" s="1" t="s">
        <v>3498</v>
      </c>
      <c r="E942" s="1" t="s">
        <v>3499</v>
      </c>
      <c r="F942" s="1">
        <v>0</v>
      </c>
      <c r="G942" s="1">
        <v>0</v>
      </c>
      <c r="H942" s="1">
        <v>0</v>
      </c>
      <c r="I942" s="1">
        <v>76</v>
      </c>
      <c r="J942" s="1">
        <v>76</v>
      </c>
      <c r="K942" s="1">
        <v>0</v>
      </c>
    </row>
    <row r="943" spans="3:11" x14ac:dyDescent="0.25">
      <c r="C943" s="1" t="s">
        <v>2154</v>
      </c>
      <c r="D943" s="1" t="s">
        <v>2155</v>
      </c>
      <c r="E943" s="1" t="s">
        <v>2156</v>
      </c>
      <c r="F943" s="1">
        <v>10</v>
      </c>
      <c r="G943" s="1">
        <v>10</v>
      </c>
      <c r="H943" s="1">
        <v>0</v>
      </c>
      <c r="I943" s="1">
        <v>76</v>
      </c>
      <c r="J943" s="1">
        <v>66</v>
      </c>
      <c r="K943" s="1">
        <v>10</v>
      </c>
    </row>
    <row r="944" spans="3:11" x14ac:dyDescent="0.25">
      <c r="C944" s="1" t="s">
        <v>1773</v>
      </c>
      <c r="D944" s="1" t="s">
        <v>1774</v>
      </c>
      <c r="E944" s="1" t="s">
        <v>1775</v>
      </c>
      <c r="F944" s="1">
        <v>0</v>
      </c>
      <c r="G944" s="1">
        <v>0</v>
      </c>
      <c r="H944" s="1">
        <v>0</v>
      </c>
      <c r="I944" s="1">
        <v>75</v>
      </c>
      <c r="J944" s="1">
        <v>75</v>
      </c>
      <c r="K944" s="1">
        <v>0</v>
      </c>
    </row>
    <row r="945" spans="3:11" x14ac:dyDescent="0.25">
      <c r="C945" s="1" t="s">
        <v>3500</v>
      </c>
      <c r="D945" s="1" t="s">
        <v>733</v>
      </c>
      <c r="E945" s="1" t="s">
        <v>3501</v>
      </c>
      <c r="F945" s="1">
        <v>2</v>
      </c>
      <c r="G945" s="1">
        <v>2</v>
      </c>
      <c r="H945" s="1">
        <v>0</v>
      </c>
      <c r="I945" s="1">
        <v>75</v>
      </c>
      <c r="J945" s="1">
        <v>73</v>
      </c>
      <c r="K945" s="1">
        <v>2</v>
      </c>
    </row>
    <row r="946" spans="3:11" x14ac:dyDescent="0.25">
      <c r="C946" s="1" t="s">
        <v>1819</v>
      </c>
      <c r="D946" s="1" t="s">
        <v>1820</v>
      </c>
      <c r="E946" s="1" t="s">
        <v>1821</v>
      </c>
      <c r="F946" s="1">
        <v>15</v>
      </c>
      <c r="G946" s="1">
        <v>15</v>
      </c>
      <c r="H946" s="1">
        <v>0</v>
      </c>
      <c r="I946" s="1">
        <v>75</v>
      </c>
      <c r="J946" s="1">
        <v>60</v>
      </c>
      <c r="K946" s="1">
        <v>15</v>
      </c>
    </row>
    <row r="947" spans="3:11" x14ac:dyDescent="0.25">
      <c r="C947" s="1" t="s">
        <v>3505</v>
      </c>
      <c r="D947" s="1" t="s">
        <v>2134</v>
      </c>
      <c r="E947" s="1" t="s">
        <v>3506</v>
      </c>
      <c r="F947" s="1">
        <v>14</v>
      </c>
      <c r="G947" s="1">
        <v>14</v>
      </c>
      <c r="H947" s="1">
        <v>0</v>
      </c>
      <c r="I947" s="1">
        <v>75</v>
      </c>
      <c r="J947" s="1">
        <v>61</v>
      </c>
      <c r="K947" s="1">
        <v>14</v>
      </c>
    </row>
    <row r="948" spans="3:11" x14ac:dyDescent="0.25">
      <c r="C948" s="1" t="s">
        <v>1776</v>
      </c>
      <c r="D948" s="1" t="s">
        <v>1777</v>
      </c>
      <c r="E948" s="1" t="s">
        <v>1778</v>
      </c>
      <c r="F948" s="1">
        <v>0</v>
      </c>
      <c r="G948" s="1">
        <v>0</v>
      </c>
      <c r="H948" s="1">
        <v>0</v>
      </c>
      <c r="I948" s="1">
        <v>74</v>
      </c>
      <c r="J948" s="1">
        <v>74</v>
      </c>
      <c r="K948" s="1">
        <v>0</v>
      </c>
    </row>
    <row r="949" spans="3:11" x14ac:dyDescent="0.25">
      <c r="C949" s="1" t="s">
        <v>3507</v>
      </c>
      <c r="D949" s="1" t="s">
        <v>3508</v>
      </c>
      <c r="E949" s="1" t="s">
        <v>3509</v>
      </c>
      <c r="F949" s="1">
        <v>15</v>
      </c>
      <c r="G949" s="1">
        <v>15</v>
      </c>
      <c r="H949" s="1">
        <v>0</v>
      </c>
      <c r="I949" s="1">
        <v>74</v>
      </c>
      <c r="J949" s="1">
        <v>59</v>
      </c>
      <c r="K949" s="1">
        <v>15</v>
      </c>
    </row>
    <row r="950" spans="3:11" x14ac:dyDescent="0.25">
      <c r="C950" s="1" t="s">
        <v>1807</v>
      </c>
      <c r="D950" s="1" t="s">
        <v>1808</v>
      </c>
      <c r="E950" s="1" t="s">
        <v>1809</v>
      </c>
      <c r="F950" s="1">
        <v>5</v>
      </c>
      <c r="G950" s="1">
        <v>5</v>
      </c>
      <c r="H950" s="1">
        <v>0</v>
      </c>
      <c r="I950" s="1">
        <v>74</v>
      </c>
      <c r="J950" s="1">
        <v>69</v>
      </c>
      <c r="K950" s="1">
        <v>5</v>
      </c>
    </row>
    <row r="951" spans="3:11" x14ac:dyDescent="0.25">
      <c r="C951" s="1" t="s">
        <v>1782</v>
      </c>
      <c r="D951" s="1" t="s">
        <v>183</v>
      </c>
      <c r="E951" s="1" t="s">
        <v>1783</v>
      </c>
      <c r="F951" s="1">
        <v>60</v>
      </c>
      <c r="G951" s="1">
        <v>60</v>
      </c>
      <c r="H951" s="1">
        <v>0</v>
      </c>
      <c r="I951" s="1">
        <v>74</v>
      </c>
      <c r="J951" s="1">
        <v>14</v>
      </c>
      <c r="K951" s="1">
        <v>60</v>
      </c>
    </row>
    <row r="952" spans="3:11" x14ac:dyDescent="0.25">
      <c r="C952" s="1" t="s">
        <v>3510</v>
      </c>
      <c r="D952" s="1" t="s">
        <v>3511</v>
      </c>
      <c r="E952" s="1" t="s">
        <v>3512</v>
      </c>
      <c r="F952" s="1">
        <v>-1</v>
      </c>
      <c r="G952" s="1">
        <v>-1</v>
      </c>
      <c r="H952" s="1">
        <v>0</v>
      </c>
      <c r="I952" s="1">
        <v>73</v>
      </c>
      <c r="J952" s="1">
        <v>74</v>
      </c>
      <c r="K952" s="1">
        <v>-1</v>
      </c>
    </row>
    <row r="953" spans="3:11" x14ac:dyDescent="0.25">
      <c r="C953" s="1" t="s">
        <v>1944</v>
      </c>
      <c r="D953" s="1" t="s">
        <v>1945</v>
      </c>
      <c r="E953" s="1" t="s">
        <v>1946</v>
      </c>
      <c r="F953" s="1">
        <v>9</v>
      </c>
      <c r="G953" s="1">
        <v>9</v>
      </c>
      <c r="H953" s="1">
        <v>0</v>
      </c>
      <c r="I953" s="1">
        <v>73</v>
      </c>
      <c r="J953" s="1">
        <v>64</v>
      </c>
      <c r="K953" s="1">
        <v>9</v>
      </c>
    </row>
    <row r="954" spans="3:11" x14ac:dyDescent="0.25">
      <c r="C954" s="1" t="s">
        <v>3647</v>
      </c>
      <c r="D954" s="1" t="s">
        <v>3648</v>
      </c>
      <c r="E954" s="1" t="s">
        <v>3649</v>
      </c>
      <c r="F954" s="1">
        <v>0</v>
      </c>
      <c r="G954" s="1">
        <v>0</v>
      </c>
      <c r="H954" s="1">
        <v>0</v>
      </c>
      <c r="I954" s="1">
        <v>73</v>
      </c>
      <c r="J954" s="1">
        <v>73</v>
      </c>
      <c r="K954" s="1">
        <v>0</v>
      </c>
    </row>
    <row r="955" spans="3:11" x14ac:dyDescent="0.25">
      <c r="C955" s="1" t="s">
        <v>3513</v>
      </c>
      <c r="D955" s="1" t="s">
        <v>3514</v>
      </c>
      <c r="E955" s="1" t="s">
        <v>3515</v>
      </c>
      <c r="F955" s="1">
        <v>0</v>
      </c>
      <c r="G955" s="1">
        <v>0</v>
      </c>
      <c r="H955" s="1">
        <v>0</v>
      </c>
      <c r="I955" s="1">
        <v>72</v>
      </c>
      <c r="J955" s="1">
        <v>72</v>
      </c>
      <c r="K955" s="1">
        <v>0</v>
      </c>
    </row>
    <row r="956" spans="3:11" x14ac:dyDescent="0.25">
      <c r="C956" s="1" t="s">
        <v>3516</v>
      </c>
      <c r="D956" s="1" t="s">
        <v>3517</v>
      </c>
      <c r="E956" s="1" t="s">
        <v>3518</v>
      </c>
      <c r="F956" s="1">
        <v>2</v>
      </c>
      <c r="G956" s="1">
        <v>2</v>
      </c>
      <c r="H956" s="1">
        <v>0</v>
      </c>
      <c r="I956" s="1">
        <v>72</v>
      </c>
      <c r="J956" s="1">
        <v>70</v>
      </c>
      <c r="K956" s="1">
        <v>2</v>
      </c>
    </row>
    <row r="957" spans="3:11" x14ac:dyDescent="0.25">
      <c r="C957" s="1" t="s">
        <v>3519</v>
      </c>
      <c r="D957" s="1" t="s">
        <v>824</v>
      </c>
      <c r="E957" s="1" t="s">
        <v>3520</v>
      </c>
      <c r="F957" s="1">
        <v>0</v>
      </c>
      <c r="G957" s="1">
        <v>0</v>
      </c>
      <c r="H957" s="1">
        <v>0</v>
      </c>
      <c r="I957" s="1">
        <v>72</v>
      </c>
      <c r="J957" s="1">
        <v>72</v>
      </c>
      <c r="K957" s="1">
        <v>0</v>
      </c>
    </row>
    <row r="958" spans="3:11" x14ac:dyDescent="0.25">
      <c r="C958" s="1" t="s">
        <v>1914</v>
      </c>
      <c r="D958" s="1" t="s">
        <v>1915</v>
      </c>
      <c r="E958" s="1" t="s">
        <v>1916</v>
      </c>
      <c r="F958" s="1">
        <v>2</v>
      </c>
      <c r="G958" s="1">
        <v>2</v>
      </c>
      <c r="H958" s="1">
        <v>0</v>
      </c>
      <c r="I958" s="1">
        <v>72</v>
      </c>
      <c r="J958" s="1">
        <v>70</v>
      </c>
      <c r="K958" s="1">
        <v>2</v>
      </c>
    </row>
    <row r="959" spans="3:11" x14ac:dyDescent="0.25">
      <c r="C959" s="1" t="s">
        <v>3521</v>
      </c>
      <c r="D959" s="1" t="s">
        <v>677</v>
      </c>
      <c r="E959" s="1" t="s">
        <v>3522</v>
      </c>
      <c r="F959" s="1">
        <v>67</v>
      </c>
      <c r="G959" s="1">
        <v>67</v>
      </c>
      <c r="H959" s="1">
        <v>0</v>
      </c>
      <c r="I959" s="1">
        <v>72</v>
      </c>
      <c r="J959" s="1">
        <v>5</v>
      </c>
      <c r="K959" s="1">
        <v>67</v>
      </c>
    </row>
    <row r="960" spans="3:11" x14ac:dyDescent="0.25">
      <c r="C960" s="1" t="s">
        <v>3523</v>
      </c>
      <c r="D960" s="1" t="s">
        <v>678</v>
      </c>
      <c r="E960" s="1" t="s">
        <v>3524</v>
      </c>
      <c r="F960" s="1">
        <v>66</v>
      </c>
      <c r="G960" s="1">
        <v>66</v>
      </c>
      <c r="H960" s="1">
        <v>0</v>
      </c>
      <c r="I960" s="1">
        <v>72</v>
      </c>
      <c r="J960" s="1">
        <v>6</v>
      </c>
      <c r="K960" s="1">
        <v>66</v>
      </c>
    </row>
    <row r="961" spans="3:11" x14ac:dyDescent="0.25">
      <c r="C961" s="1" t="s">
        <v>3528</v>
      </c>
      <c r="D961" s="1" t="s">
        <v>3529</v>
      </c>
      <c r="E961" s="1" t="s">
        <v>3530</v>
      </c>
      <c r="F961" s="1">
        <v>10</v>
      </c>
      <c r="G961" s="1">
        <v>10</v>
      </c>
      <c r="H961" s="1">
        <v>0</v>
      </c>
      <c r="I961" s="1">
        <v>71</v>
      </c>
      <c r="J961" s="1">
        <v>61</v>
      </c>
      <c r="K961" s="1">
        <v>10</v>
      </c>
    </row>
    <row r="962" spans="3:11" x14ac:dyDescent="0.25">
      <c r="C962" s="1" t="s">
        <v>3540</v>
      </c>
      <c r="D962" s="1" t="s">
        <v>3541</v>
      </c>
      <c r="E962" s="1" t="s">
        <v>3542</v>
      </c>
      <c r="F962" s="1">
        <v>1</v>
      </c>
      <c r="G962" s="1">
        <v>1</v>
      </c>
      <c r="H962" s="1">
        <v>0</v>
      </c>
      <c r="I962" s="1">
        <v>71</v>
      </c>
      <c r="J962" s="1">
        <v>70</v>
      </c>
      <c r="K962" s="1">
        <v>1</v>
      </c>
    </row>
    <row r="963" spans="3:11" x14ac:dyDescent="0.25">
      <c r="C963" s="1" t="s">
        <v>3537</v>
      </c>
      <c r="D963" s="1" t="s">
        <v>3538</v>
      </c>
      <c r="E963" s="1" t="s">
        <v>3539</v>
      </c>
      <c r="F963" s="1">
        <v>1</v>
      </c>
      <c r="G963" s="1">
        <v>1</v>
      </c>
      <c r="H963" s="1">
        <v>0</v>
      </c>
      <c r="I963" s="1">
        <v>71</v>
      </c>
      <c r="J963" s="1">
        <v>70</v>
      </c>
      <c r="K963" s="1">
        <v>1</v>
      </c>
    </row>
    <row r="964" spans="3:11" x14ac:dyDescent="0.25">
      <c r="C964" s="1" t="s">
        <v>1786</v>
      </c>
      <c r="D964" s="1" t="s">
        <v>1787</v>
      </c>
      <c r="E964" s="1" t="s">
        <v>1788</v>
      </c>
      <c r="F964" s="1">
        <v>0</v>
      </c>
      <c r="G964" s="1">
        <v>0</v>
      </c>
      <c r="H964" s="1">
        <v>0</v>
      </c>
      <c r="I964" s="1">
        <v>70</v>
      </c>
      <c r="J964" s="1">
        <v>70</v>
      </c>
      <c r="K964" s="1">
        <v>0</v>
      </c>
    </row>
    <row r="965" spans="3:11" x14ac:dyDescent="0.25">
      <c r="C965" s="1" t="s">
        <v>3585</v>
      </c>
      <c r="D965" s="1" t="s">
        <v>3586</v>
      </c>
      <c r="E965" s="1" t="s">
        <v>3587</v>
      </c>
      <c r="F965" s="1">
        <v>0</v>
      </c>
      <c r="G965" s="1">
        <v>0</v>
      </c>
      <c r="H965" s="1">
        <v>0</v>
      </c>
      <c r="I965" s="1">
        <v>70</v>
      </c>
      <c r="J965" s="1">
        <v>70</v>
      </c>
      <c r="K965" s="1">
        <v>0</v>
      </c>
    </row>
    <row r="966" spans="3:11" x14ac:dyDescent="0.25">
      <c r="C966" s="1" t="s">
        <v>3525</v>
      </c>
      <c r="D966" s="1" t="s">
        <v>3526</v>
      </c>
      <c r="E966" s="1" t="s">
        <v>3527</v>
      </c>
      <c r="F966" s="1">
        <v>7</v>
      </c>
      <c r="G966" s="1">
        <v>7</v>
      </c>
      <c r="H966" s="1">
        <v>0</v>
      </c>
      <c r="I966" s="1">
        <v>70</v>
      </c>
      <c r="J966" s="1">
        <v>63</v>
      </c>
      <c r="K966" s="1">
        <v>7</v>
      </c>
    </row>
    <row r="967" spans="3:11" x14ac:dyDescent="0.25">
      <c r="C967" s="1" t="s">
        <v>3531</v>
      </c>
      <c r="D967" s="1" t="s">
        <v>3532</v>
      </c>
      <c r="E967" s="1" t="s">
        <v>3533</v>
      </c>
      <c r="F967" s="1">
        <v>6</v>
      </c>
      <c r="G967" s="1">
        <v>6</v>
      </c>
      <c r="H967" s="1">
        <v>0</v>
      </c>
      <c r="I967" s="1">
        <v>69</v>
      </c>
      <c r="J967" s="1">
        <v>63</v>
      </c>
      <c r="K967" s="1">
        <v>6</v>
      </c>
    </row>
    <row r="968" spans="3:11" x14ac:dyDescent="0.25">
      <c r="C968" s="1" t="s">
        <v>3534</v>
      </c>
      <c r="D968" s="1" t="s">
        <v>3535</v>
      </c>
      <c r="E968" s="1" t="s">
        <v>3536</v>
      </c>
      <c r="F968" s="1">
        <v>3</v>
      </c>
      <c r="G968" s="1">
        <v>3</v>
      </c>
      <c r="H968" s="1">
        <v>0</v>
      </c>
      <c r="I968" s="1">
        <v>69</v>
      </c>
      <c r="J968" s="1">
        <v>66</v>
      </c>
      <c r="K968" s="1">
        <v>3</v>
      </c>
    </row>
    <row r="969" spans="3:11" x14ac:dyDescent="0.25">
      <c r="C969" s="1" t="s">
        <v>2138</v>
      </c>
      <c r="D969" s="1" t="s">
        <v>2139</v>
      </c>
      <c r="E969" s="1" t="s">
        <v>2140</v>
      </c>
      <c r="F969" s="1">
        <v>23</v>
      </c>
      <c r="G969" s="1">
        <v>23</v>
      </c>
      <c r="H969" s="1">
        <v>0</v>
      </c>
      <c r="I969" s="1">
        <v>69</v>
      </c>
      <c r="J969" s="1">
        <v>46</v>
      </c>
      <c r="K969" s="1">
        <v>23</v>
      </c>
    </row>
    <row r="970" spans="3:11" x14ac:dyDescent="0.25">
      <c r="C970" s="1" t="s">
        <v>1863</v>
      </c>
      <c r="D970" s="1" t="s">
        <v>1864</v>
      </c>
      <c r="E970" s="1" t="s">
        <v>1865</v>
      </c>
      <c r="F970" s="1">
        <v>1</v>
      </c>
      <c r="G970" s="1">
        <v>1</v>
      </c>
      <c r="H970" s="1">
        <v>0</v>
      </c>
      <c r="I970" s="1">
        <v>67</v>
      </c>
      <c r="J970" s="1">
        <v>66</v>
      </c>
      <c r="K970" s="1">
        <v>1</v>
      </c>
    </row>
    <row r="971" spans="3:11" x14ac:dyDescent="0.25">
      <c r="C971" s="1" t="s">
        <v>3764</v>
      </c>
      <c r="D971" s="1" t="s">
        <v>3765</v>
      </c>
      <c r="E971" s="1" t="s">
        <v>3766</v>
      </c>
      <c r="F971" s="1">
        <v>3</v>
      </c>
      <c r="G971" s="1">
        <v>3</v>
      </c>
      <c r="H971" s="1">
        <v>0</v>
      </c>
      <c r="I971" s="1">
        <v>67</v>
      </c>
      <c r="J971" s="1">
        <v>64</v>
      </c>
      <c r="K971" s="1">
        <v>3</v>
      </c>
    </row>
    <row r="972" spans="3:11" x14ac:dyDescent="0.25">
      <c r="C972" s="1" t="s">
        <v>3543</v>
      </c>
      <c r="D972" s="1" t="s">
        <v>3544</v>
      </c>
      <c r="E972" s="1" t="s">
        <v>3545</v>
      </c>
      <c r="F972" s="1">
        <v>0</v>
      </c>
      <c r="G972" s="1">
        <v>0</v>
      </c>
      <c r="H972" s="1">
        <v>0</v>
      </c>
      <c r="I972" s="1">
        <v>66</v>
      </c>
      <c r="J972" s="1">
        <v>66</v>
      </c>
      <c r="K972" s="1">
        <v>0</v>
      </c>
    </row>
    <row r="973" spans="3:11" x14ac:dyDescent="0.25">
      <c r="C973" s="1" t="s">
        <v>3582</v>
      </c>
      <c r="D973" s="1" t="s">
        <v>3583</v>
      </c>
      <c r="E973" s="1" t="s">
        <v>3584</v>
      </c>
      <c r="F973" s="1">
        <v>-5</v>
      </c>
      <c r="G973" s="1">
        <v>-5</v>
      </c>
      <c r="H973" s="1">
        <v>0</v>
      </c>
      <c r="I973" s="1">
        <v>66</v>
      </c>
      <c r="J973" s="1">
        <v>71</v>
      </c>
      <c r="K973" s="1">
        <v>-5</v>
      </c>
    </row>
    <row r="974" spans="3:11" x14ac:dyDescent="0.25">
      <c r="C974" s="1" t="s">
        <v>2240</v>
      </c>
      <c r="D974" s="1" t="s">
        <v>2241</v>
      </c>
      <c r="E974" s="1" t="s">
        <v>2242</v>
      </c>
      <c r="F974" s="1">
        <v>1</v>
      </c>
      <c r="G974" s="1">
        <v>1</v>
      </c>
      <c r="H974" s="1">
        <v>0</v>
      </c>
      <c r="I974" s="1">
        <v>66</v>
      </c>
      <c r="J974" s="1">
        <v>65</v>
      </c>
      <c r="K974" s="1">
        <v>1</v>
      </c>
    </row>
    <row r="975" spans="3:11" x14ac:dyDescent="0.25">
      <c r="C975" s="1" t="s">
        <v>3546</v>
      </c>
      <c r="D975" s="1" t="s">
        <v>3547</v>
      </c>
      <c r="E975" s="1" t="s">
        <v>3548</v>
      </c>
      <c r="F975" s="1">
        <v>-2</v>
      </c>
      <c r="G975" s="1">
        <v>-2</v>
      </c>
      <c r="H975" s="1">
        <v>0</v>
      </c>
      <c r="I975" s="1">
        <v>65</v>
      </c>
      <c r="J975" s="1">
        <v>67</v>
      </c>
      <c r="K975" s="1">
        <v>-2</v>
      </c>
    </row>
    <row r="976" spans="3:11" x14ac:dyDescent="0.25">
      <c r="C976" s="1" t="s">
        <v>3549</v>
      </c>
      <c r="D976" s="1" t="s">
        <v>3550</v>
      </c>
      <c r="E976" s="1" t="s">
        <v>3551</v>
      </c>
      <c r="F976" s="1">
        <v>15</v>
      </c>
      <c r="G976" s="1">
        <v>15</v>
      </c>
      <c r="H976" s="1">
        <v>0</v>
      </c>
      <c r="I976" s="1">
        <v>65</v>
      </c>
      <c r="J976" s="1">
        <v>50</v>
      </c>
      <c r="K976" s="1">
        <v>15</v>
      </c>
    </row>
    <row r="977" spans="3:11" x14ac:dyDescent="0.25">
      <c r="C977" s="1" t="s">
        <v>3552</v>
      </c>
      <c r="D977" s="1" t="s">
        <v>734</v>
      </c>
      <c r="E977" s="1" t="s">
        <v>3553</v>
      </c>
      <c r="F977" s="1">
        <v>0</v>
      </c>
      <c r="G977" s="1">
        <v>0</v>
      </c>
      <c r="H977" s="1">
        <v>0</v>
      </c>
      <c r="I977" s="1">
        <v>65</v>
      </c>
      <c r="J977" s="1">
        <v>65</v>
      </c>
      <c r="K977" s="1">
        <v>0</v>
      </c>
    </row>
    <row r="978" spans="3:11" x14ac:dyDescent="0.25">
      <c r="C978" s="1" t="s">
        <v>1813</v>
      </c>
      <c r="D978" s="1" t="s">
        <v>1814</v>
      </c>
      <c r="E978" s="1" t="s">
        <v>1813</v>
      </c>
      <c r="F978" s="1">
        <v>28</v>
      </c>
      <c r="G978" s="1">
        <v>28</v>
      </c>
      <c r="H978" s="1">
        <v>0</v>
      </c>
      <c r="I978" s="1">
        <v>64</v>
      </c>
      <c r="J978" s="1">
        <v>36</v>
      </c>
      <c r="K978" s="1">
        <v>28</v>
      </c>
    </row>
    <row r="979" spans="3:11" x14ac:dyDescent="0.25">
      <c r="C979" s="1" t="s">
        <v>3554</v>
      </c>
      <c r="D979" s="1" t="s">
        <v>3555</v>
      </c>
      <c r="E979" s="1" t="s">
        <v>3556</v>
      </c>
      <c r="F979" s="1">
        <v>-6</v>
      </c>
      <c r="G979" s="1">
        <v>-6</v>
      </c>
      <c r="H979" s="1">
        <v>0</v>
      </c>
      <c r="I979" s="1">
        <v>64</v>
      </c>
      <c r="J979" s="1">
        <v>70</v>
      </c>
      <c r="K979" s="1">
        <v>-6</v>
      </c>
    </row>
    <row r="980" spans="3:11" x14ac:dyDescent="0.25">
      <c r="C980" s="1" t="s">
        <v>3557</v>
      </c>
      <c r="D980" s="1" t="s">
        <v>3558</v>
      </c>
      <c r="E980" s="1" t="s">
        <v>3559</v>
      </c>
      <c r="F980" s="1">
        <v>2</v>
      </c>
      <c r="G980" s="1">
        <v>2</v>
      </c>
      <c r="H980" s="1">
        <v>0</v>
      </c>
      <c r="I980" s="1">
        <v>64</v>
      </c>
      <c r="J980" s="1">
        <v>62</v>
      </c>
      <c r="K980" s="1">
        <v>2</v>
      </c>
    </row>
    <row r="981" spans="3:11" x14ac:dyDescent="0.25">
      <c r="C981" s="1" t="s">
        <v>3560</v>
      </c>
      <c r="D981" s="1" t="s">
        <v>3561</v>
      </c>
      <c r="E981" s="1" t="s">
        <v>3562</v>
      </c>
      <c r="F981" s="1">
        <v>43</v>
      </c>
      <c r="G981" s="1">
        <v>43</v>
      </c>
      <c r="H981" s="1">
        <v>0</v>
      </c>
      <c r="I981" s="1">
        <v>64</v>
      </c>
      <c r="J981" s="1">
        <v>21</v>
      </c>
      <c r="K981" s="1">
        <v>43</v>
      </c>
    </row>
    <row r="982" spans="3:11" x14ac:dyDescent="0.25">
      <c r="C982" s="1" t="s">
        <v>3622</v>
      </c>
      <c r="D982" s="1" t="s">
        <v>3623</v>
      </c>
      <c r="E982" s="1" t="s">
        <v>3624</v>
      </c>
      <c r="F982" s="1">
        <v>20</v>
      </c>
      <c r="G982" s="1">
        <v>20</v>
      </c>
      <c r="H982" s="1">
        <v>0</v>
      </c>
      <c r="I982" s="1">
        <v>64</v>
      </c>
      <c r="J982" s="1">
        <v>44</v>
      </c>
      <c r="K982" s="1">
        <v>20</v>
      </c>
    </row>
    <row r="983" spans="3:11" x14ac:dyDescent="0.25">
      <c r="C983" s="1" t="s">
        <v>3563</v>
      </c>
      <c r="D983" s="1" t="s">
        <v>488</v>
      </c>
      <c r="E983" s="1" t="s">
        <v>3564</v>
      </c>
      <c r="F983" s="1">
        <v>23</v>
      </c>
      <c r="G983" s="1">
        <v>23</v>
      </c>
      <c r="H983" s="1">
        <v>0</v>
      </c>
      <c r="I983" s="1">
        <v>64</v>
      </c>
      <c r="J983" s="1">
        <v>41</v>
      </c>
      <c r="K983" s="1">
        <v>23</v>
      </c>
    </row>
    <row r="984" spans="3:11" x14ac:dyDescent="0.25">
      <c r="C984" s="1" t="s">
        <v>3565</v>
      </c>
      <c r="D984" s="1" t="s">
        <v>489</v>
      </c>
      <c r="E984" s="1" t="s">
        <v>3566</v>
      </c>
      <c r="F984" s="1">
        <v>10</v>
      </c>
      <c r="G984" s="1">
        <v>10</v>
      </c>
      <c r="H984" s="1">
        <v>0</v>
      </c>
      <c r="I984" s="1">
        <v>63</v>
      </c>
      <c r="J984" s="1">
        <v>53</v>
      </c>
      <c r="K984" s="1">
        <v>10</v>
      </c>
    </row>
    <row r="985" spans="3:11" x14ac:dyDescent="0.25">
      <c r="C985" s="1" t="s">
        <v>3567</v>
      </c>
      <c r="D985" s="1" t="s">
        <v>3568</v>
      </c>
      <c r="E985" s="1" t="s">
        <v>3569</v>
      </c>
      <c r="F985" s="1">
        <v>19</v>
      </c>
      <c r="G985" s="1">
        <v>19</v>
      </c>
      <c r="H985" s="1">
        <v>0</v>
      </c>
      <c r="I985" s="1">
        <v>63</v>
      </c>
      <c r="J985" s="1">
        <v>44</v>
      </c>
      <c r="K985" s="1">
        <v>19</v>
      </c>
    </row>
    <row r="986" spans="3:11" x14ac:dyDescent="0.25">
      <c r="C986" s="1" t="s">
        <v>3570</v>
      </c>
      <c r="D986" s="1" t="s">
        <v>3571</v>
      </c>
      <c r="E986" s="1" t="s">
        <v>3572</v>
      </c>
      <c r="F986" s="1">
        <v>2</v>
      </c>
      <c r="G986" s="1">
        <v>2</v>
      </c>
      <c r="H986" s="1">
        <v>0</v>
      </c>
      <c r="I986" s="1">
        <v>63</v>
      </c>
      <c r="J986" s="1">
        <v>61</v>
      </c>
      <c r="K986" s="1">
        <v>2</v>
      </c>
    </row>
    <row r="987" spans="3:11" x14ac:dyDescent="0.25">
      <c r="C987" s="1" t="s">
        <v>3573</v>
      </c>
      <c r="D987" s="1" t="s">
        <v>3574</v>
      </c>
      <c r="E987" s="1" t="s">
        <v>3575</v>
      </c>
      <c r="F987" s="1">
        <v>6</v>
      </c>
      <c r="G987" s="1">
        <v>6</v>
      </c>
      <c r="H987" s="1">
        <v>0</v>
      </c>
      <c r="I987" s="1">
        <v>63</v>
      </c>
      <c r="J987" s="1">
        <v>57</v>
      </c>
      <c r="K987" s="1">
        <v>6</v>
      </c>
    </row>
    <row r="988" spans="3:11" x14ac:dyDescent="0.25">
      <c r="C988" s="1" t="s">
        <v>1798</v>
      </c>
      <c r="D988" s="1" t="s">
        <v>1799</v>
      </c>
      <c r="E988" s="1" t="s">
        <v>1800</v>
      </c>
      <c r="F988" s="1">
        <v>2</v>
      </c>
      <c r="G988" s="1">
        <v>2</v>
      </c>
      <c r="H988" s="1">
        <v>0</v>
      </c>
      <c r="I988" s="1">
        <v>62</v>
      </c>
      <c r="J988" s="1">
        <v>60</v>
      </c>
      <c r="K988" s="1">
        <v>2</v>
      </c>
    </row>
    <row r="989" spans="3:11" x14ac:dyDescent="0.25">
      <c r="C989" s="1" t="s">
        <v>3576</v>
      </c>
      <c r="D989" s="1" t="s">
        <v>3577</v>
      </c>
      <c r="E989" s="1" t="s">
        <v>3578</v>
      </c>
      <c r="F989" s="1">
        <v>11</v>
      </c>
      <c r="G989" s="1">
        <v>11</v>
      </c>
      <c r="H989" s="1">
        <v>0</v>
      </c>
      <c r="I989" s="1">
        <v>62</v>
      </c>
      <c r="J989" s="1">
        <v>51</v>
      </c>
      <c r="K989" s="1">
        <v>11</v>
      </c>
    </row>
    <row r="990" spans="3:11" x14ac:dyDescent="0.25">
      <c r="C990" s="1" t="s">
        <v>3579</v>
      </c>
      <c r="D990" s="1" t="s">
        <v>3580</v>
      </c>
      <c r="E990" s="1" t="s">
        <v>3581</v>
      </c>
      <c r="F990" s="1">
        <v>0</v>
      </c>
      <c r="G990" s="1">
        <v>0</v>
      </c>
      <c r="H990" s="1">
        <v>0</v>
      </c>
      <c r="I990" s="1">
        <v>62</v>
      </c>
      <c r="J990" s="1">
        <v>62</v>
      </c>
      <c r="K990" s="1">
        <v>0</v>
      </c>
    </row>
    <row r="991" spans="3:11" x14ac:dyDescent="0.25">
      <c r="C991" s="1" t="s">
        <v>3588</v>
      </c>
      <c r="D991" s="1" t="s">
        <v>3589</v>
      </c>
      <c r="E991" s="1" t="s">
        <v>3590</v>
      </c>
      <c r="F991" s="1">
        <v>0</v>
      </c>
      <c r="G991" s="1">
        <v>0</v>
      </c>
      <c r="H991" s="1">
        <v>0</v>
      </c>
      <c r="I991" s="1">
        <v>61</v>
      </c>
      <c r="J991" s="1">
        <v>61</v>
      </c>
      <c r="K991" s="1">
        <v>0</v>
      </c>
    </row>
    <row r="992" spans="3:11" x14ac:dyDescent="0.25">
      <c r="C992" s="1" t="s">
        <v>1801</v>
      </c>
      <c r="D992" s="1" t="s">
        <v>1802</v>
      </c>
      <c r="E992" s="1" t="s">
        <v>1803</v>
      </c>
      <c r="F992" s="1">
        <v>23</v>
      </c>
      <c r="G992" s="1">
        <v>23</v>
      </c>
      <c r="H992" s="1">
        <v>0</v>
      </c>
      <c r="I992" s="1">
        <v>60</v>
      </c>
      <c r="J992" s="1">
        <v>37</v>
      </c>
      <c r="K992" s="1">
        <v>23</v>
      </c>
    </row>
    <row r="993" spans="3:11" x14ac:dyDescent="0.25">
      <c r="C993" s="1" t="s">
        <v>3591</v>
      </c>
      <c r="D993" s="1" t="s">
        <v>3592</v>
      </c>
      <c r="E993" s="1" t="s">
        <v>3593</v>
      </c>
      <c r="F993" s="1">
        <v>0</v>
      </c>
      <c r="G993" s="1">
        <v>0</v>
      </c>
      <c r="H993" s="1">
        <v>0</v>
      </c>
      <c r="I993" s="1">
        <v>60</v>
      </c>
      <c r="J993" s="1">
        <v>60</v>
      </c>
      <c r="K993" s="1">
        <v>0</v>
      </c>
    </row>
    <row r="994" spans="3:11" x14ac:dyDescent="0.25">
      <c r="C994" s="1" t="s">
        <v>3594</v>
      </c>
      <c r="D994" s="1" t="s">
        <v>3595</v>
      </c>
      <c r="E994" s="1" t="s">
        <v>3596</v>
      </c>
      <c r="F994" s="1">
        <v>10</v>
      </c>
      <c r="G994" s="1">
        <v>10</v>
      </c>
      <c r="H994" s="1">
        <v>0</v>
      </c>
      <c r="I994" s="1">
        <v>60</v>
      </c>
      <c r="J994" s="1">
        <v>50</v>
      </c>
      <c r="K994" s="1">
        <v>10</v>
      </c>
    </row>
    <row r="995" spans="3:11" x14ac:dyDescent="0.25">
      <c r="C995" s="1" t="s">
        <v>4376</v>
      </c>
      <c r="D995" s="1" t="s">
        <v>4353</v>
      </c>
      <c r="E995" s="1" t="s">
        <v>4377</v>
      </c>
      <c r="F995" s="1">
        <v>48</v>
      </c>
      <c r="G995" s="1">
        <v>48</v>
      </c>
      <c r="H995" s="1">
        <v>0</v>
      </c>
      <c r="I995" s="1">
        <v>60</v>
      </c>
      <c r="J995" s="1">
        <v>12</v>
      </c>
      <c r="K995" s="1">
        <v>48</v>
      </c>
    </row>
    <row r="996" spans="3:11" x14ac:dyDescent="0.25">
      <c r="C996" s="1" t="s">
        <v>1810</v>
      </c>
      <c r="D996" s="1" t="s">
        <v>1811</v>
      </c>
      <c r="E996" s="1" t="s">
        <v>1812</v>
      </c>
      <c r="F996" s="1">
        <v>1</v>
      </c>
      <c r="G996" s="1">
        <v>1</v>
      </c>
      <c r="H996" s="1">
        <v>0</v>
      </c>
      <c r="I996" s="1">
        <v>59</v>
      </c>
      <c r="J996" s="1">
        <v>58</v>
      </c>
      <c r="K996" s="1">
        <v>1</v>
      </c>
    </row>
    <row r="997" spans="3:11" x14ac:dyDescent="0.25">
      <c r="C997" s="1" t="s">
        <v>3597</v>
      </c>
      <c r="D997" s="1" t="s">
        <v>3598</v>
      </c>
      <c r="E997" s="1" t="s">
        <v>3597</v>
      </c>
      <c r="F997" s="1">
        <v>7</v>
      </c>
      <c r="G997" s="1">
        <v>7</v>
      </c>
      <c r="H997" s="1">
        <v>0</v>
      </c>
      <c r="I997" s="1">
        <v>59</v>
      </c>
      <c r="J997" s="1">
        <v>52</v>
      </c>
      <c r="K997" s="1">
        <v>7</v>
      </c>
    </row>
    <row r="998" spans="3:11" x14ac:dyDescent="0.25">
      <c r="C998" s="1" t="s">
        <v>3599</v>
      </c>
      <c r="D998" s="1" t="s">
        <v>3600</v>
      </c>
      <c r="E998" s="1" t="s">
        <v>3601</v>
      </c>
      <c r="F998" s="1">
        <v>7</v>
      </c>
      <c r="G998" s="1">
        <v>7</v>
      </c>
      <c r="H998" s="1">
        <v>0</v>
      </c>
      <c r="I998" s="1">
        <v>59</v>
      </c>
      <c r="J998" s="1">
        <v>52</v>
      </c>
      <c r="K998" s="1">
        <v>7</v>
      </c>
    </row>
    <row r="999" spans="3:11" x14ac:dyDescent="0.25">
      <c r="C999" s="1" t="s">
        <v>3661</v>
      </c>
      <c r="D999" s="1" t="s">
        <v>3662</v>
      </c>
      <c r="E999" s="1" t="s">
        <v>3663</v>
      </c>
      <c r="F999" s="1">
        <v>0</v>
      </c>
      <c r="G999" s="1">
        <v>0</v>
      </c>
      <c r="H999" s="1">
        <v>0</v>
      </c>
      <c r="I999" s="1">
        <v>59</v>
      </c>
      <c r="J999" s="1">
        <v>59</v>
      </c>
      <c r="K999" s="1">
        <v>0</v>
      </c>
    </row>
    <row r="1000" spans="3:11" x14ac:dyDescent="0.25">
      <c r="C1000" s="1" t="s">
        <v>3602</v>
      </c>
      <c r="D1000" s="1" t="s">
        <v>3603</v>
      </c>
      <c r="E1000" s="1" t="s">
        <v>3604</v>
      </c>
      <c r="F1000" s="1">
        <v>2</v>
      </c>
      <c r="G1000" s="1">
        <v>2</v>
      </c>
      <c r="H1000" s="1">
        <v>0</v>
      </c>
      <c r="I1000" s="1">
        <v>58</v>
      </c>
      <c r="J1000" s="1">
        <v>56</v>
      </c>
      <c r="K1000" s="1">
        <v>2</v>
      </c>
    </row>
    <row r="1001" spans="3:11" x14ac:dyDescent="0.25">
      <c r="C1001" s="1" t="s">
        <v>1815</v>
      </c>
      <c r="D1001" s="1" t="s">
        <v>1816</v>
      </c>
      <c r="E1001" s="1" t="s">
        <v>1817</v>
      </c>
      <c r="F1001" s="1">
        <v>0</v>
      </c>
      <c r="G1001" s="1">
        <v>0</v>
      </c>
      <c r="H1001" s="1">
        <v>0</v>
      </c>
      <c r="I1001" s="1">
        <v>58</v>
      </c>
      <c r="J1001" s="1">
        <v>58</v>
      </c>
      <c r="K1001" s="1">
        <v>0</v>
      </c>
    </row>
    <row r="1002" spans="3:11" x14ac:dyDescent="0.25">
      <c r="C1002" s="1" t="s">
        <v>3605</v>
      </c>
      <c r="D1002" s="1" t="s">
        <v>3606</v>
      </c>
      <c r="E1002" s="1" t="s">
        <v>3607</v>
      </c>
      <c r="F1002" s="1">
        <v>4</v>
      </c>
      <c r="G1002" s="1">
        <v>4</v>
      </c>
      <c r="H1002" s="1">
        <v>0</v>
      </c>
      <c r="I1002" s="1">
        <v>58</v>
      </c>
      <c r="J1002" s="1">
        <v>54</v>
      </c>
      <c r="K1002" s="1">
        <v>4</v>
      </c>
    </row>
    <row r="1003" spans="3:11" x14ac:dyDescent="0.25">
      <c r="C1003" s="1" t="s">
        <v>2207</v>
      </c>
      <c r="D1003" s="1" t="s">
        <v>1818</v>
      </c>
      <c r="E1003" s="1" t="s">
        <v>2208</v>
      </c>
      <c r="F1003" s="1">
        <v>9</v>
      </c>
      <c r="G1003" s="1">
        <v>9</v>
      </c>
      <c r="H1003" s="1">
        <v>0</v>
      </c>
      <c r="I1003" s="1">
        <v>58</v>
      </c>
      <c r="J1003" s="1">
        <v>49</v>
      </c>
      <c r="K1003" s="1">
        <v>9</v>
      </c>
    </row>
    <row r="1004" spans="3:11" x14ac:dyDescent="0.25">
      <c r="C1004" s="1" t="s">
        <v>3608</v>
      </c>
      <c r="D1004" s="1" t="s">
        <v>3609</v>
      </c>
      <c r="E1004" s="1" t="s">
        <v>3610</v>
      </c>
      <c r="F1004" s="1">
        <v>0</v>
      </c>
      <c r="G1004" s="1">
        <v>0</v>
      </c>
      <c r="H1004" s="1">
        <v>0</v>
      </c>
      <c r="I1004" s="1">
        <v>58</v>
      </c>
      <c r="J1004" s="1">
        <v>58</v>
      </c>
      <c r="K1004" s="1">
        <v>0</v>
      </c>
    </row>
    <row r="1005" spans="3:11" x14ac:dyDescent="0.25">
      <c r="C1005" s="1" t="s">
        <v>3655</v>
      </c>
      <c r="D1005" s="1" t="s">
        <v>3656</v>
      </c>
      <c r="E1005" s="1" t="s">
        <v>3657</v>
      </c>
      <c r="F1005" s="1">
        <v>-1</v>
      </c>
      <c r="G1005" s="1">
        <v>-1</v>
      </c>
      <c r="H1005" s="1">
        <v>0</v>
      </c>
      <c r="I1005" s="1">
        <v>57</v>
      </c>
      <c r="J1005" s="1">
        <v>58</v>
      </c>
      <c r="K1005" s="1">
        <v>-1</v>
      </c>
    </row>
    <row r="1006" spans="3:11" x14ac:dyDescent="0.25">
      <c r="C1006" s="1" t="s">
        <v>1838</v>
      </c>
      <c r="D1006" s="1" t="s">
        <v>186</v>
      </c>
      <c r="E1006" s="1" t="s">
        <v>1839</v>
      </c>
      <c r="F1006" s="1">
        <v>-1</v>
      </c>
      <c r="G1006" s="1">
        <v>-1</v>
      </c>
      <c r="H1006" s="1">
        <v>0</v>
      </c>
      <c r="I1006" s="1">
        <v>57</v>
      </c>
      <c r="J1006" s="1">
        <v>58</v>
      </c>
      <c r="K1006" s="1">
        <v>-1</v>
      </c>
    </row>
    <row r="1007" spans="3:11" x14ac:dyDescent="0.25">
      <c r="C1007" s="1" t="s">
        <v>2115</v>
      </c>
      <c r="D1007" s="1" t="s">
        <v>2116</v>
      </c>
      <c r="E1007" s="1" t="s">
        <v>2117</v>
      </c>
      <c r="F1007" s="1">
        <v>1</v>
      </c>
      <c r="G1007" s="1">
        <v>1</v>
      </c>
      <c r="H1007" s="1">
        <v>0</v>
      </c>
      <c r="I1007" s="1">
        <v>57</v>
      </c>
      <c r="J1007" s="1">
        <v>56</v>
      </c>
      <c r="K1007" s="1">
        <v>1</v>
      </c>
    </row>
    <row r="1008" spans="3:11" x14ac:dyDescent="0.25">
      <c r="C1008" s="1" t="s">
        <v>3611</v>
      </c>
      <c r="D1008" s="1" t="s">
        <v>3612</v>
      </c>
      <c r="E1008" s="1" t="s">
        <v>3613</v>
      </c>
      <c r="F1008" s="1">
        <v>0</v>
      </c>
      <c r="G1008" s="1">
        <v>0</v>
      </c>
      <c r="H1008" s="1">
        <v>0</v>
      </c>
      <c r="I1008" s="1">
        <v>56</v>
      </c>
      <c r="J1008" s="1">
        <v>56</v>
      </c>
      <c r="K1008" s="1">
        <v>0</v>
      </c>
    </row>
    <row r="1009" spans="3:11" x14ac:dyDescent="0.25">
      <c r="C1009" s="1" t="s">
        <v>3614</v>
      </c>
      <c r="D1009" s="1" t="s">
        <v>3615</v>
      </c>
      <c r="E1009" s="1" t="s">
        <v>3616</v>
      </c>
      <c r="F1009" s="1">
        <v>0</v>
      </c>
      <c r="G1009" s="1">
        <v>0</v>
      </c>
      <c r="H1009" s="1">
        <v>0</v>
      </c>
      <c r="I1009" s="1">
        <v>56</v>
      </c>
      <c r="J1009" s="1">
        <v>56</v>
      </c>
      <c r="K1009" s="1">
        <v>0</v>
      </c>
    </row>
    <row r="1010" spans="3:11" x14ac:dyDescent="0.25">
      <c r="C1010" s="1" t="s">
        <v>3617</v>
      </c>
      <c r="D1010" s="1" t="s">
        <v>3618</v>
      </c>
      <c r="E1010" s="1" t="s">
        <v>3619</v>
      </c>
      <c r="F1010" s="1">
        <v>2</v>
      </c>
      <c r="G1010" s="1">
        <v>2</v>
      </c>
      <c r="H1010" s="1">
        <v>0</v>
      </c>
      <c r="I1010" s="1">
        <v>55</v>
      </c>
      <c r="J1010" s="1">
        <v>53</v>
      </c>
      <c r="K1010" s="1">
        <v>2</v>
      </c>
    </row>
    <row r="1011" spans="3:11" x14ac:dyDescent="0.25">
      <c r="C1011" s="1" t="s">
        <v>3620</v>
      </c>
      <c r="D1011" s="1" t="s">
        <v>738</v>
      </c>
      <c r="E1011" s="1" t="s">
        <v>3621</v>
      </c>
      <c r="F1011" s="1">
        <v>0</v>
      </c>
      <c r="G1011" s="1">
        <v>0</v>
      </c>
      <c r="H1011" s="1">
        <v>0</v>
      </c>
      <c r="I1011" s="1">
        <v>55</v>
      </c>
      <c r="J1011" s="1">
        <v>55</v>
      </c>
      <c r="K1011" s="1">
        <v>0</v>
      </c>
    </row>
    <row r="1012" spans="3:11" x14ac:dyDescent="0.25">
      <c r="C1012" s="1" t="s">
        <v>3625</v>
      </c>
      <c r="D1012" s="1" t="s">
        <v>3626</v>
      </c>
      <c r="E1012" s="1" t="s">
        <v>3627</v>
      </c>
      <c r="F1012" s="1">
        <v>-1</v>
      </c>
      <c r="G1012" s="1">
        <v>-1</v>
      </c>
      <c r="H1012" s="1">
        <v>0</v>
      </c>
      <c r="I1012" s="1">
        <v>55</v>
      </c>
      <c r="J1012" s="1">
        <v>56</v>
      </c>
      <c r="K1012" s="1">
        <v>-1</v>
      </c>
    </row>
    <row r="1013" spans="3:11" x14ac:dyDescent="0.25">
      <c r="C1013" s="1" t="s">
        <v>1830</v>
      </c>
      <c r="D1013" s="1" t="s">
        <v>185</v>
      </c>
      <c r="E1013" s="1" t="s">
        <v>1831</v>
      </c>
      <c r="F1013" s="1">
        <v>9</v>
      </c>
      <c r="G1013" s="1">
        <v>9</v>
      </c>
      <c r="H1013" s="1">
        <v>0</v>
      </c>
      <c r="I1013" s="1">
        <v>55</v>
      </c>
      <c r="J1013" s="1">
        <v>46</v>
      </c>
      <c r="K1013" s="1">
        <v>9</v>
      </c>
    </row>
    <row r="1014" spans="3:11" x14ac:dyDescent="0.25">
      <c r="C1014" s="1" t="s">
        <v>1825</v>
      </c>
      <c r="D1014" s="1" t="s">
        <v>1826</v>
      </c>
      <c r="E1014" s="1" t="s">
        <v>1827</v>
      </c>
      <c r="F1014" s="1">
        <v>2</v>
      </c>
      <c r="G1014" s="1">
        <v>2</v>
      </c>
      <c r="H1014" s="1">
        <v>0</v>
      </c>
      <c r="I1014" s="1">
        <v>54</v>
      </c>
      <c r="J1014" s="1">
        <v>52</v>
      </c>
      <c r="K1014" s="1">
        <v>2</v>
      </c>
    </row>
    <row r="1015" spans="3:11" x14ac:dyDescent="0.25">
      <c r="C1015" s="1" t="s">
        <v>1828</v>
      </c>
      <c r="D1015" s="1" t="s">
        <v>1829</v>
      </c>
      <c r="E1015" s="1" t="s">
        <v>1828</v>
      </c>
      <c r="F1015" s="1">
        <v>1</v>
      </c>
      <c r="G1015" s="1">
        <v>1</v>
      </c>
      <c r="H1015" s="1">
        <v>0</v>
      </c>
      <c r="I1015" s="1">
        <v>54</v>
      </c>
      <c r="J1015" s="1">
        <v>53</v>
      </c>
      <c r="K1015" s="1">
        <v>1</v>
      </c>
    </row>
    <row r="1016" spans="3:11" x14ac:dyDescent="0.25">
      <c r="C1016" s="1" t="s">
        <v>3628</v>
      </c>
      <c r="D1016" s="1" t="s">
        <v>3629</v>
      </c>
      <c r="E1016" s="1" t="s">
        <v>3630</v>
      </c>
      <c r="F1016" s="1">
        <v>7</v>
      </c>
      <c r="G1016" s="1">
        <v>7</v>
      </c>
      <c r="H1016" s="1">
        <v>0</v>
      </c>
      <c r="I1016" s="1">
        <v>54</v>
      </c>
      <c r="J1016" s="1">
        <v>47</v>
      </c>
      <c r="K1016" s="1">
        <v>7</v>
      </c>
    </row>
    <row r="1017" spans="3:11" x14ac:dyDescent="0.25">
      <c r="C1017" s="1" t="s">
        <v>3631</v>
      </c>
      <c r="D1017" s="1" t="s">
        <v>3632</v>
      </c>
      <c r="E1017" s="1" t="s">
        <v>3633</v>
      </c>
      <c r="F1017" s="1">
        <v>15</v>
      </c>
      <c r="G1017" s="1">
        <v>15</v>
      </c>
      <c r="H1017" s="1">
        <v>0</v>
      </c>
      <c r="I1017" s="1">
        <v>54</v>
      </c>
      <c r="J1017" s="1">
        <v>39</v>
      </c>
      <c r="K1017" s="1">
        <v>15</v>
      </c>
    </row>
    <row r="1018" spans="3:11" x14ac:dyDescent="0.25">
      <c r="C1018" s="1" t="s">
        <v>3634</v>
      </c>
      <c r="D1018" s="1" t="s">
        <v>739</v>
      </c>
      <c r="E1018" s="1" t="s">
        <v>3635</v>
      </c>
      <c r="F1018" s="1">
        <v>6</v>
      </c>
      <c r="G1018" s="1">
        <v>6</v>
      </c>
      <c r="H1018" s="1">
        <v>0</v>
      </c>
      <c r="I1018" s="1">
        <v>54</v>
      </c>
      <c r="J1018" s="1">
        <v>48</v>
      </c>
      <c r="K1018" s="1">
        <v>6</v>
      </c>
    </row>
    <row r="1019" spans="3:11" x14ac:dyDescent="0.25">
      <c r="C1019" s="1" t="s">
        <v>3636</v>
      </c>
      <c r="D1019" s="1" t="s">
        <v>3637</v>
      </c>
      <c r="E1019" s="1" t="s">
        <v>3638</v>
      </c>
      <c r="F1019" s="1">
        <v>-4</v>
      </c>
      <c r="G1019" s="1">
        <v>-4</v>
      </c>
      <c r="H1019" s="1">
        <v>0</v>
      </c>
      <c r="I1019" s="1">
        <v>54</v>
      </c>
      <c r="J1019" s="1">
        <v>58</v>
      </c>
      <c r="K1019" s="1">
        <v>-4</v>
      </c>
    </row>
    <row r="1020" spans="3:11" x14ac:dyDescent="0.25">
      <c r="C1020" s="1" t="s">
        <v>1941</v>
      </c>
      <c r="D1020" s="1" t="s">
        <v>1942</v>
      </c>
      <c r="E1020" s="1" t="s">
        <v>1943</v>
      </c>
      <c r="F1020" s="1">
        <v>15</v>
      </c>
      <c r="G1020" s="1">
        <v>15</v>
      </c>
      <c r="H1020" s="1">
        <v>0</v>
      </c>
      <c r="I1020" s="1">
        <v>54</v>
      </c>
      <c r="J1020" s="1">
        <v>39</v>
      </c>
      <c r="K1020" s="1">
        <v>15</v>
      </c>
    </row>
    <row r="1021" spans="3:11" x14ac:dyDescent="0.25">
      <c r="C1021" s="1" t="s">
        <v>1888</v>
      </c>
      <c r="D1021" s="1" t="s">
        <v>1889</v>
      </c>
      <c r="E1021" s="1" t="s">
        <v>1890</v>
      </c>
      <c r="F1021" s="1">
        <v>10</v>
      </c>
      <c r="G1021" s="1">
        <v>10</v>
      </c>
      <c r="H1021" s="1">
        <v>0</v>
      </c>
      <c r="I1021" s="1">
        <v>53</v>
      </c>
      <c r="J1021" s="1">
        <v>43</v>
      </c>
      <c r="K1021" s="1">
        <v>10</v>
      </c>
    </row>
    <row r="1022" spans="3:11" x14ac:dyDescent="0.25">
      <c r="C1022" s="1" t="s">
        <v>3639</v>
      </c>
      <c r="D1022" s="1" t="s">
        <v>3640</v>
      </c>
      <c r="E1022" s="1" t="s">
        <v>3641</v>
      </c>
      <c r="F1022" s="1">
        <v>-4</v>
      </c>
      <c r="G1022" s="1">
        <v>-4</v>
      </c>
      <c r="H1022" s="1">
        <v>0</v>
      </c>
      <c r="I1022" s="1">
        <v>53</v>
      </c>
      <c r="J1022" s="1">
        <v>57</v>
      </c>
      <c r="K1022" s="1">
        <v>-4</v>
      </c>
    </row>
    <row r="1023" spans="3:11" x14ac:dyDescent="0.25">
      <c r="C1023" s="1" t="s">
        <v>1874</v>
      </c>
      <c r="D1023" s="1" t="s">
        <v>1875</v>
      </c>
      <c r="E1023" s="1" t="s">
        <v>1876</v>
      </c>
      <c r="F1023" s="1">
        <v>4</v>
      </c>
      <c r="G1023" s="1">
        <v>4</v>
      </c>
      <c r="H1023" s="1">
        <v>0</v>
      </c>
      <c r="I1023" s="1">
        <v>53</v>
      </c>
      <c r="J1023" s="1">
        <v>49</v>
      </c>
      <c r="K1023" s="1">
        <v>4</v>
      </c>
    </row>
    <row r="1024" spans="3:11" x14ac:dyDescent="0.25">
      <c r="C1024" s="1" t="s">
        <v>3642</v>
      </c>
      <c r="D1024" s="1" t="s">
        <v>490</v>
      </c>
      <c r="E1024" s="1" t="s">
        <v>3643</v>
      </c>
      <c r="F1024" s="1">
        <v>18</v>
      </c>
      <c r="G1024" s="1">
        <v>18</v>
      </c>
      <c r="H1024" s="1">
        <v>0</v>
      </c>
      <c r="I1024" s="1">
        <v>53</v>
      </c>
      <c r="J1024" s="1">
        <v>35</v>
      </c>
      <c r="K1024" s="1">
        <v>18</v>
      </c>
    </row>
    <row r="1025" spans="3:11" x14ac:dyDescent="0.25">
      <c r="C1025" s="1" t="s">
        <v>3674</v>
      </c>
      <c r="D1025" s="1" t="s">
        <v>3675</v>
      </c>
      <c r="E1025" s="1" t="s">
        <v>3676</v>
      </c>
      <c r="F1025" s="1">
        <v>8</v>
      </c>
      <c r="G1025" s="1">
        <v>8</v>
      </c>
      <c r="H1025" s="1">
        <v>0</v>
      </c>
      <c r="I1025" s="1">
        <v>53</v>
      </c>
      <c r="J1025" s="1">
        <v>45</v>
      </c>
      <c r="K1025" s="1">
        <v>8</v>
      </c>
    </row>
    <row r="1026" spans="3:11" x14ac:dyDescent="0.25">
      <c r="C1026" s="1" t="s">
        <v>1962</v>
      </c>
      <c r="D1026" s="1" t="s">
        <v>1963</v>
      </c>
      <c r="E1026" s="1" t="s">
        <v>1964</v>
      </c>
      <c r="F1026" s="1">
        <v>2</v>
      </c>
      <c r="G1026" s="1">
        <v>2</v>
      </c>
      <c r="H1026" s="1">
        <v>0</v>
      </c>
      <c r="I1026" s="1">
        <v>53</v>
      </c>
      <c r="J1026" s="1">
        <v>51</v>
      </c>
      <c r="K1026" s="1">
        <v>2</v>
      </c>
    </row>
    <row r="1027" spans="3:11" x14ac:dyDescent="0.25">
      <c r="C1027" s="1" t="s">
        <v>3644</v>
      </c>
      <c r="D1027" s="1" t="s">
        <v>3645</v>
      </c>
      <c r="E1027" s="1" t="s">
        <v>3646</v>
      </c>
      <c r="F1027" s="1">
        <v>3</v>
      </c>
      <c r="G1027" s="1">
        <v>3</v>
      </c>
      <c r="H1027" s="1">
        <v>0</v>
      </c>
      <c r="I1027" s="1">
        <v>53</v>
      </c>
      <c r="J1027" s="1">
        <v>50</v>
      </c>
      <c r="K1027" s="1">
        <v>3</v>
      </c>
    </row>
    <row r="1028" spans="3:11" x14ac:dyDescent="0.25">
      <c r="C1028" s="1" t="s">
        <v>1832</v>
      </c>
      <c r="D1028" s="1" t="s">
        <v>1833</v>
      </c>
      <c r="E1028" s="1" t="s">
        <v>1834</v>
      </c>
      <c r="F1028" s="1">
        <v>21</v>
      </c>
      <c r="G1028" s="1">
        <v>21</v>
      </c>
      <c r="H1028" s="1">
        <v>0</v>
      </c>
      <c r="I1028" s="1">
        <v>52</v>
      </c>
      <c r="J1028" s="1">
        <v>31</v>
      </c>
      <c r="K1028" s="1">
        <v>21</v>
      </c>
    </row>
    <row r="1029" spans="3:11" x14ac:dyDescent="0.25">
      <c r="C1029" s="1" t="s">
        <v>3650</v>
      </c>
      <c r="D1029" s="1" t="s">
        <v>3651</v>
      </c>
      <c r="E1029" s="1" t="s">
        <v>3652</v>
      </c>
      <c r="F1029" s="1">
        <v>52</v>
      </c>
      <c r="G1029" s="1">
        <v>52</v>
      </c>
      <c r="H1029" s="1">
        <v>0</v>
      </c>
      <c r="I1029" s="1">
        <v>52</v>
      </c>
      <c r="J1029" s="1">
        <v>0</v>
      </c>
      <c r="K1029" s="1">
        <v>52</v>
      </c>
    </row>
    <row r="1030" spans="3:11" x14ac:dyDescent="0.25">
      <c r="C1030" s="1" t="s">
        <v>1835</v>
      </c>
      <c r="D1030" s="1" t="s">
        <v>1836</v>
      </c>
      <c r="E1030" s="1" t="s">
        <v>1837</v>
      </c>
      <c r="F1030" s="1">
        <v>11</v>
      </c>
      <c r="G1030" s="1">
        <v>11</v>
      </c>
      <c r="H1030" s="1">
        <v>0</v>
      </c>
      <c r="I1030" s="1">
        <v>52</v>
      </c>
      <c r="J1030" s="1">
        <v>41</v>
      </c>
      <c r="K1030" s="1">
        <v>11</v>
      </c>
    </row>
    <row r="1031" spans="3:11" x14ac:dyDescent="0.25">
      <c r="C1031" s="1" t="s">
        <v>3653</v>
      </c>
      <c r="D1031" s="1" t="s">
        <v>619</v>
      </c>
      <c r="E1031" s="1" t="s">
        <v>3654</v>
      </c>
      <c r="F1031" s="1">
        <v>4</v>
      </c>
      <c r="G1031" s="1">
        <v>4</v>
      </c>
      <c r="H1031" s="1">
        <v>0</v>
      </c>
      <c r="I1031" s="1">
        <v>52</v>
      </c>
      <c r="J1031" s="1">
        <v>48</v>
      </c>
      <c r="K1031" s="1">
        <v>4</v>
      </c>
    </row>
    <row r="1032" spans="3:11" x14ac:dyDescent="0.25">
      <c r="C1032" s="1" t="s">
        <v>3658</v>
      </c>
      <c r="D1032" s="1" t="s">
        <v>3659</v>
      </c>
      <c r="E1032" s="1" t="s">
        <v>3660</v>
      </c>
      <c r="F1032" s="1">
        <v>-6</v>
      </c>
      <c r="G1032" s="1">
        <v>-6</v>
      </c>
      <c r="H1032" s="1">
        <v>0</v>
      </c>
      <c r="I1032" s="1">
        <v>52</v>
      </c>
      <c r="J1032" s="1">
        <v>58</v>
      </c>
      <c r="K1032" s="1">
        <v>-6</v>
      </c>
    </row>
    <row r="1033" spans="3:11" x14ac:dyDescent="0.25">
      <c r="C1033" s="1" t="s">
        <v>3664</v>
      </c>
      <c r="D1033" s="1" t="s">
        <v>3665</v>
      </c>
      <c r="E1033" s="1" t="s">
        <v>3666</v>
      </c>
      <c r="F1033" s="1">
        <v>0</v>
      </c>
      <c r="G1033" s="1">
        <v>0</v>
      </c>
      <c r="H1033" s="1">
        <v>0</v>
      </c>
      <c r="I1033" s="1">
        <v>51</v>
      </c>
      <c r="J1033" s="1">
        <v>51</v>
      </c>
      <c r="K1033" s="1">
        <v>0</v>
      </c>
    </row>
    <row r="1034" spans="3:11" x14ac:dyDescent="0.25">
      <c r="C1034" s="1" t="s">
        <v>1848</v>
      </c>
      <c r="D1034" s="1" t="s">
        <v>1849</v>
      </c>
      <c r="E1034" s="1" t="s">
        <v>1850</v>
      </c>
      <c r="F1034" s="1">
        <v>3</v>
      </c>
      <c r="G1034" s="1">
        <v>3</v>
      </c>
      <c r="H1034" s="1">
        <v>0</v>
      </c>
      <c r="I1034" s="1">
        <v>50</v>
      </c>
      <c r="J1034" s="1">
        <v>47</v>
      </c>
      <c r="K1034" s="1">
        <v>3</v>
      </c>
    </row>
    <row r="1035" spans="3:11" x14ac:dyDescent="0.25">
      <c r="C1035" s="1" t="s">
        <v>3667</v>
      </c>
      <c r="D1035" s="1" t="s">
        <v>3668</v>
      </c>
      <c r="E1035" s="1" t="s">
        <v>3669</v>
      </c>
      <c r="F1035" s="1">
        <v>0</v>
      </c>
      <c r="G1035" s="1">
        <v>0</v>
      </c>
      <c r="H1035" s="1">
        <v>0</v>
      </c>
      <c r="I1035" s="1">
        <v>50</v>
      </c>
      <c r="J1035" s="1">
        <v>50</v>
      </c>
      <c r="K1035" s="1">
        <v>0</v>
      </c>
    </row>
    <row r="1036" spans="3:11" x14ac:dyDescent="0.25">
      <c r="C1036" s="1" t="s">
        <v>1851</v>
      </c>
      <c r="D1036" s="1" t="s">
        <v>1852</v>
      </c>
      <c r="E1036" s="1" t="s">
        <v>1853</v>
      </c>
      <c r="F1036" s="1">
        <v>3</v>
      </c>
      <c r="G1036" s="1">
        <v>3</v>
      </c>
      <c r="H1036" s="1">
        <v>0</v>
      </c>
      <c r="I1036" s="1">
        <v>49</v>
      </c>
      <c r="J1036" s="1">
        <v>46</v>
      </c>
      <c r="K1036" s="1">
        <v>3</v>
      </c>
    </row>
    <row r="1037" spans="3:11" x14ac:dyDescent="0.25">
      <c r="C1037" s="1" t="s">
        <v>1854</v>
      </c>
      <c r="D1037" s="1" t="s">
        <v>1855</v>
      </c>
      <c r="E1037" s="1" t="s">
        <v>1856</v>
      </c>
      <c r="F1037" s="1">
        <v>-2</v>
      </c>
      <c r="G1037" s="1">
        <v>-2</v>
      </c>
      <c r="H1037" s="1">
        <v>0</v>
      </c>
      <c r="I1037" s="1">
        <v>49</v>
      </c>
      <c r="J1037" s="1">
        <v>51</v>
      </c>
      <c r="K1037" s="1">
        <v>-2</v>
      </c>
    </row>
    <row r="1038" spans="3:11" x14ac:dyDescent="0.25">
      <c r="C1038" s="1" t="s">
        <v>3670</v>
      </c>
      <c r="D1038" s="1" t="s">
        <v>491</v>
      </c>
      <c r="E1038" s="1" t="s">
        <v>3670</v>
      </c>
      <c r="F1038" s="1">
        <v>19</v>
      </c>
      <c r="G1038" s="1">
        <v>19</v>
      </c>
      <c r="H1038" s="1">
        <v>0</v>
      </c>
      <c r="I1038" s="1">
        <v>49</v>
      </c>
      <c r="J1038" s="1">
        <v>30</v>
      </c>
      <c r="K1038" s="1">
        <v>19</v>
      </c>
    </row>
    <row r="1039" spans="3:11" x14ac:dyDescent="0.25">
      <c r="C1039" s="1" t="s">
        <v>1929</v>
      </c>
      <c r="D1039" s="1" t="s">
        <v>1930</v>
      </c>
      <c r="E1039" s="1" t="s">
        <v>1931</v>
      </c>
      <c r="F1039" s="1">
        <v>2</v>
      </c>
      <c r="G1039" s="1">
        <v>2</v>
      </c>
      <c r="H1039" s="1">
        <v>0</v>
      </c>
      <c r="I1039" s="1">
        <v>49</v>
      </c>
      <c r="J1039" s="1">
        <v>47</v>
      </c>
      <c r="K1039" s="1">
        <v>2</v>
      </c>
    </row>
    <row r="1040" spans="3:11" x14ac:dyDescent="0.25">
      <c r="C1040" s="1" t="s">
        <v>2019</v>
      </c>
      <c r="D1040" s="1" t="s">
        <v>2020</v>
      </c>
      <c r="E1040" s="1" t="s">
        <v>2021</v>
      </c>
      <c r="F1040" s="1">
        <v>-3</v>
      </c>
      <c r="G1040" s="1">
        <v>-3</v>
      </c>
      <c r="H1040" s="1">
        <v>0</v>
      </c>
      <c r="I1040" s="1">
        <v>49</v>
      </c>
      <c r="J1040" s="1">
        <v>52</v>
      </c>
      <c r="K1040" s="1">
        <v>-3</v>
      </c>
    </row>
    <row r="1041" spans="3:11" x14ac:dyDescent="0.25">
      <c r="C1041" s="1" t="s">
        <v>3671</v>
      </c>
      <c r="D1041" s="1" t="s">
        <v>3672</v>
      </c>
      <c r="E1041" s="1" t="s">
        <v>3673</v>
      </c>
      <c r="F1041" s="1">
        <v>21</v>
      </c>
      <c r="G1041" s="1">
        <v>21</v>
      </c>
      <c r="H1041" s="1">
        <v>0</v>
      </c>
      <c r="I1041" s="1">
        <v>48</v>
      </c>
      <c r="J1041" s="1">
        <v>27</v>
      </c>
      <c r="K1041" s="1">
        <v>21</v>
      </c>
    </row>
    <row r="1042" spans="3:11" x14ac:dyDescent="0.25">
      <c r="C1042" s="1" t="s">
        <v>3677</v>
      </c>
      <c r="D1042" s="1" t="s">
        <v>740</v>
      </c>
      <c r="E1042" s="1" t="s">
        <v>3678</v>
      </c>
      <c r="F1042" s="1">
        <v>7</v>
      </c>
      <c r="G1042" s="1">
        <v>7</v>
      </c>
      <c r="H1042" s="1">
        <v>0</v>
      </c>
      <c r="I1042" s="1">
        <v>48</v>
      </c>
      <c r="J1042" s="1">
        <v>41</v>
      </c>
      <c r="K1042" s="1">
        <v>7</v>
      </c>
    </row>
    <row r="1043" spans="3:11" x14ac:dyDescent="0.25">
      <c r="C1043" s="1" t="s">
        <v>3679</v>
      </c>
      <c r="D1043" s="1" t="s">
        <v>3680</v>
      </c>
      <c r="E1043" s="1" t="s">
        <v>3679</v>
      </c>
      <c r="F1043" s="1">
        <v>0</v>
      </c>
      <c r="G1043" s="1">
        <v>0</v>
      </c>
      <c r="H1043" s="1">
        <v>0</v>
      </c>
      <c r="I1043" s="1">
        <v>48</v>
      </c>
      <c r="J1043" s="1">
        <v>48</v>
      </c>
      <c r="K1043" s="1">
        <v>0</v>
      </c>
    </row>
    <row r="1044" spans="3:11" x14ac:dyDescent="0.25">
      <c r="C1044" s="1" t="s">
        <v>2067</v>
      </c>
      <c r="D1044" s="1" t="s">
        <v>2068</v>
      </c>
      <c r="E1044" s="1" t="s">
        <v>2069</v>
      </c>
      <c r="F1044" s="1">
        <v>0</v>
      </c>
      <c r="G1044" s="1">
        <v>0</v>
      </c>
      <c r="H1044" s="1">
        <v>0</v>
      </c>
      <c r="I1044" s="1">
        <v>48</v>
      </c>
      <c r="J1044" s="1">
        <v>48</v>
      </c>
      <c r="K1044" s="1">
        <v>0</v>
      </c>
    </row>
    <row r="1045" spans="3:11" x14ac:dyDescent="0.25">
      <c r="C1045" s="1" t="s">
        <v>2302</v>
      </c>
      <c r="D1045" s="1" t="s">
        <v>2303</v>
      </c>
      <c r="E1045" s="1" t="s">
        <v>2304</v>
      </c>
      <c r="F1045" s="1">
        <v>48</v>
      </c>
      <c r="G1045" s="1">
        <v>48</v>
      </c>
      <c r="H1045" s="1">
        <v>0</v>
      </c>
      <c r="I1045" s="1">
        <v>48</v>
      </c>
      <c r="J1045" s="1">
        <v>0</v>
      </c>
      <c r="K1045" s="1">
        <v>48</v>
      </c>
    </row>
    <row r="1046" spans="3:11" x14ac:dyDescent="0.25">
      <c r="C1046" s="1" t="s">
        <v>2299</v>
      </c>
      <c r="D1046" s="1" t="s">
        <v>2300</v>
      </c>
      <c r="E1046" s="1" t="s">
        <v>2301</v>
      </c>
      <c r="F1046" s="1">
        <v>46</v>
      </c>
      <c r="G1046" s="1">
        <v>46</v>
      </c>
      <c r="H1046" s="1">
        <v>0</v>
      </c>
      <c r="I1046" s="1">
        <v>48</v>
      </c>
      <c r="J1046" s="1">
        <v>2</v>
      </c>
      <c r="K1046" s="1">
        <v>46</v>
      </c>
    </row>
    <row r="1047" spans="3:11" x14ac:dyDescent="0.25">
      <c r="C1047" s="1" t="s">
        <v>2296</v>
      </c>
      <c r="D1047" s="1" t="s">
        <v>2297</v>
      </c>
      <c r="E1047" s="1" t="s">
        <v>2298</v>
      </c>
      <c r="F1047" s="1">
        <v>42</v>
      </c>
      <c r="G1047" s="1">
        <v>42</v>
      </c>
      <c r="H1047" s="1">
        <v>0</v>
      </c>
      <c r="I1047" s="1">
        <v>48</v>
      </c>
      <c r="J1047" s="1">
        <v>6</v>
      </c>
      <c r="K1047" s="1">
        <v>42</v>
      </c>
    </row>
    <row r="1048" spans="3:11" x14ac:dyDescent="0.25">
      <c r="C1048" s="1" t="s">
        <v>1860</v>
      </c>
      <c r="D1048" s="1" t="s">
        <v>1861</v>
      </c>
      <c r="E1048" s="1" t="s">
        <v>1862</v>
      </c>
      <c r="F1048" s="1">
        <v>2</v>
      </c>
      <c r="G1048" s="1">
        <v>2</v>
      </c>
      <c r="H1048" s="1">
        <v>0</v>
      </c>
      <c r="I1048" s="1">
        <v>47</v>
      </c>
      <c r="J1048" s="1">
        <v>45</v>
      </c>
      <c r="K1048" s="1">
        <v>2</v>
      </c>
    </row>
    <row r="1049" spans="3:11" x14ac:dyDescent="0.25">
      <c r="C1049" s="1" t="s">
        <v>3681</v>
      </c>
      <c r="D1049" s="1" t="s">
        <v>3682</v>
      </c>
      <c r="E1049" s="1" t="s">
        <v>3683</v>
      </c>
      <c r="F1049" s="1">
        <v>0</v>
      </c>
      <c r="G1049" s="1">
        <v>0</v>
      </c>
      <c r="H1049" s="1">
        <v>0</v>
      </c>
      <c r="I1049" s="1">
        <v>47</v>
      </c>
      <c r="J1049" s="1">
        <v>47</v>
      </c>
      <c r="K1049" s="1">
        <v>0</v>
      </c>
    </row>
    <row r="1050" spans="3:11" x14ac:dyDescent="0.25">
      <c r="C1050" s="1" t="s">
        <v>3684</v>
      </c>
      <c r="D1050" s="1" t="s">
        <v>3685</v>
      </c>
      <c r="E1050" s="1" t="s">
        <v>3686</v>
      </c>
      <c r="F1050" s="1">
        <v>8</v>
      </c>
      <c r="G1050" s="1">
        <v>8</v>
      </c>
      <c r="H1050" s="1">
        <v>0</v>
      </c>
      <c r="I1050" s="1">
        <v>47</v>
      </c>
      <c r="J1050" s="1">
        <v>39</v>
      </c>
      <c r="K1050" s="1">
        <v>8</v>
      </c>
    </row>
    <row r="1051" spans="3:11" x14ac:dyDescent="0.25">
      <c r="C1051" s="1" t="s">
        <v>3687</v>
      </c>
      <c r="D1051" s="1" t="s">
        <v>3688</v>
      </c>
      <c r="E1051" s="1" t="s">
        <v>3689</v>
      </c>
      <c r="F1051" s="1">
        <v>10</v>
      </c>
      <c r="G1051" s="1">
        <v>10</v>
      </c>
      <c r="H1051" s="1">
        <v>0</v>
      </c>
      <c r="I1051" s="1">
        <v>47</v>
      </c>
      <c r="J1051" s="1">
        <v>37</v>
      </c>
      <c r="K1051" s="1">
        <v>10</v>
      </c>
    </row>
    <row r="1052" spans="3:11" x14ac:dyDescent="0.25">
      <c r="C1052" s="1" t="s">
        <v>1894</v>
      </c>
      <c r="D1052" s="1" t="s">
        <v>1895</v>
      </c>
      <c r="E1052" s="1" t="s">
        <v>1896</v>
      </c>
      <c r="F1052" s="1">
        <v>8</v>
      </c>
      <c r="G1052" s="1">
        <v>8</v>
      </c>
      <c r="H1052" s="1">
        <v>0</v>
      </c>
      <c r="I1052" s="1">
        <v>47</v>
      </c>
      <c r="J1052" s="1">
        <v>39</v>
      </c>
      <c r="K1052" s="1">
        <v>8</v>
      </c>
    </row>
    <row r="1053" spans="3:11" x14ac:dyDescent="0.25">
      <c r="C1053" s="1" t="s">
        <v>3690</v>
      </c>
      <c r="D1053" s="1" t="s">
        <v>3691</v>
      </c>
      <c r="E1053" s="1" t="s">
        <v>3692</v>
      </c>
      <c r="F1053" s="1">
        <v>11</v>
      </c>
      <c r="G1053" s="1">
        <v>11</v>
      </c>
      <c r="H1053" s="1">
        <v>0</v>
      </c>
      <c r="I1053" s="1">
        <v>46</v>
      </c>
      <c r="J1053" s="1">
        <v>35</v>
      </c>
      <c r="K1053" s="1">
        <v>11</v>
      </c>
    </row>
    <row r="1054" spans="3:11" x14ac:dyDescent="0.25">
      <c r="C1054" s="1" t="s">
        <v>3693</v>
      </c>
      <c r="D1054" s="1" t="s">
        <v>3694</v>
      </c>
      <c r="E1054" s="1" t="s">
        <v>3695</v>
      </c>
      <c r="F1054" s="1">
        <v>0</v>
      </c>
      <c r="G1054" s="1">
        <v>0</v>
      </c>
      <c r="H1054" s="1">
        <v>0</v>
      </c>
      <c r="I1054" s="1">
        <v>46</v>
      </c>
      <c r="J1054" s="1">
        <v>46</v>
      </c>
      <c r="K1054" s="1">
        <v>0</v>
      </c>
    </row>
    <row r="1055" spans="3:11" x14ac:dyDescent="0.25">
      <c r="C1055" s="1" t="s">
        <v>3696</v>
      </c>
      <c r="D1055" s="1" t="s">
        <v>3697</v>
      </c>
      <c r="E1055" s="1" t="s">
        <v>3698</v>
      </c>
      <c r="F1055" s="1">
        <v>3</v>
      </c>
      <c r="G1055" s="1">
        <v>3</v>
      </c>
      <c r="H1055" s="1">
        <v>0</v>
      </c>
      <c r="I1055" s="1">
        <v>46</v>
      </c>
      <c r="J1055" s="1">
        <v>43</v>
      </c>
      <c r="K1055" s="1">
        <v>3</v>
      </c>
    </row>
    <row r="1056" spans="3:11" x14ac:dyDescent="0.25">
      <c r="C1056" s="1" t="s">
        <v>3699</v>
      </c>
      <c r="D1056" s="1" t="s">
        <v>3700</v>
      </c>
      <c r="E1056" s="1" t="s">
        <v>3701</v>
      </c>
      <c r="F1056" s="1">
        <v>0</v>
      </c>
      <c r="G1056" s="1">
        <v>0</v>
      </c>
      <c r="H1056" s="1">
        <v>0</v>
      </c>
      <c r="I1056" s="1">
        <v>46</v>
      </c>
      <c r="J1056" s="1">
        <v>46</v>
      </c>
      <c r="K1056" s="1">
        <v>0</v>
      </c>
    </row>
    <row r="1057" spans="3:11" x14ac:dyDescent="0.25">
      <c r="C1057" s="1" t="s">
        <v>3702</v>
      </c>
      <c r="D1057" s="1" t="s">
        <v>3703</v>
      </c>
      <c r="E1057" s="1" t="s">
        <v>3704</v>
      </c>
      <c r="F1057" s="1">
        <v>3</v>
      </c>
      <c r="G1057" s="1">
        <v>3</v>
      </c>
      <c r="H1057" s="1">
        <v>0</v>
      </c>
      <c r="I1057" s="1">
        <v>45</v>
      </c>
      <c r="J1057" s="1">
        <v>42</v>
      </c>
      <c r="K1057" s="1">
        <v>3</v>
      </c>
    </row>
    <row r="1058" spans="3:11" x14ac:dyDescent="0.25">
      <c r="C1058" s="1" t="s">
        <v>3705</v>
      </c>
      <c r="D1058" s="1" t="s">
        <v>3706</v>
      </c>
      <c r="E1058" s="1" t="s">
        <v>3707</v>
      </c>
      <c r="F1058" s="1">
        <v>1</v>
      </c>
      <c r="G1058" s="1">
        <v>1</v>
      </c>
      <c r="H1058" s="1">
        <v>0</v>
      </c>
      <c r="I1058" s="1">
        <v>45</v>
      </c>
      <c r="J1058" s="1">
        <v>44</v>
      </c>
      <c r="K1058" s="1">
        <v>1</v>
      </c>
    </row>
    <row r="1059" spans="3:11" x14ac:dyDescent="0.25">
      <c r="C1059" s="1" t="s">
        <v>3708</v>
      </c>
      <c r="D1059" s="1" t="s">
        <v>3709</v>
      </c>
      <c r="E1059" s="1" t="s">
        <v>3710</v>
      </c>
      <c r="F1059" s="1">
        <v>4</v>
      </c>
      <c r="G1059" s="1">
        <v>4</v>
      </c>
      <c r="H1059" s="1">
        <v>0</v>
      </c>
      <c r="I1059" s="1">
        <v>45</v>
      </c>
      <c r="J1059" s="1">
        <v>41</v>
      </c>
      <c r="K1059" s="1">
        <v>4</v>
      </c>
    </row>
    <row r="1060" spans="3:11" x14ac:dyDescent="0.25">
      <c r="C1060" s="1" t="s">
        <v>3803</v>
      </c>
      <c r="D1060" s="1" t="s">
        <v>3804</v>
      </c>
      <c r="E1060" s="1" t="s">
        <v>3805</v>
      </c>
      <c r="F1060" s="1">
        <v>18</v>
      </c>
      <c r="G1060" s="1">
        <v>18</v>
      </c>
      <c r="H1060" s="1">
        <v>0</v>
      </c>
      <c r="I1060" s="1">
        <v>45</v>
      </c>
      <c r="J1060" s="1">
        <v>27</v>
      </c>
      <c r="K1060" s="1">
        <v>18</v>
      </c>
    </row>
    <row r="1061" spans="3:11" x14ac:dyDescent="0.25">
      <c r="C1061" s="1" t="s">
        <v>3848</v>
      </c>
      <c r="D1061" s="1" t="s">
        <v>3849</v>
      </c>
      <c r="E1061" s="1" t="s">
        <v>3850</v>
      </c>
      <c r="F1061" s="1">
        <v>2</v>
      </c>
      <c r="G1061" s="1">
        <v>2</v>
      </c>
      <c r="H1061" s="1">
        <v>0</v>
      </c>
      <c r="I1061" s="1">
        <v>45</v>
      </c>
      <c r="J1061" s="1">
        <v>43</v>
      </c>
      <c r="K1061" s="1">
        <v>2</v>
      </c>
    </row>
    <row r="1062" spans="3:11" x14ac:dyDescent="0.25">
      <c r="C1062" s="1" t="s">
        <v>1866</v>
      </c>
      <c r="D1062" s="1" t="s">
        <v>1867</v>
      </c>
      <c r="E1062" s="1" t="s">
        <v>1868</v>
      </c>
      <c r="F1062" s="1">
        <v>0</v>
      </c>
      <c r="G1062" s="1">
        <v>0</v>
      </c>
      <c r="H1062" s="1">
        <v>0</v>
      </c>
      <c r="I1062" s="1">
        <v>44</v>
      </c>
      <c r="J1062" s="1">
        <v>44</v>
      </c>
      <c r="K1062" s="1">
        <v>0</v>
      </c>
    </row>
    <row r="1063" spans="3:11" x14ac:dyDescent="0.25">
      <c r="C1063" s="1" t="s">
        <v>3711</v>
      </c>
      <c r="D1063" s="1" t="s">
        <v>3712</v>
      </c>
      <c r="E1063" s="1" t="s">
        <v>3713</v>
      </c>
      <c r="F1063" s="1">
        <v>0</v>
      </c>
      <c r="G1063" s="1">
        <v>0</v>
      </c>
      <c r="H1063" s="1">
        <v>0</v>
      </c>
      <c r="I1063" s="1">
        <v>44</v>
      </c>
      <c r="J1063" s="1">
        <v>44</v>
      </c>
      <c r="K1063" s="1">
        <v>0</v>
      </c>
    </row>
    <row r="1064" spans="3:11" x14ac:dyDescent="0.25">
      <c r="C1064" s="1" t="s">
        <v>3857</v>
      </c>
      <c r="D1064" s="1" t="s">
        <v>3858</v>
      </c>
      <c r="E1064" s="1" t="s">
        <v>3859</v>
      </c>
      <c r="F1064" s="1">
        <v>4</v>
      </c>
      <c r="G1064" s="1">
        <v>4</v>
      </c>
      <c r="H1064" s="1">
        <v>0</v>
      </c>
      <c r="I1064" s="1">
        <v>44</v>
      </c>
      <c r="J1064" s="1">
        <v>40</v>
      </c>
      <c r="K1064" s="1">
        <v>4</v>
      </c>
    </row>
    <row r="1065" spans="3:11" x14ac:dyDescent="0.25">
      <c r="C1065" s="1" t="s">
        <v>1905</v>
      </c>
      <c r="D1065" s="1" t="s">
        <v>1906</v>
      </c>
      <c r="E1065" s="1" t="s">
        <v>1907</v>
      </c>
      <c r="F1065" s="1">
        <v>10</v>
      </c>
      <c r="G1065" s="1">
        <v>10</v>
      </c>
      <c r="H1065" s="1">
        <v>0</v>
      </c>
      <c r="I1065" s="1">
        <v>44</v>
      </c>
      <c r="J1065" s="1">
        <v>34</v>
      </c>
      <c r="K1065" s="1">
        <v>10</v>
      </c>
    </row>
    <row r="1066" spans="3:11" x14ac:dyDescent="0.25">
      <c r="C1066" s="1" t="s">
        <v>3714</v>
      </c>
      <c r="D1066" s="1" t="s">
        <v>492</v>
      </c>
      <c r="E1066" s="1" t="s">
        <v>3715</v>
      </c>
      <c r="F1066" s="1">
        <v>6</v>
      </c>
      <c r="G1066" s="1">
        <v>6</v>
      </c>
      <c r="H1066" s="1">
        <v>0</v>
      </c>
      <c r="I1066" s="1">
        <v>44</v>
      </c>
      <c r="J1066" s="1">
        <v>38</v>
      </c>
      <c r="K1066" s="1">
        <v>6</v>
      </c>
    </row>
    <row r="1067" spans="3:11" x14ac:dyDescent="0.25">
      <c r="C1067" s="1" t="s">
        <v>1869</v>
      </c>
      <c r="D1067" s="1" t="s">
        <v>188</v>
      </c>
      <c r="E1067" s="1" t="s">
        <v>1870</v>
      </c>
      <c r="F1067" s="1">
        <v>11</v>
      </c>
      <c r="G1067" s="1">
        <v>11</v>
      </c>
      <c r="H1067" s="1">
        <v>0</v>
      </c>
      <c r="I1067" s="1">
        <v>44</v>
      </c>
      <c r="J1067" s="1">
        <v>33</v>
      </c>
      <c r="K1067" s="1">
        <v>11</v>
      </c>
    </row>
    <row r="1068" spans="3:11" x14ac:dyDescent="0.25">
      <c r="C1068" s="1" t="s">
        <v>3716</v>
      </c>
      <c r="D1068" s="1" t="s">
        <v>3717</v>
      </c>
      <c r="E1068" s="1" t="s">
        <v>3718</v>
      </c>
      <c r="F1068" s="1">
        <v>-1</v>
      </c>
      <c r="G1068" s="1">
        <v>-1</v>
      </c>
      <c r="H1068" s="1">
        <v>0</v>
      </c>
      <c r="I1068" s="1">
        <v>44</v>
      </c>
      <c r="J1068" s="1">
        <v>45</v>
      </c>
      <c r="K1068" s="1">
        <v>-1</v>
      </c>
    </row>
    <row r="1069" spans="3:11" x14ac:dyDescent="0.25">
      <c r="C1069" s="1" t="s">
        <v>4378</v>
      </c>
      <c r="D1069" s="1" t="s">
        <v>4356</v>
      </c>
      <c r="E1069" s="1" t="s">
        <v>4379</v>
      </c>
      <c r="F1069" s="1">
        <v>37</v>
      </c>
      <c r="G1069" s="1">
        <v>37</v>
      </c>
      <c r="H1069" s="1">
        <v>0</v>
      </c>
      <c r="I1069" s="1">
        <v>44</v>
      </c>
      <c r="J1069" s="1">
        <v>7</v>
      </c>
      <c r="K1069" s="1">
        <v>37</v>
      </c>
    </row>
    <row r="1070" spans="3:11" x14ac:dyDescent="0.25">
      <c r="C1070" s="1" t="s">
        <v>1879</v>
      </c>
      <c r="D1070" s="1" t="s">
        <v>1880</v>
      </c>
      <c r="E1070" s="1" t="s">
        <v>1881</v>
      </c>
      <c r="F1070" s="1">
        <v>5</v>
      </c>
      <c r="G1070" s="1">
        <v>5</v>
      </c>
      <c r="H1070" s="1">
        <v>0</v>
      </c>
      <c r="I1070" s="1">
        <v>43</v>
      </c>
      <c r="J1070" s="1">
        <v>38</v>
      </c>
      <c r="K1070" s="1">
        <v>5</v>
      </c>
    </row>
    <row r="1071" spans="3:11" x14ac:dyDescent="0.25">
      <c r="C1071" s="1" t="s">
        <v>3719</v>
      </c>
      <c r="D1071" s="1" t="s">
        <v>3720</v>
      </c>
      <c r="E1071" s="1" t="s">
        <v>3721</v>
      </c>
      <c r="F1071" s="1">
        <v>1</v>
      </c>
      <c r="G1071" s="1">
        <v>1</v>
      </c>
      <c r="H1071" s="1">
        <v>0</v>
      </c>
      <c r="I1071" s="1">
        <v>43</v>
      </c>
      <c r="J1071" s="1">
        <v>42</v>
      </c>
      <c r="K1071" s="1">
        <v>1</v>
      </c>
    </row>
    <row r="1072" spans="3:11" x14ac:dyDescent="0.25">
      <c r="C1072" s="1" t="s">
        <v>609</v>
      </c>
      <c r="D1072" s="1" t="s">
        <v>610</v>
      </c>
      <c r="E1072" s="1" t="s">
        <v>609</v>
      </c>
      <c r="F1072" s="1">
        <v>40</v>
      </c>
      <c r="G1072" s="1">
        <v>40</v>
      </c>
      <c r="H1072" s="1">
        <v>0</v>
      </c>
      <c r="I1072" s="1">
        <v>42</v>
      </c>
      <c r="J1072" s="1">
        <v>2</v>
      </c>
      <c r="K1072" s="1">
        <v>40</v>
      </c>
    </row>
    <row r="1073" spans="3:11" x14ac:dyDescent="0.25">
      <c r="C1073" s="1" t="s">
        <v>3722</v>
      </c>
      <c r="D1073" s="1" t="s">
        <v>3723</v>
      </c>
      <c r="E1073" s="1" t="s">
        <v>3724</v>
      </c>
      <c r="F1073" s="1">
        <v>27</v>
      </c>
      <c r="G1073" s="1">
        <v>27</v>
      </c>
      <c r="H1073" s="1">
        <v>0</v>
      </c>
      <c r="I1073" s="1">
        <v>42</v>
      </c>
      <c r="J1073" s="1">
        <v>15</v>
      </c>
      <c r="K1073" s="1">
        <v>27</v>
      </c>
    </row>
    <row r="1074" spans="3:11" x14ac:dyDescent="0.25">
      <c r="C1074" s="1" t="s">
        <v>3725</v>
      </c>
      <c r="D1074" s="1" t="s">
        <v>493</v>
      </c>
      <c r="E1074" s="1" t="s">
        <v>3726</v>
      </c>
      <c r="F1074" s="1">
        <v>6</v>
      </c>
      <c r="G1074" s="1">
        <v>6</v>
      </c>
      <c r="H1074" s="1">
        <v>0</v>
      </c>
      <c r="I1074" s="1">
        <v>42</v>
      </c>
      <c r="J1074" s="1">
        <v>36</v>
      </c>
      <c r="K1074" s="1">
        <v>6</v>
      </c>
    </row>
    <row r="1075" spans="3:11" x14ac:dyDescent="0.25">
      <c r="C1075" s="1" t="s">
        <v>3800</v>
      </c>
      <c r="D1075" s="1" t="s">
        <v>3801</v>
      </c>
      <c r="E1075" s="1" t="s">
        <v>3802</v>
      </c>
      <c r="F1075" s="1">
        <v>4</v>
      </c>
      <c r="G1075" s="1">
        <v>4</v>
      </c>
      <c r="H1075" s="1">
        <v>0</v>
      </c>
      <c r="I1075" s="1">
        <v>42</v>
      </c>
      <c r="J1075" s="1">
        <v>38</v>
      </c>
      <c r="K1075" s="1">
        <v>4</v>
      </c>
    </row>
    <row r="1076" spans="3:11" x14ac:dyDescent="0.25">
      <c r="C1076" s="1" t="s">
        <v>3767</v>
      </c>
      <c r="D1076" s="1" t="s">
        <v>3768</v>
      </c>
      <c r="E1076" s="1" t="s">
        <v>3769</v>
      </c>
      <c r="F1076" s="1">
        <v>1</v>
      </c>
      <c r="G1076" s="1">
        <v>1</v>
      </c>
      <c r="H1076" s="1">
        <v>0</v>
      </c>
      <c r="I1076" s="1">
        <v>42</v>
      </c>
      <c r="J1076" s="1">
        <v>41</v>
      </c>
      <c r="K1076" s="1">
        <v>1</v>
      </c>
    </row>
    <row r="1077" spans="3:11" x14ac:dyDescent="0.25">
      <c r="C1077" s="1" t="s">
        <v>3727</v>
      </c>
      <c r="D1077" s="1" t="s">
        <v>3728</v>
      </c>
      <c r="E1077" s="1" t="s">
        <v>3729</v>
      </c>
      <c r="F1077" s="1">
        <v>1</v>
      </c>
      <c r="G1077" s="1">
        <v>1</v>
      </c>
      <c r="H1077" s="1">
        <v>0</v>
      </c>
      <c r="I1077" s="1">
        <v>42</v>
      </c>
      <c r="J1077" s="1">
        <v>41</v>
      </c>
      <c r="K1077" s="1">
        <v>1</v>
      </c>
    </row>
    <row r="1078" spans="3:11" x14ac:dyDescent="0.25">
      <c r="C1078" s="1" t="s">
        <v>1956</v>
      </c>
      <c r="D1078" s="1" t="s">
        <v>1957</v>
      </c>
      <c r="E1078" s="1" t="s">
        <v>1958</v>
      </c>
      <c r="F1078" s="1">
        <v>2</v>
      </c>
      <c r="G1078" s="1">
        <v>2</v>
      </c>
      <c r="H1078" s="1">
        <v>0</v>
      </c>
      <c r="I1078" s="1">
        <v>42</v>
      </c>
      <c r="J1078" s="1">
        <v>40</v>
      </c>
      <c r="K1078" s="1">
        <v>2</v>
      </c>
    </row>
    <row r="1079" spans="3:11" x14ac:dyDescent="0.25">
      <c r="C1079" s="1" t="s">
        <v>1871</v>
      </c>
      <c r="D1079" s="1" t="s">
        <v>1872</v>
      </c>
      <c r="E1079" s="1" t="s">
        <v>1873</v>
      </c>
      <c r="F1079" s="1">
        <v>0</v>
      </c>
      <c r="G1079" s="1">
        <v>0</v>
      </c>
      <c r="H1079" s="1">
        <v>0</v>
      </c>
      <c r="I1079" s="1">
        <v>41</v>
      </c>
      <c r="J1079" s="1">
        <v>41</v>
      </c>
      <c r="K1079" s="1">
        <v>0</v>
      </c>
    </row>
    <row r="1080" spans="3:11" x14ac:dyDescent="0.25">
      <c r="C1080" s="1" t="s">
        <v>3730</v>
      </c>
      <c r="D1080" s="1" t="s">
        <v>494</v>
      </c>
      <c r="E1080" s="1" t="s">
        <v>3731</v>
      </c>
      <c r="F1080" s="1">
        <v>36</v>
      </c>
      <c r="G1080" s="1">
        <v>36</v>
      </c>
      <c r="H1080" s="1">
        <v>0</v>
      </c>
      <c r="I1080" s="1">
        <v>41</v>
      </c>
      <c r="J1080" s="1">
        <v>5</v>
      </c>
      <c r="K1080" s="1">
        <v>36</v>
      </c>
    </row>
    <row r="1081" spans="3:11" x14ac:dyDescent="0.25">
      <c r="C1081" s="1" t="s">
        <v>3732</v>
      </c>
      <c r="D1081" s="1" t="s">
        <v>3733</v>
      </c>
      <c r="E1081" s="1" t="s">
        <v>3734</v>
      </c>
      <c r="F1081" s="1">
        <v>-3</v>
      </c>
      <c r="G1081" s="1">
        <v>-3</v>
      </c>
      <c r="H1081" s="1">
        <v>0</v>
      </c>
      <c r="I1081" s="1">
        <v>41</v>
      </c>
      <c r="J1081" s="1">
        <v>44</v>
      </c>
      <c r="K1081" s="1">
        <v>-3</v>
      </c>
    </row>
    <row r="1082" spans="3:11" x14ac:dyDescent="0.25">
      <c r="C1082" s="1" t="s">
        <v>3735</v>
      </c>
      <c r="D1082" s="1" t="s">
        <v>3736</v>
      </c>
      <c r="E1082" s="1" t="s">
        <v>3737</v>
      </c>
      <c r="F1082" s="1">
        <v>8</v>
      </c>
      <c r="G1082" s="1">
        <v>8</v>
      </c>
      <c r="H1082" s="1">
        <v>0</v>
      </c>
      <c r="I1082" s="1">
        <v>41</v>
      </c>
      <c r="J1082" s="1">
        <v>33</v>
      </c>
      <c r="K1082" s="1">
        <v>8</v>
      </c>
    </row>
    <row r="1083" spans="3:11" x14ac:dyDescent="0.25">
      <c r="C1083" s="1" t="s">
        <v>3738</v>
      </c>
      <c r="D1083" s="1" t="s">
        <v>3739</v>
      </c>
      <c r="E1083" s="1" t="s">
        <v>3740</v>
      </c>
      <c r="F1083" s="1">
        <v>6</v>
      </c>
      <c r="G1083" s="1">
        <v>6</v>
      </c>
      <c r="H1083" s="1">
        <v>0</v>
      </c>
      <c r="I1083" s="1">
        <v>41</v>
      </c>
      <c r="J1083" s="1">
        <v>35</v>
      </c>
      <c r="K1083" s="1">
        <v>6</v>
      </c>
    </row>
    <row r="1084" spans="3:11" x14ac:dyDescent="0.25">
      <c r="C1084" s="1" t="s">
        <v>3741</v>
      </c>
      <c r="D1084" s="1" t="s">
        <v>3742</v>
      </c>
      <c r="E1084" s="1" t="s">
        <v>3743</v>
      </c>
      <c r="F1084" s="1">
        <v>-1</v>
      </c>
      <c r="G1084" s="1">
        <v>-1</v>
      </c>
      <c r="H1084" s="1">
        <v>0</v>
      </c>
      <c r="I1084" s="1">
        <v>41</v>
      </c>
      <c r="J1084" s="1">
        <v>42</v>
      </c>
      <c r="K1084" s="1">
        <v>-1</v>
      </c>
    </row>
    <row r="1085" spans="3:11" x14ac:dyDescent="0.25">
      <c r="C1085" s="1" t="s">
        <v>3910</v>
      </c>
      <c r="D1085" s="1" t="s">
        <v>3911</v>
      </c>
      <c r="E1085" s="1" t="s">
        <v>3912</v>
      </c>
      <c r="F1085" s="1">
        <v>7</v>
      </c>
      <c r="G1085" s="1">
        <v>7</v>
      </c>
      <c r="H1085" s="1">
        <v>0</v>
      </c>
      <c r="I1085" s="1">
        <v>41</v>
      </c>
      <c r="J1085" s="1">
        <v>34</v>
      </c>
      <c r="K1085" s="1">
        <v>7</v>
      </c>
    </row>
    <row r="1086" spans="3:11" x14ac:dyDescent="0.25">
      <c r="C1086" s="1" t="s">
        <v>3744</v>
      </c>
      <c r="D1086" s="1" t="s">
        <v>3745</v>
      </c>
      <c r="E1086" s="1" t="s">
        <v>3746</v>
      </c>
      <c r="F1086" s="1">
        <v>-5</v>
      </c>
      <c r="G1086" s="1">
        <v>-5</v>
      </c>
      <c r="H1086" s="1">
        <v>0</v>
      </c>
      <c r="I1086" s="1">
        <v>41</v>
      </c>
      <c r="J1086" s="1">
        <v>46</v>
      </c>
      <c r="K1086" s="1">
        <v>-5</v>
      </c>
    </row>
    <row r="1087" spans="3:11" x14ac:dyDescent="0.25">
      <c r="C1087" s="1" t="s">
        <v>2194</v>
      </c>
      <c r="D1087" s="1" t="s">
        <v>2195</v>
      </c>
      <c r="E1087" s="1" t="s">
        <v>2196</v>
      </c>
      <c r="F1087" s="1">
        <v>2</v>
      </c>
      <c r="G1087" s="1">
        <v>2</v>
      </c>
      <c r="H1087" s="1">
        <v>0</v>
      </c>
      <c r="I1087" s="1">
        <v>41</v>
      </c>
      <c r="J1087" s="1">
        <v>39</v>
      </c>
      <c r="K1087" s="1">
        <v>2</v>
      </c>
    </row>
    <row r="1088" spans="3:11" x14ac:dyDescent="0.25">
      <c r="C1088" s="1" t="s">
        <v>3747</v>
      </c>
      <c r="D1088" s="1" t="s">
        <v>495</v>
      </c>
      <c r="E1088" s="1" t="s">
        <v>3748</v>
      </c>
      <c r="F1088" s="1">
        <v>40</v>
      </c>
      <c r="G1088" s="1">
        <v>40</v>
      </c>
      <c r="H1088" s="1">
        <v>0</v>
      </c>
      <c r="I1088" s="1">
        <v>40</v>
      </c>
      <c r="J1088" s="1">
        <v>0</v>
      </c>
      <c r="K1088" s="1">
        <v>40</v>
      </c>
    </row>
    <row r="1089" spans="3:11" x14ac:dyDescent="0.25">
      <c r="C1089" s="1" t="s">
        <v>3815</v>
      </c>
      <c r="D1089" s="1" t="s">
        <v>3816</v>
      </c>
      <c r="E1089" s="1" t="s">
        <v>3817</v>
      </c>
      <c r="F1089" s="1">
        <v>5</v>
      </c>
      <c r="G1089" s="1">
        <v>5</v>
      </c>
      <c r="H1089" s="1">
        <v>0</v>
      </c>
      <c r="I1089" s="1">
        <v>40</v>
      </c>
      <c r="J1089" s="1">
        <v>35</v>
      </c>
      <c r="K1089" s="1">
        <v>5</v>
      </c>
    </row>
    <row r="1090" spans="3:11" x14ac:dyDescent="0.25">
      <c r="C1090" s="1" t="s">
        <v>3749</v>
      </c>
      <c r="D1090" s="1" t="s">
        <v>3750</v>
      </c>
      <c r="E1090" s="1" t="s">
        <v>3751</v>
      </c>
      <c r="F1090" s="1">
        <v>2</v>
      </c>
      <c r="G1090" s="1">
        <v>2</v>
      </c>
      <c r="H1090" s="1">
        <v>0</v>
      </c>
      <c r="I1090" s="1">
        <v>40</v>
      </c>
      <c r="J1090" s="1">
        <v>38</v>
      </c>
      <c r="K1090" s="1">
        <v>2</v>
      </c>
    </row>
    <row r="1091" spans="3:11" x14ac:dyDescent="0.25">
      <c r="C1091" s="1" t="s">
        <v>3752</v>
      </c>
      <c r="D1091" s="1" t="s">
        <v>3753</v>
      </c>
      <c r="E1091" s="1" t="s">
        <v>3754</v>
      </c>
      <c r="F1091" s="1">
        <v>3</v>
      </c>
      <c r="G1091" s="1">
        <v>3</v>
      </c>
      <c r="H1091" s="1">
        <v>0</v>
      </c>
      <c r="I1091" s="1">
        <v>40</v>
      </c>
      <c r="J1091" s="1">
        <v>37</v>
      </c>
      <c r="K1091" s="1">
        <v>3</v>
      </c>
    </row>
    <row r="1092" spans="3:11" x14ac:dyDescent="0.25">
      <c r="C1092" s="1" t="s">
        <v>3755</v>
      </c>
      <c r="D1092" s="1" t="s">
        <v>3756</v>
      </c>
      <c r="E1092" s="1" t="s">
        <v>3757</v>
      </c>
      <c r="F1092" s="1">
        <v>0</v>
      </c>
      <c r="G1092" s="1">
        <v>0</v>
      </c>
      <c r="H1092" s="1">
        <v>0</v>
      </c>
      <c r="I1092" s="1">
        <v>40</v>
      </c>
      <c r="J1092" s="1">
        <v>40</v>
      </c>
      <c r="K1092" s="1">
        <v>0</v>
      </c>
    </row>
    <row r="1093" spans="3:11" x14ac:dyDescent="0.25">
      <c r="C1093" s="1" t="s">
        <v>3758</v>
      </c>
      <c r="D1093" s="1" t="s">
        <v>858</v>
      </c>
      <c r="E1093" s="1" t="s">
        <v>3759</v>
      </c>
      <c r="F1093" s="1">
        <v>18</v>
      </c>
      <c r="G1093" s="1">
        <v>18</v>
      </c>
      <c r="H1093" s="1">
        <v>0</v>
      </c>
      <c r="I1093" s="1">
        <v>40</v>
      </c>
      <c r="J1093" s="1">
        <v>22</v>
      </c>
      <c r="K1093" s="1">
        <v>18</v>
      </c>
    </row>
    <row r="1094" spans="3:11" x14ac:dyDescent="0.25">
      <c r="C1094" s="1" t="s">
        <v>3760</v>
      </c>
      <c r="D1094" s="1" t="s">
        <v>859</v>
      </c>
      <c r="E1094" s="1" t="s">
        <v>3761</v>
      </c>
      <c r="F1094" s="1">
        <v>23</v>
      </c>
      <c r="G1094" s="1">
        <v>23</v>
      </c>
      <c r="H1094" s="1">
        <v>0</v>
      </c>
      <c r="I1094" s="1">
        <v>40</v>
      </c>
      <c r="J1094" s="1">
        <v>17</v>
      </c>
      <c r="K1094" s="1">
        <v>23</v>
      </c>
    </row>
    <row r="1095" spans="3:11" x14ac:dyDescent="0.25">
      <c r="C1095" s="1" t="s">
        <v>3762</v>
      </c>
      <c r="D1095" s="1" t="s">
        <v>860</v>
      </c>
      <c r="E1095" s="1" t="s">
        <v>3763</v>
      </c>
      <c r="F1095" s="1">
        <v>23</v>
      </c>
      <c r="G1095" s="1">
        <v>23</v>
      </c>
      <c r="H1095" s="1">
        <v>0</v>
      </c>
      <c r="I1095" s="1">
        <v>40</v>
      </c>
      <c r="J1095" s="1">
        <v>17</v>
      </c>
      <c r="K1095" s="1">
        <v>23</v>
      </c>
    </row>
    <row r="1096" spans="3:11" x14ac:dyDescent="0.25">
      <c r="C1096" s="1" t="s">
        <v>3878</v>
      </c>
      <c r="D1096" s="1" t="s">
        <v>3879</v>
      </c>
      <c r="E1096" s="1" t="s">
        <v>3880</v>
      </c>
      <c r="F1096" s="1">
        <v>0</v>
      </c>
      <c r="G1096" s="1">
        <v>0</v>
      </c>
      <c r="H1096" s="1">
        <v>0</v>
      </c>
      <c r="I1096" s="1">
        <v>39</v>
      </c>
      <c r="J1096" s="1">
        <v>39</v>
      </c>
      <c r="K1096" s="1">
        <v>0</v>
      </c>
    </row>
    <row r="1097" spans="3:11" x14ac:dyDescent="0.25">
      <c r="C1097" s="1" t="s">
        <v>1885</v>
      </c>
      <c r="D1097" s="1" t="s">
        <v>1886</v>
      </c>
      <c r="E1097" s="1" t="s">
        <v>1887</v>
      </c>
      <c r="F1097" s="1">
        <v>17</v>
      </c>
      <c r="G1097" s="1">
        <v>17</v>
      </c>
      <c r="H1097" s="1">
        <v>0</v>
      </c>
      <c r="I1097" s="1">
        <v>38</v>
      </c>
      <c r="J1097" s="1">
        <v>21</v>
      </c>
      <c r="K1097" s="1">
        <v>17</v>
      </c>
    </row>
    <row r="1098" spans="3:11" x14ac:dyDescent="0.25">
      <c r="C1098" s="1" t="s">
        <v>3770</v>
      </c>
      <c r="D1098" s="1" t="s">
        <v>3771</v>
      </c>
      <c r="E1098" s="1" t="s">
        <v>3772</v>
      </c>
      <c r="F1098" s="1">
        <v>0</v>
      </c>
      <c r="G1098" s="1">
        <v>0</v>
      </c>
      <c r="H1098" s="1">
        <v>0</v>
      </c>
      <c r="I1098" s="1">
        <v>38</v>
      </c>
      <c r="J1098" s="1">
        <v>38</v>
      </c>
      <c r="K1098" s="1">
        <v>0</v>
      </c>
    </row>
    <row r="1099" spans="3:11" x14ac:dyDescent="0.25">
      <c r="C1099" s="1" t="s">
        <v>3773</v>
      </c>
      <c r="D1099" s="1" t="s">
        <v>3774</v>
      </c>
      <c r="E1099" s="1" t="s">
        <v>3775</v>
      </c>
      <c r="F1099" s="1">
        <v>4</v>
      </c>
      <c r="G1099" s="1">
        <v>4</v>
      </c>
      <c r="H1099" s="1">
        <v>0</v>
      </c>
      <c r="I1099" s="1">
        <v>38</v>
      </c>
      <c r="J1099" s="1">
        <v>34</v>
      </c>
      <c r="K1099" s="1">
        <v>4</v>
      </c>
    </row>
    <row r="1100" spans="3:11" x14ac:dyDescent="0.25">
      <c r="C1100" s="1" t="s">
        <v>3776</v>
      </c>
      <c r="D1100" s="1" t="s">
        <v>3777</v>
      </c>
      <c r="E1100" s="1" t="s">
        <v>3778</v>
      </c>
      <c r="F1100" s="1">
        <v>2</v>
      </c>
      <c r="G1100" s="1">
        <v>2</v>
      </c>
      <c r="H1100" s="1">
        <v>0</v>
      </c>
      <c r="I1100" s="1">
        <v>38</v>
      </c>
      <c r="J1100" s="1">
        <v>36</v>
      </c>
      <c r="K1100" s="1">
        <v>2</v>
      </c>
    </row>
    <row r="1101" spans="3:11" x14ac:dyDescent="0.25">
      <c r="C1101" s="1" t="s">
        <v>3779</v>
      </c>
      <c r="D1101" s="1" t="s">
        <v>3780</v>
      </c>
      <c r="E1101" s="1" t="s">
        <v>3781</v>
      </c>
      <c r="F1101" s="1">
        <v>1</v>
      </c>
      <c r="G1101" s="1">
        <v>1</v>
      </c>
      <c r="H1101" s="1">
        <v>0</v>
      </c>
      <c r="I1101" s="1">
        <v>37</v>
      </c>
      <c r="J1101" s="1">
        <v>36</v>
      </c>
      <c r="K1101" s="1">
        <v>1</v>
      </c>
    </row>
    <row r="1102" spans="3:11" x14ac:dyDescent="0.25">
      <c r="C1102" s="1" t="s">
        <v>3782</v>
      </c>
      <c r="D1102" s="1" t="s">
        <v>3783</v>
      </c>
      <c r="E1102" s="1" t="s">
        <v>3784</v>
      </c>
      <c r="F1102" s="1">
        <v>7</v>
      </c>
      <c r="G1102" s="1">
        <v>7</v>
      </c>
      <c r="H1102" s="1">
        <v>0</v>
      </c>
      <c r="I1102" s="1">
        <v>37</v>
      </c>
      <c r="J1102" s="1">
        <v>30</v>
      </c>
      <c r="K1102" s="1">
        <v>7</v>
      </c>
    </row>
    <row r="1103" spans="3:11" x14ac:dyDescent="0.25">
      <c r="C1103" s="1" t="s">
        <v>3785</v>
      </c>
      <c r="D1103" s="1" t="s">
        <v>3786</v>
      </c>
      <c r="E1103" s="1" t="s">
        <v>3787</v>
      </c>
      <c r="F1103" s="1">
        <v>0</v>
      </c>
      <c r="G1103" s="1">
        <v>0</v>
      </c>
      <c r="H1103" s="1">
        <v>0</v>
      </c>
      <c r="I1103" s="1">
        <v>37</v>
      </c>
      <c r="J1103" s="1">
        <v>37</v>
      </c>
      <c r="K1103" s="1">
        <v>0</v>
      </c>
    </row>
    <row r="1104" spans="3:11" x14ac:dyDescent="0.25">
      <c r="C1104" s="1" t="s">
        <v>3788</v>
      </c>
      <c r="D1104" s="1" t="s">
        <v>3789</v>
      </c>
      <c r="E1104" s="1" t="s">
        <v>3790</v>
      </c>
      <c r="F1104" s="1">
        <v>0</v>
      </c>
      <c r="G1104" s="1">
        <v>0</v>
      </c>
      <c r="H1104" s="1">
        <v>0</v>
      </c>
      <c r="I1104" s="1">
        <v>37</v>
      </c>
      <c r="J1104" s="1">
        <v>37</v>
      </c>
      <c r="K1104" s="1">
        <v>0</v>
      </c>
    </row>
    <row r="1105" spans="3:11" x14ac:dyDescent="0.25">
      <c r="C1105" s="1" t="s">
        <v>3791</v>
      </c>
      <c r="D1105" s="1" t="s">
        <v>3792</v>
      </c>
      <c r="E1105" s="1" t="s">
        <v>3793</v>
      </c>
      <c r="F1105" s="1">
        <v>-1</v>
      </c>
      <c r="G1105" s="1">
        <v>-1</v>
      </c>
      <c r="H1105" s="1">
        <v>0</v>
      </c>
      <c r="I1105" s="1">
        <v>37</v>
      </c>
      <c r="J1105" s="1">
        <v>38</v>
      </c>
      <c r="K1105" s="1">
        <v>-1</v>
      </c>
    </row>
    <row r="1106" spans="3:11" x14ac:dyDescent="0.25">
      <c r="C1106" s="1" t="s">
        <v>3794</v>
      </c>
      <c r="D1106" s="1" t="s">
        <v>3795</v>
      </c>
      <c r="E1106" s="1" t="s">
        <v>3796</v>
      </c>
      <c r="F1106" s="1">
        <v>11</v>
      </c>
      <c r="G1106" s="1">
        <v>11</v>
      </c>
      <c r="H1106" s="1">
        <v>0</v>
      </c>
      <c r="I1106" s="1">
        <v>37</v>
      </c>
      <c r="J1106" s="1">
        <v>26</v>
      </c>
      <c r="K1106" s="1">
        <v>11</v>
      </c>
    </row>
    <row r="1107" spans="3:11" x14ac:dyDescent="0.25">
      <c r="C1107" s="1" t="s">
        <v>3797</v>
      </c>
      <c r="D1107" s="1" t="s">
        <v>3798</v>
      </c>
      <c r="E1107" s="1" t="s">
        <v>3799</v>
      </c>
      <c r="F1107" s="1">
        <v>0</v>
      </c>
      <c r="G1107" s="1">
        <v>0</v>
      </c>
      <c r="H1107" s="1">
        <v>0</v>
      </c>
      <c r="I1107" s="1">
        <v>37</v>
      </c>
      <c r="J1107" s="1">
        <v>37</v>
      </c>
      <c r="K1107" s="1">
        <v>0</v>
      </c>
    </row>
    <row r="1108" spans="3:11" x14ac:dyDescent="0.25">
      <c r="C1108" s="1" t="s">
        <v>3806</v>
      </c>
      <c r="D1108" s="1" t="s">
        <v>3807</v>
      </c>
      <c r="E1108" s="1" t="s">
        <v>3808</v>
      </c>
      <c r="F1108" s="1">
        <v>0</v>
      </c>
      <c r="G1108" s="1">
        <v>0</v>
      </c>
      <c r="H1108" s="1">
        <v>0</v>
      </c>
      <c r="I1108" s="1">
        <v>36</v>
      </c>
      <c r="J1108" s="1">
        <v>36</v>
      </c>
      <c r="K1108" s="1">
        <v>0</v>
      </c>
    </row>
    <row r="1109" spans="3:11" x14ac:dyDescent="0.25">
      <c r="C1109" s="1" t="s">
        <v>3809</v>
      </c>
      <c r="D1109" s="1" t="s">
        <v>3810</v>
      </c>
      <c r="E1109" s="1" t="s">
        <v>3811</v>
      </c>
      <c r="F1109" s="1">
        <v>0</v>
      </c>
      <c r="G1109" s="1">
        <v>0</v>
      </c>
      <c r="H1109" s="1">
        <v>0</v>
      </c>
      <c r="I1109" s="1">
        <v>36</v>
      </c>
      <c r="J1109" s="1">
        <v>36</v>
      </c>
      <c r="K1109" s="1">
        <v>0</v>
      </c>
    </row>
    <row r="1110" spans="3:11" x14ac:dyDescent="0.25">
      <c r="C1110" s="1" t="s">
        <v>1882</v>
      </c>
      <c r="D1110" s="1" t="s">
        <v>1883</v>
      </c>
      <c r="E1110" s="1" t="s">
        <v>1884</v>
      </c>
      <c r="F1110" s="1">
        <v>2</v>
      </c>
      <c r="G1110" s="1">
        <v>2</v>
      </c>
      <c r="H1110" s="1">
        <v>0</v>
      </c>
      <c r="I1110" s="1">
        <v>36</v>
      </c>
      <c r="J1110" s="1">
        <v>34</v>
      </c>
      <c r="K1110" s="1">
        <v>2</v>
      </c>
    </row>
    <row r="1111" spans="3:11" x14ac:dyDescent="0.25">
      <c r="C1111" s="1" t="s">
        <v>3812</v>
      </c>
      <c r="D1111" s="1" t="s">
        <v>3813</v>
      </c>
      <c r="E1111" s="1" t="s">
        <v>3814</v>
      </c>
      <c r="F1111" s="1">
        <v>12</v>
      </c>
      <c r="G1111" s="1">
        <v>12</v>
      </c>
      <c r="H1111" s="1">
        <v>0</v>
      </c>
      <c r="I1111" s="1">
        <v>36</v>
      </c>
      <c r="J1111" s="1">
        <v>24</v>
      </c>
      <c r="K1111" s="1">
        <v>12</v>
      </c>
    </row>
    <row r="1112" spans="3:11" x14ac:dyDescent="0.25">
      <c r="C1112" s="1" t="s">
        <v>3818</v>
      </c>
      <c r="D1112" s="1" t="s">
        <v>3819</v>
      </c>
      <c r="E1112" s="1" t="s">
        <v>3820</v>
      </c>
      <c r="F1112" s="1">
        <v>-1</v>
      </c>
      <c r="G1112" s="1">
        <v>-1</v>
      </c>
      <c r="H1112" s="1">
        <v>0</v>
      </c>
      <c r="I1112" s="1">
        <v>35</v>
      </c>
      <c r="J1112" s="1">
        <v>36</v>
      </c>
      <c r="K1112" s="1">
        <v>-1</v>
      </c>
    </row>
    <row r="1113" spans="3:11" x14ac:dyDescent="0.25">
      <c r="C1113" s="1" t="s">
        <v>2056</v>
      </c>
      <c r="D1113" s="1" t="s">
        <v>2057</v>
      </c>
      <c r="E1113" s="1" t="s">
        <v>2058</v>
      </c>
      <c r="F1113" s="1">
        <v>-2</v>
      </c>
      <c r="G1113" s="1">
        <v>-2</v>
      </c>
      <c r="H1113" s="1">
        <v>0</v>
      </c>
      <c r="I1113" s="1">
        <v>35</v>
      </c>
      <c r="J1113" s="1">
        <v>37</v>
      </c>
      <c r="K1113" s="1">
        <v>-2</v>
      </c>
    </row>
    <row r="1114" spans="3:11" x14ac:dyDescent="0.25">
      <c r="C1114" s="1" t="s">
        <v>3821</v>
      </c>
      <c r="D1114" s="1" t="s">
        <v>3822</v>
      </c>
      <c r="E1114" s="1" t="s">
        <v>3823</v>
      </c>
      <c r="F1114" s="1">
        <v>4</v>
      </c>
      <c r="G1114" s="1">
        <v>4</v>
      </c>
      <c r="H1114" s="1">
        <v>0</v>
      </c>
      <c r="I1114" s="1">
        <v>34</v>
      </c>
      <c r="J1114" s="1">
        <v>30</v>
      </c>
      <c r="K1114" s="1">
        <v>4</v>
      </c>
    </row>
    <row r="1115" spans="3:11" x14ac:dyDescent="0.25">
      <c r="C1115" s="1" t="s">
        <v>3824</v>
      </c>
      <c r="D1115" s="1" t="s">
        <v>3825</v>
      </c>
      <c r="E1115" s="1" t="s">
        <v>3826</v>
      </c>
      <c r="F1115" s="1">
        <v>1</v>
      </c>
      <c r="G1115" s="1">
        <v>1</v>
      </c>
      <c r="H1115" s="1">
        <v>0</v>
      </c>
      <c r="I1115" s="1">
        <v>34</v>
      </c>
      <c r="J1115" s="1">
        <v>33</v>
      </c>
      <c r="K1115" s="1">
        <v>1</v>
      </c>
    </row>
    <row r="1116" spans="3:11" x14ac:dyDescent="0.25">
      <c r="C1116" s="1" t="s">
        <v>3827</v>
      </c>
      <c r="D1116" s="1" t="s">
        <v>3828</v>
      </c>
      <c r="E1116" s="1" t="s">
        <v>3829</v>
      </c>
      <c r="F1116" s="1">
        <v>6</v>
      </c>
      <c r="G1116" s="1">
        <v>6</v>
      </c>
      <c r="H1116" s="1">
        <v>0</v>
      </c>
      <c r="I1116" s="1">
        <v>34</v>
      </c>
      <c r="J1116" s="1">
        <v>28</v>
      </c>
      <c r="K1116" s="1">
        <v>6</v>
      </c>
    </row>
    <row r="1117" spans="3:11" x14ac:dyDescent="0.25">
      <c r="C1117" s="1" t="s">
        <v>3830</v>
      </c>
      <c r="D1117" s="1" t="s">
        <v>3831</v>
      </c>
      <c r="E1117" s="1" t="s">
        <v>3832</v>
      </c>
      <c r="F1117" s="1">
        <v>0</v>
      </c>
      <c r="G1117" s="1">
        <v>0</v>
      </c>
      <c r="H1117" s="1">
        <v>0</v>
      </c>
      <c r="I1117" s="1">
        <v>34</v>
      </c>
      <c r="J1117" s="1">
        <v>34</v>
      </c>
      <c r="K1117" s="1">
        <v>0</v>
      </c>
    </row>
    <row r="1118" spans="3:11" x14ac:dyDescent="0.25">
      <c r="C1118" s="1" t="s">
        <v>3833</v>
      </c>
      <c r="D1118" s="1" t="s">
        <v>3834</v>
      </c>
      <c r="E1118" s="1" t="s">
        <v>3835</v>
      </c>
      <c r="F1118" s="1">
        <v>0</v>
      </c>
      <c r="G1118" s="1">
        <v>0</v>
      </c>
      <c r="H1118" s="1">
        <v>0</v>
      </c>
      <c r="I1118" s="1">
        <v>33</v>
      </c>
      <c r="J1118" s="1">
        <v>33</v>
      </c>
      <c r="K1118" s="1">
        <v>0</v>
      </c>
    </row>
    <row r="1119" spans="3:11" x14ac:dyDescent="0.25">
      <c r="C1119" s="1" t="s">
        <v>3836</v>
      </c>
      <c r="D1119" s="1" t="s">
        <v>3837</v>
      </c>
      <c r="E1119" s="1" t="s">
        <v>3838</v>
      </c>
      <c r="F1119" s="1">
        <v>-1</v>
      </c>
      <c r="G1119" s="1">
        <v>-1</v>
      </c>
      <c r="H1119" s="1">
        <v>0</v>
      </c>
      <c r="I1119" s="1">
        <v>33</v>
      </c>
      <c r="J1119" s="1">
        <v>34</v>
      </c>
      <c r="K1119" s="1">
        <v>-1</v>
      </c>
    </row>
    <row r="1120" spans="3:11" x14ac:dyDescent="0.25">
      <c r="C1120" s="1" t="s">
        <v>3839</v>
      </c>
      <c r="D1120" s="1" t="s">
        <v>3840</v>
      </c>
      <c r="E1120" s="1" t="s">
        <v>3841</v>
      </c>
      <c r="F1120" s="1">
        <v>-4</v>
      </c>
      <c r="G1120" s="1">
        <v>-4</v>
      </c>
      <c r="H1120" s="1">
        <v>0</v>
      </c>
      <c r="I1120" s="1">
        <v>33</v>
      </c>
      <c r="J1120" s="1">
        <v>37</v>
      </c>
      <c r="K1120" s="1">
        <v>-4</v>
      </c>
    </row>
    <row r="1121" spans="3:11" x14ac:dyDescent="0.25">
      <c r="C1121" s="1" t="s">
        <v>3842</v>
      </c>
      <c r="D1121" s="1" t="s">
        <v>3843</v>
      </c>
      <c r="E1121" s="1" t="s">
        <v>3844</v>
      </c>
      <c r="F1121" s="1">
        <v>4</v>
      </c>
      <c r="G1121" s="1">
        <v>4</v>
      </c>
      <c r="H1121" s="1">
        <v>0</v>
      </c>
      <c r="I1121" s="1">
        <v>33</v>
      </c>
      <c r="J1121" s="1">
        <v>29</v>
      </c>
      <c r="K1121" s="1">
        <v>4</v>
      </c>
    </row>
    <row r="1122" spans="3:11" x14ac:dyDescent="0.25">
      <c r="C1122" s="1" t="s">
        <v>3845</v>
      </c>
      <c r="D1122" s="1" t="s">
        <v>3846</v>
      </c>
      <c r="E1122" s="1" t="s">
        <v>3847</v>
      </c>
      <c r="F1122" s="1">
        <v>0</v>
      </c>
      <c r="G1122" s="1">
        <v>0</v>
      </c>
      <c r="H1122" s="1">
        <v>0</v>
      </c>
      <c r="I1122" s="1">
        <v>33</v>
      </c>
      <c r="J1122" s="1">
        <v>33</v>
      </c>
      <c r="K1122" s="1">
        <v>0</v>
      </c>
    </row>
    <row r="1123" spans="3:11" x14ac:dyDescent="0.25">
      <c r="C1123" s="1" t="s">
        <v>4230</v>
      </c>
      <c r="D1123" s="1" t="s">
        <v>4231</v>
      </c>
      <c r="E1123" s="1" t="s">
        <v>4232</v>
      </c>
      <c r="F1123" s="1">
        <v>1</v>
      </c>
      <c r="G1123" s="1">
        <v>1</v>
      </c>
      <c r="H1123" s="1">
        <v>0</v>
      </c>
      <c r="I1123" s="1">
        <v>33</v>
      </c>
      <c r="J1123" s="1">
        <v>32</v>
      </c>
      <c r="K1123" s="1">
        <v>1</v>
      </c>
    </row>
    <row r="1124" spans="3:11" x14ac:dyDescent="0.25">
      <c r="C1124" s="1" t="s">
        <v>3851</v>
      </c>
      <c r="D1124" s="1" t="s">
        <v>3852</v>
      </c>
      <c r="E1124" s="1" t="s">
        <v>3853</v>
      </c>
      <c r="F1124" s="1">
        <v>2</v>
      </c>
      <c r="G1124" s="1">
        <v>2</v>
      </c>
      <c r="H1124" s="1">
        <v>0</v>
      </c>
      <c r="I1124" s="1">
        <v>32</v>
      </c>
      <c r="J1124" s="1">
        <v>30</v>
      </c>
      <c r="K1124" s="1">
        <v>2</v>
      </c>
    </row>
    <row r="1125" spans="3:11" x14ac:dyDescent="0.25">
      <c r="C1125" s="1" t="s">
        <v>3854</v>
      </c>
      <c r="D1125" s="1" t="s">
        <v>3855</v>
      </c>
      <c r="E1125" s="1" t="s">
        <v>3856</v>
      </c>
      <c r="F1125" s="1">
        <v>0</v>
      </c>
      <c r="G1125" s="1">
        <v>0</v>
      </c>
      <c r="H1125" s="1">
        <v>0</v>
      </c>
      <c r="I1125" s="1">
        <v>32</v>
      </c>
      <c r="J1125" s="1">
        <v>32</v>
      </c>
      <c r="K1125" s="1">
        <v>0</v>
      </c>
    </row>
    <row r="1126" spans="3:11" x14ac:dyDescent="0.25">
      <c r="C1126" s="1" t="s">
        <v>3860</v>
      </c>
      <c r="D1126" s="1" t="s">
        <v>3861</v>
      </c>
      <c r="E1126" s="1" t="s">
        <v>3862</v>
      </c>
      <c r="F1126" s="1">
        <v>4</v>
      </c>
      <c r="G1126" s="1">
        <v>4</v>
      </c>
      <c r="H1126" s="1">
        <v>0</v>
      </c>
      <c r="I1126" s="1">
        <v>32</v>
      </c>
      <c r="J1126" s="1">
        <v>28</v>
      </c>
      <c r="K1126" s="1">
        <v>4</v>
      </c>
    </row>
    <row r="1127" spans="3:11" x14ac:dyDescent="0.25">
      <c r="C1127" s="1" t="s">
        <v>1897</v>
      </c>
      <c r="D1127" s="1" t="s">
        <v>1898</v>
      </c>
      <c r="E1127" s="1" t="s">
        <v>1897</v>
      </c>
      <c r="F1127" s="1">
        <v>0</v>
      </c>
      <c r="G1127" s="1">
        <v>0</v>
      </c>
      <c r="H1127" s="1">
        <v>0</v>
      </c>
      <c r="I1127" s="1">
        <v>30</v>
      </c>
      <c r="J1127" s="1">
        <v>30</v>
      </c>
      <c r="K1127" s="1">
        <v>0</v>
      </c>
    </row>
    <row r="1128" spans="3:11" x14ac:dyDescent="0.25">
      <c r="C1128" s="1" t="s">
        <v>3863</v>
      </c>
      <c r="D1128" s="1" t="s">
        <v>3864</v>
      </c>
      <c r="E1128" s="1" t="s">
        <v>3865</v>
      </c>
      <c r="F1128" s="1">
        <v>0</v>
      </c>
      <c r="G1128" s="1">
        <v>0</v>
      </c>
      <c r="H1128" s="1">
        <v>0</v>
      </c>
      <c r="I1128" s="1">
        <v>30</v>
      </c>
      <c r="J1128" s="1">
        <v>30</v>
      </c>
      <c r="K1128" s="1">
        <v>0</v>
      </c>
    </row>
    <row r="1129" spans="3:11" x14ac:dyDescent="0.25">
      <c r="C1129" s="1" t="s">
        <v>1920</v>
      </c>
      <c r="D1129" s="1" t="s">
        <v>1921</v>
      </c>
      <c r="E1129" s="1" t="s">
        <v>1922</v>
      </c>
      <c r="F1129" s="1">
        <v>8</v>
      </c>
      <c r="G1129" s="1">
        <v>8</v>
      </c>
      <c r="H1129" s="1">
        <v>0</v>
      </c>
      <c r="I1129" s="1">
        <v>30</v>
      </c>
      <c r="J1129" s="1">
        <v>22</v>
      </c>
      <c r="K1129" s="1">
        <v>8</v>
      </c>
    </row>
    <row r="1130" spans="3:11" x14ac:dyDescent="0.25">
      <c r="C1130" s="1" t="s">
        <v>3866</v>
      </c>
      <c r="D1130" s="1" t="s">
        <v>3867</v>
      </c>
      <c r="E1130" s="1" t="s">
        <v>3868</v>
      </c>
      <c r="F1130" s="1">
        <v>-2</v>
      </c>
      <c r="G1130" s="1">
        <v>-2</v>
      </c>
      <c r="H1130" s="1">
        <v>0</v>
      </c>
      <c r="I1130" s="1">
        <v>30</v>
      </c>
      <c r="J1130" s="1">
        <v>32</v>
      </c>
      <c r="K1130" s="1">
        <v>-2</v>
      </c>
    </row>
    <row r="1131" spans="3:11" x14ac:dyDescent="0.25">
      <c r="C1131" s="1" t="s">
        <v>3869</v>
      </c>
      <c r="D1131" s="1" t="s">
        <v>3870</v>
      </c>
      <c r="E1131" s="1" t="s">
        <v>3871</v>
      </c>
      <c r="F1131" s="1">
        <v>15</v>
      </c>
      <c r="G1131" s="1">
        <v>15</v>
      </c>
      <c r="H1131" s="1">
        <v>0</v>
      </c>
      <c r="I1131" s="1">
        <v>30</v>
      </c>
      <c r="J1131" s="1">
        <v>15</v>
      </c>
      <c r="K1131" s="1">
        <v>15</v>
      </c>
    </row>
    <row r="1132" spans="3:11" x14ac:dyDescent="0.25">
      <c r="C1132" s="1" t="s">
        <v>3872</v>
      </c>
      <c r="D1132" s="1" t="s">
        <v>3873</v>
      </c>
      <c r="E1132" s="1" t="s">
        <v>3874</v>
      </c>
      <c r="F1132" s="1">
        <v>0</v>
      </c>
      <c r="G1132" s="1">
        <v>0</v>
      </c>
      <c r="H1132" s="1">
        <v>0</v>
      </c>
      <c r="I1132" s="1">
        <v>30</v>
      </c>
      <c r="J1132" s="1">
        <v>30</v>
      </c>
      <c r="K1132" s="1">
        <v>0</v>
      </c>
    </row>
    <row r="1133" spans="3:11" x14ac:dyDescent="0.25">
      <c r="C1133" s="1" t="s">
        <v>3875</v>
      </c>
      <c r="D1133" s="1" t="s">
        <v>3876</v>
      </c>
      <c r="E1133" s="1" t="s">
        <v>3877</v>
      </c>
      <c r="F1133" s="1">
        <v>1</v>
      </c>
      <c r="G1133" s="1">
        <v>1</v>
      </c>
      <c r="H1133" s="1">
        <v>0</v>
      </c>
      <c r="I1133" s="1">
        <v>30</v>
      </c>
      <c r="J1133" s="1">
        <v>29</v>
      </c>
      <c r="K1133" s="1">
        <v>1</v>
      </c>
    </row>
    <row r="1134" spans="3:11" x14ac:dyDescent="0.25">
      <c r="C1134" s="1" t="s">
        <v>2022</v>
      </c>
      <c r="D1134" s="1" t="s">
        <v>2023</v>
      </c>
      <c r="E1134" s="1" t="s">
        <v>2024</v>
      </c>
      <c r="F1134" s="1">
        <v>3</v>
      </c>
      <c r="G1134" s="1">
        <v>3</v>
      </c>
      <c r="H1134" s="1">
        <v>0</v>
      </c>
      <c r="I1134" s="1">
        <v>30</v>
      </c>
      <c r="J1134" s="1">
        <v>27</v>
      </c>
      <c r="K1134" s="1">
        <v>3</v>
      </c>
    </row>
    <row r="1135" spans="3:11" x14ac:dyDescent="0.25">
      <c r="C1135" s="1" t="s">
        <v>3881</v>
      </c>
      <c r="D1135" s="1" t="s">
        <v>3882</v>
      </c>
      <c r="E1135" s="1" t="s">
        <v>3883</v>
      </c>
      <c r="F1135" s="1">
        <v>-4</v>
      </c>
      <c r="G1135" s="1">
        <v>-4</v>
      </c>
      <c r="H1135" s="1">
        <v>0</v>
      </c>
      <c r="I1135" s="1">
        <v>29</v>
      </c>
      <c r="J1135" s="1">
        <v>33</v>
      </c>
      <c r="K1135" s="1">
        <v>-4</v>
      </c>
    </row>
    <row r="1136" spans="3:11" x14ac:dyDescent="0.25">
      <c r="C1136" s="1" t="s">
        <v>1902</v>
      </c>
      <c r="D1136" s="1" t="s">
        <v>1903</v>
      </c>
      <c r="E1136" s="1" t="s">
        <v>1904</v>
      </c>
      <c r="F1136" s="1">
        <v>4</v>
      </c>
      <c r="G1136" s="1">
        <v>4</v>
      </c>
      <c r="H1136" s="1">
        <v>0</v>
      </c>
      <c r="I1136" s="1">
        <v>29</v>
      </c>
      <c r="J1136" s="1">
        <v>25</v>
      </c>
      <c r="K1136" s="1">
        <v>4</v>
      </c>
    </row>
    <row r="1137" spans="3:11" x14ac:dyDescent="0.25">
      <c r="C1137" s="1" t="s">
        <v>3884</v>
      </c>
      <c r="D1137" s="1" t="s">
        <v>3885</v>
      </c>
      <c r="E1137" s="1" t="s">
        <v>3886</v>
      </c>
      <c r="F1137" s="1">
        <v>15</v>
      </c>
      <c r="G1137" s="1">
        <v>15</v>
      </c>
      <c r="H1137" s="1">
        <v>0</v>
      </c>
      <c r="I1137" s="1">
        <v>29</v>
      </c>
      <c r="J1137" s="1">
        <v>14</v>
      </c>
      <c r="K1137" s="1">
        <v>15</v>
      </c>
    </row>
    <row r="1138" spans="3:11" x14ac:dyDescent="0.25">
      <c r="C1138" s="1" t="s">
        <v>3887</v>
      </c>
      <c r="D1138" s="1" t="s">
        <v>3888</v>
      </c>
      <c r="E1138" s="1" t="s">
        <v>3889</v>
      </c>
      <c r="F1138" s="1">
        <v>0</v>
      </c>
      <c r="G1138" s="1">
        <v>0</v>
      </c>
      <c r="H1138" s="1">
        <v>0</v>
      </c>
      <c r="I1138" s="1">
        <v>29</v>
      </c>
      <c r="J1138" s="1">
        <v>29</v>
      </c>
      <c r="K1138" s="1">
        <v>0</v>
      </c>
    </row>
    <row r="1139" spans="3:11" x14ac:dyDescent="0.25">
      <c r="C1139" s="1" t="s">
        <v>1908</v>
      </c>
      <c r="D1139" s="1" t="s">
        <v>1909</v>
      </c>
      <c r="E1139" s="1" t="s">
        <v>1910</v>
      </c>
      <c r="F1139" s="1">
        <v>0</v>
      </c>
      <c r="G1139" s="1">
        <v>0</v>
      </c>
      <c r="H1139" s="1">
        <v>0</v>
      </c>
      <c r="I1139" s="1">
        <v>28</v>
      </c>
      <c r="J1139" s="1">
        <v>28</v>
      </c>
      <c r="K1139" s="1">
        <v>0</v>
      </c>
    </row>
    <row r="1140" spans="3:11" x14ac:dyDescent="0.25">
      <c r="C1140" s="1" t="s">
        <v>1911</v>
      </c>
      <c r="D1140" s="1" t="s">
        <v>1912</v>
      </c>
      <c r="E1140" s="1" t="s">
        <v>1913</v>
      </c>
      <c r="F1140" s="1">
        <v>-1</v>
      </c>
      <c r="G1140" s="1">
        <v>-1</v>
      </c>
      <c r="H1140" s="1">
        <v>0</v>
      </c>
      <c r="I1140" s="1">
        <v>28</v>
      </c>
      <c r="J1140" s="1">
        <v>29</v>
      </c>
      <c r="K1140" s="1">
        <v>-1</v>
      </c>
    </row>
    <row r="1141" spans="3:11" x14ac:dyDescent="0.25">
      <c r="C1141" s="1" t="s">
        <v>3890</v>
      </c>
      <c r="D1141" s="1" t="s">
        <v>861</v>
      </c>
      <c r="E1141" s="1" t="s">
        <v>3891</v>
      </c>
      <c r="F1141" s="1">
        <v>0</v>
      </c>
      <c r="G1141" s="1">
        <v>0</v>
      </c>
      <c r="H1141" s="1">
        <v>0</v>
      </c>
      <c r="I1141" s="1">
        <v>28</v>
      </c>
      <c r="J1141" s="1">
        <v>28</v>
      </c>
      <c r="K1141" s="1">
        <v>0</v>
      </c>
    </row>
    <row r="1142" spans="3:11" x14ac:dyDescent="0.25">
      <c r="C1142" s="1" t="s">
        <v>1917</v>
      </c>
      <c r="D1142" s="1" t="s">
        <v>1918</v>
      </c>
      <c r="E1142" s="1" t="s">
        <v>1919</v>
      </c>
      <c r="F1142" s="1">
        <v>0</v>
      </c>
      <c r="G1142" s="1">
        <v>0</v>
      </c>
      <c r="H1142" s="1">
        <v>0</v>
      </c>
      <c r="I1142" s="1">
        <v>28</v>
      </c>
      <c r="J1142" s="1">
        <v>28</v>
      </c>
      <c r="K1142" s="1">
        <v>0</v>
      </c>
    </row>
    <row r="1143" spans="3:11" x14ac:dyDescent="0.25">
      <c r="C1143" s="1" t="s">
        <v>4105</v>
      </c>
      <c r="D1143" s="1" t="s">
        <v>4106</v>
      </c>
      <c r="E1143" s="1" t="s">
        <v>4107</v>
      </c>
      <c r="F1143" s="1">
        <v>2</v>
      </c>
      <c r="G1143" s="1">
        <v>2</v>
      </c>
      <c r="H1143" s="1">
        <v>0</v>
      </c>
      <c r="I1143" s="1">
        <v>28</v>
      </c>
      <c r="J1143" s="1">
        <v>26</v>
      </c>
      <c r="K1143" s="1">
        <v>2</v>
      </c>
    </row>
    <row r="1144" spans="3:11" x14ac:dyDescent="0.25">
      <c r="C1144" s="1" t="s">
        <v>3916</v>
      </c>
      <c r="D1144" s="1" t="s">
        <v>3917</v>
      </c>
      <c r="E1144" s="1" t="s">
        <v>3918</v>
      </c>
      <c r="F1144" s="1">
        <v>4</v>
      </c>
      <c r="G1144" s="1">
        <v>4</v>
      </c>
      <c r="H1144" s="1">
        <v>0</v>
      </c>
      <c r="I1144" s="1">
        <v>28</v>
      </c>
      <c r="J1144" s="1">
        <v>24</v>
      </c>
      <c r="K1144" s="1">
        <v>4</v>
      </c>
    </row>
    <row r="1145" spans="3:11" x14ac:dyDescent="0.25">
      <c r="C1145" s="1" t="s">
        <v>4114</v>
      </c>
      <c r="D1145" s="1" t="s">
        <v>4115</v>
      </c>
      <c r="E1145" s="1" t="s">
        <v>4116</v>
      </c>
      <c r="F1145" s="1">
        <v>7</v>
      </c>
      <c r="G1145" s="1">
        <v>7</v>
      </c>
      <c r="H1145" s="1">
        <v>0</v>
      </c>
      <c r="I1145" s="1">
        <v>28</v>
      </c>
      <c r="J1145" s="1">
        <v>21</v>
      </c>
      <c r="K1145" s="1">
        <v>7</v>
      </c>
    </row>
    <row r="1146" spans="3:11" x14ac:dyDescent="0.25">
      <c r="C1146" s="1" t="s">
        <v>3892</v>
      </c>
      <c r="D1146" s="1" t="s">
        <v>3893</v>
      </c>
      <c r="E1146" s="1" t="s">
        <v>3894</v>
      </c>
      <c r="F1146" s="1">
        <v>0</v>
      </c>
      <c r="G1146" s="1">
        <v>0</v>
      </c>
      <c r="H1146" s="1">
        <v>0</v>
      </c>
      <c r="I1146" s="1">
        <v>27</v>
      </c>
      <c r="J1146" s="1">
        <v>27</v>
      </c>
      <c r="K1146" s="1">
        <v>0</v>
      </c>
    </row>
    <row r="1147" spans="3:11" x14ac:dyDescent="0.25">
      <c r="C1147" s="1" t="s">
        <v>3895</v>
      </c>
      <c r="D1147" s="1" t="s">
        <v>3896</v>
      </c>
      <c r="E1147" s="1" t="s">
        <v>3897</v>
      </c>
      <c r="F1147" s="1">
        <v>12</v>
      </c>
      <c r="G1147" s="1">
        <v>12</v>
      </c>
      <c r="H1147" s="1">
        <v>0</v>
      </c>
      <c r="I1147" s="1">
        <v>27</v>
      </c>
      <c r="J1147" s="1">
        <v>15</v>
      </c>
      <c r="K1147" s="1">
        <v>12</v>
      </c>
    </row>
    <row r="1148" spans="3:11" x14ac:dyDescent="0.25">
      <c r="C1148" s="1" t="s">
        <v>1990</v>
      </c>
      <c r="D1148" s="1" t="s">
        <v>1991</v>
      </c>
      <c r="E1148" s="1" t="s">
        <v>1992</v>
      </c>
      <c r="F1148" s="1">
        <v>2</v>
      </c>
      <c r="G1148" s="1">
        <v>2</v>
      </c>
      <c r="H1148" s="1">
        <v>0</v>
      </c>
      <c r="I1148" s="1">
        <v>27</v>
      </c>
      <c r="J1148" s="1">
        <v>25</v>
      </c>
      <c r="K1148" s="1">
        <v>2</v>
      </c>
    </row>
    <row r="1149" spans="3:11" x14ac:dyDescent="0.25">
      <c r="C1149" s="1" t="s">
        <v>2093</v>
      </c>
      <c r="D1149" s="1" t="s">
        <v>2094</v>
      </c>
      <c r="E1149" s="1" t="s">
        <v>2095</v>
      </c>
      <c r="F1149" s="1">
        <v>0</v>
      </c>
      <c r="G1149" s="1">
        <v>0</v>
      </c>
      <c r="H1149" s="1">
        <v>0</v>
      </c>
      <c r="I1149" s="1">
        <v>27</v>
      </c>
      <c r="J1149" s="1">
        <v>27</v>
      </c>
      <c r="K1149" s="1">
        <v>0</v>
      </c>
    </row>
    <row r="1150" spans="3:11" x14ac:dyDescent="0.25">
      <c r="C1150" s="1" t="s">
        <v>2243</v>
      </c>
      <c r="D1150" s="1" t="s">
        <v>2244</v>
      </c>
      <c r="E1150" s="1" t="s">
        <v>2245</v>
      </c>
      <c r="F1150" s="1">
        <v>1</v>
      </c>
      <c r="G1150" s="1">
        <v>1</v>
      </c>
      <c r="H1150" s="1">
        <v>0</v>
      </c>
      <c r="I1150" s="1">
        <v>27</v>
      </c>
      <c r="J1150" s="1">
        <v>26</v>
      </c>
      <c r="K1150" s="1">
        <v>1</v>
      </c>
    </row>
    <row r="1151" spans="3:11" x14ac:dyDescent="0.25">
      <c r="C1151" s="1" t="s">
        <v>1923</v>
      </c>
      <c r="D1151" s="1" t="s">
        <v>1924</v>
      </c>
      <c r="E1151" s="1" t="s">
        <v>1925</v>
      </c>
      <c r="F1151" s="1">
        <v>2</v>
      </c>
      <c r="G1151" s="1">
        <v>2</v>
      </c>
      <c r="H1151" s="1">
        <v>0</v>
      </c>
      <c r="I1151" s="1">
        <v>26</v>
      </c>
      <c r="J1151" s="1">
        <v>24</v>
      </c>
      <c r="K1151" s="1">
        <v>2</v>
      </c>
    </row>
    <row r="1152" spans="3:11" x14ac:dyDescent="0.25">
      <c r="C1152" s="1" t="s">
        <v>1926</v>
      </c>
      <c r="D1152" s="1" t="s">
        <v>1927</v>
      </c>
      <c r="E1152" s="1" t="s">
        <v>1928</v>
      </c>
      <c r="F1152" s="1">
        <v>3</v>
      </c>
      <c r="G1152" s="1">
        <v>3</v>
      </c>
      <c r="H1152" s="1">
        <v>0</v>
      </c>
      <c r="I1152" s="1">
        <v>26</v>
      </c>
      <c r="J1152" s="1">
        <v>23</v>
      </c>
      <c r="K1152" s="1">
        <v>3</v>
      </c>
    </row>
    <row r="1153" spans="3:11" x14ac:dyDescent="0.25">
      <c r="C1153" s="1" t="s">
        <v>3898</v>
      </c>
      <c r="D1153" s="1" t="s">
        <v>3899</v>
      </c>
      <c r="E1153" s="1" t="s">
        <v>3900</v>
      </c>
      <c r="F1153" s="1">
        <v>5</v>
      </c>
      <c r="G1153" s="1">
        <v>5</v>
      </c>
      <c r="H1153" s="1">
        <v>0</v>
      </c>
      <c r="I1153" s="1">
        <v>26</v>
      </c>
      <c r="J1153" s="1">
        <v>21</v>
      </c>
      <c r="K1153" s="1">
        <v>5</v>
      </c>
    </row>
    <row r="1154" spans="3:11" x14ac:dyDescent="0.25">
      <c r="C1154" s="1" t="s">
        <v>2118</v>
      </c>
      <c r="D1154" s="1" t="s">
        <v>2119</v>
      </c>
      <c r="E1154" s="1" t="s">
        <v>2120</v>
      </c>
      <c r="F1154" s="1">
        <v>13</v>
      </c>
      <c r="G1154" s="1">
        <v>13</v>
      </c>
      <c r="H1154" s="1">
        <v>0</v>
      </c>
      <c r="I1154" s="1">
        <v>26</v>
      </c>
      <c r="J1154" s="1">
        <v>13</v>
      </c>
      <c r="K1154" s="1">
        <v>13</v>
      </c>
    </row>
    <row r="1155" spans="3:11" x14ac:dyDescent="0.25">
      <c r="C1155" s="1" t="s">
        <v>2127</v>
      </c>
      <c r="D1155" s="1" t="s">
        <v>2128</v>
      </c>
      <c r="E1155" s="1" t="s">
        <v>2129</v>
      </c>
      <c r="F1155" s="1">
        <v>1</v>
      </c>
      <c r="G1155" s="1">
        <v>1</v>
      </c>
      <c r="H1155" s="1">
        <v>0</v>
      </c>
      <c r="I1155" s="1">
        <v>26</v>
      </c>
      <c r="J1155" s="1">
        <v>25</v>
      </c>
      <c r="K1155" s="1">
        <v>1</v>
      </c>
    </row>
    <row r="1156" spans="3:11" x14ac:dyDescent="0.25">
      <c r="C1156" s="1" t="s">
        <v>1932</v>
      </c>
      <c r="D1156" s="1" t="s">
        <v>1933</v>
      </c>
      <c r="E1156" s="1" t="s">
        <v>1934</v>
      </c>
      <c r="F1156" s="1">
        <v>1</v>
      </c>
      <c r="G1156" s="1">
        <v>1</v>
      </c>
      <c r="H1156" s="1">
        <v>0</v>
      </c>
      <c r="I1156" s="1">
        <v>25</v>
      </c>
      <c r="J1156" s="1">
        <v>24</v>
      </c>
      <c r="K1156" s="1">
        <v>1</v>
      </c>
    </row>
    <row r="1157" spans="3:11" x14ac:dyDescent="0.25">
      <c r="C1157" s="1" t="s">
        <v>1935</v>
      </c>
      <c r="D1157" s="1" t="s">
        <v>1936</v>
      </c>
      <c r="E1157" s="1" t="s">
        <v>1937</v>
      </c>
      <c r="F1157" s="1">
        <v>3</v>
      </c>
      <c r="G1157" s="1">
        <v>3</v>
      </c>
      <c r="H1157" s="1">
        <v>0</v>
      </c>
      <c r="I1157" s="1">
        <v>25</v>
      </c>
      <c r="J1157" s="1">
        <v>22</v>
      </c>
      <c r="K1157" s="1">
        <v>3</v>
      </c>
    </row>
    <row r="1158" spans="3:11" x14ac:dyDescent="0.25">
      <c r="C1158" s="1" t="s">
        <v>3901</v>
      </c>
      <c r="D1158" s="1" t="s">
        <v>3902</v>
      </c>
      <c r="E1158" s="1" t="s">
        <v>3903</v>
      </c>
      <c r="F1158" s="1">
        <v>-5</v>
      </c>
      <c r="G1158" s="1">
        <v>-5</v>
      </c>
      <c r="H1158" s="1">
        <v>0</v>
      </c>
      <c r="I1158" s="1">
        <v>25</v>
      </c>
      <c r="J1158" s="1">
        <v>30</v>
      </c>
      <c r="K1158" s="1">
        <v>-5</v>
      </c>
    </row>
    <row r="1159" spans="3:11" x14ac:dyDescent="0.25">
      <c r="C1159" s="1" t="s">
        <v>3904</v>
      </c>
      <c r="D1159" s="1" t="s">
        <v>3905</v>
      </c>
      <c r="E1159" s="1" t="s">
        <v>3906</v>
      </c>
      <c r="F1159" s="1">
        <v>0</v>
      </c>
      <c r="G1159" s="1">
        <v>0</v>
      </c>
      <c r="H1159" s="1">
        <v>0</v>
      </c>
      <c r="I1159" s="1">
        <v>25</v>
      </c>
      <c r="J1159" s="1">
        <v>25</v>
      </c>
      <c r="K1159" s="1">
        <v>0</v>
      </c>
    </row>
    <row r="1160" spans="3:11" x14ac:dyDescent="0.25">
      <c r="C1160" s="1" t="s">
        <v>3907</v>
      </c>
      <c r="D1160" s="1" t="s">
        <v>3908</v>
      </c>
      <c r="E1160" s="1" t="s">
        <v>3909</v>
      </c>
      <c r="F1160" s="1">
        <v>3</v>
      </c>
      <c r="G1160" s="1">
        <v>3</v>
      </c>
      <c r="H1160" s="1">
        <v>0</v>
      </c>
      <c r="I1160" s="1">
        <v>25</v>
      </c>
      <c r="J1160" s="1">
        <v>22</v>
      </c>
      <c r="K1160" s="1">
        <v>3</v>
      </c>
    </row>
    <row r="1161" spans="3:11" x14ac:dyDescent="0.25">
      <c r="C1161" s="1" t="s">
        <v>3913</v>
      </c>
      <c r="D1161" s="1" t="s">
        <v>3914</v>
      </c>
      <c r="E1161" s="1" t="s">
        <v>3915</v>
      </c>
      <c r="F1161" s="1">
        <v>2</v>
      </c>
      <c r="G1161" s="1">
        <v>2</v>
      </c>
      <c r="H1161" s="1">
        <v>0</v>
      </c>
      <c r="I1161" s="1">
        <v>25</v>
      </c>
      <c r="J1161" s="1">
        <v>23</v>
      </c>
      <c r="K1161" s="1">
        <v>2</v>
      </c>
    </row>
    <row r="1162" spans="3:11" x14ac:dyDescent="0.25">
      <c r="C1162" s="1" t="s">
        <v>3919</v>
      </c>
      <c r="D1162" s="1" t="s">
        <v>3920</v>
      </c>
      <c r="E1162" s="1" t="s">
        <v>3921</v>
      </c>
      <c r="F1162" s="1">
        <v>-6</v>
      </c>
      <c r="G1162" s="1">
        <v>-6</v>
      </c>
      <c r="H1162" s="1">
        <v>0</v>
      </c>
      <c r="I1162" s="1">
        <v>25</v>
      </c>
      <c r="J1162" s="1">
        <v>31</v>
      </c>
      <c r="K1162" s="1">
        <v>-6</v>
      </c>
    </row>
    <row r="1163" spans="3:11" x14ac:dyDescent="0.25">
      <c r="C1163" s="1" t="s">
        <v>3922</v>
      </c>
      <c r="D1163" s="1" t="s">
        <v>3923</v>
      </c>
      <c r="E1163" s="1" t="s">
        <v>3922</v>
      </c>
      <c r="F1163" s="1">
        <v>7</v>
      </c>
      <c r="G1163" s="1">
        <v>7</v>
      </c>
      <c r="H1163" s="1">
        <v>0</v>
      </c>
      <c r="I1163" s="1">
        <v>24</v>
      </c>
      <c r="J1163" s="1">
        <v>17</v>
      </c>
      <c r="K1163" s="1">
        <v>7</v>
      </c>
    </row>
    <row r="1164" spans="3:11" x14ac:dyDescent="0.25">
      <c r="C1164" s="1" t="s">
        <v>3924</v>
      </c>
      <c r="D1164" s="1" t="s">
        <v>3925</v>
      </c>
      <c r="E1164" s="1" t="s">
        <v>3926</v>
      </c>
      <c r="F1164" s="1">
        <v>0</v>
      </c>
      <c r="G1164" s="1">
        <v>0</v>
      </c>
      <c r="H1164" s="1">
        <v>0</v>
      </c>
      <c r="I1164" s="1">
        <v>24</v>
      </c>
      <c r="J1164" s="1">
        <v>24</v>
      </c>
      <c r="K1164" s="1">
        <v>0</v>
      </c>
    </row>
    <row r="1165" spans="3:11" x14ac:dyDescent="0.25">
      <c r="C1165" s="1" t="s">
        <v>3927</v>
      </c>
      <c r="D1165" s="1" t="s">
        <v>3928</v>
      </c>
      <c r="E1165" s="1" t="s">
        <v>3929</v>
      </c>
      <c r="F1165" s="1">
        <v>-3</v>
      </c>
      <c r="G1165" s="1">
        <v>-3</v>
      </c>
      <c r="H1165" s="1">
        <v>0</v>
      </c>
      <c r="I1165" s="1">
        <v>24</v>
      </c>
      <c r="J1165" s="1">
        <v>27</v>
      </c>
      <c r="K1165" s="1">
        <v>-3</v>
      </c>
    </row>
    <row r="1166" spans="3:11" x14ac:dyDescent="0.25">
      <c r="C1166" s="1" t="s">
        <v>3930</v>
      </c>
      <c r="D1166" s="1" t="s">
        <v>3931</v>
      </c>
      <c r="E1166" s="1" t="s">
        <v>3932</v>
      </c>
      <c r="F1166" s="1">
        <v>1</v>
      </c>
      <c r="G1166" s="1">
        <v>1</v>
      </c>
      <c r="H1166" s="1">
        <v>0</v>
      </c>
      <c r="I1166" s="1">
        <v>24</v>
      </c>
      <c r="J1166" s="1">
        <v>23</v>
      </c>
      <c r="K1166" s="1">
        <v>1</v>
      </c>
    </row>
    <row r="1167" spans="3:11" x14ac:dyDescent="0.25">
      <c r="C1167" s="1" t="s">
        <v>3933</v>
      </c>
      <c r="D1167" s="1" t="s">
        <v>3934</v>
      </c>
      <c r="E1167" s="1" t="s">
        <v>3935</v>
      </c>
      <c r="F1167" s="1">
        <v>21</v>
      </c>
      <c r="G1167" s="1">
        <v>21</v>
      </c>
      <c r="H1167" s="1">
        <v>0</v>
      </c>
      <c r="I1167" s="1">
        <v>24</v>
      </c>
      <c r="J1167" s="1">
        <v>3</v>
      </c>
      <c r="K1167" s="1">
        <v>21</v>
      </c>
    </row>
    <row r="1168" spans="3:11" x14ac:dyDescent="0.25">
      <c r="C1168" s="1" t="s">
        <v>2090</v>
      </c>
      <c r="D1168" s="1" t="s">
        <v>2091</v>
      </c>
      <c r="E1168" s="1" t="s">
        <v>2092</v>
      </c>
      <c r="F1168" s="1">
        <v>0</v>
      </c>
      <c r="G1168" s="1">
        <v>0</v>
      </c>
      <c r="H1168" s="1">
        <v>0</v>
      </c>
      <c r="I1168" s="1">
        <v>24</v>
      </c>
      <c r="J1168" s="1">
        <v>24</v>
      </c>
      <c r="K1168" s="1">
        <v>0</v>
      </c>
    </row>
    <row r="1169" spans="3:11" x14ac:dyDescent="0.25">
      <c r="C1169" s="1" t="s">
        <v>2209</v>
      </c>
      <c r="D1169" s="1" t="s">
        <v>2210</v>
      </c>
      <c r="E1169" s="1" t="s">
        <v>2211</v>
      </c>
      <c r="F1169" s="1">
        <v>2</v>
      </c>
      <c r="G1169" s="1">
        <v>2</v>
      </c>
      <c r="H1169" s="1">
        <v>0</v>
      </c>
      <c r="I1169" s="1">
        <v>24</v>
      </c>
      <c r="J1169" s="1">
        <v>22</v>
      </c>
      <c r="K1169" s="1">
        <v>2</v>
      </c>
    </row>
    <row r="1170" spans="3:11" x14ac:dyDescent="0.25">
      <c r="C1170" s="1" t="s">
        <v>1947</v>
      </c>
      <c r="D1170" s="1" t="s">
        <v>1948</v>
      </c>
      <c r="E1170" s="1" t="s">
        <v>1949</v>
      </c>
      <c r="F1170" s="1">
        <v>0</v>
      </c>
      <c r="G1170" s="1">
        <v>0</v>
      </c>
      <c r="H1170" s="1">
        <v>0</v>
      </c>
      <c r="I1170" s="1">
        <v>23</v>
      </c>
      <c r="J1170" s="1">
        <v>23</v>
      </c>
      <c r="K1170" s="1">
        <v>0</v>
      </c>
    </row>
    <row r="1171" spans="3:11" x14ac:dyDescent="0.25">
      <c r="C1171" s="1" t="s">
        <v>3936</v>
      </c>
      <c r="D1171" s="1" t="s">
        <v>3937</v>
      </c>
      <c r="E1171" s="1" t="s">
        <v>3936</v>
      </c>
      <c r="F1171" s="1">
        <v>1</v>
      </c>
      <c r="G1171" s="1">
        <v>1</v>
      </c>
      <c r="H1171" s="1">
        <v>0</v>
      </c>
      <c r="I1171" s="1">
        <v>23</v>
      </c>
      <c r="J1171" s="1">
        <v>22</v>
      </c>
      <c r="K1171" s="1">
        <v>1</v>
      </c>
    </row>
    <row r="1172" spans="3:11" x14ac:dyDescent="0.25">
      <c r="C1172" s="1" t="s">
        <v>3938</v>
      </c>
      <c r="D1172" s="1" t="s">
        <v>3939</v>
      </c>
      <c r="E1172" s="1" t="s">
        <v>3940</v>
      </c>
      <c r="F1172" s="1">
        <v>7</v>
      </c>
      <c r="G1172" s="1">
        <v>7</v>
      </c>
      <c r="H1172" s="1">
        <v>0</v>
      </c>
      <c r="I1172" s="1">
        <v>23</v>
      </c>
      <c r="J1172" s="1">
        <v>16</v>
      </c>
      <c r="K1172" s="1">
        <v>7</v>
      </c>
    </row>
    <row r="1173" spans="3:11" x14ac:dyDescent="0.25">
      <c r="C1173" s="1" t="s">
        <v>3941</v>
      </c>
      <c r="D1173" s="1" t="s">
        <v>3942</v>
      </c>
      <c r="E1173" s="1" t="s">
        <v>3943</v>
      </c>
      <c r="F1173" s="1">
        <v>-2</v>
      </c>
      <c r="G1173" s="1">
        <v>-2</v>
      </c>
      <c r="H1173" s="1">
        <v>0</v>
      </c>
      <c r="I1173" s="1">
        <v>23</v>
      </c>
      <c r="J1173" s="1">
        <v>25</v>
      </c>
      <c r="K1173" s="1">
        <v>-2</v>
      </c>
    </row>
    <row r="1174" spans="3:11" x14ac:dyDescent="0.25">
      <c r="C1174" s="1" t="s">
        <v>3944</v>
      </c>
      <c r="D1174" s="1" t="s">
        <v>3945</v>
      </c>
      <c r="E1174" s="1" t="s">
        <v>3946</v>
      </c>
      <c r="F1174" s="1">
        <v>1</v>
      </c>
      <c r="G1174" s="1">
        <v>1</v>
      </c>
      <c r="H1174" s="1">
        <v>0</v>
      </c>
      <c r="I1174" s="1">
        <v>23</v>
      </c>
      <c r="J1174" s="1">
        <v>22</v>
      </c>
      <c r="K1174" s="1">
        <v>1</v>
      </c>
    </row>
    <row r="1175" spans="3:11" x14ac:dyDescent="0.25">
      <c r="C1175" s="1" t="s">
        <v>2124</v>
      </c>
      <c r="D1175" s="1" t="s">
        <v>2125</v>
      </c>
      <c r="E1175" s="1" t="s">
        <v>2126</v>
      </c>
      <c r="F1175" s="1">
        <v>12</v>
      </c>
      <c r="G1175" s="1">
        <v>12</v>
      </c>
      <c r="H1175" s="1">
        <v>0</v>
      </c>
      <c r="I1175" s="1">
        <v>23</v>
      </c>
      <c r="J1175" s="1">
        <v>11</v>
      </c>
      <c r="K1175" s="1">
        <v>12</v>
      </c>
    </row>
    <row r="1176" spans="3:11" x14ac:dyDescent="0.25">
      <c r="C1176" s="1" t="s">
        <v>1950</v>
      </c>
      <c r="D1176" s="1" t="s">
        <v>1951</v>
      </c>
      <c r="E1176" s="1" t="s">
        <v>1952</v>
      </c>
      <c r="F1176" s="1">
        <v>2</v>
      </c>
      <c r="G1176" s="1">
        <v>2</v>
      </c>
      <c r="H1176" s="1">
        <v>0</v>
      </c>
      <c r="I1176" s="1">
        <v>22</v>
      </c>
      <c r="J1176" s="1">
        <v>20</v>
      </c>
      <c r="K1176" s="1">
        <v>2</v>
      </c>
    </row>
    <row r="1177" spans="3:11" x14ac:dyDescent="0.25">
      <c r="C1177" s="1" t="s">
        <v>3947</v>
      </c>
      <c r="D1177" s="1" t="s">
        <v>3948</v>
      </c>
      <c r="E1177" s="1" t="s">
        <v>3949</v>
      </c>
      <c r="F1177" s="1">
        <v>3</v>
      </c>
      <c r="G1177" s="1">
        <v>3</v>
      </c>
      <c r="H1177" s="1">
        <v>0</v>
      </c>
      <c r="I1177" s="1">
        <v>22</v>
      </c>
      <c r="J1177" s="1">
        <v>19</v>
      </c>
      <c r="K1177" s="1">
        <v>3</v>
      </c>
    </row>
    <row r="1178" spans="3:11" x14ac:dyDescent="0.25">
      <c r="C1178" s="1" t="s">
        <v>3950</v>
      </c>
      <c r="D1178" s="1" t="s">
        <v>3951</v>
      </c>
      <c r="E1178" s="1" t="s">
        <v>3952</v>
      </c>
      <c r="F1178" s="1">
        <v>5</v>
      </c>
      <c r="G1178" s="1">
        <v>5</v>
      </c>
      <c r="H1178" s="1">
        <v>0</v>
      </c>
      <c r="I1178" s="1">
        <v>22</v>
      </c>
      <c r="J1178" s="1">
        <v>17</v>
      </c>
      <c r="K1178" s="1">
        <v>5</v>
      </c>
    </row>
    <row r="1179" spans="3:11" x14ac:dyDescent="0.25">
      <c r="C1179" s="1" t="s">
        <v>3953</v>
      </c>
      <c r="D1179" s="1" t="s">
        <v>3954</v>
      </c>
      <c r="E1179" s="1" t="s">
        <v>3955</v>
      </c>
      <c r="F1179" s="1">
        <v>9</v>
      </c>
      <c r="G1179" s="1">
        <v>9</v>
      </c>
      <c r="H1179" s="1">
        <v>0</v>
      </c>
      <c r="I1179" s="1">
        <v>22</v>
      </c>
      <c r="J1179" s="1">
        <v>13</v>
      </c>
      <c r="K1179" s="1">
        <v>9</v>
      </c>
    </row>
    <row r="1180" spans="3:11" x14ac:dyDescent="0.25">
      <c r="C1180" s="1" t="s">
        <v>3956</v>
      </c>
      <c r="D1180" s="1" t="s">
        <v>3957</v>
      </c>
      <c r="E1180" s="1" t="s">
        <v>3956</v>
      </c>
      <c r="F1180" s="1">
        <v>1</v>
      </c>
      <c r="G1180" s="1">
        <v>1</v>
      </c>
      <c r="H1180" s="1">
        <v>0</v>
      </c>
      <c r="I1180" s="1">
        <v>22</v>
      </c>
      <c r="J1180" s="1">
        <v>21</v>
      </c>
      <c r="K1180" s="1">
        <v>1</v>
      </c>
    </row>
    <row r="1181" spans="3:11" x14ac:dyDescent="0.25">
      <c r="C1181" s="1" t="s">
        <v>3958</v>
      </c>
      <c r="D1181" s="1" t="s">
        <v>3959</v>
      </c>
      <c r="E1181" s="1" t="s">
        <v>3960</v>
      </c>
      <c r="F1181" s="1">
        <v>2</v>
      </c>
      <c r="G1181" s="1">
        <v>2</v>
      </c>
      <c r="H1181" s="1">
        <v>0</v>
      </c>
      <c r="I1181" s="1">
        <v>22</v>
      </c>
      <c r="J1181" s="1">
        <v>20</v>
      </c>
      <c r="K1181" s="1">
        <v>2</v>
      </c>
    </row>
    <row r="1182" spans="3:11" x14ac:dyDescent="0.25">
      <c r="C1182" s="1" t="s">
        <v>3961</v>
      </c>
      <c r="D1182" s="1" t="s">
        <v>3962</v>
      </c>
      <c r="E1182" s="1" t="s">
        <v>3963</v>
      </c>
      <c r="F1182" s="1">
        <v>7</v>
      </c>
      <c r="G1182" s="1">
        <v>7</v>
      </c>
      <c r="H1182" s="1">
        <v>0</v>
      </c>
      <c r="I1182" s="1">
        <v>22</v>
      </c>
      <c r="J1182" s="1">
        <v>15</v>
      </c>
      <c r="K1182" s="1">
        <v>7</v>
      </c>
    </row>
    <row r="1183" spans="3:11" x14ac:dyDescent="0.25">
      <c r="C1183" s="1" t="s">
        <v>2033</v>
      </c>
      <c r="D1183" s="1" t="s">
        <v>2034</v>
      </c>
      <c r="E1183" s="1" t="s">
        <v>2035</v>
      </c>
      <c r="F1183" s="1">
        <v>0</v>
      </c>
      <c r="G1183" s="1">
        <v>0</v>
      </c>
      <c r="H1183" s="1">
        <v>0</v>
      </c>
      <c r="I1183" s="1">
        <v>22</v>
      </c>
      <c r="J1183" s="1">
        <v>22</v>
      </c>
      <c r="K1183" s="1">
        <v>0</v>
      </c>
    </row>
    <row r="1184" spans="3:11" x14ac:dyDescent="0.25">
      <c r="C1184" s="1" t="s">
        <v>3964</v>
      </c>
      <c r="D1184" s="1" t="s">
        <v>3965</v>
      </c>
      <c r="E1184" s="1" t="s">
        <v>3966</v>
      </c>
      <c r="F1184" s="1">
        <v>0</v>
      </c>
      <c r="G1184" s="1">
        <v>0</v>
      </c>
      <c r="H1184" s="1">
        <v>0</v>
      </c>
      <c r="I1184" s="1">
        <v>22</v>
      </c>
      <c r="J1184" s="1">
        <v>22</v>
      </c>
      <c r="K1184" s="1">
        <v>0</v>
      </c>
    </row>
    <row r="1185" spans="3:11" x14ac:dyDescent="0.25">
      <c r="C1185" s="1" t="s">
        <v>2099</v>
      </c>
      <c r="D1185" s="1" t="s">
        <v>2100</v>
      </c>
      <c r="E1185" s="1" t="s">
        <v>2101</v>
      </c>
      <c r="F1185" s="1">
        <v>6</v>
      </c>
      <c r="G1185" s="1">
        <v>6</v>
      </c>
      <c r="H1185" s="1">
        <v>0</v>
      </c>
      <c r="I1185" s="1">
        <v>22</v>
      </c>
      <c r="J1185" s="1">
        <v>16</v>
      </c>
      <c r="K1185" s="1">
        <v>6</v>
      </c>
    </row>
    <row r="1186" spans="3:11" x14ac:dyDescent="0.25">
      <c r="C1186" s="1" t="s">
        <v>5531</v>
      </c>
      <c r="D1186" s="1" t="s">
        <v>5532</v>
      </c>
      <c r="E1186" s="1" t="s">
        <v>5533</v>
      </c>
      <c r="F1186" s="1">
        <v>6</v>
      </c>
      <c r="G1186" s="1">
        <v>6</v>
      </c>
      <c r="H1186" s="1">
        <v>0</v>
      </c>
      <c r="I1186" s="1">
        <v>22</v>
      </c>
      <c r="J1186" s="1">
        <v>16</v>
      </c>
      <c r="K1186" s="1">
        <v>6</v>
      </c>
    </row>
    <row r="1187" spans="3:11" x14ac:dyDescent="0.25">
      <c r="C1187" s="1" t="s">
        <v>2216</v>
      </c>
      <c r="D1187" s="1" t="s">
        <v>2217</v>
      </c>
      <c r="E1187" s="1" t="s">
        <v>2218</v>
      </c>
      <c r="F1187" s="1">
        <v>1</v>
      </c>
      <c r="G1187" s="1">
        <v>1</v>
      </c>
      <c r="H1187" s="1">
        <v>0</v>
      </c>
      <c r="I1187" s="1">
        <v>21</v>
      </c>
      <c r="J1187" s="1">
        <v>20</v>
      </c>
      <c r="K1187" s="1">
        <v>1</v>
      </c>
    </row>
    <row r="1188" spans="3:11" x14ac:dyDescent="0.25">
      <c r="C1188" s="1" t="s">
        <v>3967</v>
      </c>
      <c r="D1188" s="1" t="s">
        <v>3968</v>
      </c>
      <c r="E1188" s="1" t="s">
        <v>3969</v>
      </c>
      <c r="F1188" s="1">
        <v>1</v>
      </c>
      <c r="G1188" s="1">
        <v>1</v>
      </c>
      <c r="H1188" s="1">
        <v>0</v>
      </c>
      <c r="I1188" s="1">
        <v>21</v>
      </c>
      <c r="J1188" s="1">
        <v>20</v>
      </c>
      <c r="K1188" s="1">
        <v>1</v>
      </c>
    </row>
    <row r="1189" spans="3:11" x14ac:dyDescent="0.25">
      <c r="C1189" s="1" t="s">
        <v>1953</v>
      </c>
      <c r="D1189" s="1" t="s">
        <v>1954</v>
      </c>
      <c r="E1189" s="1" t="s">
        <v>1955</v>
      </c>
      <c r="F1189" s="1">
        <v>2</v>
      </c>
      <c r="G1189" s="1">
        <v>2</v>
      </c>
      <c r="H1189" s="1">
        <v>0</v>
      </c>
      <c r="I1189" s="1">
        <v>20</v>
      </c>
      <c r="J1189" s="1">
        <v>18</v>
      </c>
      <c r="K1189" s="1">
        <v>2</v>
      </c>
    </row>
    <row r="1190" spans="3:11" x14ac:dyDescent="0.25">
      <c r="C1190" s="1" t="s">
        <v>3970</v>
      </c>
      <c r="D1190" s="1" t="s">
        <v>3971</v>
      </c>
      <c r="E1190" s="1" t="s">
        <v>3972</v>
      </c>
      <c r="F1190" s="1">
        <v>7</v>
      </c>
      <c r="G1190" s="1">
        <v>7</v>
      </c>
      <c r="H1190" s="1">
        <v>0</v>
      </c>
      <c r="I1190" s="1">
        <v>20</v>
      </c>
      <c r="J1190" s="1">
        <v>13</v>
      </c>
      <c r="K1190" s="1">
        <v>7</v>
      </c>
    </row>
    <row r="1191" spans="3:11" x14ac:dyDescent="0.25">
      <c r="C1191" s="1" t="s">
        <v>1980</v>
      </c>
      <c r="D1191" s="1" t="s">
        <v>1981</v>
      </c>
      <c r="E1191" s="1" t="s">
        <v>1982</v>
      </c>
      <c r="F1191" s="1">
        <v>10</v>
      </c>
      <c r="G1191" s="1">
        <v>10</v>
      </c>
      <c r="H1191" s="1">
        <v>0</v>
      </c>
      <c r="I1191" s="1">
        <v>20</v>
      </c>
      <c r="J1191" s="1">
        <v>10</v>
      </c>
      <c r="K1191" s="1">
        <v>10</v>
      </c>
    </row>
    <row r="1192" spans="3:11" x14ac:dyDescent="0.25">
      <c r="C1192" s="1" t="s">
        <v>3973</v>
      </c>
      <c r="D1192" s="1" t="s">
        <v>3974</v>
      </c>
      <c r="E1192" s="1" t="s">
        <v>3975</v>
      </c>
      <c r="F1192" s="1">
        <v>7</v>
      </c>
      <c r="G1192" s="1">
        <v>7</v>
      </c>
      <c r="H1192" s="1">
        <v>0</v>
      </c>
      <c r="I1192" s="1">
        <v>20</v>
      </c>
      <c r="J1192" s="1">
        <v>13</v>
      </c>
      <c r="K1192" s="1">
        <v>7</v>
      </c>
    </row>
    <row r="1193" spans="3:11" x14ac:dyDescent="0.25">
      <c r="C1193" s="1" t="s">
        <v>3976</v>
      </c>
      <c r="D1193" s="1" t="s">
        <v>741</v>
      </c>
      <c r="E1193" s="1" t="s">
        <v>3977</v>
      </c>
      <c r="F1193" s="1">
        <v>12</v>
      </c>
      <c r="G1193" s="1">
        <v>12</v>
      </c>
      <c r="H1193" s="1">
        <v>0</v>
      </c>
      <c r="I1193" s="1">
        <v>20</v>
      </c>
      <c r="J1193" s="1">
        <v>8</v>
      </c>
      <c r="K1193" s="1">
        <v>12</v>
      </c>
    </row>
    <row r="1194" spans="3:11" x14ac:dyDescent="0.25">
      <c r="C1194" s="1" t="s">
        <v>3978</v>
      </c>
      <c r="D1194" s="1" t="s">
        <v>3979</v>
      </c>
      <c r="E1194" s="1" t="s">
        <v>3980</v>
      </c>
      <c r="F1194" s="1">
        <v>1</v>
      </c>
      <c r="G1194" s="1">
        <v>1</v>
      </c>
      <c r="H1194" s="1">
        <v>0</v>
      </c>
      <c r="I1194" s="1">
        <v>20</v>
      </c>
      <c r="J1194" s="1">
        <v>19</v>
      </c>
      <c r="K1194" s="1">
        <v>1</v>
      </c>
    </row>
    <row r="1195" spans="3:11" x14ac:dyDescent="0.25">
      <c r="C1195" s="1" t="s">
        <v>3981</v>
      </c>
      <c r="D1195" s="1" t="s">
        <v>3982</v>
      </c>
      <c r="E1195" s="1" t="s">
        <v>3983</v>
      </c>
      <c r="F1195" s="1">
        <v>0</v>
      </c>
      <c r="G1195" s="1">
        <v>0</v>
      </c>
      <c r="H1195" s="1">
        <v>0</v>
      </c>
      <c r="I1195" s="1">
        <v>20</v>
      </c>
      <c r="J1195" s="1">
        <v>20</v>
      </c>
      <c r="K1195" s="1">
        <v>0</v>
      </c>
    </row>
    <row r="1196" spans="3:11" x14ac:dyDescent="0.25">
      <c r="C1196" s="1" t="s">
        <v>3984</v>
      </c>
      <c r="D1196" s="1" t="s">
        <v>496</v>
      </c>
      <c r="E1196" s="1" t="s">
        <v>3985</v>
      </c>
      <c r="F1196" s="1">
        <v>8</v>
      </c>
      <c r="G1196" s="1">
        <v>8</v>
      </c>
      <c r="H1196" s="1">
        <v>0</v>
      </c>
      <c r="I1196" s="1">
        <v>20</v>
      </c>
      <c r="J1196" s="1">
        <v>12</v>
      </c>
      <c r="K1196" s="1">
        <v>8</v>
      </c>
    </row>
    <row r="1197" spans="3:11" x14ac:dyDescent="0.25">
      <c r="C1197" s="1" t="s">
        <v>3986</v>
      </c>
      <c r="D1197" s="1" t="s">
        <v>3987</v>
      </c>
      <c r="E1197" s="1" t="s">
        <v>3988</v>
      </c>
      <c r="F1197" s="1">
        <v>5</v>
      </c>
      <c r="G1197" s="1">
        <v>5</v>
      </c>
      <c r="H1197" s="1">
        <v>0</v>
      </c>
      <c r="I1197" s="1">
        <v>20</v>
      </c>
      <c r="J1197" s="1">
        <v>15</v>
      </c>
      <c r="K1197" s="1">
        <v>5</v>
      </c>
    </row>
    <row r="1198" spans="3:11" x14ac:dyDescent="0.25">
      <c r="C1198" s="1" t="s">
        <v>3989</v>
      </c>
      <c r="D1198" s="1" t="s">
        <v>3990</v>
      </c>
      <c r="E1198" s="1" t="s">
        <v>3991</v>
      </c>
      <c r="F1198" s="1">
        <v>2</v>
      </c>
      <c r="G1198" s="1">
        <v>2</v>
      </c>
      <c r="H1198" s="1">
        <v>0</v>
      </c>
      <c r="I1198" s="1">
        <v>20</v>
      </c>
      <c r="J1198" s="1">
        <v>18</v>
      </c>
      <c r="K1198" s="1">
        <v>2</v>
      </c>
    </row>
    <row r="1199" spans="3:11" x14ac:dyDescent="0.25">
      <c r="C1199" s="1" t="s">
        <v>3992</v>
      </c>
      <c r="D1199" s="1" t="s">
        <v>3993</v>
      </c>
      <c r="E1199" s="1" t="s">
        <v>3994</v>
      </c>
      <c r="F1199" s="1">
        <v>0</v>
      </c>
      <c r="G1199" s="1">
        <v>0</v>
      </c>
      <c r="H1199" s="1">
        <v>0</v>
      </c>
      <c r="I1199" s="1">
        <v>20</v>
      </c>
      <c r="J1199" s="1">
        <v>20</v>
      </c>
      <c r="K1199" s="1">
        <v>0</v>
      </c>
    </row>
    <row r="1200" spans="3:11" x14ac:dyDescent="0.25">
      <c r="C1200" s="1" t="s">
        <v>4093</v>
      </c>
      <c r="D1200" s="1" t="s">
        <v>4094</v>
      </c>
      <c r="E1200" s="1" t="s">
        <v>4095</v>
      </c>
      <c r="F1200" s="1">
        <v>0</v>
      </c>
      <c r="G1200" s="1">
        <v>0</v>
      </c>
      <c r="H1200" s="1">
        <v>0</v>
      </c>
      <c r="I1200" s="1">
        <v>20</v>
      </c>
      <c r="J1200" s="1">
        <v>20</v>
      </c>
      <c r="K1200" s="1">
        <v>0</v>
      </c>
    </row>
    <row r="1201" spans="3:11" x14ac:dyDescent="0.25">
      <c r="C1201" s="1" t="s">
        <v>3995</v>
      </c>
      <c r="D1201" s="1" t="s">
        <v>3996</v>
      </c>
      <c r="E1201" s="1" t="s">
        <v>3997</v>
      </c>
      <c r="F1201" s="1">
        <v>0</v>
      </c>
      <c r="G1201" s="1">
        <v>0</v>
      </c>
      <c r="H1201" s="1">
        <v>0</v>
      </c>
      <c r="I1201" s="1">
        <v>20</v>
      </c>
      <c r="J1201" s="1">
        <v>20</v>
      </c>
      <c r="K1201" s="1">
        <v>0</v>
      </c>
    </row>
    <row r="1202" spans="3:11" x14ac:dyDescent="0.25">
      <c r="C1202" s="1" t="s">
        <v>1959</v>
      </c>
      <c r="D1202" s="1" t="s">
        <v>1960</v>
      </c>
      <c r="E1202" s="1" t="s">
        <v>1961</v>
      </c>
      <c r="F1202" s="1">
        <v>2</v>
      </c>
      <c r="G1202" s="1">
        <v>2</v>
      </c>
      <c r="H1202" s="1">
        <v>0</v>
      </c>
      <c r="I1202" s="1">
        <v>19</v>
      </c>
      <c r="J1202" s="1">
        <v>17</v>
      </c>
      <c r="K1202" s="1">
        <v>2</v>
      </c>
    </row>
    <row r="1203" spans="3:11" x14ac:dyDescent="0.25">
      <c r="C1203" s="1" t="s">
        <v>3998</v>
      </c>
      <c r="D1203" s="1" t="s">
        <v>3999</v>
      </c>
      <c r="E1203" s="1" t="s">
        <v>3998</v>
      </c>
      <c r="F1203" s="1">
        <v>-3</v>
      </c>
      <c r="G1203" s="1">
        <v>-3</v>
      </c>
      <c r="H1203" s="1">
        <v>0</v>
      </c>
      <c r="I1203" s="1">
        <v>19</v>
      </c>
      <c r="J1203" s="1">
        <v>22</v>
      </c>
      <c r="K1203" s="1">
        <v>-3</v>
      </c>
    </row>
    <row r="1204" spans="3:11" x14ac:dyDescent="0.25">
      <c r="C1204" s="1" t="s">
        <v>4000</v>
      </c>
      <c r="D1204" s="1" t="s">
        <v>4001</v>
      </c>
      <c r="E1204" s="1" t="s">
        <v>4002</v>
      </c>
      <c r="F1204" s="1">
        <v>-1</v>
      </c>
      <c r="G1204" s="1">
        <v>-1</v>
      </c>
      <c r="H1204" s="1">
        <v>0</v>
      </c>
      <c r="I1204" s="1">
        <v>19</v>
      </c>
      <c r="J1204" s="1">
        <v>20</v>
      </c>
      <c r="K1204" s="1">
        <v>-1</v>
      </c>
    </row>
    <row r="1205" spans="3:11" x14ac:dyDescent="0.25">
      <c r="C1205" s="1" t="s">
        <v>1968</v>
      </c>
      <c r="D1205" s="1" t="s">
        <v>1969</v>
      </c>
      <c r="E1205" s="1" t="s">
        <v>1970</v>
      </c>
      <c r="F1205" s="1">
        <v>0</v>
      </c>
      <c r="G1205" s="1">
        <v>0</v>
      </c>
      <c r="H1205" s="1">
        <v>0</v>
      </c>
      <c r="I1205" s="1">
        <v>19</v>
      </c>
      <c r="J1205" s="1">
        <v>19</v>
      </c>
      <c r="K1205" s="1">
        <v>0</v>
      </c>
    </row>
    <row r="1206" spans="3:11" x14ac:dyDescent="0.25">
      <c r="C1206" s="1" t="s">
        <v>1965</v>
      </c>
      <c r="D1206" s="1" t="s">
        <v>1966</v>
      </c>
      <c r="E1206" s="1" t="s">
        <v>1967</v>
      </c>
      <c r="F1206" s="1">
        <v>2</v>
      </c>
      <c r="G1206" s="1">
        <v>2</v>
      </c>
      <c r="H1206" s="1">
        <v>0</v>
      </c>
      <c r="I1206" s="1">
        <v>18</v>
      </c>
      <c r="J1206" s="1">
        <v>16</v>
      </c>
      <c r="K1206" s="1">
        <v>2</v>
      </c>
    </row>
    <row r="1207" spans="3:11" x14ac:dyDescent="0.25">
      <c r="C1207" s="1" t="s">
        <v>4003</v>
      </c>
      <c r="D1207" s="1" t="s">
        <v>4004</v>
      </c>
      <c r="E1207" s="1" t="s">
        <v>4005</v>
      </c>
      <c r="F1207" s="1">
        <v>2</v>
      </c>
      <c r="G1207" s="1">
        <v>2</v>
      </c>
      <c r="H1207" s="1">
        <v>0</v>
      </c>
      <c r="I1207" s="1">
        <v>18</v>
      </c>
      <c r="J1207" s="1">
        <v>16</v>
      </c>
      <c r="K1207" s="1">
        <v>2</v>
      </c>
    </row>
    <row r="1208" spans="3:11" x14ac:dyDescent="0.25">
      <c r="C1208" s="1" t="s">
        <v>4021</v>
      </c>
      <c r="D1208" s="1" t="s">
        <v>4022</v>
      </c>
      <c r="E1208" s="1" t="s">
        <v>4023</v>
      </c>
      <c r="F1208" s="1">
        <v>4</v>
      </c>
      <c r="G1208" s="1">
        <v>4</v>
      </c>
      <c r="H1208" s="1">
        <v>0</v>
      </c>
      <c r="I1208" s="1">
        <v>18</v>
      </c>
      <c r="J1208" s="1">
        <v>14</v>
      </c>
      <c r="K1208" s="1">
        <v>4</v>
      </c>
    </row>
    <row r="1209" spans="3:11" x14ac:dyDescent="0.25">
      <c r="C1209" s="1" t="s">
        <v>4006</v>
      </c>
      <c r="D1209" s="1" t="s">
        <v>4007</v>
      </c>
      <c r="E1209" s="1" t="s">
        <v>4008</v>
      </c>
      <c r="F1209" s="1">
        <v>0</v>
      </c>
      <c r="G1209" s="1">
        <v>0</v>
      </c>
      <c r="H1209" s="1">
        <v>0</v>
      </c>
      <c r="I1209" s="1">
        <v>18</v>
      </c>
      <c r="J1209" s="1">
        <v>18</v>
      </c>
      <c r="K1209" s="1">
        <v>0</v>
      </c>
    </row>
    <row r="1210" spans="3:11" x14ac:dyDescent="0.25">
      <c r="C1210" s="1" t="s">
        <v>4233</v>
      </c>
      <c r="D1210" s="1" t="s">
        <v>4234</v>
      </c>
      <c r="E1210" s="1" t="s">
        <v>4235</v>
      </c>
      <c r="F1210" s="1">
        <v>1</v>
      </c>
      <c r="G1210" s="1">
        <v>1</v>
      </c>
      <c r="H1210" s="1">
        <v>0</v>
      </c>
      <c r="I1210" s="1">
        <v>18</v>
      </c>
      <c r="J1210" s="1">
        <v>17</v>
      </c>
      <c r="K1210" s="1">
        <v>1</v>
      </c>
    </row>
    <row r="1211" spans="3:11" x14ac:dyDescent="0.25">
      <c r="C1211" s="1" t="s">
        <v>4045</v>
      </c>
      <c r="D1211" s="1" t="s">
        <v>4046</v>
      </c>
      <c r="E1211" s="1" t="s">
        <v>4047</v>
      </c>
      <c r="F1211" s="1">
        <v>4</v>
      </c>
      <c r="G1211" s="1">
        <v>4</v>
      </c>
      <c r="H1211" s="1">
        <v>0</v>
      </c>
      <c r="I1211" s="1">
        <v>18</v>
      </c>
      <c r="J1211" s="1">
        <v>14</v>
      </c>
      <c r="K1211" s="1">
        <v>4</v>
      </c>
    </row>
    <row r="1212" spans="3:11" x14ac:dyDescent="0.25">
      <c r="C1212" s="1" t="s">
        <v>4009</v>
      </c>
      <c r="D1212" s="1" t="s">
        <v>4010</v>
      </c>
      <c r="E1212" s="1" t="s">
        <v>4011</v>
      </c>
      <c r="F1212" s="1">
        <v>-6</v>
      </c>
      <c r="G1212" s="1">
        <v>-6</v>
      </c>
      <c r="H1212" s="1">
        <v>0</v>
      </c>
      <c r="I1212" s="1">
        <v>18</v>
      </c>
      <c r="J1212" s="1">
        <v>24</v>
      </c>
      <c r="K1212" s="1">
        <v>-6</v>
      </c>
    </row>
    <row r="1213" spans="3:11" x14ac:dyDescent="0.25">
      <c r="C1213" s="1" t="s">
        <v>2025</v>
      </c>
      <c r="D1213" s="1" t="s">
        <v>2026</v>
      </c>
      <c r="E1213" s="1" t="s">
        <v>2025</v>
      </c>
      <c r="F1213" s="1">
        <v>7</v>
      </c>
      <c r="G1213" s="1">
        <v>7</v>
      </c>
      <c r="H1213" s="1">
        <v>0</v>
      </c>
      <c r="I1213" s="1">
        <v>17</v>
      </c>
      <c r="J1213" s="1">
        <v>10</v>
      </c>
      <c r="K1213" s="1">
        <v>7</v>
      </c>
    </row>
    <row r="1214" spans="3:11" x14ac:dyDescent="0.25">
      <c r="C1214" s="1" t="s">
        <v>4012</v>
      </c>
      <c r="D1214" s="1" t="s">
        <v>4013</v>
      </c>
      <c r="E1214" s="1" t="s">
        <v>4014</v>
      </c>
      <c r="F1214" s="1">
        <v>2</v>
      </c>
      <c r="G1214" s="1">
        <v>2</v>
      </c>
      <c r="H1214" s="1">
        <v>0</v>
      </c>
      <c r="I1214" s="1">
        <v>17</v>
      </c>
      <c r="J1214" s="1">
        <v>15</v>
      </c>
      <c r="K1214" s="1">
        <v>2</v>
      </c>
    </row>
    <row r="1215" spans="3:11" x14ac:dyDescent="0.25">
      <c r="C1215" s="1" t="s">
        <v>4015</v>
      </c>
      <c r="D1215" s="1" t="s">
        <v>4016</v>
      </c>
      <c r="E1215" s="1" t="s">
        <v>4017</v>
      </c>
      <c r="F1215" s="1">
        <v>0</v>
      </c>
      <c r="G1215" s="1">
        <v>0</v>
      </c>
      <c r="H1215" s="1">
        <v>0</v>
      </c>
      <c r="I1215" s="1">
        <v>16</v>
      </c>
      <c r="J1215" s="1">
        <v>16</v>
      </c>
      <c r="K1215" s="1">
        <v>0</v>
      </c>
    </row>
    <row r="1216" spans="3:11" x14ac:dyDescent="0.25">
      <c r="C1216" s="1" t="s">
        <v>4018</v>
      </c>
      <c r="D1216" s="1" t="s">
        <v>4019</v>
      </c>
      <c r="E1216" s="1" t="s">
        <v>4020</v>
      </c>
      <c r="F1216" s="1">
        <v>0</v>
      </c>
      <c r="G1216" s="1">
        <v>0</v>
      </c>
      <c r="H1216" s="1">
        <v>0</v>
      </c>
      <c r="I1216" s="1">
        <v>16</v>
      </c>
      <c r="J1216" s="1">
        <v>16</v>
      </c>
      <c r="K1216" s="1">
        <v>0</v>
      </c>
    </row>
    <row r="1217" spans="3:11" x14ac:dyDescent="0.25">
      <c r="C1217" s="1" t="s">
        <v>4024</v>
      </c>
      <c r="D1217" s="1" t="s">
        <v>4025</v>
      </c>
      <c r="E1217" s="1" t="s">
        <v>4026</v>
      </c>
      <c r="F1217" s="1">
        <v>5</v>
      </c>
      <c r="G1217" s="1">
        <v>5</v>
      </c>
      <c r="H1217" s="1">
        <v>0</v>
      </c>
      <c r="I1217" s="1">
        <v>16</v>
      </c>
      <c r="J1217" s="1">
        <v>11</v>
      </c>
      <c r="K1217" s="1">
        <v>5</v>
      </c>
    </row>
    <row r="1218" spans="3:11" x14ac:dyDescent="0.25">
      <c r="C1218" s="1" t="s">
        <v>2121</v>
      </c>
      <c r="D1218" s="1" t="s">
        <v>2122</v>
      </c>
      <c r="E1218" s="1" t="s">
        <v>2123</v>
      </c>
      <c r="F1218" s="1">
        <v>8</v>
      </c>
      <c r="G1218" s="1">
        <v>8</v>
      </c>
      <c r="H1218" s="1">
        <v>0</v>
      </c>
      <c r="I1218" s="1">
        <v>16</v>
      </c>
      <c r="J1218" s="1">
        <v>8</v>
      </c>
      <c r="K1218" s="1">
        <v>8</v>
      </c>
    </row>
    <row r="1219" spans="3:11" x14ac:dyDescent="0.25">
      <c r="C1219" s="1" t="s">
        <v>2331</v>
      </c>
      <c r="D1219" s="1" t="s">
        <v>2332</v>
      </c>
      <c r="E1219" s="1" t="s">
        <v>2333</v>
      </c>
      <c r="F1219" s="1">
        <v>2</v>
      </c>
      <c r="G1219" s="1">
        <v>2</v>
      </c>
      <c r="H1219" s="1">
        <v>0</v>
      </c>
      <c r="I1219" s="1">
        <v>16</v>
      </c>
      <c r="J1219" s="1">
        <v>14</v>
      </c>
      <c r="K1219" s="1">
        <v>2</v>
      </c>
    </row>
    <row r="1220" spans="3:11" x14ac:dyDescent="0.25">
      <c r="C1220" s="1" t="s">
        <v>4027</v>
      </c>
      <c r="D1220" s="1" t="s">
        <v>4028</v>
      </c>
      <c r="E1220" s="1" t="s">
        <v>4029</v>
      </c>
      <c r="F1220" s="1">
        <v>0</v>
      </c>
      <c r="G1220" s="1">
        <v>0</v>
      </c>
      <c r="H1220" s="1">
        <v>0</v>
      </c>
      <c r="I1220" s="1">
        <v>15</v>
      </c>
      <c r="J1220" s="1">
        <v>15</v>
      </c>
      <c r="K1220" s="1">
        <v>0</v>
      </c>
    </row>
    <row r="1221" spans="3:11" x14ac:dyDescent="0.25">
      <c r="C1221" s="1" t="s">
        <v>4030</v>
      </c>
      <c r="D1221" s="1" t="s">
        <v>4031</v>
      </c>
      <c r="E1221" s="1" t="s">
        <v>4032</v>
      </c>
      <c r="F1221" s="1">
        <v>0</v>
      </c>
      <c r="G1221" s="1">
        <v>0</v>
      </c>
      <c r="H1221" s="1">
        <v>0</v>
      </c>
      <c r="I1221" s="1">
        <v>15</v>
      </c>
      <c r="J1221" s="1">
        <v>15</v>
      </c>
      <c r="K1221" s="1">
        <v>0</v>
      </c>
    </row>
    <row r="1222" spans="3:11" x14ac:dyDescent="0.25">
      <c r="C1222" s="1" t="s">
        <v>4033</v>
      </c>
      <c r="D1222" s="1" t="s">
        <v>4034</v>
      </c>
      <c r="E1222" s="1" t="s">
        <v>4035</v>
      </c>
      <c r="F1222" s="1">
        <v>-7</v>
      </c>
      <c r="G1222" s="1">
        <v>-7</v>
      </c>
      <c r="H1222" s="1">
        <v>0</v>
      </c>
      <c r="I1222" s="1">
        <v>15</v>
      </c>
      <c r="J1222" s="1">
        <v>22</v>
      </c>
      <c r="K1222" s="1">
        <v>-7</v>
      </c>
    </row>
    <row r="1223" spans="3:11" x14ac:dyDescent="0.25">
      <c r="C1223" s="1" t="s">
        <v>4036</v>
      </c>
      <c r="D1223" s="1" t="s">
        <v>4037</v>
      </c>
      <c r="E1223" s="1" t="s">
        <v>4038</v>
      </c>
      <c r="F1223" s="1">
        <v>4</v>
      </c>
      <c r="G1223" s="1">
        <v>4</v>
      </c>
      <c r="H1223" s="1">
        <v>0</v>
      </c>
      <c r="I1223" s="1">
        <v>15</v>
      </c>
      <c r="J1223" s="1">
        <v>11</v>
      </c>
      <c r="K1223" s="1">
        <v>4</v>
      </c>
    </row>
    <row r="1224" spans="3:11" x14ac:dyDescent="0.25">
      <c r="C1224" s="1" t="s">
        <v>4039</v>
      </c>
      <c r="D1224" s="1" t="s">
        <v>4040</v>
      </c>
      <c r="E1224" s="1" t="s">
        <v>4041</v>
      </c>
      <c r="F1224" s="1">
        <v>3</v>
      </c>
      <c r="G1224" s="1">
        <v>3</v>
      </c>
      <c r="H1224" s="1">
        <v>0</v>
      </c>
      <c r="I1224" s="1">
        <v>15</v>
      </c>
      <c r="J1224" s="1">
        <v>12</v>
      </c>
      <c r="K1224" s="1">
        <v>3</v>
      </c>
    </row>
    <row r="1225" spans="3:11" x14ac:dyDescent="0.25">
      <c r="C1225" s="1" t="s">
        <v>2109</v>
      </c>
      <c r="D1225" s="1" t="s">
        <v>2110</v>
      </c>
      <c r="E1225" s="1" t="s">
        <v>2111</v>
      </c>
      <c r="F1225" s="1">
        <v>4</v>
      </c>
      <c r="G1225" s="1">
        <v>4</v>
      </c>
      <c r="H1225" s="1">
        <v>0</v>
      </c>
      <c r="I1225" s="1">
        <v>15</v>
      </c>
      <c r="J1225" s="1">
        <v>11</v>
      </c>
      <c r="K1225" s="1">
        <v>4</v>
      </c>
    </row>
    <row r="1226" spans="3:11" x14ac:dyDescent="0.25">
      <c r="C1226" s="1" t="s">
        <v>4042</v>
      </c>
      <c r="D1226" s="1" t="s">
        <v>4043</v>
      </c>
      <c r="E1226" s="1" t="s">
        <v>4044</v>
      </c>
      <c r="F1226" s="1">
        <v>3</v>
      </c>
      <c r="G1226" s="1">
        <v>3</v>
      </c>
      <c r="H1226" s="1">
        <v>0</v>
      </c>
      <c r="I1226" s="1">
        <v>15</v>
      </c>
      <c r="J1226" s="1">
        <v>12</v>
      </c>
      <c r="K1226" s="1">
        <v>3</v>
      </c>
    </row>
    <row r="1227" spans="3:11" x14ac:dyDescent="0.25">
      <c r="C1227" s="1" t="s">
        <v>5682</v>
      </c>
      <c r="D1227" s="1" t="s">
        <v>5683</v>
      </c>
      <c r="E1227" s="1" t="s">
        <v>5684</v>
      </c>
      <c r="F1227" s="1">
        <v>3</v>
      </c>
      <c r="G1227" s="1">
        <v>3</v>
      </c>
      <c r="H1227" s="1">
        <v>0</v>
      </c>
      <c r="I1227" s="1">
        <v>15</v>
      </c>
      <c r="J1227" s="1">
        <v>12</v>
      </c>
      <c r="K1227" s="1">
        <v>3</v>
      </c>
    </row>
    <row r="1228" spans="3:11" x14ac:dyDescent="0.25">
      <c r="C1228" s="1" t="s">
        <v>4048</v>
      </c>
      <c r="D1228" s="1" t="s">
        <v>4049</v>
      </c>
      <c r="E1228" s="1" t="s">
        <v>4050</v>
      </c>
      <c r="F1228" s="1">
        <v>10</v>
      </c>
      <c r="G1228" s="1">
        <v>10</v>
      </c>
      <c r="H1228" s="1">
        <v>0</v>
      </c>
      <c r="I1228" s="1">
        <v>14</v>
      </c>
      <c r="J1228" s="1">
        <v>4</v>
      </c>
      <c r="K1228" s="1">
        <v>10</v>
      </c>
    </row>
    <row r="1229" spans="3:11" x14ac:dyDescent="0.25">
      <c r="C1229" s="1" t="s">
        <v>2306</v>
      </c>
      <c r="D1229" s="1" t="s">
        <v>2307</v>
      </c>
      <c r="E1229" s="1" t="s">
        <v>2308</v>
      </c>
      <c r="F1229" s="1">
        <v>-6</v>
      </c>
      <c r="G1229" s="1">
        <v>-6</v>
      </c>
      <c r="H1229" s="1">
        <v>0</v>
      </c>
      <c r="I1229" s="1">
        <v>14</v>
      </c>
      <c r="J1229" s="1">
        <v>20</v>
      </c>
      <c r="K1229" s="1">
        <v>-6</v>
      </c>
    </row>
    <row r="1230" spans="3:11" x14ac:dyDescent="0.25">
      <c r="C1230" s="1" t="s">
        <v>4345</v>
      </c>
      <c r="D1230" s="1" t="s">
        <v>4346</v>
      </c>
      <c r="E1230" s="1" t="s">
        <v>4347</v>
      </c>
      <c r="F1230" s="1">
        <v>1</v>
      </c>
      <c r="G1230" s="1">
        <v>1</v>
      </c>
      <c r="H1230" s="1">
        <v>0</v>
      </c>
      <c r="I1230" s="1">
        <v>14</v>
      </c>
      <c r="J1230" s="1">
        <v>13</v>
      </c>
      <c r="K1230" s="1">
        <v>1</v>
      </c>
    </row>
    <row r="1231" spans="3:11" x14ac:dyDescent="0.25">
      <c r="C1231" s="1" t="s">
        <v>4051</v>
      </c>
      <c r="D1231" s="1" t="s">
        <v>4052</v>
      </c>
      <c r="E1231" s="1" t="s">
        <v>4053</v>
      </c>
      <c r="F1231" s="1">
        <v>0</v>
      </c>
      <c r="G1231" s="1">
        <v>0</v>
      </c>
      <c r="H1231" s="1">
        <v>0</v>
      </c>
      <c r="I1231" s="1">
        <v>13</v>
      </c>
      <c r="J1231" s="1">
        <v>13</v>
      </c>
      <c r="K1231" s="1">
        <v>0</v>
      </c>
    </row>
    <row r="1232" spans="3:11" x14ac:dyDescent="0.25">
      <c r="C1232" s="1" t="s">
        <v>2030</v>
      </c>
      <c r="D1232" s="1" t="s">
        <v>2031</v>
      </c>
      <c r="E1232" s="1" t="s">
        <v>2032</v>
      </c>
      <c r="F1232" s="1">
        <v>-1</v>
      </c>
      <c r="G1232" s="1">
        <v>-1</v>
      </c>
      <c r="H1232" s="1">
        <v>0</v>
      </c>
      <c r="I1232" s="1">
        <v>13</v>
      </c>
      <c r="J1232" s="1">
        <v>14</v>
      </c>
      <c r="K1232" s="1">
        <v>-1</v>
      </c>
    </row>
    <row r="1233" spans="3:11" x14ac:dyDescent="0.25">
      <c r="C1233" s="1" t="s">
        <v>4090</v>
      </c>
      <c r="D1233" s="1" t="s">
        <v>4091</v>
      </c>
      <c r="E1233" s="1" t="s">
        <v>4092</v>
      </c>
      <c r="F1233" s="1">
        <v>7</v>
      </c>
      <c r="G1233" s="1">
        <v>7</v>
      </c>
      <c r="H1233" s="1">
        <v>0</v>
      </c>
      <c r="I1233" s="1">
        <v>13</v>
      </c>
      <c r="J1233" s="1">
        <v>6</v>
      </c>
      <c r="K1233" s="1">
        <v>7</v>
      </c>
    </row>
    <row r="1234" spans="3:11" x14ac:dyDescent="0.25">
      <c r="C1234" s="1" t="s">
        <v>4054</v>
      </c>
      <c r="D1234" s="1" t="s">
        <v>4055</v>
      </c>
      <c r="E1234" s="1" t="s">
        <v>4056</v>
      </c>
      <c r="F1234" s="1">
        <v>3</v>
      </c>
      <c r="G1234" s="1">
        <v>3</v>
      </c>
      <c r="H1234" s="1">
        <v>0</v>
      </c>
      <c r="I1234" s="1">
        <v>12</v>
      </c>
      <c r="J1234" s="1">
        <v>9</v>
      </c>
      <c r="K1234" s="1">
        <v>3</v>
      </c>
    </row>
    <row r="1235" spans="3:11" x14ac:dyDescent="0.25">
      <c r="C1235" s="1" t="s">
        <v>4081</v>
      </c>
      <c r="D1235" s="1" t="s">
        <v>4082</v>
      </c>
      <c r="E1235" s="1" t="s">
        <v>4083</v>
      </c>
      <c r="F1235" s="1">
        <v>-1</v>
      </c>
      <c r="G1235" s="1">
        <v>-1</v>
      </c>
      <c r="H1235" s="1">
        <v>0</v>
      </c>
      <c r="I1235" s="1">
        <v>12</v>
      </c>
      <c r="J1235" s="1">
        <v>13</v>
      </c>
      <c r="K1235" s="1">
        <v>-1</v>
      </c>
    </row>
    <row r="1236" spans="3:11" x14ac:dyDescent="0.25">
      <c r="C1236" s="1" t="s">
        <v>4057</v>
      </c>
      <c r="D1236" s="1" t="s">
        <v>4058</v>
      </c>
      <c r="E1236" s="1" t="s">
        <v>4059</v>
      </c>
      <c r="F1236" s="1">
        <v>0</v>
      </c>
      <c r="G1236" s="1">
        <v>0</v>
      </c>
      <c r="H1236" s="1">
        <v>0</v>
      </c>
      <c r="I1236" s="1">
        <v>12</v>
      </c>
      <c r="J1236" s="1">
        <v>12</v>
      </c>
      <c r="K1236" s="1">
        <v>0</v>
      </c>
    </row>
    <row r="1237" spans="3:11" x14ac:dyDescent="0.25">
      <c r="C1237" s="1" t="s">
        <v>4060</v>
      </c>
      <c r="D1237" s="1" t="s">
        <v>4061</v>
      </c>
      <c r="E1237" s="1" t="s">
        <v>4062</v>
      </c>
      <c r="F1237" s="1">
        <v>0</v>
      </c>
      <c r="G1237" s="1">
        <v>0</v>
      </c>
      <c r="H1237" s="1">
        <v>0</v>
      </c>
      <c r="I1237" s="1">
        <v>12</v>
      </c>
      <c r="J1237" s="1">
        <v>12</v>
      </c>
      <c r="K1237" s="1">
        <v>0</v>
      </c>
    </row>
    <row r="1238" spans="3:11" x14ac:dyDescent="0.25">
      <c r="C1238" s="1" t="s">
        <v>4063</v>
      </c>
      <c r="D1238" s="1" t="s">
        <v>4064</v>
      </c>
      <c r="E1238" s="1" t="s">
        <v>4065</v>
      </c>
      <c r="F1238" s="1">
        <v>1</v>
      </c>
      <c r="G1238" s="1">
        <v>1</v>
      </c>
      <c r="H1238" s="1">
        <v>0</v>
      </c>
      <c r="I1238" s="1">
        <v>12</v>
      </c>
      <c r="J1238" s="1">
        <v>11</v>
      </c>
      <c r="K1238" s="1">
        <v>1</v>
      </c>
    </row>
    <row r="1239" spans="3:11" x14ac:dyDescent="0.25">
      <c r="C1239" s="1" t="s">
        <v>1999</v>
      </c>
      <c r="D1239" s="1" t="s">
        <v>2000</v>
      </c>
      <c r="E1239" s="1" t="s">
        <v>1999</v>
      </c>
      <c r="F1239" s="1">
        <v>-3</v>
      </c>
      <c r="G1239" s="1">
        <v>-3</v>
      </c>
      <c r="H1239" s="1">
        <v>0</v>
      </c>
      <c r="I1239" s="1">
        <v>12</v>
      </c>
      <c r="J1239" s="1">
        <v>15</v>
      </c>
      <c r="K1239" s="1">
        <v>-3</v>
      </c>
    </row>
    <row r="1240" spans="3:11" x14ac:dyDescent="0.25">
      <c r="C1240" s="1" t="s">
        <v>4066</v>
      </c>
      <c r="D1240" s="1" t="s">
        <v>4067</v>
      </c>
      <c r="E1240" s="1" t="s">
        <v>4068</v>
      </c>
      <c r="F1240" s="1">
        <v>-1</v>
      </c>
      <c r="G1240" s="1">
        <v>-1</v>
      </c>
      <c r="H1240" s="1">
        <v>0</v>
      </c>
      <c r="I1240" s="1">
        <v>12</v>
      </c>
      <c r="J1240" s="1">
        <v>13</v>
      </c>
      <c r="K1240" s="1">
        <v>-1</v>
      </c>
    </row>
    <row r="1241" spans="3:11" x14ac:dyDescent="0.25">
      <c r="C1241" s="1" t="s">
        <v>2064</v>
      </c>
      <c r="D1241" s="1" t="s">
        <v>2065</v>
      </c>
      <c r="E1241" s="1" t="s">
        <v>2066</v>
      </c>
      <c r="F1241" s="1">
        <v>0</v>
      </c>
      <c r="G1241" s="1">
        <v>0</v>
      </c>
      <c r="H1241" s="1">
        <v>0</v>
      </c>
      <c r="I1241" s="1">
        <v>12</v>
      </c>
      <c r="J1241" s="1">
        <v>12</v>
      </c>
      <c r="K1241" s="1">
        <v>0</v>
      </c>
    </row>
    <row r="1242" spans="3:11" x14ac:dyDescent="0.25">
      <c r="C1242" s="1" t="s">
        <v>2188</v>
      </c>
      <c r="D1242" s="1" t="s">
        <v>2189</v>
      </c>
      <c r="E1242" s="1" t="s">
        <v>2190</v>
      </c>
      <c r="F1242" s="1">
        <v>-2</v>
      </c>
      <c r="G1242" s="1">
        <v>-2</v>
      </c>
      <c r="H1242" s="1">
        <v>0</v>
      </c>
      <c r="I1242" s="1">
        <v>12</v>
      </c>
      <c r="J1242" s="1">
        <v>14</v>
      </c>
      <c r="K1242" s="1">
        <v>-2</v>
      </c>
    </row>
    <row r="1243" spans="3:11" x14ac:dyDescent="0.25">
      <c r="C1243" s="1" t="s">
        <v>2346</v>
      </c>
      <c r="D1243" s="1" t="s">
        <v>4278</v>
      </c>
      <c r="E1243" s="1" t="s">
        <v>2347</v>
      </c>
      <c r="F1243" s="1">
        <v>-1</v>
      </c>
      <c r="G1243" s="1">
        <v>-1</v>
      </c>
      <c r="H1243" s="1">
        <v>0</v>
      </c>
      <c r="I1243" s="1">
        <v>12</v>
      </c>
      <c r="J1243" s="1">
        <v>13</v>
      </c>
      <c r="K1243" s="1">
        <v>-1</v>
      </c>
    </row>
    <row r="1244" spans="3:11" x14ac:dyDescent="0.25">
      <c r="C1244" s="1" t="s">
        <v>1974</v>
      </c>
      <c r="D1244" s="1" t="s">
        <v>1975</v>
      </c>
      <c r="E1244" s="1" t="s">
        <v>1976</v>
      </c>
      <c r="F1244" s="1">
        <v>0</v>
      </c>
      <c r="G1244" s="1">
        <v>0</v>
      </c>
      <c r="H1244" s="1">
        <v>0</v>
      </c>
      <c r="I1244" s="1">
        <v>11</v>
      </c>
      <c r="J1244" s="1">
        <v>11</v>
      </c>
      <c r="K1244" s="1">
        <v>0</v>
      </c>
    </row>
    <row r="1245" spans="3:11" x14ac:dyDescent="0.25">
      <c r="C1245" s="1" t="s">
        <v>1977</v>
      </c>
      <c r="D1245" s="1" t="s">
        <v>1978</v>
      </c>
      <c r="E1245" s="1" t="s">
        <v>1979</v>
      </c>
      <c r="F1245" s="1">
        <v>-2</v>
      </c>
      <c r="G1245" s="1">
        <v>-2</v>
      </c>
      <c r="H1245" s="1">
        <v>0</v>
      </c>
      <c r="I1245" s="1">
        <v>11</v>
      </c>
      <c r="J1245" s="1">
        <v>13</v>
      </c>
      <c r="K1245" s="1">
        <v>-2</v>
      </c>
    </row>
    <row r="1246" spans="3:11" x14ac:dyDescent="0.25">
      <c r="C1246" s="1" t="s">
        <v>4069</v>
      </c>
      <c r="D1246" s="1" t="s">
        <v>4070</v>
      </c>
      <c r="E1246" s="1" t="s">
        <v>4071</v>
      </c>
      <c r="F1246" s="1">
        <v>0</v>
      </c>
      <c r="G1246" s="1">
        <v>0</v>
      </c>
      <c r="H1246" s="1">
        <v>0</v>
      </c>
      <c r="I1246" s="1">
        <v>11</v>
      </c>
      <c r="J1246" s="1">
        <v>11</v>
      </c>
      <c r="K1246" s="1">
        <v>0</v>
      </c>
    </row>
    <row r="1247" spans="3:11" x14ac:dyDescent="0.25">
      <c r="C1247" s="1" t="s">
        <v>4072</v>
      </c>
      <c r="D1247" s="1" t="s">
        <v>4073</v>
      </c>
      <c r="E1247" s="1" t="s">
        <v>4074</v>
      </c>
      <c r="F1247" s="1">
        <v>7</v>
      </c>
      <c r="G1247" s="1">
        <v>7</v>
      </c>
      <c r="H1247" s="1">
        <v>0</v>
      </c>
      <c r="I1247" s="1">
        <v>11</v>
      </c>
      <c r="J1247" s="1">
        <v>4</v>
      </c>
      <c r="K1247" s="1">
        <v>7</v>
      </c>
    </row>
    <row r="1248" spans="3:11" x14ac:dyDescent="0.25">
      <c r="C1248" s="1" t="s">
        <v>4075</v>
      </c>
      <c r="D1248" s="1" t="s">
        <v>4076</v>
      </c>
      <c r="E1248" s="1" t="s">
        <v>4077</v>
      </c>
      <c r="F1248" s="1">
        <v>0</v>
      </c>
      <c r="G1248" s="1">
        <v>0</v>
      </c>
      <c r="H1248" s="1">
        <v>0</v>
      </c>
      <c r="I1248" s="1">
        <v>11</v>
      </c>
      <c r="J1248" s="1">
        <v>11</v>
      </c>
      <c r="K1248" s="1">
        <v>0</v>
      </c>
    </row>
    <row r="1249" spans="3:11" x14ac:dyDescent="0.25">
      <c r="C1249" s="1" t="s">
        <v>4201</v>
      </c>
      <c r="D1249" s="1" t="s">
        <v>4202</v>
      </c>
      <c r="E1249" s="1" t="s">
        <v>4203</v>
      </c>
      <c r="F1249" s="1">
        <v>1</v>
      </c>
      <c r="G1249" s="1">
        <v>1</v>
      </c>
      <c r="H1249" s="1">
        <v>0</v>
      </c>
      <c r="I1249" s="1">
        <v>11</v>
      </c>
      <c r="J1249" s="1">
        <v>10</v>
      </c>
      <c r="K1249" s="1">
        <v>1</v>
      </c>
    </row>
    <row r="1250" spans="3:11" x14ac:dyDescent="0.25">
      <c r="C1250" s="1" t="s">
        <v>1983</v>
      </c>
      <c r="D1250" s="1" t="s">
        <v>1984</v>
      </c>
      <c r="E1250" s="1" t="s">
        <v>1985</v>
      </c>
      <c r="F1250" s="1">
        <v>0</v>
      </c>
      <c r="G1250" s="1">
        <v>0</v>
      </c>
      <c r="H1250" s="1">
        <v>0</v>
      </c>
      <c r="I1250" s="1">
        <v>10</v>
      </c>
      <c r="J1250" s="1">
        <v>10</v>
      </c>
      <c r="K1250" s="1">
        <v>0</v>
      </c>
    </row>
    <row r="1251" spans="3:11" x14ac:dyDescent="0.25">
      <c r="C1251" s="1" t="s">
        <v>4078</v>
      </c>
      <c r="D1251" s="1" t="s">
        <v>4079</v>
      </c>
      <c r="E1251" s="1" t="s">
        <v>4080</v>
      </c>
      <c r="F1251" s="1">
        <v>0</v>
      </c>
      <c r="G1251" s="1">
        <v>0</v>
      </c>
      <c r="H1251" s="1">
        <v>0</v>
      </c>
      <c r="I1251" s="1">
        <v>10</v>
      </c>
      <c r="J1251" s="1">
        <v>10</v>
      </c>
      <c r="K1251" s="1">
        <v>0</v>
      </c>
    </row>
    <row r="1252" spans="3:11" x14ac:dyDescent="0.25">
      <c r="C1252" s="1" t="s">
        <v>4084</v>
      </c>
      <c r="D1252" s="1" t="s">
        <v>4085</v>
      </c>
      <c r="E1252" s="1" t="s">
        <v>4086</v>
      </c>
      <c r="F1252" s="1">
        <v>-1</v>
      </c>
      <c r="G1252" s="1">
        <v>-1</v>
      </c>
      <c r="H1252" s="1">
        <v>0</v>
      </c>
      <c r="I1252" s="1">
        <v>10</v>
      </c>
      <c r="J1252" s="1">
        <v>11</v>
      </c>
      <c r="K1252" s="1">
        <v>-1</v>
      </c>
    </row>
    <row r="1253" spans="3:11" x14ac:dyDescent="0.25">
      <c r="C1253" s="1" t="s">
        <v>4087</v>
      </c>
      <c r="D1253" s="1" t="s">
        <v>4088</v>
      </c>
      <c r="E1253" s="1" t="s">
        <v>4089</v>
      </c>
      <c r="F1253" s="1">
        <v>10</v>
      </c>
      <c r="G1253" s="1">
        <v>10</v>
      </c>
      <c r="H1253" s="1">
        <v>0</v>
      </c>
      <c r="I1253" s="1">
        <v>10</v>
      </c>
      <c r="J1253" s="1">
        <v>0</v>
      </c>
      <c r="K1253" s="1">
        <v>10</v>
      </c>
    </row>
    <row r="1254" spans="3:11" x14ac:dyDescent="0.25">
      <c r="C1254" s="1" t="s">
        <v>4248</v>
      </c>
      <c r="D1254" s="1" t="s">
        <v>4249</v>
      </c>
      <c r="E1254" s="1" t="s">
        <v>4250</v>
      </c>
      <c r="F1254" s="1">
        <v>0</v>
      </c>
      <c r="G1254" s="1">
        <v>0</v>
      </c>
      <c r="H1254" s="1">
        <v>0</v>
      </c>
      <c r="I1254" s="1">
        <v>10</v>
      </c>
      <c r="J1254" s="1">
        <v>10</v>
      </c>
      <c r="K1254" s="1">
        <v>0</v>
      </c>
    </row>
    <row r="1255" spans="3:11" x14ac:dyDescent="0.25">
      <c r="C1255" s="1" t="s">
        <v>4394</v>
      </c>
      <c r="D1255" s="1" t="s">
        <v>4395</v>
      </c>
      <c r="E1255" s="1" t="s">
        <v>4396</v>
      </c>
      <c r="F1255" s="1">
        <v>-2</v>
      </c>
      <c r="G1255" s="1">
        <v>-2</v>
      </c>
      <c r="H1255" s="1">
        <v>0</v>
      </c>
      <c r="I1255" s="1">
        <v>10</v>
      </c>
      <c r="J1255" s="1">
        <v>12</v>
      </c>
      <c r="K1255" s="1">
        <v>-2</v>
      </c>
    </row>
    <row r="1256" spans="3:11" x14ac:dyDescent="0.25">
      <c r="C1256" s="1" t="s">
        <v>1986</v>
      </c>
      <c r="D1256" s="1" t="s">
        <v>1987</v>
      </c>
      <c r="E1256" s="1" t="s">
        <v>1988</v>
      </c>
      <c r="F1256" s="1">
        <v>1</v>
      </c>
      <c r="G1256" s="1">
        <v>1</v>
      </c>
      <c r="H1256" s="1">
        <v>0</v>
      </c>
      <c r="I1256" s="1">
        <v>9</v>
      </c>
      <c r="J1256" s="1">
        <v>8</v>
      </c>
      <c r="K1256" s="1">
        <v>1</v>
      </c>
    </row>
    <row r="1257" spans="3:11" x14ac:dyDescent="0.25">
      <c r="C1257" s="1" t="s">
        <v>4096</v>
      </c>
      <c r="D1257" s="1" t="s">
        <v>4097</v>
      </c>
      <c r="E1257" s="1" t="s">
        <v>4098</v>
      </c>
      <c r="F1257" s="1">
        <v>2</v>
      </c>
      <c r="G1257" s="1">
        <v>2</v>
      </c>
      <c r="H1257" s="1">
        <v>0</v>
      </c>
      <c r="I1257" s="1">
        <v>9</v>
      </c>
      <c r="J1257" s="1">
        <v>7</v>
      </c>
      <c r="K1257" s="1">
        <v>2</v>
      </c>
    </row>
    <row r="1258" spans="3:11" x14ac:dyDescent="0.25">
      <c r="C1258" s="1" t="s">
        <v>4099</v>
      </c>
      <c r="D1258" s="1" t="s">
        <v>4100</v>
      </c>
      <c r="E1258" s="1" t="s">
        <v>4101</v>
      </c>
      <c r="F1258" s="1">
        <v>0</v>
      </c>
      <c r="G1258" s="1">
        <v>0</v>
      </c>
      <c r="H1258" s="1">
        <v>0</v>
      </c>
      <c r="I1258" s="1">
        <v>9</v>
      </c>
      <c r="J1258" s="1">
        <v>9</v>
      </c>
      <c r="K1258" s="1">
        <v>0</v>
      </c>
    </row>
    <row r="1259" spans="3:11" x14ac:dyDescent="0.25">
      <c r="C1259" s="1" t="s">
        <v>4102</v>
      </c>
      <c r="D1259" s="1" t="s">
        <v>4103</v>
      </c>
      <c r="E1259" s="1" t="s">
        <v>4104</v>
      </c>
      <c r="F1259" s="1">
        <v>0</v>
      </c>
      <c r="G1259" s="1">
        <v>0</v>
      </c>
      <c r="H1259" s="1">
        <v>0</v>
      </c>
      <c r="I1259" s="1">
        <v>9</v>
      </c>
      <c r="J1259" s="1">
        <v>9</v>
      </c>
      <c r="K1259" s="1">
        <v>0</v>
      </c>
    </row>
    <row r="1260" spans="3:11" x14ac:dyDescent="0.25">
      <c r="C1260" s="1" t="s">
        <v>2200</v>
      </c>
      <c r="D1260" s="1" t="s">
        <v>2201</v>
      </c>
      <c r="E1260" s="1" t="s">
        <v>2202</v>
      </c>
      <c r="F1260" s="1">
        <v>1</v>
      </c>
      <c r="G1260" s="1">
        <v>1</v>
      </c>
      <c r="H1260" s="1">
        <v>0</v>
      </c>
      <c r="I1260" s="1">
        <v>9</v>
      </c>
      <c r="J1260" s="1">
        <v>8</v>
      </c>
      <c r="K1260" s="1">
        <v>1</v>
      </c>
    </row>
    <row r="1261" spans="3:11" x14ac:dyDescent="0.25">
      <c r="C1261" s="1" t="s">
        <v>1993</v>
      </c>
      <c r="D1261" s="1" t="s">
        <v>1994</v>
      </c>
      <c r="E1261" s="1" t="s">
        <v>1995</v>
      </c>
      <c r="F1261" s="1">
        <v>0</v>
      </c>
      <c r="G1261" s="1">
        <v>0</v>
      </c>
      <c r="H1261" s="1">
        <v>0</v>
      </c>
      <c r="I1261" s="1">
        <v>8</v>
      </c>
      <c r="J1261" s="1">
        <v>8</v>
      </c>
      <c r="K1261" s="1">
        <v>0</v>
      </c>
    </row>
    <row r="1262" spans="3:11" x14ac:dyDescent="0.25">
      <c r="C1262" s="1" t="s">
        <v>1996</v>
      </c>
      <c r="D1262" s="1" t="s">
        <v>1997</v>
      </c>
      <c r="E1262" s="1" t="s">
        <v>1998</v>
      </c>
      <c r="F1262" s="1">
        <v>7</v>
      </c>
      <c r="G1262" s="1">
        <v>7</v>
      </c>
      <c r="H1262" s="1">
        <v>0</v>
      </c>
      <c r="I1262" s="1">
        <v>8</v>
      </c>
      <c r="J1262" s="1">
        <v>1</v>
      </c>
      <c r="K1262" s="1">
        <v>7</v>
      </c>
    </row>
    <row r="1263" spans="3:11" x14ac:dyDescent="0.25">
      <c r="C1263" s="1" t="s">
        <v>4108</v>
      </c>
      <c r="D1263" s="1" t="s">
        <v>4109</v>
      </c>
      <c r="E1263" s="1" t="s">
        <v>4110</v>
      </c>
      <c r="F1263" s="1">
        <v>-3</v>
      </c>
      <c r="G1263" s="1">
        <v>-3</v>
      </c>
      <c r="H1263" s="1">
        <v>0</v>
      </c>
      <c r="I1263" s="1">
        <v>8</v>
      </c>
      <c r="J1263" s="1">
        <v>11</v>
      </c>
      <c r="K1263" s="1">
        <v>-3</v>
      </c>
    </row>
    <row r="1264" spans="3:11" x14ac:dyDescent="0.25">
      <c r="C1264" s="1" t="s">
        <v>4111</v>
      </c>
      <c r="D1264" s="1" t="s">
        <v>4112</v>
      </c>
      <c r="E1264" s="1" t="s">
        <v>4113</v>
      </c>
      <c r="F1264" s="1">
        <v>0</v>
      </c>
      <c r="G1264" s="1">
        <v>0</v>
      </c>
      <c r="H1264" s="1">
        <v>0</v>
      </c>
      <c r="I1264" s="1">
        <v>8</v>
      </c>
      <c r="J1264" s="1">
        <v>8</v>
      </c>
      <c r="K1264" s="1">
        <v>0</v>
      </c>
    </row>
    <row r="1265" spans="3:11" x14ac:dyDescent="0.25">
      <c r="C1265" s="1" t="s">
        <v>4284</v>
      </c>
      <c r="D1265" s="1" t="s">
        <v>4285</v>
      </c>
      <c r="E1265" s="1" t="s">
        <v>4286</v>
      </c>
      <c r="F1265" s="1">
        <v>0</v>
      </c>
      <c r="G1265" s="1">
        <v>0</v>
      </c>
      <c r="H1265" s="1">
        <v>0</v>
      </c>
      <c r="I1265" s="1">
        <v>8</v>
      </c>
      <c r="J1265" s="1">
        <v>8</v>
      </c>
      <c r="K1265" s="1">
        <v>0</v>
      </c>
    </row>
    <row r="1266" spans="3:11" x14ac:dyDescent="0.25">
      <c r="C1266" s="1" t="s">
        <v>4117</v>
      </c>
      <c r="D1266" s="1" t="s">
        <v>4118</v>
      </c>
      <c r="E1266" s="1" t="s">
        <v>4117</v>
      </c>
      <c r="F1266" s="1">
        <v>0</v>
      </c>
      <c r="G1266" s="1">
        <v>0</v>
      </c>
      <c r="H1266" s="1">
        <v>0</v>
      </c>
      <c r="I1266" s="1">
        <v>7</v>
      </c>
      <c r="J1266" s="1">
        <v>7</v>
      </c>
      <c r="K1266" s="1">
        <v>0</v>
      </c>
    </row>
    <row r="1267" spans="3:11" x14ac:dyDescent="0.25">
      <c r="C1267" s="1" t="s">
        <v>4119</v>
      </c>
      <c r="D1267" s="1" t="s">
        <v>4120</v>
      </c>
      <c r="E1267" s="1" t="s">
        <v>4121</v>
      </c>
      <c r="F1267" s="1">
        <v>0</v>
      </c>
      <c r="G1267" s="1">
        <v>0</v>
      </c>
      <c r="H1267" s="1">
        <v>0</v>
      </c>
      <c r="I1267" s="1">
        <v>7</v>
      </c>
      <c r="J1267" s="1">
        <v>7</v>
      </c>
      <c r="K1267" s="1">
        <v>0</v>
      </c>
    </row>
    <row r="1268" spans="3:11" x14ac:dyDescent="0.25">
      <c r="C1268" s="1" t="s">
        <v>4122</v>
      </c>
      <c r="D1268" s="1" t="s">
        <v>4123</v>
      </c>
      <c r="E1268" s="1" t="s">
        <v>4124</v>
      </c>
      <c r="F1268" s="1">
        <v>0</v>
      </c>
      <c r="G1268" s="1">
        <v>0</v>
      </c>
      <c r="H1268" s="1">
        <v>0</v>
      </c>
      <c r="I1268" s="1">
        <v>7</v>
      </c>
      <c r="J1268" s="1">
        <v>7</v>
      </c>
      <c r="K1268" s="1">
        <v>0</v>
      </c>
    </row>
    <row r="1269" spans="3:11" x14ac:dyDescent="0.25">
      <c r="C1269" s="1" t="s">
        <v>4171</v>
      </c>
      <c r="D1269" s="1" t="s">
        <v>4172</v>
      </c>
      <c r="E1269" s="1" t="s">
        <v>4173</v>
      </c>
      <c r="F1269" s="1">
        <v>4</v>
      </c>
      <c r="G1269" s="1">
        <v>4</v>
      </c>
      <c r="H1269" s="1">
        <v>0</v>
      </c>
      <c r="I1269" s="1">
        <v>7</v>
      </c>
      <c r="J1269" s="1">
        <v>3</v>
      </c>
      <c r="K1269" s="1">
        <v>4</v>
      </c>
    </row>
    <row r="1270" spans="3:11" x14ac:dyDescent="0.25">
      <c r="C1270" s="1" t="s">
        <v>4125</v>
      </c>
      <c r="D1270" s="1" t="s">
        <v>4126</v>
      </c>
      <c r="E1270" s="1" t="s">
        <v>4127</v>
      </c>
      <c r="F1270" s="1">
        <v>0</v>
      </c>
      <c r="G1270" s="1">
        <v>0</v>
      </c>
      <c r="H1270" s="1">
        <v>0</v>
      </c>
      <c r="I1270" s="1">
        <v>7</v>
      </c>
      <c r="J1270" s="1">
        <v>7</v>
      </c>
      <c r="K1270" s="1">
        <v>0</v>
      </c>
    </row>
    <row r="1271" spans="3:11" x14ac:dyDescent="0.25">
      <c r="C1271" s="1" t="s">
        <v>2106</v>
      </c>
      <c r="D1271" s="1" t="s">
        <v>2107</v>
      </c>
      <c r="E1271" s="1" t="s">
        <v>2108</v>
      </c>
      <c r="F1271" s="1">
        <v>1</v>
      </c>
      <c r="G1271" s="1">
        <v>1</v>
      </c>
      <c r="H1271" s="1">
        <v>0</v>
      </c>
      <c r="I1271" s="1">
        <v>7</v>
      </c>
      <c r="J1271" s="1">
        <v>6</v>
      </c>
      <c r="K1271" s="1">
        <v>1</v>
      </c>
    </row>
    <row r="1272" spans="3:11" x14ac:dyDescent="0.25">
      <c r="C1272" s="1" t="s">
        <v>2305</v>
      </c>
      <c r="D1272" s="1" t="s">
        <v>2197</v>
      </c>
      <c r="E1272" s="1" t="s">
        <v>2198</v>
      </c>
      <c r="F1272" s="1">
        <v>5</v>
      </c>
      <c r="G1272" s="1">
        <v>5</v>
      </c>
      <c r="H1272" s="1">
        <v>0</v>
      </c>
      <c r="I1272" s="1">
        <v>7</v>
      </c>
      <c r="J1272" s="1">
        <v>2</v>
      </c>
      <c r="K1272" s="1">
        <v>5</v>
      </c>
    </row>
    <row r="1273" spans="3:11" x14ac:dyDescent="0.25">
      <c r="C1273" s="1" t="s">
        <v>2001</v>
      </c>
      <c r="D1273" s="1" t="s">
        <v>2002</v>
      </c>
      <c r="E1273" s="1" t="s">
        <v>2003</v>
      </c>
      <c r="F1273" s="1">
        <v>0</v>
      </c>
      <c r="G1273" s="1">
        <v>0</v>
      </c>
      <c r="H1273" s="1">
        <v>0</v>
      </c>
      <c r="I1273" s="1">
        <v>6</v>
      </c>
      <c r="J1273" s="1">
        <v>6</v>
      </c>
      <c r="K1273" s="1">
        <v>0</v>
      </c>
    </row>
    <row r="1274" spans="3:11" x14ac:dyDescent="0.25">
      <c r="C1274" s="1" t="s">
        <v>4128</v>
      </c>
      <c r="D1274" s="1" t="s">
        <v>4129</v>
      </c>
      <c r="E1274" s="1" t="s">
        <v>4130</v>
      </c>
      <c r="F1274" s="1">
        <v>0</v>
      </c>
      <c r="G1274" s="1">
        <v>0</v>
      </c>
      <c r="H1274" s="1">
        <v>0</v>
      </c>
      <c r="I1274" s="1">
        <v>6</v>
      </c>
      <c r="J1274" s="1">
        <v>6</v>
      </c>
      <c r="K1274" s="1">
        <v>0</v>
      </c>
    </row>
    <row r="1275" spans="3:11" x14ac:dyDescent="0.25">
      <c r="C1275" s="1" t="s">
        <v>4131</v>
      </c>
      <c r="D1275" s="1" t="s">
        <v>4132</v>
      </c>
      <c r="E1275" s="1" t="s">
        <v>4133</v>
      </c>
      <c r="F1275" s="1">
        <v>0</v>
      </c>
      <c r="G1275" s="1">
        <v>0</v>
      </c>
      <c r="H1275" s="1">
        <v>0</v>
      </c>
      <c r="I1275" s="1">
        <v>6</v>
      </c>
      <c r="J1275" s="1">
        <v>6</v>
      </c>
      <c r="K1275" s="1">
        <v>0</v>
      </c>
    </row>
    <row r="1276" spans="3:11" x14ac:dyDescent="0.25">
      <c r="C1276" s="1" t="s">
        <v>4134</v>
      </c>
      <c r="D1276" s="1" t="s">
        <v>4135</v>
      </c>
      <c r="E1276" s="1" t="s">
        <v>4136</v>
      </c>
      <c r="F1276" s="1">
        <v>0</v>
      </c>
      <c r="G1276" s="1">
        <v>0</v>
      </c>
      <c r="H1276" s="1">
        <v>0</v>
      </c>
      <c r="I1276" s="1">
        <v>6</v>
      </c>
      <c r="J1276" s="1">
        <v>6</v>
      </c>
      <c r="K1276" s="1">
        <v>0</v>
      </c>
    </row>
    <row r="1277" spans="3:11" x14ac:dyDescent="0.25">
      <c r="C1277" s="1" t="s">
        <v>4189</v>
      </c>
      <c r="D1277" s="1" t="s">
        <v>4190</v>
      </c>
      <c r="E1277" s="1" t="s">
        <v>4191</v>
      </c>
      <c r="F1277" s="1">
        <v>-2</v>
      </c>
      <c r="G1277" s="1">
        <v>-2</v>
      </c>
      <c r="H1277" s="1">
        <v>0</v>
      </c>
      <c r="I1277" s="1">
        <v>6</v>
      </c>
      <c r="J1277" s="1">
        <v>8</v>
      </c>
      <c r="K1277" s="1">
        <v>-2</v>
      </c>
    </row>
    <row r="1278" spans="3:11" x14ac:dyDescent="0.25">
      <c r="C1278" s="1" t="s">
        <v>4257</v>
      </c>
      <c r="D1278" s="1" t="s">
        <v>4258</v>
      </c>
      <c r="E1278" s="1" t="s">
        <v>4259</v>
      </c>
      <c r="F1278" s="1">
        <v>-7</v>
      </c>
      <c r="G1278" s="1">
        <v>-7</v>
      </c>
      <c r="H1278" s="1">
        <v>0</v>
      </c>
      <c r="I1278" s="1">
        <v>6</v>
      </c>
      <c r="J1278" s="1">
        <v>13</v>
      </c>
      <c r="K1278" s="1">
        <v>-7</v>
      </c>
    </row>
    <row r="1279" spans="3:11" x14ac:dyDescent="0.25">
      <c r="C1279" s="1" t="s">
        <v>4137</v>
      </c>
      <c r="D1279" s="1" t="s">
        <v>4138</v>
      </c>
      <c r="E1279" s="1" t="s">
        <v>4139</v>
      </c>
      <c r="F1279" s="1">
        <v>1</v>
      </c>
      <c r="G1279" s="1">
        <v>1</v>
      </c>
      <c r="H1279" s="1">
        <v>0</v>
      </c>
      <c r="I1279" s="1">
        <v>5</v>
      </c>
      <c r="J1279" s="1">
        <v>4</v>
      </c>
      <c r="K1279" s="1">
        <v>1</v>
      </c>
    </row>
    <row r="1280" spans="3:11" x14ac:dyDescent="0.25">
      <c r="C1280" s="1" t="s">
        <v>4140</v>
      </c>
      <c r="D1280" s="1" t="s">
        <v>4141</v>
      </c>
      <c r="E1280" s="1" t="s">
        <v>4142</v>
      </c>
      <c r="F1280" s="1">
        <v>0</v>
      </c>
      <c r="G1280" s="1">
        <v>0</v>
      </c>
      <c r="H1280" s="1">
        <v>0</v>
      </c>
      <c r="I1280" s="1">
        <v>5</v>
      </c>
      <c r="J1280" s="1">
        <v>5</v>
      </c>
      <c r="K1280" s="1">
        <v>0</v>
      </c>
    </row>
    <row r="1281" spans="3:11" x14ac:dyDescent="0.25">
      <c r="C1281" s="1" t="s">
        <v>2004</v>
      </c>
      <c r="D1281" s="1" t="s">
        <v>2005</v>
      </c>
      <c r="E1281" s="1" t="s">
        <v>2006</v>
      </c>
      <c r="F1281" s="1">
        <v>0</v>
      </c>
      <c r="G1281" s="1">
        <v>0</v>
      </c>
      <c r="H1281" s="1">
        <v>0</v>
      </c>
      <c r="I1281" s="1">
        <v>5</v>
      </c>
      <c r="J1281" s="1">
        <v>5</v>
      </c>
      <c r="K1281" s="1">
        <v>0</v>
      </c>
    </row>
    <row r="1282" spans="3:11" x14ac:dyDescent="0.25">
      <c r="C1282" s="1" t="s">
        <v>4143</v>
      </c>
      <c r="D1282" s="1" t="s">
        <v>4144</v>
      </c>
      <c r="E1282" s="1" t="s">
        <v>4145</v>
      </c>
      <c r="F1282" s="1">
        <v>1</v>
      </c>
      <c r="G1282" s="1">
        <v>1</v>
      </c>
      <c r="H1282" s="1">
        <v>0</v>
      </c>
      <c r="I1282" s="1">
        <v>5</v>
      </c>
      <c r="J1282" s="1">
        <v>4</v>
      </c>
      <c r="K1282" s="1">
        <v>1</v>
      </c>
    </row>
    <row r="1283" spans="3:11" x14ac:dyDescent="0.25">
      <c r="C1283" s="1" t="s">
        <v>4146</v>
      </c>
      <c r="D1283" s="1" t="s">
        <v>4147</v>
      </c>
      <c r="E1283" s="1" t="s">
        <v>4146</v>
      </c>
      <c r="F1283" s="1">
        <v>0</v>
      </c>
      <c r="G1283" s="1">
        <v>0</v>
      </c>
      <c r="H1283" s="1">
        <v>0</v>
      </c>
      <c r="I1283" s="1">
        <v>4</v>
      </c>
      <c r="J1283" s="1">
        <v>4</v>
      </c>
      <c r="K1283" s="1">
        <v>0</v>
      </c>
    </row>
    <row r="1284" spans="3:11" x14ac:dyDescent="0.25">
      <c r="C1284" s="1" t="s">
        <v>4148</v>
      </c>
      <c r="D1284" s="1" t="s">
        <v>4149</v>
      </c>
      <c r="E1284" s="1" t="s">
        <v>4150</v>
      </c>
      <c r="F1284" s="1">
        <v>0</v>
      </c>
      <c r="G1284" s="1">
        <v>0</v>
      </c>
      <c r="H1284" s="1">
        <v>0</v>
      </c>
      <c r="I1284" s="1">
        <v>4</v>
      </c>
      <c r="J1284" s="1">
        <v>4</v>
      </c>
      <c r="K1284" s="1">
        <v>0</v>
      </c>
    </row>
    <row r="1285" spans="3:11" x14ac:dyDescent="0.25">
      <c r="C1285" s="1" t="s">
        <v>4151</v>
      </c>
      <c r="D1285" s="1" t="s">
        <v>4152</v>
      </c>
      <c r="E1285" s="1" t="s">
        <v>4153</v>
      </c>
      <c r="F1285" s="1">
        <v>0</v>
      </c>
      <c r="G1285" s="1">
        <v>0</v>
      </c>
      <c r="H1285" s="1">
        <v>0</v>
      </c>
      <c r="I1285" s="1">
        <v>4</v>
      </c>
      <c r="J1285" s="1">
        <v>4</v>
      </c>
      <c r="K1285" s="1">
        <v>0</v>
      </c>
    </row>
    <row r="1286" spans="3:11" x14ac:dyDescent="0.25">
      <c r="C1286" s="1" t="s">
        <v>4154</v>
      </c>
      <c r="D1286" s="1" t="s">
        <v>4155</v>
      </c>
      <c r="E1286" s="1" t="s">
        <v>4154</v>
      </c>
      <c r="F1286" s="1">
        <v>0</v>
      </c>
      <c r="G1286" s="1">
        <v>0</v>
      </c>
      <c r="H1286" s="1">
        <v>0</v>
      </c>
      <c r="I1286" s="1">
        <v>4</v>
      </c>
      <c r="J1286" s="1">
        <v>4</v>
      </c>
      <c r="K1286" s="1">
        <v>0</v>
      </c>
    </row>
    <row r="1287" spans="3:11" x14ac:dyDescent="0.25">
      <c r="C1287" s="1" t="s">
        <v>4156</v>
      </c>
      <c r="D1287" s="1" t="s">
        <v>4157</v>
      </c>
      <c r="E1287" s="1" t="s">
        <v>4158</v>
      </c>
      <c r="F1287" s="1">
        <v>0</v>
      </c>
      <c r="G1287" s="1">
        <v>0</v>
      </c>
      <c r="H1287" s="1">
        <v>0</v>
      </c>
      <c r="I1287" s="1">
        <v>4</v>
      </c>
      <c r="J1287" s="1">
        <v>4</v>
      </c>
      <c r="K1287" s="1">
        <v>0</v>
      </c>
    </row>
    <row r="1288" spans="3:11" x14ac:dyDescent="0.25">
      <c r="C1288" s="1" t="s">
        <v>4159</v>
      </c>
      <c r="D1288" s="1" t="s">
        <v>4160</v>
      </c>
      <c r="E1288" s="1" t="s">
        <v>4161</v>
      </c>
      <c r="F1288" s="1">
        <v>-3</v>
      </c>
      <c r="G1288" s="1">
        <v>-3</v>
      </c>
      <c r="H1288" s="1">
        <v>0</v>
      </c>
      <c r="I1288" s="1">
        <v>4</v>
      </c>
      <c r="J1288" s="1">
        <v>7</v>
      </c>
      <c r="K1288" s="1">
        <v>-3</v>
      </c>
    </row>
    <row r="1289" spans="3:11" x14ac:dyDescent="0.25">
      <c r="C1289" s="1" t="s">
        <v>2007</v>
      </c>
      <c r="D1289" s="1" t="s">
        <v>2008</v>
      </c>
      <c r="E1289" s="1" t="s">
        <v>2009</v>
      </c>
      <c r="F1289" s="1">
        <v>-7</v>
      </c>
      <c r="G1289" s="1">
        <v>-7</v>
      </c>
      <c r="H1289" s="1">
        <v>0</v>
      </c>
      <c r="I1289" s="1">
        <v>4</v>
      </c>
      <c r="J1289" s="1">
        <v>11</v>
      </c>
      <c r="K1289" s="1">
        <v>-7</v>
      </c>
    </row>
    <row r="1290" spans="3:11" x14ac:dyDescent="0.25">
      <c r="C1290" s="1" t="s">
        <v>2071</v>
      </c>
      <c r="D1290" s="1" t="s">
        <v>2072</v>
      </c>
      <c r="E1290" s="1" t="s">
        <v>2073</v>
      </c>
      <c r="F1290" s="1">
        <v>0</v>
      </c>
      <c r="G1290" s="1">
        <v>0</v>
      </c>
      <c r="H1290" s="1">
        <v>0</v>
      </c>
      <c r="I1290" s="1">
        <v>4</v>
      </c>
      <c r="J1290" s="1">
        <v>4</v>
      </c>
      <c r="K1290" s="1">
        <v>0</v>
      </c>
    </row>
    <row r="1291" spans="3:11" x14ac:dyDescent="0.25">
      <c r="C1291" s="1" t="s">
        <v>2131</v>
      </c>
      <c r="D1291" s="1" t="s">
        <v>2132</v>
      </c>
      <c r="E1291" s="1" t="s">
        <v>2133</v>
      </c>
      <c r="F1291" s="1">
        <v>2</v>
      </c>
      <c r="G1291" s="1">
        <v>2</v>
      </c>
      <c r="H1291" s="1">
        <v>0</v>
      </c>
      <c r="I1291" s="1">
        <v>4</v>
      </c>
      <c r="J1291" s="1">
        <v>2</v>
      </c>
      <c r="K1291" s="1">
        <v>2</v>
      </c>
    </row>
    <row r="1292" spans="3:11" x14ac:dyDescent="0.25">
      <c r="C1292" s="1" t="s">
        <v>4162</v>
      </c>
      <c r="D1292" s="1" t="s">
        <v>4163</v>
      </c>
      <c r="E1292" s="1" t="s">
        <v>4164</v>
      </c>
      <c r="F1292" s="1">
        <v>-5</v>
      </c>
      <c r="G1292" s="1">
        <v>-5</v>
      </c>
      <c r="H1292" s="1">
        <v>0</v>
      </c>
      <c r="I1292" s="1">
        <v>4</v>
      </c>
      <c r="J1292" s="1">
        <v>9</v>
      </c>
      <c r="K1292" s="1">
        <v>-5</v>
      </c>
    </row>
    <row r="1293" spans="3:11" x14ac:dyDescent="0.25">
      <c r="C1293" s="1" t="s">
        <v>2325</v>
      </c>
      <c r="D1293" s="1" t="s">
        <v>2326</v>
      </c>
      <c r="E1293" s="1" t="s">
        <v>2327</v>
      </c>
      <c r="F1293" s="1">
        <v>-2</v>
      </c>
      <c r="G1293" s="1">
        <v>-2</v>
      </c>
      <c r="H1293" s="1">
        <v>0</v>
      </c>
      <c r="I1293" s="1">
        <v>4</v>
      </c>
      <c r="J1293" s="1">
        <v>6</v>
      </c>
      <c r="K1293" s="1">
        <v>-2</v>
      </c>
    </row>
    <row r="1294" spans="3:11" x14ac:dyDescent="0.25">
      <c r="C1294" s="1" t="s">
        <v>4165</v>
      </c>
      <c r="D1294" s="1" t="s">
        <v>4166</v>
      </c>
      <c r="E1294" s="1" t="s">
        <v>4167</v>
      </c>
      <c r="F1294" s="1">
        <v>-1</v>
      </c>
      <c r="G1294" s="1">
        <v>-1</v>
      </c>
      <c r="H1294" s="1">
        <v>0</v>
      </c>
      <c r="I1294" s="1">
        <v>3</v>
      </c>
      <c r="J1294" s="1">
        <v>4</v>
      </c>
      <c r="K1294" s="1">
        <v>-1</v>
      </c>
    </row>
    <row r="1295" spans="3:11" x14ac:dyDescent="0.25">
      <c r="C1295" s="1" t="s">
        <v>4168</v>
      </c>
      <c r="D1295" s="1" t="s">
        <v>4169</v>
      </c>
      <c r="E1295" s="1" t="s">
        <v>4170</v>
      </c>
      <c r="F1295" s="1">
        <v>-1</v>
      </c>
      <c r="G1295" s="1">
        <v>-1</v>
      </c>
      <c r="H1295" s="1">
        <v>0</v>
      </c>
      <c r="I1295" s="1">
        <v>3</v>
      </c>
      <c r="J1295" s="1">
        <v>4</v>
      </c>
      <c r="K1295" s="1">
        <v>-1</v>
      </c>
    </row>
    <row r="1296" spans="3:11" x14ac:dyDescent="0.25">
      <c r="C1296" s="1" t="s">
        <v>4227</v>
      </c>
      <c r="D1296" s="1" t="s">
        <v>4228</v>
      </c>
      <c r="E1296" s="1" t="s">
        <v>4229</v>
      </c>
      <c r="F1296" s="1">
        <v>-4</v>
      </c>
      <c r="G1296" s="1">
        <v>-4</v>
      </c>
      <c r="H1296" s="1">
        <v>0</v>
      </c>
      <c r="I1296" s="1">
        <v>3</v>
      </c>
      <c r="J1296" s="1">
        <v>7</v>
      </c>
      <c r="K1296" s="1">
        <v>-4</v>
      </c>
    </row>
    <row r="1297" spans="3:11" x14ac:dyDescent="0.25">
      <c r="C1297" s="1" t="s">
        <v>2337</v>
      </c>
      <c r="D1297" s="1" t="s">
        <v>2338</v>
      </c>
      <c r="E1297" s="1" t="s">
        <v>2339</v>
      </c>
      <c r="F1297" s="1">
        <v>3</v>
      </c>
      <c r="G1297" s="1">
        <v>3</v>
      </c>
      <c r="H1297" s="1">
        <v>0</v>
      </c>
      <c r="I1297" s="1">
        <v>3</v>
      </c>
      <c r="J1297" s="1">
        <v>0</v>
      </c>
      <c r="K1297" s="1">
        <v>3</v>
      </c>
    </row>
    <row r="1298" spans="3:11" x14ac:dyDescent="0.25">
      <c r="C1298" s="1" t="s">
        <v>4174</v>
      </c>
      <c r="D1298" s="1" t="s">
        <v>4175</v>
      </c>
      <c r="E1298" s="1" t="s">
        <v>4176</v>
      </c>
      <c r="F1298" s="1">
        <v>2</v>
      </c>
      <c r="G1298" s="1">
        <v>2</v>
      </c>
      <c r="H1298" s="1">
        <v>0</v>
      </c>
      <c r="I1298" s="1">
        <v>2</v>
      </c>
      <c r="J1298" s="1">
        <v>0</v>
      </c>
      <c r="K1298" s="1">
        <v>2</v>
      </c>
    </row>
    <row r="1299" spans="3:11" x14ac:dyDescent="0.25">
      <c r="C1299" s="1" t="s">
        <v>4177</v>
      </c>
      <c r="D1299" s="1" t="s">
        <v>4178</v>
      </c>
      <c r="E1299" s="1" t="s">
        <v>4179</v>
      </c>
      <c r="F1299" s="1">
        <v>-1</v>
      </c>
      <c r="G1299" s="1">
        <v>-1</v>
      </c>
      <c r="H1299" s="1">
        <v>0</v>
      </c>
      <c r="I1299" s="1">
        <v>2</v>
      </c>
      <c r="J1299" s="1">
        <v>3</v>
      </c>
      <c r="K1299" s="1">
        <v>-1</v>
      </c>
    </row>
    <row r="1300" spans="3:11" x14ac:dyDescent="0.25">
      <c r="C1300" s="1" t="s">
        <v>4180</v>
      </c>
      <c r="D1300" s="1" t="s">
        <v>4181</v>
      </c>
      <c r="E1300" s="1" t="s">
        <v>4182</v>
      </c>
      <c r="F1300" s="1">
        <v>0</v>
      </c>
      <c r="G1300" s="1">
        <v>0</v>
      </c>
      <c r="H1300" s="1">
        <v>0</v>
      </c>
      <c r="I1300" s="1">
        <v>2</v>
      </c>
      <c r="J1300" s="1">
        <v>2</v>
      </c>
      <c r="K1300" s="1">
        <v>0</v>
      </c>
    </row>
    <row r="1301" spans="3:11" x14ac:dyDescent="0.25">
      <c r="C1301" s="1" t="s">
        <v>4183</v>
      </c>
      <c r="D1301" s="1" t="s">
        <v>4184</v>
      </c>
      <c r="E1301" s="1" t="s">
        <v>4185</v>
      </c>
      <c r="F1301" s="1">
        <v>-1</v>
      </c>
      <c r="G1301" s="1">
        <v>-1</v>
      </c>
      <c r="H1301" s="1">
        <v>0</v>
      </c>
      <c r="I1301" s="1">
        <v>2</v>
      </c>
      <c r="J1301" s="1">
        <v>3</v>
      </c>
      <c r="K1301" s="1">
        <v>-1</v>
      </c>
    </row>
    <row r="1302" spans="3:11" x14ac:dyDescent="0.25">
      <c r="C1302" s="1" t="s">
        <v>2010</v>
      </c>
      <c r="D1302" s="1" t="s">
        <v>2011</v>
      </c>
      <c r="E1302" s="1" t="s">
        <v>2012</v>
      </c>
      <c r="F1302" s="1">
        <v>0</v>
      </c>
      <c r="G1302" s="1">
        <v>0</v>
      </c>
      <c r="H1302" s="1">
        <v>0</v>
      </c>
      <c r="I1302" s="1">
        <v>2</v>
      </c>
      <c r="J1302" s="1">
        <v>2</v>
      </c>
      <c r="K1302" s="1">
        <v>0</v>
      </c>
    </row>
    <row r="1303" spans="3:11" x14ac:dyDescent="0.25">
      <c r="C1303" s="1" t="s">
        <v>4186</v>
      </c>
      <c r="D1303" s="1" t="s">
        <v>4187</v>
      </c>
      <c r="E1303" s="1" t="s">
        <v>4188</v>
      </c>
      <c r="F1303" s="1">
        <v>0</v>
      </c>
      <c r="G1303" s="1">
        <v>0</v>
      </c>
      <c r="H1303" s="1">
        <v>0</v>
      </c>
      <c r="I1303" s="1">
        <v>2</v>
      </c>
      <c r="J1303" s="1">
        <v>2</v>
      </c>
      <c r="K1303" s="1">
        <v>0</v>
      </c>
    </row>
    <row r="1304" spans="3:11" x14ac:dyDescent="0.25">
      <c r="C1304" s="1" t="s">
        <v>4287</v>
      </c>
      <c r="D1304" s="1" t="s">
        <v>4288</v>
      </c>
      <c r="E1304" s="1" t="s">
        <v>4289</v>
      </c>
      <c r="F1304" s="1">
        <v>-4</v>
      </c>
      <c r="G1304" s="1">
        <v>-4</v>
      </c>
      <c r="H1304" s="1">
        <v>0</v>
      </c>
      <c r="I1304" s="1">
        <v>2</v>
      </c>
      <c r="J1304" s="1">
        <v>6</v>
      </c>
      <c r="K1304" s="1">
        <v>-4</v>
      </c>
    </row>
    <row r="1305" spans="3:11" x14ac:dyDescent="0.25">
      <c r="C1305" s="1" t="s">
        <v>4400</v>
      </c>
      <c r="D1305" s="1" t="s">
        <v>4401</v>
      </c>
      <c r="E1305" s="1" t="s">
        <v>4402</v>
      </c>
      <c r="F1305" s="1">
        <v>-6</v>
      </c>
      <c r="G1305" s="1">
        <v>-6</v>
      </c>
      <c r="H1305" s="1">
        <v>0</v>
      </c>
      <c r="I1305" s="1">
        <v>2</v>
      </c>
      <c r="J1305" s="1">
        <v>8</v>
      </c>
      <c r="K1305" s="1">
        <v>-6</v>
      </c>
    </row>
    <row r="1306" spans="3:11" x14ac:dyDescent="0.25">
      <c r="C1306" s="1" t="s">
        <v>4192</v>
      </c>
      <c r="D1306" s="1" t="s">
        <v>4193</v>
      </c>
      <c r="E1306" s="1" t="s">
        <v>4194</v>
      </c>
      <c r="F1306" s="1">
        <v>0</v>
      </c>
      <c r="G1306" s="1">
        <v>0</v>
      </c>
      <c r="H1306" s="1">
        <v>0</v>
      </c>
      <c r="I1306" s="1">
        <v>1</v>
      </c>
      <c r="J1306" s="1">
        <v>1</v>
      </c>
      <c r="K1306" s="1">
        <v>0</v>
      </c>
    </row>
    <row r="1307" spans="3:11" x14ac:dyDescent="0.25">
      <c r="C1307" s="1" t="s">
        <v>4195</v>
      </c>
      <c r="D1307" s="1" t="s">
        <v>4196</v>
      </c>
      <c r="E1307" s="1" t="s">
        <v>4197</v>
      </c>
      <c r="F1307" s="1">
        <v>1</v>
      </c>
      <c r="G1307" s="1">
        <v>1</v>
      </c>
      <c r="H1307" s="1">
        <v>0</v>
      </c>
      <c r="I1307" s="1">
        <v>1</v>
      </c>
      <c r="J1307" s="1">
        <v>0</v>
      </c>
      <c r="K1307" s="1">
        <v>1</v>
      </c>
    </row>
    <row r="1308" spans="3:11" x14ac:dyDescent="0.25">
      <c r="C1308" s="1" t="s">
        <v>4198</v>
      </c>
      <c r="D1308" s="1" t="s">
        <v>4199</v>
      </c>
      <c r="E1308" s="1" t="s">
        <v>4200</v>
      </c>
      <c r="F1308" s="1">
        <v>0</v>
      </c>
      <c r="G1308" s="1">
        <v>0</v>
      </c>
      <c r="H1308" s="1">
        <v>0</v>
      </c>
      <c r="I1308" s="1">
        <v>1</v>
      </c>
      <c r="J1308" s="1">
        <v>1</v>
      </c>
      <c r="K1308" s="1">
        <v>0</v>
      </c>
    </row>
    <row r="1309" spans="3:11" x14ac:dyDescent="0.25">
      <c r="C1309" s="1" t="s">
        <v>4254</v>
      </c>
      <c r="D1309" s="1" t="s">
        <v>4255</v>
      </c>
      <c r="E1309" s="1" t="s">
        <v>4256</v>
      </c>
      <c r="F1309" s="1">
        <v>0</v>
      </c>
      <c r="G1309" s="1">
        <v>0</v>
      </c>
      <c r="H1309" s="1">
        <v>0</v>
      </c>
      <c r="I1309" s="1">
        <v>1</v>
      </c>
      <c r="J1309" s="1">
        <v>1</v>
      </c>
      <c r="K1309" s="1">
        <v>0</v>
      </c>
    </row>
    <row r="1310" spans="3:11" x14ac:dyDescent="0.25">
      <c r="C1310" s="1" t="s">
        <v>2013</v>
      </c>
      <c r="D1310" s="1" t="s">
        <v>2014</v>
      </c>
      <c r="E1310" s="1" t="s">
        <v>2015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3:11" x14ac:dyDescent="0.25">
      <c r="C1311" s="1" t="s">
        <v>4204</v>
      </c>
      <c r="D1311" s="1" t="s">
        <v>4205</v>
      </c>
      <c r="E1311" s="1" t="s">
        <v>4206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3:11" x14ac:dyDescent="0.25">
      <c r="C1312" s="1" t="s">
        <v>2016</v>
      </c>
      <c r="D1312" s="1" t="s">
        <v>2017</v>
      </c>
      <c r="E1312" s="1" t="s">
        <v>2018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3:11" x14ac:dyDescent="0.25">
      <c r="C1313" s="1" t="s">
        <v>4207</v>
      </c>
      <c r="D1313" s="1" t="s">
        <v>4208</v>
      </c>
      <c r="E1313" s="1" t="s">
        <v>4209</v>
      </c>
      <c r="F1313" s="1">
        <v>-3</v>
      </c>
      <c r="G1313" s="1">
        <v>-3</v>
      </c>
      <c r="H1313" s="1">
        <v>0</v>
      </c>
      <c r="I1313" s="1">
        <v>0</v>
      </c>
      <c r="J1313" s="1">
        <v>3</v>
      </c>
      <c r="K1313" s="1">
        <v>-3</v>
      </c>
    </row>
    <row r="1314" spans="3:11" x14ac:dyDescent="0.25">
      <c r="C1314" s="1" t="s">
        <v>4210</v>
      </c>
      <c r="D1314" s="1" t="s">
        <v>4211</v>
      </c>
      <c r="E1314" s="1" t="s">
        <v>4212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3:11" x14ac:dyDescent="0.25">
      <c r="C1315" s="1" t="s">
        <v>4213</v>
      </c>
      <c r="D1315" s="1" t="s">
        <v>4214</v>
      </c>
      <c r="E1315" s="1" t="s">
        <v>4215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3:11" x14ac:dyDescent="0.25">
      <c r="C1316" s="1" t="s">
        <v>4216</v>
      </c>
      <c r="D1316" s="1" t="s">
        <v>4217</v>
      </c>
      <c r="E1316" s="1" t="s">
        <v>4216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3:11" x14ac:dyDescent="0.25">
      <c r="C1317" s="1" t="s">
        <v>4218</v>
      </c>
      <c r="D1317" s="1" t="s">
        <v>4219</v>
      </c>
      <c r="E1317" s="1" t="s">
        <v>4220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3:11" x14ac:dyDescent="0.25">
      <c r="C1318" s="1" t="s">
        <v>4221</v>
      </c>
      <c r="D1318" s="1" t="s">
        <v>4222</v>
      </c>
      <c r="E1318" s="1" t="s">
        <v>4223</v>
      </c>
      <c r="F1318" s="1">
        <v>-1</v>
      </c>
      <c r="G1318" s="1">
        <v>-1</v>
      </c>
      <c r="H1318" s="1">
        <v>0</v>
      </c>
      <c r="I1318" s="1">
        <v>0</v>
      </c>
      <c r="J1318" s="1">
        <v>1</v>
      </c>
      <c r="K1318" s="1">
        <v>-1</v>
      </c>
    </row>
    <row r="1319" spans="3:11" x14ac:dyDescent="0.25">
      <c r="C1319" s="1" t="s">
        <v>4224</v>
      </c>
      <c r="D1319" s="1" t="s">
        <v>4225</v>
      </c>
      <c r="E1319" s="1" t="s">
        <v>4226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3:11" x14ac:dyDescent="0.25">
      <c r="C1320" s="1" t="s">
        <v>2027</v>
      </c>
      <c r="D1320" s="1" t="s">
        <v>2028</v>
      </c>
      <c r="E1320" s="1" t="s">
        <v>2029</v>
      </c>
      <c r="F1320" s="1">
        <v>-3</v>
      </c>
      <c r="G1320" s="1">
        <v>-3</v>
      </c>
      <c r="H1320" s="1">
        <v>0</v>
      </c>
      <c r="I1320" s="1">
        <v>0</v>
      </c>
      <c r="J1320" s="1">
        <v>3</v>
      </c>
      <c r="K1320" s="1">
        <v>-3</v>
      </c>
    </row>
    <row r="1321" spans="3:11" x14ac:dyDescent="0.25">
      <c r="C1321" s="1" t="s">
        <v>2177</v>
      </c>
      <c r="D1321" s="1" t="s">
        <v>2178</v>
      </c>
      <c r="E1321" s="1" t="s">
        <v>2179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3:11" x14ac:dyDescent="0.25">
      <c r="C1322" s="1" t="s">
        <v>4236</v>
      </c>
      <c r="D1322" s="1" t="s">
        <v>4237</v>
      </c>
      <c r="E1322" s="1" t="s">
        <v>4238</v>
      </c>
      <c r="F1322" s="1">
        <v>-3</v>
      </c>
      <c r="G1322" s="1">
        <v>-3</v>
      </c>
      <c r="H1322" s="1">
        <v>0</v>
      </c>
      <c r="I1322" s="1">
        <v>0</v>
      </c>
      <c r="J1322" s="1">
        <v>3</v>
      </c>
      <c r="K1322" s="1">
        <v>-3</v>
      </c>
    </row>
    <row r="1323" spans="3:11" x14ac:dyDescent="0.25">
      <c r="C1323" s="1" t="s">
        <v>4239</v>
      </c>
      <c r="D1323" s="1" t="s">
        <v>4240</v>
      </c>
      <c r="E1323" s="1" t="s">
        <v>4241</v>
      </c>
      <c r="F1323" s="1">
        <v>-1</v>
      </c>
      <c r="G1323" s="1">
        <v>-1</v>
      </c>
      <c r="H1323" s="1">
        <v>0</v>
      </c>
      <c r="I1323" s="1">
        <v>0</v>
      </c>
      <c r="J1323" s="1">
        <v>1</v>
      </c>
      <c r="K1323" s="1">
        <v>-1</v>
      </c>
    </row>
    <row r="1324" spans="3:11" x14ac:dyDescent="0.25">
      <c r="C1324" s="1" t="s">
        <v>4242</v>
      </c>
      <c r="D1324" s="1" t="s">
        <v>4243</v>
      </c>
      <c r="E1324" s="1" t="s">
        <v>4244</v>
      </c>
      <c r="F1324" s="1">
        <v>-6</v>
      </c>
      <c r="G1324" s="1">
        <v>-6</v>
      </c>
      <c r="H1324" s="1">
        <v>0</v>
      </c>
      <c r="I1324" s="1">
        <v>0</v>
      </c>
      <c r="J1324" s="1">
        <v>6</v>
      </c>
      <c r="K1324" s="1">
        <v>-6</v>
      </c>
    </row>
    <row r="1325" spans="3:11" x14ac:dyDescent="0.25">
      <c r="C1325" s="1" t="s">
        <v>4245</v>
      </c>
      <c r="D1325" s="1" t="s">
        <v>4246</v>
      </c>
      <c r="E1325" s="1" t="s">
        <v>4247</v>
      </c>
      <c r="F1325" s="1">
        <v>-5</v>
      </c>
      <c r="G1325" s="1">
        <v>-5</v>
      </c>
      <c r="H1325" s="1">
        <v>0</v>
      </c>
      <c r="I1325" s="1">
        <v>0</v>
      </c>
      <c r="J1325" s="1">
        <v>5</v>
      </c>
      <c r="K1325" s="1">
        <v>-5</v>
      </c>
    </row>
    <row r="1326" spans="3:11" x14ac:dyDescent="0.25">
      <c r="C1326" s="1" t="s">
        <v>2328</v>
      </c>
      <c r="D1326" s="1" t="s">
        <v>2329</v>
      </c>
      <c r="E1326" s="1" t="s">
        <v>2330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3:11" x14ac:dyDescent="0.25">
      <c r="C1327" s="1" t="s">
        <v>2334</v>
      </c>
      <c r="D1327" s="1" t="s">
        <v>2335</v>
      </c>
      <c r="E1327" s="1" t="s">
        <v>2336</v>
      </c>
      <c r="F1327" s="1">
        <v>-5</v>
      </c>
      <c r="G1327" s="1">
        <v>-5</v>
      </c>
      <c r="H1327" s="1">
        <v>0</v>
      </c>
      <c r="I1327" s="1">
        <v>0</v>
      </c>
      <c r="J1327" s="1">
        <v>5</v>
      </c>
      <c r="K1327" s="1">
        <v>-5</v>
      </c>
    </row>
    <row r="1328" spans="3:11" x14ac:dyDescent="0.25">
      <c r="C1328" s="1" t="s">
        <v>4251</v>
      </c>
      <c r="D1328" s="1" t="s">
        <v>4252</v>
      </c>
      <c r="E1328" s="1" t="s">
        <v>4253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3:11" x14ac:dyDescent="0.25">
      <c r="C1329" s="1" t="s">
        <v>4325</v>
      </c>
      <c r="D1329" s="1" t="s">
        <v>4326</v>
      </c>
      <c r="E1329" s="1" t="s">
        <v>4327</v>
      </c>
      <c r="F1329" s="1">
        <v>-4</v>
      </c>
      <c r="G1329" s="1">
        <v>-4</v>
      </c>
      <c r="H1329" s="1">
        <v>0</v>
      </c>
      <c r="I1329" s="1">
        <v>0</v>
      </c>
      <c r="J1329" s="1">
        <v>4</v>
      </c>
      <c r="K1329" s="1">
        <v>-4</v>
      </c>
    </row>
    <row r="1330" spans="3:11" x14ac:dyDescent="0.25">
      <c r="C1330" s="1" t="s">
        <v>4380</v>
      </c>
      <c r="D1330" s="1" t="s">
        <v>4381</v>
      </c>
      <c r="E1330" s="1" t="s">
        <v>4382</v>
      </c>
      <c r="F1330" s="1">
        <v>-2</v>
      </c>
      <c r="G1330" s="1">
        <v>-2</v>
      </c>
      <c r="H1330" s="1">
        <v>0</v>
      </c>
      <c r="I1330" s="1">
        <v>0</v>
      </c>
      <c r="J1330" s="1">
        <v>2</v>
      </c>
      <c r="K1330" s="1">
        <v>-2</v>
      </c>
    </row>
    <row r="1331" spans="3:11" x14ac:dyDescent="0.25">
      <c r="C1331" s="1" t="s">
        <v>4391</v>
      </c>
      <c r="D1331" s="1" t="s">
        <v>4392</v>
      </c>
      <c r="E1331" s="1" t="s">
        <v>4393</v>
      </c>
      <c r="F1331" s="1">
        <v>-3</v>
      </c>
      <c r="G1331" s="1">
        <v>-3</v>
      </c>
      <c r="H1331" s="1">
        <v>0</v>
      </c>
      <c r="I1331" s="1">
        <v>0</v>
      </c>
      <c r="J1331" s="1">
        <v>3</v>
      </c>
      <c r="K1331" s="1">
        <v>-3</v>
      </c>
    </row>
    <row r="1332" spans="3:11" x14ac:dyDescent="0.25">
      <c r="C1332" s="1" t="s">
        <v>4397</v>
      </c>
      <c r="D1332" s="1" t="s">
        <v>4398</v>
      </c>
      <c r="E1332" s="1" t="s">
        <v>4399</v>
      </c>
      <c r="F1332" s="1">
        <v>-7</v>
      </c>
      <c r="G1332" s="1">
        <v>-7</v>
      </c>
      <c r="H1332" s="1">
        <v>0</v>
      </c>
      <c r="I1332" s="1">
        <v>0</v>
      </c>
      <c r="J1332" s="1">
        <v>7</v>
      </c>
      <c r="K1332" s="1">
        <v>-7</v>
      </c>
    </row>
    <row r="1333" spans="3:11" x14ac:dyDescent="0.25">
      <c r="C1333" s="1" t="s">
        <v>4409</v>
      </c>
      <c r="D1333" s="1" t="s">
        <v>4410</v>
      </c>
      <c r="E1333" s="1" t="s">
        <v>4411</v>
      </c>
      <c r="F1333" s="1">
        <v>-1</v>
      </c>
      <c r="G1333" s="1">
        <v>-1</v>
      </c>
      <c r="H1333" s="1">
        <v>0</v>
      </c>
      <c r="I1333" s="1">
        <v>0</v>
      </c>
      <c r="J1333" s="1">
        <v>1</v>
      </c>
      <c r="K1333" s="1">
        <v>-1</v>
      </c>
    </row>
  </sheetData>
  <pageMargins left="0.2" right="0.28000000000000003" top="0.16" bottom="0.24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78"/>
  <sheetViews>
    <sheetView tabSelected="1" workbookViewId="0">
      <pane xSplit="4" ySplit="3" topLeftCell="O4" activePane="bottomRight" state="frozen"/>
      <selection pane="topRight" activeCell="E1" sqref="E1"/>
      <selection pane="bottomLeft" activeCell="A4" sqref="A4"/>
      <selection pane="bottomRight" activeCell="P207" sqref="P207"/>
    </sheetView>
  </sheetViews>
  <sheetFormatPr defaultRowHeight="15.75" x14ac:dyDescent="0.25"/>
  <cols>
    <col min="1" max="1" width="18.140625" style="85" customWidth="1"/>
    <col min="2" max="2" width="15.7109375" style="74" customWidth="1"/>
    <col min="3" max="3" width="18.28515625" style="9" hidden="1" customWidth="1"/>
    <col min="4" max="4" width="17.42578125" style="9" customWidth="1"/>
    <col min="5" max="68" width="9.7109375" style="9" customWidth="1"/>
    <col min="69" max="69" width="13.5703125" style="112" customWidth="1"/>
    <col min="70" max="70" width="11.7109375" style="112" customWidth="1"/>
    <col min="71" max="71" width="7.140625" style="74" customWidth="1"/>
    <col min="72" max="72" width="12.7109375" style="142" customWidth="1"/>
    <col min="73" max="73" width="17.28515625" style="104" customWidth="1"/>
    <col min="74" max="74" width="18.7109375" style="104" customWidth="1"/>
    <col min="75" max="16384" width="9.140625" style="58"/>
  </cols>
  <sheetData>
    <row r="1" spans="1:74" ht="38.25" customHeight="1" x14ac:dyDescent="0.25">
      <c r="A1" s="70"/>
      <c r="B1" s="71" t="s">
        <v>12142</v>
      </c>
      <c r="C1" s="111" t="s">
        <v>12304</v>
      </c>
      <c r="D1" s="105" t="s">
        <v>12305</v>
      </c>
      <c r="E1" s="305">
        <v>1</v>
      </c>
      <c r="F1" s="306"/>
      <c r="G1" s="305">
        <f>1+E1</f>
        <v>2</v>
      </c>
      <c r="H1" s="306"/>
      <c r="I1" s="305">
        <f>1+G1</f>
        <v>3</v>
      </c>
      <c r="J1" s="306"/>
      <c r="K1" s="305">
        <f>1+I1</f>
        <v>4</v>
      </c>
      <c r="L1" s="306"/>
      <c r="M1" s="305">
        <v>5</v>
      </c>
      <c r="N1" s="306"/>
      <c r="O1" s="305">
        <f>1+M1</f>
        <v>6</v>
      </c>
      <c r="P1" s="306"/>
      <c r="Q1" s="305">
        <f>1+O1</f>
        <v>7</v>
      </c>
      <c r="R1" s="306"/>
      <c r="S1" s="305">
        <f>1+Q1</f>
        <v>8</v>
      </c>
      <c r="T1" s="306"/>
      <c r="U1" s="305">
        <f>1+S1</f>
        <v>9</v>
      </c>
      <c r="V1" s="306"/>
      <c r="W1" s="305">
        <f>1+U1</f>
        <v>10</v>
      </c>
      <c r="X1" s="306"/>
      <c r="Y1" s="305">
        <f>1+W1</f>
        <v>11</v>
      </c>
      <c r="Z1" s="306"/>
      <c r="AA1" s="305">
        <f>1+Y1</f>
        <v>12</v>
      </c>
      <c r="AB1" s="306"/>
      <c r="AC1" s="305">
        <f>1+AA1</f>
        <v>13</v>
      </c>
      <c r="AD1" s="306"/>
      <c r="AE1" s="305">
        <f>1+AC1</f>
        <v>14</v>
      </c>
      <c r="AF1" s="306"/>
      <c r="AG1" s="305">
        <f>1+AE1</f>
        <v>15</v>
      </c>
      <c r="AH1" s="306"/>
      <c r="AI1" s="305">
        <f>1+AG1</f>
        <v>16</v>
      </c>
      <c r="AJ1" s="306"/>
      <c r="AK1" s="305">
        <f>1+AI1</f>
        <v>17</v>
      </c>
      <c r="AL1" s="306"/>
      <c r="AM1" s="305">
        <f>1+AK1</f>
        <v>18</v>
      </c>
      <c r="AN1" s="306"/>
      <c r="AO1" s="305">
        <f>1+AM1</f>
        <v>19</v>
      </c>
      <c r="AP1" s="306"/>
      <c r="AQ1" s="305">
        <f>1+AO1</f>
        <v>20</v>
      </c>
      <c r="AR1" s="306"/>
      <c r="AS1" s="305">
        <f>1+AQ1</f>
        <v>21</v>
      </c>
      <c r="AT1" s="306"/>
      <c r="AU1" s="305">
        <f>1+AS1</f>
        <v>22</v>
      </c>
      <c r="AV1" s="306"/>
      <c r="AW1" s="305">
        <f>1+AU1</f>
        <v>23</v>
      </c>
      <c r="AX1" s="306"/>
      <c r="AY1" s="305">
        <f>1+AW1</f>
        <v>24</v>
      </c>
      <c r="AZ1" s="306"/>
      <c r="BA1" s="305">
        <f>1+AY1</f>
        <v>25</v>
      </c>
      <c r="BB1" s="306"/>
      <c r="BC1" s="305">
        <f>1+BA1</f>
        <v>26</v>
      </c>
      <c r="BD1" s="306"/>
      <c r="BE1" s="305">
        <f>1+BC1</f>
        <v>27</v>
      </c>
      <c r="BF1" s="306"/>
      <c r="BG1" s="305">
        <f>1+BE1</f>
        <v>28</v>
      </c>
      <c r="BH1" s="306"/>
      <c r="BI1" s="305">
        <f>1+BG1</f>
        <v>29</v>
      </c>
      <c r="BJ1" s="306"/>
      <c r="BK1" s="305">
        <f>1+BI1</f>
        <v>30</v>
      </c>
      <c r="BL1" s="306"/>
      <c r="BM1" s="305">
        <f>1+BK1</f>
        <v>31</v>
      </c>
      <c r="BN1" s="306"/>
      <c r="BO1" s="293" t="s">
        <v>12167</v>
      </c>
      <c r="BP1" s="294"/>
      <c r="BQ1" s="307" t="s">
        <v>12139</v>
      </c>
      <c r="BR1" s="307"/>
      <c r="BS1" s="71" t="s">
        <v>408</v>
      </c>
      <c r="BT1" s="137" t="s">
        <v>405</v>
      </c>
      <c r="BU1" s="72" t="s">
        <v>595</v>
      </c>
      <c r="BV1" s="73" t="s">
        <v>407</v>
      </c>
    </row>
    <row r="2" spans="1:74" ht="27.75" customHeight="1" x14ac:dyDescent="0.25">
      <c r="A2" s="76" t="s">
        <v>412</v>
      </c>
      <c r="B2" s="86"/>
      <c r="C2" s="110">
        <f>SUM(C5:C292)</f>
        <v>23200.924299999999</v>
      </c>
      <c r="D2" s="110">
        <f>SUM(D5:D292)</f>
        <v>21719.924299999995</v>
      </c>
      <c r="E2" s="87" t="s">
        <v>12140</v>
      </c>
      <c r="F2" s="87" t="s">
        <v>12141</v>
      </c>
      <c r="G2" s="87" t="s">
        <v>12140</v>
      </c>
      <c r="H2" s="87" t="s">
        <v>12141</v>
      </c>
      <c r="I2" s="87" t="s">
        <v>12140</v>
      </c>
      <c r="J2" s="87" t="s">
        <v>12141</v>
      </c>
      <c r="K2" s="87" t="s">
        <v>12140</v>
      </c>
      <c r="L2" s="87" t="s">
        <v>12141</v>
      </c>
      <c r="M2" s="87" t="s">
        <v>12140</v>
      </c>
      <c r="N2" s="87" t="s">
        <v>12141</v>
      </c>
      <c r="O2" s="87" t="s">
        <v>12140</v>
      </c>
      <c r="P2" s="87" t="s">
        <v>12141</v>
      </c>
      <c r="Q2" s="87" t="s">
        <v>12140</v>
      </c>
      <c r="R2" s="87" t="s">
        <v>12141</v>
      </c>
      <c r="S2" s="87" t="s">
        <v>12140</v>
      </c>
      <c r="T2" s="87" t="s">
        <v>12141</v>
      </c>
      <c r="U2" s="87" t="s">
        <v>12140</v>
      </c>
      <c r="V2" s="87" t="s">
        <v>12141</v>
      </c>
      <c r="W2" s="87" t="s">
        <v>12140</v>
      </c>
      <c r="X2" s="87" t="s">
        <v>12141</v>
      </c>
      <c r="Y2" s="87" t="s">
        <v>12140</v>
      </c>
      <c r="Z2" s="87" t="s">
        <v>12141</v>
      </c>
      <c r="AA2" s="87" t="s">
        <v>12140</v>
      </c>
      <c r="AB2" s="87" t="s">
        <v>12141</v>
      </c>
      <c r="AC2" s="87" t="s">
        <v>12140</v>
      </c>
      <c r="AD2" s="87" t="s">
        <v>12141</v>
      </c>
      <c r="AE2" s="87" t="s">
        <v>12140</v>
      </c>
      <c r="AF2" s="87" t="s">
        <v>12141</v>
      </c>
      <c r="AG2" s="87" t="s">
        <v>12140</v>
      </c>
      <c r="AH2" s="87" t="s">
        <v>12141</v>
      </c>
      <c r="AI2" s="87" t="s">
        <v>12140</v>
      </c>
      <c r="AJ2" s="87" t="s">
        <v>12141</v>
      </c>
      <c r="AK2" s="87" t="s">
        <v>12140</v>
      </c>
      <c r="AL2" s="87" t="s">
        <v>12141</v>
      </c>
      <c r="AM2" s="87" t="s">
        <v>12140</v>
      </c>
      <c r="AN2" s="87" t="s">
        <v>12141</v>
      </c>
      <c r="AO2" s="87" t="s">
        <v>12140</v>
      </c>
      <c r="AP2" s="87" t="s">
        <v>12141</v>
      </c>
      <c r="AQ2" s="87" t="s">
        <v>12140</v>
      </c>
      <c r="AR2" s="87" t="s">
        <v>12141</v>
      </c>
      <c r="AS2" s="87" t="s">
        <v>12140</v>
      </c>
      <c r="AT2" s="87" t="s">
        <v>12141</v>
      </c>
      <c r="AU2" s="87" t="s">
        <v>12140</v>
      </c>
      <c r="AV2" s="87" t="s">
        <v>12141</v>
      </c>
      <c r="AW2" s="87" t="s">
        <v>12140</v>
      </c>
      <c r="AX2" s="87" t="s">
        <v>12141</v>
      </c>
      <c r="AY2" s="87" t="s">
        <v>12140</v>
      </c>
      <c r="AZ2" s="87" t="s">
        <v>12141</v>
      </c>
      <c r="BA2" s="87" t="s">
        <v>12140</v>
      </c>
      <c r="BB2" s="87" t="s">
        <v>12141</v>
      </c>
      <c r="BC2" s="87" t="s">
        <v>12140</v>
      </c>
      <c r="BD2" s="87" t="s">
        <v>12141</v>
      </c>
      <c r="BE2" s="87" t="s">
        <v>12140</v>
      </c>
      <c r="BF2" s="87" t="s">
        <v>12141</v>
      </c>
      <c r="BG2" s="87" t="s">
        <v>12140</v>
      </c>
      <c r="BH2" s="87" t="s">
        <v>12141</v>
      </c>
      <c r="BI2" s="87" t="s">
        <v>12140</v>
      </c>
      <c r="BJ2" s="87" t="s">
        <v>12141</v>
      </c>
      <c r="BK2" s="87" t="s">
        <v>12140</v>
      </c>
      <c r="BL2" s="87" t="s">
        <v>12141</v>
      </c>
      <c r="BM2" s="87" t="s">
        <v>12140</v>
      </c>
      <c r="BN2" s="87" t="s">
        <v>12141</v>
      </c>
      <c r="BO2" s="87" t="s">
        <v>12140</v>
      </c>
      <c r="BP2" s="87" t="s">
        <v>12141</v>
      </c>
      <c r="BQ2" s="87" t="s">
        <v>12140</v>
      </c>
      <c r="BR2" s="87" t="s">
        <v>12141</v>
      </c>
      <c r="BS2" s="87">
        <v>340.81999999999965</v>
      </c>
      <c r="BT2" s="138">
        <f>SUM(BT5:BT241)</f>
        <v>31091.369689999989</v>
      </c>
      <c r="BU2" s="138"/>
      <c r="BV2" s="138">
        <f>SUM(BV5:BV241)</f>
        <v>2610071501.5476003</v>
      </c>
    </row>
    <row r="3" spans="1:74" ht="27.75" customHeight="1" x14ac:dyDescent="0.25">
      <c r="A3" s="106"/>
      <c r="B3" s="107"/>
      <c r="C3" s="108"/>
      <c r="D3" s="108"/>
      <c r="E3" s="108">
        <f t="shared" ref="E3:AJ3" si="0">SUM(E4:E295)</f>
        <v>0</v>
      </c>
      <c r="F3" s="108">
        <f t="shared" si="0"/>
        <v>68</v>
      </c>
      <c r="G3" s="108">
        <f t="shared" si="0"/>
        <v>3</v>
      </c>
      <c r="H3" s="108">
        <f t="shared" si="0"/>
        <v>562</v>
      </c>
      <c r="I3" s="108">
        <f t="shared" si="0"/>
        <v>0</v>
      </c>
      <c r="J3" s="108">
        <f t="shared" si="0"/>
        <v>279</v>
      </c>
      <c r="K3" s="108">
        <f t="shared" si="0"/>
        <v>0</v>
      </c>
      <c r="L3" s="108">
        <f t="shared" si="0"/>
        <v>105</v>
      </c>
      <c r="M3" s="108">
        <f t="shared" si="0"/>
        <v>5</v>
      </c>
      <c r="N3" s="108">
        <f t="shared" si="0"/>
        <v>242</v>
      </c>
      <c r="O3" s="108">
        <f t="shared" si="0"/>
        <v>0</v>
      </c>
      <c r="P3" s="108">
        <f t="shared" si="0"/>
        <v>229</v>
      </c>
      <c r="Q3" s="108">
        <f t="shared" si="0"/>
        <v>0</v>
      </c>
      <c r="R3" s="108">
        <f t="shared" si="0"/>
        <v>0</v>
      </c>
      <c r="S3" s="108">
        <f t="shared" si="0"/>
        <v>0</v>
      </c>
      <c r="T3" s="108">
        <f t="shared" si="0"/>
        <v>0</v>
      </c>
      <c r="U3" s="108">
        <f t="shared" si="0"/>
        <v>0</v>
      </c>
      <c r="V3" s="108">
        <f t="shared" si="0"/>
        <v>0</v>
      </c>
      <c r="W3" s="108">
        <f t="shared" si="0"/>
        <v>0</v>
      </c>
      <c r="X3" s="108">
        <f t="shared" si="0"/>
        <v>0</v>
      </c>
      <c r="Y3" s="108">
        <f t="shared" si="0"/>
        <v>0</v>
      </c>
      <c r="Z3" s="108">
        <f t="shared" si="0"/>
        <v>0</v>
      </c>
      <c r="AA3" s="108">
        <f t="shared" si="0"/>
        <v>0</v>
      </c>
      <c r="AB3" s="108">
        <f t="shared" si="0"/>
        <v>0</v>
      </c>
      <c r="AC3" s="108">
        <f t="shared" si="0"/>
        <v>0</v>
      </c>
      <c r="AD3" s="108">
        <f t="shared" si="0"/>
        <v>0</v>
      </c>
      <c r="AE3" s="108">
        <f t="shared" si="0"/>
        <v>0</v>
      </c>
      <c r="AF3" s="108">
        <f t="shared" si="0"/>
        <v>0</v>
      </c>
      <c r="AG3" s="108">
        <f t="shared" si="0"/>
        <v>0</v>
      </c>
      <c r="AH3" s="108">
        <f t="shared" si="0"/>
        <v>0</v>
      </c>
      <c r="AI3" s="108">
        <f t="shared" si="0"/>
        <v>0</v>
      </c>
      <c r="AJ3" s="108">
        <f t="shared" si="0"/>
        <v>0</v>
      </c>
      <c r="AK3" s="108">
        <f t="shared" ref="AK3:BP3" si="1">SUM(AK4:AK295)</f>
        <v>0</v>
      </c>
      <c r="AL3" s="108">
        <f t="shared" si="1"/>
        <v>0</v>
      </c>
      <c r="AM3" s="108">
        <f t="shared" si="1"/>
        <v>0</v>
      </c>
      <c r="AN3" s="108">
        <f t="shared" si="1"/>
        <v>0</v>
      </c>
      <c r="AO3" s="108">
        <f t="shared" si="1"/>
        <v>0</v>
      </c>
      <c r="AP3" s="108">
        <f t="shared" si="1"/>
        <v>0</v>
      </c>
      <c r="AQ3" s="108">
        <f t="shared" si="1"/>
        <v>0</v>
      </c>
      <c r="AR3" s="108">
        <f t="shared" si="1"/>
        <v>0</v>
      </c>
      <c r="AS3" s="108">
        <f t="shared" si="1"/>
        <v>0</v>
      </c>
      <c r="AT3" s="108">
        <f t="shared" si="1"/>
        <v>0</v>
      </c>
      <c r="AU3" s="108">
        <f t="shared" si="1"/>
        <v>0</v>
      </c>
      <c r="AV3" s="108">
        <f t="shared" si="1"/>
        <v>0</v>
      </c>
      <c r="AW3" s="108">
        <f t="shared" si="1"/>
        <v>0</v>
      </c>
      <c r="AX3" s="108">
        <f t="shared" si="1"/>
        <v>0</v>
      </c>
      <c r="AY3" s="108">
        <f t="shared" si="1"/>
        <v>0</v>
      </c>
      <c r="AZ3" s="108">
        <f t="shared" si="1"/>
        <v>0</v>
      </c>
      <c r="BA3" s="108">
        <f t="shared" si="1"/>
        <v>0</v>
      </c>
      <c r="BB3" s="108">
        <f t="shared" si="1"/>
        <v>0</v>
      </c>
      <c r="BC3" s="108">
        <f t="shared" si="1"/>
        <v>0</v>
      </c>
      <c r="BD3" s="108">
        <f t="shared" si="1"/>
        <v>0</v>
      </c>
      <c r="BE3" s="108">
        <f t="shared" si="1"/>
        <v>0</v>
      </c>
      <c r="BF3" s="108">
        <f t="shared" si="1"/>
        <v>0</v>
      </c>
      <c r="BG3" s="108">
        <f t="shared" si="1"/>
        <v>0</v>
      </c>
      <c r="BH3" s="108">
        <f t="shared" si="1"/>
        <v>0</v>
      </c>
      <c r="BI3" s="108">
        <f t="shared" si="1"/>
        <v>0</v>
      </c>
      <c r="BJ3" s="108">
        <f t="shared" si="1"/>
        <v>0</v>
      </c>
      <c r="BK3" s="108">
        <f t="shared" si="1"/>
        <v>0</v>
      </c>
      <c r="BL3" s="108">
        <f t="shared" si="1"/>
        <v>0</v>
      </c>
      <c r="BM3" s="108">
        <f t="shared" si="1"/>
        <v>0</v>
      </c>
      <c r="BN3" s="108">
        <f t="shared" si="1"/>
        <v>0</v>
      </c>
      <c r="BO3" s="108">
        <f t="shared" si="1"/>
        <v>7</v>
      </c>
      <c r="BP3" s="108">
        <f t="shared" si="1"/>
        <v>11</v>
      </c>
      <c r="BQ3" s="108">
        <f>+E3+G3+I3+K3+M3+O3+Q3+S3+U3+W3+Y3+AA3+AC3+AE3+AG3+AI3+AK3+AM3+AO3+AQ3+AS3+AU3+AW3+AY3+BA3+BC3+BE3+BG3+BI3+BK3+BM3+BO3</f>
        <v>15</v>
      </c>
      <c r="BR3" s="108">
        <f>+F3+H3+J3+L3+N3+P3+R3+T3+V3+X3+Z3+AB3+AD3+AF3+AH3+AJ3+AL3+AN3+AP3+AR3+AT3+AV3+AX3+AZ3+BB3+BD3+BF3+BH3+BJ3+BL3+BN3+BP3</f>
        <v>1496</v>
      </c>
      <c r="BS3" s="108"/>
      <c r="BT3" s="139"/>
      <c r="BU3" s="108"/>
      <c r="BV3" s="109"/>
    </row>
    <row r="4" spans="1:74" ht="15" customHeight="1" x14ac:dyDescent="0.25">
      <c r="A4" s="77"/>
      <c r="B4" s="88"/>
      <c r="C4" s="89"/>
      <c r="D4" s="89"/>
      <c r="E4" s="89">
        <v>0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108">
        <f>+E4+G4+I4+K4+M4+O4+Q4+S4+U4+W4+Y4+AA4+AC4+AE4+AG4+AI4+AK4+AM4+AO4+AQ4+AS4+AU4+AW4+AY4+BA4+BC4+BE4+BG4+BI4+BK4+BM4+BO4</f>
        <v>0</v>
      </c>
      <c r="BR4" s="108">
        <f t="shared" ref="BR4:BR72" si="2">+F4+H4+J4+L4+N4+P4+R4+T4+V4+X4+Z4+AB4+AD4+AF4+AH4+AJ4+AL4+AN4+AP4+AR4+AT4+AV4+AX4+AZ4+BB4+BD4+BF4+BH4+BJ4+BL4+BN4+BP4</f>
        <v>0</v>
      </c>
      <c r="BS4" s="90"/>
      <c r="BT4" s="140"/>
      <c r="BU4" s="90"/>
      <c r="BV4" s="91"/>
    </row>
    <row r="5" spans="1:74" ht="15.75" customHeight="1" x14ac:dyDescent="0.25">
      <c r="A5" s="308" t="s">
        <v>12214</v>
      </c>
      <c r="B5" s="92" t="s">
        <v>12215</v>
      </c>
      <c r="C5" s="75">
        <v>49</v>
      </c>
      <c r="D5" s="132">
        <f>C5+BQ5-BR5</f>
        <v>46</v>
      </c>
      <c r="E5" s="89"/>
      <c r="F5" s="89"/>
      <c r="G5" s="89"/>
      <c r="H5" s="89">
        <v>3</v>
      </c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108">
        <f t="shared" ref="BQ5:BQ68" si="3">+E5+G5+I5+K5+M5+O5+Q5+S5+U5+W5+Y5+AA5+AC5+AE5+AG5+AI5+AK5+AM5+AO5+AQ5+AS5+AU5+AW5+AY5+BA5+BC5+BE5+BG5+BI5+BK5+BM5+BO5</f>
        <v>0</v>
      </c>
      <c r="BR5" s="108">
        <f t="shared" si="2"/>
        <v>3</v>
      </c>
      <c r="BS5" s="2">
        <v>2</v>
      </c>
      <c r="BT5" s="141">
        <f>+BS5*D5</f>
        <v>92</v>
      </c>
      <c r="BU5" s="93">
        <v>136000</v>
      </c>
      <c r="BV5" s="94">
        <f>+BU5*BT5</f>
        <v>12512000</v>
      </c>
    </row>
    <row r="6" spans="1:74" ht="15.75" customHeight="1" x14ac:dyDescent="0.25">
      <c r="A6" s="309"/>
      <c r="B6" s="92" t="s">
        <v>12216</v>
      </c>
      <c r="C6" s="75">
        <v>115</v>
      </c>
      <c r="D6" s="132">
        <f t="shared" ref="D6:D70" si="4">C6+BQ6-BR6</f>
        <v>112</v>
      </c>
      <c r="E6" s="89"/>
      <c r="F6" s="89"/>
      <c r="G6" s="89"/>
      <c r="H6" s="89">
        <v>3</v>
      </c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108">
        <f t="shared" si="3"/>
        <v>0</v>
      </c>
      <c r="BR6" s="108">
        <f t="shared" si="2"/>
        <v>3</v>
      </c>
      <c r="BS6" s="2">
        <v>2</v>
      </c>
      <c r="BT6" s="141">
        <f t="shared" ref="BT6:BT19" si="5">+BS6*D6</f>
        <v>224</v>
      </c>
      <c r="BU6" s="93">
        <v>136000</v>
      </c>
      <c r="BV6" s="94">
        <f t="shared" ref="BV6:BV20" si="6">+BU6*BT6</f>
        <v>30464000</v>
      </c>
    </row>
    <row r="7" spans="1:74" ht="15.75" customHeight="1" x14ac:dyDescent="0.25">
      <c r="A7" s="309"/>
      <c r="B7" s="92" t="s">
        <v>12217</v>
      </c>
      <c r="C7" s="75">
        <v>61</v>
      </c>
      <c r="D7" s="132">
        <f t="shared" si="4"/>
        <v>58</v>
      </c>
      <c r="E7" s="89"/>
      <c r="F7" s="89"/>
      <c r="G7" s="89"/>
      <c r="H7" s="89">
        <v>3</v>
      </c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108">
        <f t="shared" si="3"/>
        <v>0</v>
      </c>
      <c r="BR7" s="108">
        <f t="shared" si="2"/>
        <v>3</v>
      </c>
      <c r="BS7" s="2">
        <v>2</v>
      </c>
      <c r="BT7" s="141">
        <f t="shared" si="5"/>
        <v>116</v>
      </c>
      <c r="BU7" s="93">
        <v>136000</v>
      </c>
      <c r="BV7" s="94">
        <f t="shared" si="6"/>
        <v>15776000</v>
      </c>
    </row>
    <row r="8" spans="1:74" ht="15.75" customHeight="1" x14ac:dyDescent="0.25">
      <c r="A8" s="309"/>
      <c r="B8" s="92" t="s">
        <v>12218</v>
      </c>
      <c r="C8" s="75">
        <v>113</v>
      </c>
      <c r="D8" s="132">
        <f t="shared" si="4"/>
        <v>110</v>
      </c>
      <c r="E8" s="89"/>
      <c r="F8" s="89"/>
      <c r="G8" s="89"/>
      <c r="H8" s="89">
        <v>3</v>
      </c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108">
        <f t="shared" si="3"/>
        <v>0</v>
      </c>
      <c r="BR8" s="108">
        <f t="shared" si="2"/>
        <v>3</v>
      </c>
      <c r="BS8" s="2">
        <v>2</v>
      </c>
      <c r="BT8" s="141">
        <f t="shared" si="5"/>
        <v>220</v>
      </c>
      <c r="BU8" s="93">
        <v>136000</v>
      </c>
      <c r="BV8" s="94">
        <f t="shared" si="6"/>
        <v>29920000</v>
      </c>
    </row>
    <row r="9" spans="1:74" ht="15.75" customHeight="1" x14ac:dyDescent="0.25">
      <c r="A9" s="180"/>
      <c r="B9" s="92"/>
      <c r="C9" s="75">
        <v>0</v>
      </c>
      <c r="D9" s="132">
        <f t="shared" si="4"/>
        <v>0</v>
      </c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108">
        <f t="shared" si="3"/>
        <v>0</v>
      </c>
      <c r="BR9" s="108">
        <f t="shared" si="2"/>
        <v>0</v>
      </c>
      <c r="BS9" s="2"/>
      <c r="BT9" s="141">
        <f t="shared" si="5"/>
        <v>0</v>
      </c>
      <c r="BU9" s="93"/>
      <c r="BV9" s="94">
        <f t="shared" si="6"/>
        <v>0</v>
      </c>
    </row>
    <row r="10" spans="1:74" ht="15.75" customHeight="1" x14ac:dyDescent="0.25">
      <c r="A10" s="309" t="s">
        <v>12219</v>
      </c>
      <c r="B10" s="92" t="s">
        <v>12220</v>
      </c>
      <c r="C10" s="75">
        <v>462</v>
      </c>
      <c r="D10" s="132">
        <f t="shared" si="4"/>
        <v>302</v>
      </c>
      <c r="E10" s="89"/>
      <c r="F10" s="89"/>
      <c r="G10" s="89"/>
      <c r="H10" s="89"/>
      <c r="I10" s="89"/>
      <c r="J10" s="89">
        <v>160</v>
      </c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108">
        <f t="shared" si="3"/>
        <v>0</v>
      </c>
      <c r="BR10" s="108">
        <f t="shared" si="2"/>
        <v>160</v>
      </c>
      <c r="BS10" s="2">
        <v>1.92</v>
      </c>
      <c r="BT10" s="141">
        <f t="shared" si="5"/>
        <v>579.84</v>
      </c>
      <c r="BU10" s="93">
        <v>95000</v>
      </c>
      <c r="BV10" s="94">
        <f t="shared" si="6"/>
        <v>55084800</v>
      </c>
    </row>
    <row r="11" spans="1:74" ht="25.5" hidden="1" customHeight="1" x14ac:dyDescent="0.25">
      <c r="A11" s="309"/>
      <c r="B11" s="92" t="s">
        <v>12221</v>
      </c>
      <c r="C11" s="75">
        <v>0</v>
      </c>
      <c r="D11" s="132">
        <f t="shared" si="4"/>
        <v>0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108">
        <f t="shared" si="3"/>
        <v>0</v>
      </c>
      <c r="BR11" s="108">
        <f t="shared" si="2"/>
        <v>0</v>
      </c>
      <c r="BS11" s="2">
        <v>1.92</v>
      </c>
      <c r="BT11" s="141">
        <f t="shared" si="5"/>
        <v>0</v>
      </c>
      <c r="BU11" s="93">
        <v>95000</v>
      </c>
      <c r="BV11" s="94">
        <f t="shared" si="6"/>
        <v>0</v>
      </c>
    </row>
    <row r="12" spans="1:74" ht="33.75" hidden="1" customHeight="1" x14ac:dyDescent="0.25">
      <c r="A12" s="309"/>
      <c r="B12" s="92" t="s">
        <v>12222</v>
      </c>
      <c r="C12" s="75">
        <v>0</v>
      </c>
      <c r="D12" s="132">
        <f t="shared" si="4"/>
        <v>0</v>
      </c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108">
        <f t="shared" si="3"/>
        <v>0</v>
      </c>
      <c r="BR12" s="108">
        <f t="shared" si="2"/>
        <v>0</v>
      </c>
      <c r="BS12" s="2">
        <v>1.92</v>
      </c>
      <c r="BT12" s="141">
        <f t="shared" si="5"/>
        <v>0</v>
      </c>
      <c r="BU12" s="93">
        <v>95000</v>
      </c>
      <c r="BV12" s="94">
        <f t="shared" si="6"/>
        <v>0</v>
      </c>
    </row>
    <row r="13" spans="1:74" ht="0.75" customHeight="1" x14ac:dyDescent="0.25">
      <c r="A13" s="274"/>
      <c r="B13" s="92"/>
      <c r="C13" s="75">
        <v>0</v>
      </c>
      <c r="D13" s="132">
        <f t="shared" si="4"/>
        <v>0</v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108">
        <f t="shared" si="3"/>
        <v>0</v>
      </c>
      <c r="BR13" s="108">
        <f t="shared" si="2"/>
        <v>0</v>
      </c>
      <c r="BS13" s="2">
        <v>1.92</v>
      </c>
      <c r="BT13" s="141">
        <f t="shared" si="5"/>
        <v>0</v>
      </c>
      <c r="BU13" s="93"/>
      <c r="BV13" s="94">
        <f t="shared" si="6"/>
        <v>0</v>
      </c>
    </row>
    <row r="14" spans="1:74" ht="15.75" customHeight="1" x14ac:dyDescent="0.25">
      <c r="A14" s="274"/>
      <c r="B14" s="92" t="s">
        <v>12290</v>
      </c>
      <c r="C14" s="75">
        <v>122</v>
      </c>
      <c r="D14" s="132">
        <f t="shared" si="4"/>
        <v>120</v>
      </c>
      <c r="E14" s="89"/>
      <c r="F14" s="89"/>
      <c r="G14" s="89"/>
      <c r="H14" s="89">
        <v>2</v>
      </c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108">
        <f t="shared" si="3"/>
        <v>0</v>
      </c>
      <c r="BR14" s="108">
        <f t="shared" si="2"/>
        <v>2</v>
      </c>
      <c r="BS14" s="2">
        <v>1.92</v>
      </c>
      <c r="BT14" s="141">
        <f t="shared" si="5"/>
        <v>230.39999999999998</v>
      </c>
      <c r="BU14" s="93">
        <v>115200</v>
      </c>
      <c r="BV14" s="94">
        <f t="shared" si="6"/>
        <v>26542079.999999996</v>
      </c>
    </row>
    <row r="15" spans="1:74" ht="15.75" customHeight="1" x14ac:dyDescent="0.25">
      <c r="A15" s="274"/>
      <c r="B15" s="92" t="s">
        <v>12291</v>
      </c>
      <c r="C15" s="75">
        <v>85</v>
      </c>
      <c r="D15" s="132">
        <f t="shared" si="4"/>
        <v>80</v>
      </c>
      <c r="E15" s="89"/>
      <c r="F15" s="89"/>
      <c r="G15" s="89"/>
      <c r="H15" s="89">
        <f>1+2</f>
        <v>3</v>
      </c>
      <c r="I15" s="89"/>
      <c r="J15" s="89">
        <v>2</v>
      </c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108">
        <f t="shared" si="3"/>
        <v>0</v>
      </c>
      <c r="BR15" s="108">
        <f t="shared" si="2"/>
        <v>5</v>
      </c>
      <c r="BS15" s="2">
        <v>1.92</v>
      </c>
      <c r="BT15" s="141">
        <f t="shared" si="5"/>
        <v>153.6</v>
      </c>
      <c r="BU15" s="93">
        <v>115200</v>
      </c>
      <c r="BV15" s="94">
        <f t="shared" si="6"/>
        <v>17694720</v>
      </c>
    </row>
    <row r="16" spans="1:74" ht="15.75" customHeight="1" x14ac:dyDescent="0.25">
      <c r="A16" s="275"/>
      <c r="B16" s="92" t="s">
        <v>12292</v>
      </c>
      <c r="C16" s="75">
        <v>160</v>
      </c>
      <c r="D16" s="132">
        <f t="shared" si="4"/>
        <v>158</v>
      </c>
      <c r="E16" s="89"/>
      <c r="F16" s="89"/>
      <c r="G16" s="89"/>
      <c r="H16" s="89">
        <v>2</v>
      </c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108">
        <f t="shared" si="3"/>
        <v>0</v>
      </c>
      <c r="BR16" s="108">
        <f t="shared" si="2"/>
        <v>2</v>
      </c>
      <c r="BS16" s="2">
        <v>1.92</v>
      </c>
      <c r="BT16" s="141">
        <f t="shared" si="5"/>
        <v>303.36</v>
      </c>
      <c r="BU16" s="93">
        <v>115200</v>
      </c>
      <c r="BV16" s="94">
        <f t="shared" si="6"/>
        <v>34947072</v>
      </c>
    </row>
    <row r="17" spans="1:74" ht="15.75" customHeight="1" x14ac:dyDescent="0.25">
      <c r="A17" s="275"/>
      <c r="B17" s="92"/>
      <c r="C17" s="75"/>
      <c r="D17" s="132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108"/>
      <c r="BR17" s="108"/>
      <c r="BS17" s="2"/>
      <c r="BT17" s="141"/>
      <c r="BU17" s="93"/>
      <c r="BV17" s="94"/>
    </row>
    <row r="18" spans="1:74" ht="15.75" customHeight="1" x14ac:dyDescent="0.25">
      <c r="A18" s="291" t="s">
        <v>217</v>
      </c>
      <c r="B18" s="92" t="s">
        <v>293</v>
      </c>
      <c r="C18" s="75">
        <v>17</v>
      </c>
      <c r="D18" s="132">
        <f t="shared" si="4"/>
        <v>17</v>
      </c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108">
        <f t="shared" si="3"/>
        <v>0</v>
      </c>
      <c r="BR18" s="108">
        <f t="shared" si="2"/>
        <v>0</v>
      </c>
      <c r="BS18" s="2">
        <v>1.92</v>
      </c>
      <c r="BT18" s="141">
        <f t="shared" si="5"/>
        <v>32.64</v>
      </c>
      <c r="BU18" s="93">
        <v>123800</v>
      </c>
      <c r="BV18" s="94">
        <f t="shared" si="6"/>
        <v>4040832</v>
      </c>
    </row>
    <row r="19" spans="1:74" ht="15" customHeight="1" x14ac:dyDescent="0.25">
      <c r="A19" s="291"/>
      <c r="B19" s="92" t="s">
        <v>294</v>
      </c>
      <c r="C19" s="75">
        <v>84</v>
      </c>
      <c r="D19" s="132">
        <f t="shared" si="4"/>
        <v>84</v>
      </c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108">
        <f t="shared" si="3"/>
        <v>0</v>
      </c>
      <c r="BR19" s="108">
        <f t="shared" si="2"/>
        <v>0</v>
      </c>
      <c r="BS19" s="2">
        <v>1.92</v>
      </c>
      <c r="BT19" s="141">
        <f t="shared" si="5"/>
        <v>161.28</v>
      </c>
      <c r="BU19" s="93">
        <v>123800</v>
      </c>
      <c r="BV19" s="94">
        <f t="shared" si="6"/>
        <v>19966464</v>
      </c>
    </row>
    <row r="20" spans="1:74" ht="15.75" customHeight="1" x14ac:dyDescent="0.25">
      <c r="A20" s="291"/>
      <c r="B20" s="92" t="s">
        <v>2074</v>
      </c>
      <c r="C20" s="75">
        <v>336</v>
      </c>
      <c r="D20" s="132">
        <f t="shared" si="4"/>
        <v>334</v>
      </c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>
        <v>2</v>
      </c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108">
        <f t="shared" si="3"/>
        <v>0</v>
      </c>
      <c r="BR20" s="108">
        <f t="shared" si="2"/>
        <v>2</v>
      </c>
      <c r="BS20" s="2">
        <v>1.92</v>
      </c>
      <c r="BT20" s="141">
        <f t="shared" ref="BT20" si="7">+BS20*D20</f>
        <v>641.28</v>
      </c>
      <c r="BU20" s="93">
        <v>90000</v>
      </c>
      <c r="BV20" s="94">
        <f t="shared" si="6"/>
        <v>57715200</v>
      </c>
    </row>
    <row r="21" spans="1:74" ht="15.75" customHeight="1" x14ac:dyDescent="0.25">
      <c r="A21" s="291"/>
      <c r="B21" s="92" t="s">
        <v>295</v>
      </c>
      <c r="C21" s="75">
        <v>14</v>
      </c>
      <c r="D21" s="132">
        <f t="shared" si="4"/>
        <v>14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108">
        <f t="shared" si="3"/>
        <v>0</v>
      </c>
      <c r="BR21" s="108">
        <f t="shared" si="2"/>
        <v>0</v>
      </c>
      <c r="BS21" s="2">
        <v>1.92</v>
      </c>
      <c r="BT21" s="141">
        <f t="shared" ref="BT21:BT73" si="8">+BS21*D21</f>
        <v>26.88</v>
      </c>
      <c r="BU21" s="93">
        <v>123800</v>
      </c>
      <c r="BV21" s="94">
        <f t="shared" ref="BV21:BV73" si="9">+BU21*BT21</f>
        <v>3327744</v>
      </c>
    </row>
    <row r="22" spans="1:74" ht="15.75" customHeight="1" x14ac:dyDescent="0.25">
      <c r="A22" s="291"/>
      <c r="B22" s="92" t="s">
        <v>296</v>
      </c>
      <c r="C22" s="75">
        <v>14</v>
      </c>
      <c r="D22" s="132">
        <f t="shared" si="4"/>
        <v>14</v>
      </c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108">
        <f t="shared" si="3"/>
        <v>0</v>
      </c>
      <c r="BR22" s="108">
        <f t="shared" si="2"/>
        <v>0</v>
      </c>
      <c r="BS22" s="2">
        <v>1.92</v>
      </c>
      <c r="BT22" s="141">
        <f t="shared" si="8"/>
        <v>26.88</v>
      </c>
      <c r="BU22" s="93">
        <v>123800</v>
      </c>
      <c r="BV22" s="94">
        <f t="shared" si="9"/>
        <v>3327744</v>
      </c>
    </row>
    <row r="23" spans="1:74" ht="15.75" customHeight="1" x14ac:dyDescent="0.25">
      <c r="A23" s="291"/>
      <c r="B23" s="92" t="s">
        <v>297</v>
      </c>
      <c r="C23" s="75">
        <v>31</v>
      </c>
      <c r="D23" s="132">
        <f t="shared" si="4"/>
        <v>31</v>
      </c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108">
        <f t="shared" si="3"/>
        <v>0</v>
      </c>
      <c r="BR23" s="108">
        <f t="shared" si="2"/>
        <v>0</v>
      </c>
      <c r="BS23" s="2">
        <v>1.92</v>
      </c>
      <c r="BT23" s="141">
        <f t="shared" si="8"/>
        <v>59.519999999999996</v>
      </c>
      <c r="BU23" s="93">
        <v>123800</v>
      </c>
      <c r="BV23" s="94">
        <f t="shared" si="9"/>
        <v>7368575.9999999991</v>
      </c>
    </row>
    <row r="24" spans="1:74" ht="15" customHeight="1" x14ac:dyDescent="0.25">
      <c r="A24" s="291"/>
      <c r="B24" s="92" t="s">
        <v>298</v>
      </c>
      <c r="C24" s="75">
        <v>140</v>
      </c>
      <c r="D24" s="132">
        <f t="shared" si="4"/>
        <v>140</v>
      </c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108">
        <f t="shared" si="3"/>
        <v>0</v>
      </c>
      <c r="BR24" s="108">
        <f t="shared" si="2"/>
        <v>0</v>
      </c>
      <c r="BS24" s="2">
        <v>1.92</v>
      </c>
      <c r="BT24" s="141">
        <f t="shared" si="8"/>
        <v>268.8</v>
      </c>
      <c r="BU24" s="93">
        <v>104500</v>
      </c>
      <c r="BV24" s="94">
        <f t="shared" si="9"/>
        <v>28089600</v>
      </c>
    </row>
    <row r="25" spans="1:74" ht="15.75" customHeight="1" x14ac:dyDescent="0.25">
      <c r="A25" s="291"/>
      <c r="B25" s="92" t="s">
        <v>299</v>
      </c>
      <c r="C25" s="75">
        <v>19</v>
      </c>
      <c r="D25" s="132">
        <f t="shared" si="4"/>
        <v>19</v>
      </c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108">
        <f t="shared" si="3"/>
        <v>0</v>
      </c>
      <c r="BR25" s="108">
        <f t="shared" si="2"/>
        <v>0</v>
      </c>
      <c r="BS25" s="2">
        <v>1.92</v>
      </c>
      <c r="BT25" s="141">
        <f t="shared" si="8"/>
        <v>36.479999999999997</v>
      </c>
      <c r="BU25" s="93">
        <v>100000</v>
      </c>
      <c r="BV25" s="94">
        <f t="shared" si="9"/>
        <v>3647999.9999999995</v>
      </c>
    </row>
    <row r="26" spans="1:74" ht="15.75" customHeight="1" x14ac:dyDescent="0.25">
      <c r="A26" s="291"/>
      <c r="B26" s="92" t="s">
        <v>300</v>
      </c>
      <c r="C26" s="75">
        <v>59</v>
      </c>
      <c r="D26" s="132">
        <f t="shared" si="4"/>
        <v>59</v>
      </c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108">
        <f t="shared" si="3"/>
        <v>0</v>
      </c>
      <c r="BR26" s="108">
        <f t="shared" si="2"/>
        <v>0</v>
      </c>
      <c r="BS26" s="2">
        <v>1.92</v>
      </c>
      <c r="BT26" s="141">
        <f t="shared" si="8"/>
        <v>113.28</v>
      </c>
      <c r="BU26" s="93">
        <v>90000</v>
      </c>
      <c r="BV26" s="94">
        <f t="shared" si="9"/>
        <v>10195200</v>
      </c>
    </row>
    <row r="27" spans="1:74" ht="15.75" customHeight="1" x14ac:dyDescent="0.25">
      <c r="A27" s="291"/>
      <c r="B27" s="92" t="s">
        <v>301</v>
      </c>
      <c r="C27" s="75">
        <v>9</v>
      </c>
      <c r="D27" s="132">
        <f t="shared" si="4"/>
        <v>9</v>
      </c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108">
        <f t="shared" si="3"/>
        <v>0</v>
      </c>
      <c r="BR27" s="108">
        <f t="shared" si="2"/>
        <v>0</v>
      </c>
      <c r="BS27" s="2">
        <v>1.92</v>
      </c>
      <c r="BT27" s="141">
        <f t="shared" si="8"/>
        <v>17.28</v>
      </c>
      <c r="BU27" s="93">
        <v>123800</v>
      </c>
      <c r="BV27" s="94">
        <f t="shared" si="9"/>
        <v>2139264</v>
      </c>
    </row>
    <row r="28" spans="1:74" ht="15.75" customHeight="1" x14ac:dyDescent="0.25">
      <c r="A28" s="291"/>
      <c r="B28" s="92" t="s">
        <v>302</v>
      </c>
      <c r="C28" s="75">
        <v>9</v>
      </c>
      <c r="D28" s="132">
        <f t="shared" si="4"/>
        <v>9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108">
        <f t="shared" si="3"/>
        <v>0</v>
      </c>
      <c r="BR28" s="108">
        <f t="shared" si="2"/>
        <v>0</v>
      </c>
      <c r="BS28" s="2">
        <v>1.92</v>
      </c>
      <c r="BT28" s="141">
        <f t="shared" si="8"/>
        <v>17.28</v>
      </c>
      <c r="BU28" s="93">
        <v>123800</v>
      </c>
      <c r="BV28" s="94">
        <f t="shared" si="9"/>
        <v>2139264</v>
      </c>
    </row>
    <row r="29" spans="1:74" ht="15.75" customHeight="1" x14ac:dyDescent="0.25">
      <c r="A29" s="291"/>
      <c r="B29" s="92" t="s">
        <v>303</v>
      </c>
      <c r="C29" s="75">
        <v>14</v>
      </c>
      <c r="D29" s="132">
        <f t="shared" si="4"/>
        <v>14</v>
      </c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108">
        <f t="shared" si="3"/>
        <v>0</v>
      </c>
      <c r="BR29" s="108">
        <f t="shared" si="2"/>
        <v>0</v>
      </c>
      <c r="BS29" s="2">
        <v>1.92</v>
      </c>
      <c r="BT29" s="141">
        <f t="shared" si="8"/>
        <v>26.88</v>
      </c>
      <c r="BU29" s="93">
        <v>100000</v>
      </c>
      <c r="BV29" s="94">
        <f t="shared" si="9"/>
        <v>2688000</v>
      </c>
    </row>
    <row r="30" spans="1:74" ht="15.75" customHeight="1" x14ac:dyDescent="0.25">
      <c r="A30" s="291"/>
      <c r="B30" s="92" t="s">
        <v>304</v>
      </c>
      <c r="C30" s="75">
        <v>13</v>
      </c>
      <c r="D30" s="132">
        <f t="shared" si="4"/>
        <v>13</v>
      </c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108">
        <f t="shared" si="3"/>
        <v>0</v>
      </c>
      <c r="BR30" s="108">
        <f t="shared" si="2"/>
        <v>0</v>
      </c>
      <c r="BS30" s="2">
        <v>1.92</v>
      </c>
      <c r="BT30" s="141">
        <f t="shared" si="8"/>
        <v>24.96</v>
      </c>
      <c r="BU30" s="93">
        <v>65000</v>
      </c>
      <c r="BV30" s="94">
        <f t="shared" si="9"/>
        <v>1622400</v>
      </c>
    </row>
    <row r="31" spans="1:74" ht="15.75" customHeight="1" x14ac:dyDescent="0.25">
      <c r="A31" s="291"/>
      <c r="B31" s="92" t="s">
        <v>305</v>
      </c>
      <c r="C31" s="75">
        <v>37</v>
      </c>
      <c r="D31" s="132">
        <f t="shared" si="4"/>
        <v>37</v>
      </c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108">
        <f t="shared" si="3"/>
        <v>0</v>
      </c>
      <c r="BR31" s="108">
        <f t="shared" si="2"/>
        <v>0</v>
      </c>
      <c r="BS31" s="2">
        <v>1.92</v>
      </c>
      <c r="BT31" s="141">
        <f t="shared" si="8"/>
        <v>71.039999999999992</v>
      </c>
      <c r="BU31" s="93">
        <v>123800</v>
      </c>
      <c r="BV31" s="94">
        <f t="shared" si="9"/>
        <v>8794751.9999999981</v>
      </c>
    </row>
    <row r="32" spans="1:74" ht="15.75" customHeight="1" x14ac:dyDescent="0.25">
      <c r="A32" s="291"/>
      <c r="B32" s="92" t="s">
        <v>306</v>
      </c>
      <c r="C32" s="75">
        <v>8</v>
      </c>
      <c r="D32" s="132">
        <f t="shared" si="4"/>
        <v>8</v>
      </c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108">
        <f t="shared" si="3"/>
        <v>0</v>
      </c>
      <c r="BR32" s="108">
        <f t="shared" si="2"/>
        <v>0</v>
      </c>
      <c r="BS32" s="2">
        <v>1.92</v>
      </c>
      <c r="BT32" s="141">
        <f t="shared" si="8"/>
        <v>15.36</v>
      </c>
      <c r="BU32" s="93">
        <v>104500</v>
      </c>
      <c r="BV32" s="94">
        <f t="shared" si="9"/>
        <v>1605120</v>
      </c>
    </row>
    <row r="33" spans="1:74" ht="15.75" customHeight="1" x14ac:dyDescent="0.25">
      <c r="A33" s="291"/>
      <c r="B33" s="92" t="s">
        <v>307</v>
      </c>
      <c r="C33" s="75">
        <v>260</v>
      </c>
      <c r="D33" s="132">
        <f t="shared" si="4"/>
        <v>260</v>
      </c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108">
        <f t="shared" si="3"/>
        <v>0</v>
      </c>
      <c r="BR33" s="108">
        <f t="shared" si="2"/>
        <v>0</v>
      </c>
      <c r="BS33" s="2">
        <v>1.92</v>
      </c>
      <c r="BT33" s="141">
        <f t="shared" si="8"/>
        <v>499.2</v>
      </c>
      <c r="BU33" s="93">
        <v>123800</v>
      </c>
      <c r="BV33" s="94">
        <f t="shared" si="9"/>
        <v>61800960</v>
      </c>
    </row>
    <row r="34" spans="1:74" ht="15.75" customHeight="1" x14ac:dyDescent="0.25">
      <c r="A34" s="291"/>
      <c r="B34" s="92" t="s">
        <v>2157</v>
      </c>
      <c r="C34" s="75">
        <v>37</v>
      </c>
      <c r="D34" s="132">
        <f t="shared" si="4"/>
        <v>37</v>
      </c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108">
        <f t="shared" si="3"/>
        <v>0</v>
      </c>
      <c r="BR34" s="108">
        <f t="shared" si="2"/>
        <v>0</v>
      </c>
      <c r="BS34" s="2">
        <v>1.92</v>
      </c>
      <c r="BT34" s="141">
        <f t="shared" si="8"/>
        <v>71.039999999999992</v>
      </c>
      <c r="BU34" s="93">
        <v>90000</v>
      </c>
      <c r="BV34" s="94">
        <f t="shared" si="9"/>
        <v>6393599.9999999991</v>
      </c>
    </row>
    <row r="35" spans="1:74" x14ac:dyDescent="0.25">
      <c r="A35" s="78"/>
      <c r="B35" s="95"/>
      <c r="C35" s="75">
        <v>0</v>
      </c>
      <c r="D35" s="132">
        <f t="shared" si="4"/>
        <v>0</v>
      </c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108">
        <f t="shared" si="3"/>
        <v>0</v>
      </c>
      <c r="BR35" s="108">
        <f t="shared" si="2"/>
        <v>0</v>
      </c>
      <c r="BS35" s="2"/>
      <c r="BT35" s="141">
        <f t="shared" si="8"/>
        <v>0</v>
      </c>
      <c r="BU35" s="93"/>
      <c r="BV35" s="94">
        <f t="shared" si="9"/>
        <v>0</v>
      </c>
    </row>
    <row r="36" spans="1:74" ht="18" customHeight="1" x14ac:dyDescent="0.25">
      <c r="A36" s="290" t="s">
        <v>190</v>
      </c>
      <c r="B36" s="92" t="s">
        <v>308</v>
      </c>
      <c r="C36" s="75">
        <v>194.03300000000002</v>
      </c>
      <c r="D36" s="132">
        <f t="shared" si="4"/>
        <v>194.03300000000002</v>
      </c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108">
        <f t="shared" si="3"/>
        <v>0</v>
      </c>
      <c r="BR36" s="108">
        <f t="shared" si="2"/>
        <v>0</v>
      </c>
      <c r="BS36" s="2">
        <v>1.92</v>
      </c>
      <c r="BT36" s="141">
        <f t="shared" si="8"/>
        <v>372.54336000000001</v>
      </c>
      <c r="BU36" s="93">
        <v>115810</v>
      </c>
      <c r="BV36" s="94">
        <f t="shared" si="9"/>
        <v>43144246.521600001</v>
      </c>
    </row>
    <row r="37" spans="1:74" ht="0.75" customHeight="1" x14ac:dyDescent="0.25">
      <c r="A37" s="291"/>
      <c r="B37" s="92" t="s">
        <v>309</v>
      </c>
      <c r="C37" s="75">
        <v>0</v>
      </c>
      <c r="D37" s="132">
        <f t="shared" si="4"/>
        <v>0</v>
      </c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108">
        <f t="shared" si="3"/>
        <v>0</v>
      </c>
      <c r="BR37" s="108">
        <f t="shared" si="2"/>
        <v>0</v>
      </c>
      <c r="BS37" s="2">
        <v>1.92</v>
      </c>
      <c r="BT37" s="141">
        <f t="shared" si="8"/>
        <v>0</v>
      </c>
      <c r="BU37" s="93">
        <v>95210</v>
      </c>
      <c r="BV37" s="94">
        <f t="shared" si="9"/>
        <v>0</v>
      </c>
    </row>
    <row r="38" spans="1:74" ht="18" customHeight="1" x14ac:dyDescent="0.25">
      <c r="A38" s="291"/>
      <c r="B38" s="92" t="s">
        <v>310</v>
      </c>
      <c r="C38" s="75">
        <v>105</v>
      </c>
      <c r="D38" s="132">
        <f t="shared" si="4"/>
        <v>105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108">
        <f t="shared" si="3"/>
        <v>0</v>
      </c>
      <c r="BR38" s="108">
        <f t="shared" si="2"/>
        <v>0</v>
      </c>
      <c r="BS38" s="2">
        <v>1.92</v>
      </c>
      <c r="BT38" s="141">
        <f t="shared" si="8"/>
        <v>201.6</v>
      </c>
      <c r="BU38" s="93">
        <v>115810</v>
      </c>
      <c r="BV38" s="94">
        <f t="shared" si="9"/>
        <v>23347296</v>
      </c>
    </row>
    <row r="39" spans="1:74" ht="18" customHeight="1" x14ac:dyDescent="0.25">
      <c r="A39" s="291"/>
      <c r="B39" s="92" t="s">
        <v>311</v>
      </c>
      <c r="C39" s="75">
        <v>20</v>
      </c>
      <c r="D39" s="132">
        <f t="shared" si="4"/>
        <v>20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108">
        <f t="shared" si="3"/>
        <v>0</v>
      </c>
      <c r="BR39" s="108">
        <f t="shared" si="2"/>
        <v>0</v>
      </c>
      <c r="BS39" s="2">
        <v>1.92</v>
      </c>
      <c r="BT39" s="141">
        <f t="shared" si="8"/>
        <v>38.4</v>
      </c>
      <c r="BU39" s="93">
        <v>95210</v>
      </c>
      <c r="BV39" s="94">
        <f t="shared" si="9"/>
        <v>3656064</v>
      </c>
    </row>
    <row r="40" spans="1:74" ht="15.75" customHeight="1" x14ac:dyDescent="0.25">
      <c r="A40" s="291"/>
      <c r="B40" s="92" t="s">
        <v>312</v>
      </c>
      <c r="C40" s="75">
        <v>186</v>
      </c>
      <c r="D40" s="132">
        <f t="shared" si="4"/>
        <v>186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7"/>
      <c r="BP40" s="87"/>
      <c r="BQ40" s="108">
        <f t="shared" si="3"/>
        <v>0</v>
      </c>
      <c r="BR40" s="108">
        <f t="shared" si="2"/>
        <v>0</v>
      </c>
      <c r="BS40" s="2">
        <v>1.92</v>
      </c>
      <c r="BT40" s="141">
        <f t="shared" si="8"/>
        <v>357.12</v>
      </c>
      <c r="BU40" s="93">
        <v>115810</v>
      </c>
      <c r="BV40" s="94">
        <f t="shared" si="9"/>
        <v>41358067.200000003</v>
      </c>
    </row>
    <row r="41" spans="1:74" ht="18" hidden="1" customHeight="1" x14ac:dyDescent="0.25">
      <c r="A41" s="291"/>
      <c r="B41" s="92" t="s">
        <v>313</v>
      </c>
      <c r="C41" s="75">
        <v>0</v>
      </c>
      <c r="D41" s="132">
        <f t="shared" si="4"/>
        <v>0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7"/>
      <c r="BP41" s="87"/>
      <c r="BQ41" s="108">
        <f t="shared" si="3"/>
        <v>0</v>
      </c>
      <c r="BR41" s="108">
        <f t="shared" si="2"/>
        <v>0</v>
      </c>
      <c r="BS41" s="2">
        <v>1.92</v>
      </c>
      <c r="BT41" s="141">
        <f t="shared" si="8"/>
        <v>0</v>
      </c>
      <c r="BU41" s="93">
        <v>95210</v>
      </c>
      <c r="BV41" s="94">
        <f t="shared" si="9"/>
        <v>0</v>
      </c>
    </row>
    <row r="42" spans="1:74" ht="16.5" customHeight="1" x14ac:dyDescent="0.25">
      <c r="A42" s="291"/>
      <c r="B42" s="92" t="s">
        <v>314</v>
      </c>
      <c r="C42" s="75">
        <v>147</v>
      </c>
      <c r="D42" s="132">
        <f t="shared" si="4"/>
        <v>86</v>
      </c>
      <c r="E42" s="89"/>
      <c r="F42" s="89"/>
      <c r="G42" s="89"/>
      <c r="H42" s="89">
        <f>55+6</f>
        <v>61</v>
      </c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108">
        <f t="shared" si="3"/>
        <v>0</v>
      </c>
      <c r="BR42" s="108">
        <f t="shared" si="2"/>
        <v>61</v>
      </c>
      <c r="BS42" s="2">
        <v>1.92</v>
      </c>
      <c r="BT42" s="141">
        <f t="shared" si="8"/>
        <v>165.12</v>
      </c>
      <c r="BU42" s="93">
        <v>115810</v>
      </c>
      <c r="BV42" s="94">
        <f t="shared" si="9"/>
        <v>19122547.199999999</v>
      </c>
    </row>
    <row r="43" spans="1:74" ht="16.5" customHeight="1" x14ac:dyDescent="0.25">
      <c r="A43" s="291"/>
      <c r="B43" s="92" t="s">
        <v>12301</v>
      </c>
      <c r="C43" s="75">
        <v>73</v>
      </c>
      <c r="D43" s="132">
        <f t="shared" si="4"/>
        <v>73</v>
      </c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108">
        <f t="shared" si="3"/>
        <v>0</v>
      </c>
      <c r="BR43" s="108">
        <f t="shared" si="2"/>
        <v>0</v>
      </c>
      <c r="BS43" s="2">
        <v>1.92</v>
      </c>
      <c r="BT43" s="141">
        <f t="shared" si="8"/>
        <v>140.16</v>
      </c>
      <c r="BU43" s="93">
        <v>90000</v>
      </c>
      <c r="BV43" s="94">
        <f t="shared" si="9"/>
        <v>12614400</v>
      </c>
    </row>
    <row r="44" spans="1:74" ht="15.75" customHeight="1" x14ac:dyDescent="0.25">
      <c r="A44" s="291"/>
      <c r="B44" s="92" t="s">
        <v>2223</v>
      </c>
      <c r="C44" s="75">
        <v>63</v>
      </c>
      <c r="D44" s="132">
        <f t="shared" si="4"/>
        <v>63</v>
      </c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108">
        <f t="shared" si="3"/>
        <v>0</v>
      </c>
      <c r="BR44" s="108">
        <f t="shared" si="2"/>
        <v>0</v>
      </c>
      <c r="BS44" s="2">
        <v>1.92</v>
      </c>
      <c r="BT44" s="141">
        <f t="shared" si="8"/>
        <v>120.96</v>
      </c>
      <c r="BU44" s="93">
        <v>115810</v>
      </c>
      <c r="BV44" s="94">
        <f t="shared" si="9"/>
        <v>14008377.6</v>
      </c>
    </row>
    <row r="45" spans="1:74" ht="18" customHeight="1" x14ac:dyDescent="0.25">
      <c r="A45" s="291"/>
      <c r="B45" s="92" t="s">
        <v>4267</v>
      </c>
      <c r="C45" s="75">
        <v>107</v>
      </c>
      <c r="D45" s="132">
        <f t="shared" si="4"/>
        <v>107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108">
        <f t="shared" si="3"/>
        <v>0</v>
      </c>
      <c r="BR45" s="108">
        <f t="shared" si="2"/>
        <v>0</v>
      </c>
      <c r="BS45" s="2">
        <v>1.92</v>
      </c>
      <c r="BT45" s="141">
        <f t="shared" si="8"/>
        <v>205.44</v>
      </c>
      <c r="BU45" s="93">
        <v>115000</v>
      </c>
      <c r="BV45" s="94">
        <f t="shared" si="9"/>
        <v>23625600</v>
      </c>
    </row>
    <row r="46" spans="1:74" ht="18" customHeight="1" x14ac:dyDescent="0.25">
      <c r="A46" s="291"/>
      <c r="B46" s="92" t="s">
        <v>2230</v>
      </c>
      <c r="C46" s="75">
        <v>222.32999999999998</v>
      </c>
      <c r="D46" s="132">
        <f t="shared" si="4"/>
        <v>222.32999999999998</v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108">
        <f t="shared" si="3"/>
        <v>0</v>
      </c>
      <c r="BR46" s="108">
        <f t="shared" si="2"/>
        <v>0</v>
      </c>
      <c r="BS46" s="2">
        <v>1.92</v>
      </c>
      <c r="BT46" s="141">
        <f t="shared" si="8"/>
        <v>426.87359999999995</v>
      </c>
      <c r="BU46" s="93">
        <v>95210</v>
      </c>
      <c r="BV46" s="94">
        <f t="shared" si="9"/>
        <v>40642635.455999993</v>
      </c>
    </row>
    <row r="47" spans="1:74" ht="18" customHeight="1" x14ac:dyDescent="0.25">
      <c r="A47" s="292"/>
      <c r="B47" s="92" t="s">
        <v>2269</v>
      </c>
      <c r="C47" s="75">
        <v>79</v>
      </c>
      <c r="D47" s="132">
        <f t="shared" si="4"/>
        <v>79</v>
      </c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108">
        <f t="shared" si="3"/>
        <v>0</v>
      </c>
      <c r="BR47" s="108">
        <f t="shared" si="2"/>
        <v>0</v>
      </c>
      <c r="BS47" s="2">
        <v>1.92</v>
      </c>
      <c r="BT47" s="141">
        <f t="shared" si="8"/>
        <v>151.68</v>
      </c>
      <c r="BU47" s="93">
        <v>115810</v>
      </c>
      <c r="BV47" s="94">
        <f t="shared" si="9"/>
        <v>17566060.800000001</v>
      </c>
    </row>
    <row r="48" spans="1:74" ht="18" customHeight="1" x14ac:dyDescent="0.25">
      <c r="A48" s="78"/>
      <c r="B48" s="95"/>
      <c r="C48" s="75">
        <v>0</v>
      </c>
      <c r="D48" s="132">
        <f t="shared" si="4"/>
        <v>0</v>
      </c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108">
        <f t="shared" si="3"/>
        <v>0</v>
      </c>
      <c r="BR48" s="108">
        <f t="shared" si="2"/>
        <v>0</v>
      </c>
      <c r="BS48" s="2"/>
      <c r="BT48" s="141">
        <f t="shared" si="8"/>
        <v>0</v>
      </c>
      <c r="BU48" s="93"/>
      <c r="BV48" s="94">
        <f t="shared" si="9"/>
        <v>0</v>
      </c>
    </row>
    <row r="49" spans="1:74" ht="18" customHeight="1" x14ac:dyDescent="0.25">
      <c r="A49" s="290" t="s">
        <v>216</v>
      </c>
      <c r="B49" s="92" t="s">
        <v>315</v>
      </c>
      <c r="C49" s="75">
        <v>69</v>
      </c>
      <c r="D49" s="132">
        <f t="shared" si="4"/>
        <v>69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108">
        <f t="shared" si="3"/>
        <v>0</v>
      </c>
      <c r="BR49" s="108">
        <f t="shared" si="2"/>
        <v>0</v>
      </c>
      <c r="BS49" s="2">
        <v>1.44</v>
      </c>
      <c r="BT49" s="141">
        <f t="shared" si="8"/>
        <v>99.36</v>
      </c>
      <c r="BU49" s="93">
        <v>109900</v>
      </c>
      <c r="BV49" s="94">
        <f t="shared" si="9"/>
        <v>10919664</v>
      </c>
    </row>
    <row r="50" spans="1:74" ht="18" customHeight="1" x14ac:dyDescent="0.25">
      <c r="A50" s="291"/>
      <c r="B50" s="92" t="s">
        <v>316</v>
      </c>
      <c r="C50" s="75">
        <v>27</v>
      </c>
      <c r="D50" s="132">
        <f t="shared" si="4"/>
        <v>27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108">
        <f t="shared" si="3"/>
        <v>0</v>
      </c>
      <c r="BR50" s="108">
        <f t="shared" si="2"/>
        <v>0</v>
      </c>
      <c r="BS50" s="2">
        <v>1.44</v>
      </c>
      <c r="BT50" s="141">
        <f t="shared" si="8"/>
        <v>38.879999999999995</v>
      </c>
      <c r="BU50" s="93">
        <v>109900</v>
      </c>
      <c r="BV50" s="94">
        <f t="shared" si="9"/>
        <v>4272911.9999999991</v>
      </c>
    </row>
    <row r="51" spans="1:74" ht="18" customHeight="1" x14ac:dyDescent="0.25">
      <c r="A51" s="291"/>
      <c r="B51" s="92" t="s">
        <v>317</v>
      </c>
      <c r="C51" s="75">
        <v>3.5</v>
      </c>
      <c r="D51" s="132">
        <f t="shared" si="4"/>
        <v>3.5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108">
        <f t="shared" si="3"/>
        <v>0</v>
      </c>
      <c r="BR51" s="108">
        <f t="shared" si="2"/>
        <v>0</v>
      </c>
      <c r="BS51" s="2">
        <v>1.44</v>
      </c>
      <c r="BT51" s="141">
        <f t="shared" si="8"/>
        <v>5.04</v>
      </c>
      <c r="BU51" s="93">
        <v>109900</v>
      </c>
      <c r="BV51" s="94">
        <f t="shared" si="9"/>
        <v>553896</v>
      </c>
    </row>
    <row r="52" spans="1:74" ht="18" customHeight="1" x14ac:dyDescent="0.25">
      <c r="A52" s="291"/>
      <c r="B52" s="92" t="s">
        <v>318</v>
      </c>
      <c r="C52" s="75">
        <v>380</v>
      </c>
      <c r="D52" s="132">
        <f t="shared" si="4"/>
        <v>380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108">
        <f t="shared" si="3"/>
        <v>0</v>
      </c>
      <c r="BR52" s="108">
        <f t="shared" si="2"/>
        <v>0</v>
      </c>
      <c r="BS52" s="2">
        <v>1.44</v>
      </c>
      <c r="BT52" s="141">
        <f t="shared" si="8"/>
        <v>547.19999999999993</v>
      </c>
      <c r="BU52" s="93">
        <v>109900</v>
      </c>
      <c r="BV52" s="94">
        <f t="shared" si="9"/>
        <v>60137279.999999993</v>
      </c>
    </row>
    <row r="53" spans="1:74" ht="18" customHeight="1" x14ac:dyDescent="0.25">
      <c r="A53" s="291"/>
      <c r="B53" s="92" t="s">
        <v>319</v>
      </c>
      <c r="C53" s="75">
        <v>32.75</v>
      </c>
      <c r="D53" s="132">
        <f t="shared" si="4"/>
        <v>32.75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108">
        <f t="shared" si="3"/>
        <v>0</v>
      </c>
      <c r="BR53" s="108">
        <f t="shared" si="2"/>
        <v>0</v>
      </c>
      <c r="BS53" s="2">
        <v>1.44</v>
      </c>
      <c r="BT53" s="141">
        <f t="shared" si="8"/>
        <v>47.16</v>
      </c>
      <c r="BU53" s="93">
        <v>109900</v>
      </c>
      <c r="BV53" s="94">
        <f t="shared" si="9"/>
        <v>5182884</v>
      </c>
    </row>
    <row r="54" spans="1:74" ht="18" customHeight="1" x14ac:dyDescent="0.25">
      <c r="A54" s="291"/>
      <c r="B54" s="92" t="s">
        <v>320</v>
      </c>
      <c r="C54" s="75">
        <v>9</v>
      </c>
      <c r="D54" s="132">
        <f t="shared" si="4"/>
        <v>9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108">
        <f t="shared" si="3"/>
        <v>0</v>
      </c>
      <c r="BR54" s="108">
        <f t="shared" si="2"/>
        <v>0</v>
      </c>
      <c r="BS54" s="2">
        <v>1.44</v>
      </c>
      <c r="BT54" s="141">
        <f t="shared" si="8"/>
        <v>12.959999999999999</v>
      </c>
      <c r="BU54" s="93">
        <v>109900</v>
      </c>
      <c r="BV54" s="94">
        <f t="shared" si="9"/>
        <v>1424304</v>
      </c>
    </row>
    <row r="55" spans="1:74" ht="18" customHeight="1" x14ac:dyDescent="0.25">
      <c r="A55" s="291"/>
      <c r="B55" s="92" t="s">
        <v>321</v>
      </c>
      <c r="C55" s="75">
        <v>36</v>
      </c>
      <c r="D55" s="132">
        <f t="shared" si="4"/>
        <v>36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108">
        <f t="shared" si="3"/>
        <v>0</v>
      </c>
      <c r="BR55" s="108">
        <f t="shared" si="2"/>
        <v>0</v>
      </c>
      <c r="BS55" s="2">
        <v>1.44</v>
      </c>
      <c r="BT55" s="141">
        <f t="shared" si="8"/>
        <v>51.839999999999996</v>
      </c>
      <c r="BU55" s="93">
        <v>85800</v>
      </c>
      <c r="BV55" s="94">
        <f t="shared" si="9"/>
        <v>4447872</v>
      </c>
    </row>
    <row r="56" spans="1:74" ht="18" customHeight="1" x14ac:dyDescent="0.25">
      <c r="A56" s="291"/>
      <c r="B56" s="92" t="s">
        <v>322</v>
      </c>
      <c r="C56" s="75">
        <v>73</v>
      </c>
      <c r="D56" s="132">
        <f t="shared" si="4"/>
        <v>73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108">
        <f t="shared" si="3"/>
        <v>0</v>
      </c>
      <c r="BR56" s="108">
        <f t="shared" si="2"/>
        <v>0</v>
      </c>
      <c r="BS56" s="2">
        <v>1.44</v>
      </c>
      <c r="BT56" s="141">
        <f t="shared" si="8"/>
        <v>105.11999999999999</v>
      </c>
      <c r="BU56" s="93">
        <v>109900</v>
      </c>
      <c r="BV56" s="94">
        <f t="shared" si="9"/>
        <v>11552687.999999998</v>
      </c>
    </row>
    <row r="57" spans="1:74" ht="18" customHeight="1" x14ac:dyDescent="0.25">
      <c r="A57" s="291"/>
      <c r="B57" s="92" t="s">
        <v>323</v>
      </c>
      <c r="C57" s="75">
        <v>138</v>
      </c>
      <c r="D57" s="132">
        <f t="shared" si="4"/>
        <v>138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108">
        <f t="shared" si="3"/>
        <v>0</v>
      </c>
      <c r="BR57" s="108">
        <f t="shared" si="2"/>
        <v>0</v>
      </c>
      <c r="BS57" s="2">
        <v>1.44</v>
      </c>
      <c r="BT57" s="141">
        <f t="shared" si="8"/>
        <v>198.72</v>
      </c>
      <c r="BU57" s="93">
        <v>109900</v>
      </c>
      <c r="BV57" s="94">
        <f t="shared" si="9"/>
        <v>21839328</v>
      </c>
    </row>
    <row r="58" spans="1:74" ht="18" customHeight="1" x14ac:dyDescent="0.25">
      <c r="A58" s="291"/>
      <c r="B58" s="92" t="s">
        <v>324</v>
      </c>
      <c r="C58" s="75">
        <v>63</v>
      </c>
      <c r="D58" s="132">
        <f t="shared" si="4"/>
        <v>63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108">
        <f t="shared" si="3"/>
        <v>0</v>
      </c>
      <c r="BR58" s="108">
        <f t="shared" si="2"/>
        <v>0</v>
      </c>
      <c r="BS58" s="2">
        <v>1.44</v>
      </c>
      <c r="BT58" s="141">
        <f t="shared" si="8"/>
        <v>90.72</v>
      </c>
      <c r="BU58" s="93">
        <v>109900</v>
      </c>
      <c r="BV58" s="94">
        <f t="shared" si="9"/>
        <v>9970128</v>
      </c>
    </row>
    <row r="59" spans="1:74" ht="18" customHeight="1" x14ac:dyDescent="0.25">
      <c r="A59" s="292"/>
      <c r="B59" s="92" t="s">
        <v>325</v>
      </c>
      <c r="C59" s="75">
        <v>35</v>
      </c>
      <c r="D59" s="132">
        <f t="shared" si="4"/>
        <v>35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108">
        <f t="shared" si="3"/>
        <v>0</v>
      </c>
      <c r="BR59" s="108">
        <f t="shared" si="2"/>
        <v>0</v>
      </c>
      <c r="BS59" s="2">
        <v>1.44</v>
      </c>
      <c r="BT59" s="141">
        <f t="shared" si="8"/>
        <v>50.4</v>
      </c>
      <c r="BU59" s="93">
        <v>109900</v>
      </c>
      <c r="BV59" s="94">
        <f t="shared" si="9"/>
        <v>5538960</v>
      </c>
    </row>
    <row r="60" spans="1:74" ht="18" customHeight="1" x14ac:dyDescent="0.25">
      <c r="A60" s="290" t="s">
        <v>218</v>
      </c>
      <c r="B60" s="92" t="s">
        <v>326</v>
      </c>
      <c r="C60" s="75">
        <v>17</v>
      </c>
      <c r="D60" s="132">
        <f t="shared" si="4"/>
        <v>17</v>
      </c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108">
        <f t="shared" si="3"/>
        <v>0</v>
      </c>
      <c r="BR60" s="108">
        <f t="shared" si="2"/>
        <v>0</v>
      </c>
      <c r="BS60" s="2">
        <v>1.44</v>
      </c>
      <c r="BT60" s="141">
        <f t="shared" si="8"/>
        <v>24.48</v>
      </c>
      <c r="BU60" s="93">
        <v>105360</v>
      </c>
      <c r="BV60" s="94">
        <f t="shared" si="9"/>
        <v>2579212.7999999998</v>
      </c>
    </row>
    <row r="61" spans="1:74" ht="18" customHeight="1" x14ac:dyDescent="0.25">
      <c r="A61" s="291"/>
      <c r="B61" s="92" t="s">
        <v>327</v>
      </c>
      <c r="C61" s="75">
        <v>21</v>
      </c>
      <c r="D61" s="132">
        <f t="shared" si="4"/>
        <v>21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108">
        <f t="shared" si="3"/>
        <v>0</v>
      </c>
      <c r="BR61" s="108">
        <f t="shared" si="2"/>
        <v>0</v>
      </c>
      <c r="BS61" s="2">
        <v>1.44</v>
      </c>
      <c r="BT61" s="141">
        <f t="shared" si="8"/>
        <v>30.24</v>
      </c>
      <c r="BU61" s="93">
        <v>105360</v>
      </c>
      <c r="BV61" s="94">
        <f t="shared" si="9"/>
        <v>3186086.4</v>
      </c>
    </row>
    <row r="62" spans="1:74" ht="18" customHeight="1" x14ac:dyDescent="0.25">
      <c r="A62" s="291"/>
      <c r="B62" s="92" t="s">
        <v>328</v>
      </c>
      <c r="C62" s="75">
        <v>15</v>
      </c>
      <c r="D62" s="132">
        <f t="shared" si="4"/>
        <v>15</v>
      </c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108">
        <f t="shared" si="3"/>
        <v>0</v>
      </c>
      <c r="BR62" s="108">
        <f t="shared" si="2"/>
        <v>0</v>
      </c>
      <c r="BS62" s="2">
        <v>1.44</v>
      </c>
      <c r="BT62" s="141">
        <f t="shared" si="8"/>
        <v>21.599999999999998</v>
      </c>
      <c r="BU62" s="93">
        <v>87850</v>
      </c>
      <c r="BV62" s="94">
        <f t="shared" si="9"/>
        <v>1897559.9999999998</v>
      </c>
    </row>
    <row r="63" spans="1:74" ht="18" customHeight="1" x14ac:dyDescent="0.25">
      <c r="A63" s="291"/>
      <c r="B63" s="92" t="s">
        <v>329</v>
      </c>
      <c r="C63" s="75">
        <v>66.75</v>
      </c>
      <c r="D63" s="132">
        <f t="shared" si="4"/>
        <v>66.75</v>
      </c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108">
        <f t="shared" si="3"/>
        <v>0</v>
      </c>
      <c r="BR63" s="108">
        <f t="shared" si="2"/>
        <v>0</v>
      </c>
      <c r="BS63" s="2">
        <v>1.44</v>
      </c>
      <c r="BT63" s="141">
        <f t="shared" si="8"/>
        <v>96.11999999999999</v>
      </c>
      <c r="BU63" s="93">
        <v>105360</v>
      </c>
      <c r="BV63" s="94">
        <f t="shared" si="9"/>
        <v>10127203.199999999</v>
      </c>
    </row>
    <row r="64" spans="1:74" ht="18" hidden="1" customHeight="1" x14ac:dyDescent="0.25">
      <c r="A64" s="291"/>
      <c r="B64" s="92" t="s">
        <v>330</v>
      </c>
      <c r="C64" s="75">
        <v>0</v>
      </c>
      <c r="D64" s="132">
        <f t="shared" si="4"/>
        <v>0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108">
        <f t="shared" si="3"/>
        <v>0</v>
      </c>
      <c r="BR64" s="108">
        <f t="shared" si="2"/>
        <v>0</v>
      </c>
      <c r="BS64" s="2">
        <v>1.44</v>
      </c>
      <c r="BT64" s="141">
        <f t="shared" si="8"/>
        <v>0</v>
      </c>
      <c r="BU64" s="93">
        <v>87850</v>
      </c>
      <c r="BV64" s="94">
        <f t="shared" si="9"/>
        <v>0</v>
      </c>
    </row>
    <row r="65" spans="1:74" ht="18" customHeight="1" x14ac:dyDescent="0.25">
      <c r="A65" s="291"/>
      <c r="B65" s="92" t="s">
        <v>331</v>
      </c>
      <c r="C65" s="75">
        <v>10</v>
      </c>
      <c r="D65" s="132">
        <f t="shared" si="4"/>
        <v>10</v>
      </c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108">
        <f t="shared" si="3"/>
        <v>0</v>
      </c>
      <c r="BR65" s="108">
        <f t="shared" si="2"/>
        <v>0</v>
      </c>
      <c r="BS65" s="2">
        <v>1.44</v>
      </c>
      <c r="BT65" s="141">
        <f t="shared" si="8"/>
        <v>14.399999999999999</v>
      </c>
      <c r="BU65" s="93">
        <v>105360</v>
      </c>
      <c r="BV65" s="94">
        <f t="shared" si="9"/>
        <v>1517183.9999999998</v>
      </c>
    </row>
    <row r="66" spans="1:74" ht="18" customHeight="1" x14ac:dyDescent="0.25">
      <c r="A66" s="291"/>
      <c r="B66" s="92" t="s">
        <v>2232</v>
      </c>
      <c r="C66" s="75">
        <v>52.5</v>
      </c>
      <c r="D66" s="132">
        <f t="shared" si="4"/>
        <v>52.5</v>
      </c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108">
        <f t="shared" si="3"/>
        <v>0</v>
      </c>
      <c r="BR66" s="108">
        <f t="shared" si="2"/>
        <v>0</v>
      </c>
      <c r="BS66" s="2">
        <v>1.44</v>
      </c>
      <c r="BT66" s="141">
        <f t="shared" si="8"/>
        <v>75.599999999999994</v>
      </c>
      <c r="BU66" s="93">
        <v>105360</v>
      </c>
      <c r="BV66" s="94">
        <f t="shared" si="9"/>
        <v>7965215.9999999991</v>
      </c>
    </row>
    <row r="67" spans="1:74" ht="18" hidden="1" customHeight="1" x14ac:dyDescent="0.25">
      <c r="A67" s="292"/>
      <c r="B67" s="92" t="s">
        <v>2233</v>
      </c>
      <c r="C67" s="75">
        <v>0</v>
      </c>
      <c r="D67" s="132">
        <f t="shared" si="4"/>
        <v>0</v>
      </c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108">
        <f t="shared" si="3"/>
        <v>0</v>
      </c>
      <c r="BR67" s="108">
        <f t="shared" si="2"/>
        <v>0</v>
      </c>
      <c r="BS67" s="2">
        <v>1.44</v>
      </c>
      <c r="BT67" s="141">
        <f t="shared" si="8"/>
        <v>0</v>
      </c>
      <c r="BU67" s="93">
        <v>87850</v>
      </c>
      <c r="BV67" s="94">
        <f t="shared" si="9"/>
        <v>0</v>
      </c>
    </row>
    <row r="68" spans="1:74" ht="18" customHeight="1" x14ac:dyDescent="0.25">
      <c r="A68" s="78"/>
      <c r="B68" s="96"/>
      <c r="C68" s="75">
        <v>0</v>
      </c>
      <c r="D68" s="132">
        <f t="shared" si="4"/>
        <v>0</v>
      </c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108">
        <f t="shared" si="3"/>
        <v>0</v>
      </c>
      <c r="BR68" s="108">
        <f t="shared" si="2"/>
        <v>0</v>
      </c>
      <c r="BS68" s="2"/>
      <c r="BT68" s="141">
        <f t="shared" si="8"/>
        <v>0</v>
      </c>
      <c r="BU68" s="93"/>
      <c r="BV68" s="94">
        <f t="shared" si="9"/>
        <v>0</v>
      </c>
    </row>
    <row r="69" spans="1:74" ht="18" customHeight="1" x14ac:dyDescent="0.25">
      <c r="A69" s="290" t="s">
        <v>219</v>
      </c>
      <c r="B69" s="92" t="s">
        <v>191</v>
      </c>
      <c r="C69" s="75">
        <v>186.5</v>
      </c>
      <c r="D69" s="132">
        <f t="shared" si="4"/>
        <v>167.5</v>
      </c>
      <c r="E69" s="89"/>
      <c r="F69" s="89">
        <v>19</v>
      </c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89"/>
      <c r="BO69" s="89"/>
      <c r="BP69" s="89"/>
      <c r="BQ69" s="108">
        <f t="shared" ref="BQ69:BR132" si="10">+E69+G69+I69+K69+M69+O69+Q69+S69+U69+W69+Y69+AA69+AC69+AE69+AG69+AI69+AK69+AM69+AO69+AQ69+AS69+AU69+AW69+AY69+BA69+BC69+BE69+BG69+BI69+BK69+BM69+BO69</f>
        <v>0</v>
      </c>
      <c r="BR69" s="108">
        <f t="shared" si="2"/>
        <v>19</v>
      </c>
      <c r="BS69" s="2">
        <v>1.44</v>
      </c>
      <c r="BT69" s="141">
        <f t="shared" si="8"/>
        <v>241.2</v>
      </c>
      <c r="BU69" s="93">
        <v>71000</v>
      </c>
      <c r="BV69" s="94">
        <f t="shared" si="9"/>
        <v>17125200</v>
      </c>
    </row>
    <row r="70" spans="1:74" ht="18" customHeight="1" x14ac:dyDescent="0.25">
      <c r="A70" s="291"/>
      <c r="B70" s="92" t="s">
        <v>12300</v>
      </c>
      <c r="C70" s="75">
        <v>143</v>
      </c>
      <c r="D70" s="132">
        <f t="shared" si="4"/>
        <v>113</v>
      </c>
      <c r="E70" s="89"/>
      <c r="F70" s="89"/>
      <c r="G70" s="89"/>
      <c r="H70" s="89">
        <v>24</v>
      </c>
      <c r="I70" s="89"/>
      <c r="J70" s="89"/>
      <c r="K70" s="89"/>
      <c r="L70" s="89"/>
      <c r="M70" s="89"/>
      <c r="N70" s="89"/>
      <c r="O70" s="89"/>
      <c r="P70" s="89">
        <v>6</v>
      </c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108">
        <f t="shared" si="10"/>
        <v>0</v>
      </c>
      <c r="BR70" s="108">
        <f t="shared" si="2"/>
        <v>30</v>
      </c>
      <c r="BS70" s="2">
        <v>1.44</v>
      </c>
      <c r="BT70" s="141">
        <f t="shared" si="8"/>
        <v>162.72</v>
      </c>
      <c r="BU70" s="93">
        <v>71000</v>
      </c>
      <c r="BV70" s="94">
        <f t="shared" si="9"/>
        <v>11553120</v>
      </c>
    </row>
    <row r="71" spans="1:74" ht="34.5" hidden="1" customHeight="1" x14ac:dyDescent="0.25">
      <c r="A71" s="291"/>
      <c r="B71" s="92" t="s">
        <v>2076</v>
      </c>
      <c r="C71" s="75">
        <v>0</v>
      </c>
      <c r="D71" s="132">
        <f t="shared" ref="D71:D134" si="11">C71+BQ71-BR71</f>
        <v>0</v>
      </c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108">
        <f t="shared" si="10"/>
        <v>0</v>
      </c>
      <c r="BR71" s="108">
        <f t="shared" si="2"/>
        <v>0</v>
      </c>
      <c r="BS71" s="2">
        <v>1.44</v>
      </c>
      <c r="BT71" s="141">
        <f t="shared" si="8"/>
        <v>0</v>
      </c>
      <c r="BU71" s="93">
        <v>51000</v>
      </c>
      <c r="BV71" s="94">
        <f t="shared" si="9"/>
        <v>0</v>
      </c>
    </row>
    <row r="72" spans="1:74" ht="18" customHeight="1" x14ac:dyDescent="0.25">
      <c r="A72" s="291"/>
      <c r="B72" s="92" t="s">
        <v>12245</v>
      </c>
      <c r="C72" s="75">
        <v>403</v>
      </c>
      <c r="D72" s="132">
        <f t="shared" si="11"/>
        <v>333</v>
      </c>
      <c r="E72" s="89"/>
      <c r="F72" s="89"/>
      <c r="G72" s="89"/>
      <c r="H72" s="89"/>
      <c r="I72" s="89"/>
      <c r="J72" s="89"/>
      <c r="K72" s="89"/>
      <c r="L72" s="89"/>
      <c r="M72" s="89"/>
      <c r="N72" s="89">
        <v>70</v>
      </c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108">
        <f t="shared" si="10"/>
        <v>0</v>
      </c>
      <c r="BR72" s="108">
        <f t="shared" si="2"/>
        <v>70</v>
      </c>
      <c r="BS72" s="2">
        <v>1.44</v>
      </c>
      <c r="BT72" s="141">
        <f t="shared" si="8"/>
        <v>479.52</v>
      </c>
      <c r="BU72" s="93">
        <v>71000</v>
      </c>
      <c r="BV72" s="94">
        <f t="shared" si="9"/>
        <v>34045920</v>
      </c>
    </row>
    <row r="73" spans="1:74" ht="18" customHeight="1" x14ac:dyDescent="0.25">
      <c r="A73" s="291"/>
      <c r="B73" s="92" t="s">
        <v>192</v>
      </c>
      <c r="C73" s="75">
        <v>42</v>
      </c>
      <c r="D73" s="132">
        <f t="shared" si="11"/>
        <v>42</v>
      </c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108">
        <f t="shared" si="10"/>
        <v>0</v>
      </c>
      <c r="BR73" s="108">
        <f t="shared" si="10"/>
        <v>0</v>
      </c>
      <c r="BS73" s="2">
        <v>1.44</v>
      </c>
      <c r="BT73" s="141">
        <f t="shared" si="8"/>
        <v>60.48</v>
      </c>
      <c r="BU73" s="93">
        <v>71000</v>
      </c>
      <c r="BV73" s="94">
        <f t="shared" si="9"/>
        <v>4294080</v>
      </c>
    </row>
    <row r="74" spans="1:74" ht="18" customHeight="1" x14ac:dyDescent="0.25">
      <c r="A74" s="291"/>
      <c r="B74" s="92" t="s">
        <v>193</v>
      </c>
      <c r="C74" s="75">
        <v>96.5</v>
      </c>
      <c r="D74" s="132">
        <f t="shared" si="11"/>
        <v>96.5</v>
      </c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108">
        <f t="shared" si="10"/>
        <v>0</v>
      </c>
      <c r="BR74" s="108">
        <f t="shared" si="10"/>
        <v>0</v>
      </c>
      <c r="BS74" s="2">
        <v>1.44</v>
      </c>
      <c r="BT74" s="141">
        <f t="shared" ref="BT74:BT127" si="12">+BS74*D74</f>
        <v>138.96</v>
      </c>
      <c r="BU74" s="93">
        <v>71000</v>
      </c>
      <c r="BV74" s="94">
        <f t="shared" ref="BV74:BV127" si="13">+BU74*BT74</f>
        <v>9866160</v>
      </c>
    </row>
    <row r="75" spans="1:74" ht="18" customHeight="1" x14ac:dyDescent="0.25">
      <c r="A75" s="291"/>
      <c r="B75" s="92" t="s">
        <v>194</v>
      </c>
      <c r="C75" s="75">
        <v>30</v>
      </c>
      <c r="D75" s="132">
        <f t="shared" si="11"/>
        <v>30</v>
      </c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89"/>
      <c r="BP75" s="89"/>
      <c r="BQ75" s="108">
        <f t="shared" si="10"/>
        <v>0</v>
      </c>
      <c r="BR75" s="108">
        <f t="shared" si="10"/>
        <v>0</v>
      </c>
      <c r="BS75" s="2">
        <v>1.44</v>
      </c>
      <c r="BT75" s="141">
        <f t="shared" si="12"/>
        <v>43.199999999999996</v>
      </c>
      <c r="BU75" s="93">
        <v>71000</v>
      </c>
      <c r="BV75" s="94">
        <f t="shared" si="13"/>
        <v>3067199.9999999995</v>
      </c>
    </row>
    <row r="76" spans="1:74" ht="17.25" customHeight="1" x14ac:dyDescent="0.25">
      <c r="A76" s="291"/>
      <c r="B76" s="92" t="s">
        <v>195</v>
      </c>
      <c r="C76" s="75">
        <v>2</v>
      </c>
      <c r="D76" s="132">
        <f t="shared" si="11"/>
        <v>2</v>
      </c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  <c r="BH76" s="89"/>
      <c r="BI76" s="89"/>
      <c r="BJ76" s="89"/>
      <c r="BK76" s="89"/>
      <c r="BL76" s="89"/>
      <c r="BM76" s="89"/>
      <c r="BN76" s="89"/>
      <c r="BO76" s="89"/>
      <c r="BP76" s="89"/>
      <c r="BQ76" s="108">
        <f t="shared" si="10"/>
        <v>0</v>
      </c>
      <c r="BR76" s="108">
        <f t="shared" si="10"/>
        <v>0</v>
      </c>
      <c r="BS76" s="2">
        <v>1.44</v>
      </c>
      <c r="BT76" s="141">
        <f t="shared" si="12"/>
        <v>2.88</v>
      </c>
      <c r="BU76" s="93">
        <v>71000</v>
      </c>
      <c r="BV76" s="94">
        <f t="shared" si="13"/>
        <v>204480</v>
      </c>
    </row>
    <row r="77" spans="1:74" ht="18" customHeight="1" x14ac:dyDescent="0.25">
      <c r="A77" s="291"/>
      <c r="B77" s="92" t="s">
        <v>196</v>
      </c>
      <c r="C77" s="75">
        <v>5.5</v>
      </c>
      <c r="D77" s="132">
        <f t="shared" si="11"/>
        <v>5.5</v>
      </c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108">
        <f t="shared" si="10"/>
        <v>0</v>
      </c>
      <c r="BR77" s="108">
        <f t="shared" si="10"/>
        <v>0</v>
      </c>
      <c r="BS77" s="2">
        <v>1.44</v>
      </c>
      <c r="BT77" s="141">
        <f t="shared" si="12"/>
        <v>7.92</v>
      </c>
      <c r="BU77" s="93">
        <v>71000</v>
      </c>
      <c r="BV77" s="94">
        <f t="shared" si="13"/>
        <v>562320</v>
      </c>
    </row>
    <row r="78" spans="1:74" ht="18" customHeight="1" x14ac:dyDescent="0.25">
      <c r="A78" s="291"/>
      <c r="B78" s="92" t="s">
        <v>197</v>
      </c>
      <c r="C78" s="75">
        <v>3.75</v>
      </c>
      <c r="D78" s="132">
        <f t="shared" si="11"/>
        <v>3.75</v>
      </c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89"/>
      <c r="BK78" s="89"/>
      <c r="BL78" s="89"/>
      <c r="BM78" s="89"/>
      <c r="BN78" s="89"/>
      <c r="BO78" s="89"/>
      <c r="BP78" s="89"/>
      <c r="BQ78" s="108">
        <f t="shared" si="10"/>
        <v>0</v>
      </c>
      <c r="BR78" s="108">
        <f t="shared" si="10"/>
        <v>0</v>
      </c>
      <c r="BS78" s="2">
        <v>1.44</v>
      </c>
      <c r="BT78" s="141">
        <f t="shared" si="12"/>
        <v>5.3999999999999995</v>
      </c>
      <c r="BU78" s="93">
        <v>71000</v>
      </c>
      <c r="BV78" s="94">
        <f t="shared" si="13"/>
        <v>383399.99999999994</v>
      </c>
    </row>
    <row r="79" spans="1:74" ht="18" customHeight="1" x14ac:dyDescent="0.25">
      <c r="A79" s="78"/>
      <c r="B79" s="96"/>
      <c r="C79" s="75">
        <v>0</v>
      </c>
      <c r="D79" s="132">
        <f t="shared" si="11"/>
        <v>0</v>
      </c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89"/>
      <c r="BM79" s="89"/>
      <c r="BN79" s="89"/>
      <c r="BO79" s="89"/>
      <c r="BP79" s="89"/>
      <c r="BQ79" s="108">
        <f t="shared" si="10"/>
        <v>0</v>
      </c>
      <c r="BR79" s="108">
        <f t="shared" si="10"/>
        <v>0</v>
      </c>
      <c r="BS79" s="2"/>
      <c r="BT79" s="141">
        <f t="shared" si="12"/>
        <v>0</v>
      </c>
      <c r="BU79" s="93"/>
      <c r="BV79" s="94">
        <f t="shared" si="13"/>
        <v>0</v>
      </c>
    </row>
    <row r="80" spans="1:74" ht="18" customHeight="1" x14ac:dyDescent="0.25">
      <c r="A80" s="290" t="s">
        <v>12223</v>
      </c>
      <c r="B80" s="92" t="s">
        <v>332</v>
      </c>
      <c r="C80" s="75">
        <v>6</v>
      </c>
      <c r="D80" s="132">
        <f t="shared" si="11"/>
        <v>6</v>
      </c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89"/>
      <c r="BK80" s="89"/>
      <c r="BL80" s="89"/>
      <c r="BM80" s="89"/>
      <c r="BN80" s="89"/>
      <c r="BO80" s="89"/>
      <c r="BP80" s="89"/>
      <c r="BQ80" s="108">
        <f t="shared" si="10"/>
        <v>0</v>
      </c>
      <c r="BR80" s="108">
        <f t="shared" si="10"/>
        <v>0</v>
      </c>
      <c r="BS80" s="2">
        <v>1.28</v>
      </c>
      <c r="BT80" s="141">
        <f t="shared" si="12"/>
        <v>7.68</v>
      </c>
      <c r="BU80" s="93">
        <v>86000</v>
      </c>
      <c r="BV80" s="94">
        <f t="shared" si="13"/>
        <v>660480</v>
      </c>
    </row>
    <row r="81" spans="1:74" ht="18" hidden="1" customHeight="1" x14ac:dyDescent="0.25">
      <c r="A81" s="291"/>
      <c r="B81" s="92" t="s">
        <v>12280</v>
      </c>
      <c r="C81" s="75">
        <v>0</v>
      </c>
      <c r="D81" s="132">
        <f t="shared" si="11"/>
        <v>0</v>
      </c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  <c r="BM81" s="89"/>
      <c r="BN81" s="89"/>
      <c r="BO81" s="89"/>
      <c r="BP81" s="89"/>
      <c r="BQ81" s="108">
        <f t="shared" si="10"/>
        <v>0</v>
      </c>
      <c r="BR81" s="108">
        <f t="shared" si="10"/>
        <v>0</v>
      </c>
      <c r="BS81" s="2">
        <v>1.28</v>
      </c>
      <c r="BT81" s="141">
        <f t="shared" si="12"/>
        <v>0</v>
      </c>
      <c r="BU81" s="93">
        <v>58000</v>
      </c>
      <c r="BV81" s="94">
        <f t="shared" si="13"/>
        <v>0</v>
      </c>
    </row>
    <row r="82" spans="1:74" ht="18" customHeight="1" x14ac:dyDescent="0.25">
      <c r="A82" s="291"/>
      <c r="B82" s="92" t="s">
        <v>12281</v>
      </c>
      <c r="C82" s="75">
        <v>287</v>
      </c>
      <c r="D82" s="132">
        <f t="shared" si="11"/>
        <v>287</v>
      </c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89"/>
      <c r="BK82" s="89"/>
      <c r="BL82" s="89"/>
      <c r="BM82" s="89"/>
      <c r="BN82" s="89"/>
      <c r="BO82" s="89"/>
      <c r="BP82" s="89"/>
      <c r="BQ82" s="108">
        <f t="shared" si="10"/>
        <v>0</v>
      </c>
      <c r="BR82" s="108">
        <f t="shared" si="10"/>
        <v>0</v>
      </c>
      <c r="BS82" s="2">
        <v>1.28</v>
      </c>
      <c r="BT82" s="141">
        <f t="shared" si="12"/>
        <v>367.36</v>
      </c>
      <c r="BU82" s="93">
        <v>58000</v>
      </c>
      <c r="BV82" s="94">
        <f t="shared" si="13"/>
        <v>21306880</v>
      </c>
    </row>
    <row r="83" spans="1:74" ht="18" customHeight="1" x14ac:dyDescent="0.25">
      <c r="A83" s="291"/>
      <c r="B83" s="92" t="s">
        <v>333</v>
      </c>
      <c r="C83" s="75">
        <v>17</v>
      </c>
      <c r="D83" s="132">
        <f t="shared" si="11"/>
        <v>17</v>
      </c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89"/>
      <c r="BK83" s="89"/>
      <c r="BL83" s="89"/>
      <c r="BM83" s="89"/>
      <c r="BN83" s="89"/>
      <c r="BO83" s="89"/>
      <c r="BP83" s="89"/>
      <c r="BQ83" s="108">
        <f t="shared" si="10"/>
        <v>0</v>
      </c>
      <c r="BR83" s="108">
        <f t="shared" si="10"/>
        <v>0</v>
      </c>
      <c r="BS83" s="2">
        <v>1.28</v>
      </c>
      <c r="BT83" s="141">
        <f t="shared" si="12"/>
        <v>21.76</v>
      </c>
      <c r="BU83" s="93">
        <v>69500</v>
      </c>
      <c r="BV83" s="94">
        <f t="shared" si="13"/>
        <v>1512320</v>
      </c>
    </row>
    <row r="84" spans="1:74" ht="18" customHeight="1" x14ac:dyDescent="0.25">
      <c r="A84" s="291"/>
      <c r="B84" s="92" t="s">
        <v>334</v>
      </c>
      <c r="C84" s="75">
        <v>65</v>
      </c>
      <c r="D84" s="132">
        <f t="shared" si="11"/>
        <v>65</v>
      </c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108">
        <f t="shared" si="10"/>
        <v>0</v>
      </c>
      <c r="BR84" s="108">
        <f t="shared" si="10"/>
        <v>0</v>
      </c>
      <c r="BS84" s="2">
        <v>1.28</v>
      </c>
      <c r="BT84" s="141">
        <f t="shared" si="12"/>
        <v>83.2</v>
      </c>
      <c r="BU84" s="93">
        <v>110500</v>
      </c>
      <c r="BV84" s="94">
        <f t="shared" si="13"/>
        <v>9193600</v>
      </c>
    </row>
    <row r="85" spans="1:74" ht="18" customHeight="1" x14ac:dyDescent="0.25">
      <c r="A85" s="291"/>
      <c r="B85" s="92" t="s">
        <v>335</v>
      </c>
      <c r="C85" s="75">
        <v>622</v>
      </c>
      <c r="D85" s="132">
        <f t="shared" si="11"/>
        <v>622</v>
      </c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108">
        <f t="shared" si="10"/>
        <v>0</v>
      </c>
      <c r="BR85" s="108">
        <f t="shared" si="10"/>
        <v>0</v>
      </c>
      <c r="BS85" s="2">
        <v>1.28</v>
      </c>
      <c r="BT85" s="141">
        <f t="shared" si="12"/>
        <v>796.16</v>
      </c>
      <c r="BU85" s="93">
        <v>69500</v>
      </c>
      <c r="BV85" s="94">
        <f t="shared" si="13"/>
        <v>55333120</v>
      </c>
    </row>
    <row r="86" spans="1:74" ht="18" customHeight="1" x14ac:dyDescent="0.25">
      <c r="A86" s="291"/>
      <c r="B86" s="92" t="s">
        <v>336</v>
      </c>
      <c r="C86" s="75">
        <v>158</v>
      </c>
      <c r="D86" s="132">
        <f t="shared" si="11"/>
        <v>158</v>
      </c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89"/>
      <c r="BM86" s="89"/>
      <c r="BN86" s="89"/>
      <c r="BO86" s="89"/>
      <c r="BP86" s="89"/>
      <c r="BQ86" s="108">
        <f t="shared" si="10"/>
        <v>0</v>
      </c>
      <c r="BR86" s="108">
        <f t="shared" si="10"/>
        <v>0</v>
      </c>
      <c r="BS86" s="2">
        <v>1.28</v>
      </c>
      <c r="BT86" s="141">
        <f t="shared" si="12"/>
        <v>202.24</v>
      </c>
      <c r="BU86" s="93">
        <v>110500</v>
      </c>
      <c r="BV86" s="94">
        <f t="shared" si="13"/>
        <v>22347520</v>
      </c>
    </row>
    <row r="87" spans="1:74" ht="18" customHeight="1" x14ac:dyDescent="0.25">
      <c r="A87" s="291"/>
      <c r="B87" s="92" t="s">
        <v>337</v>
      </c>
      <c r="C87" s="75">
        <v>116</v>
      </c>
      <c r="D87" s="132">
        <f t="shared" si="11"/>
        <v>116</v>
      </c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89"/>
      <c r="BO87" s="89"/>
      <c r="BP87" s="89"/>
      <c r="BQ87" s="108">
        <f t="shared" si="10"/>
        <v>0</v>
      </c>
      <c r="BR87" s="108">
        <f t="shared" si="10"/>
        <v>0</v>
      </c>
      <c r="BS87" s="2">
        <v>1.28</v>
      </c>
      <c r="BT87" s="141">
        <f t="shared" si="12"/>
        <v>148.47999999999999</v>
      </c>
      <c r="BU87" s="93">
        <v>110500</v>
      </c>
      <c r="BV87" s="94">
        <f t="shared" si="13"/>
        <v>16407039.999999998</v>
      </c>
    </row>
    <row r="88" spans="1:74" ht="18" customHeight="1" x14ac:dyDescent="0.25">
      <c r="A88" s="291"/>
      <c r="B88" s="92" t="s">
        <v>338</v>
      </c>
      <c r="C88" s="75">
        <v>115</v>
      </c>
      <c r="D88" s="132">
        <f t="shared" si="11"/>
        <v>115</v>
      </c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89"/>
      <c r="BM88" s="89"/>
      <c r="BN88" s="89"/>
      <c r="BO88" s="89"/>
      <c r="BP88" s="89"/>
      <c r="BQ88" s="108">
        <f t="shared" si="10"/>
        <v>0</v>
      </c>
      <c r="BR88" s="108">
        <f t="shared" si="10"/>
        <v>0</v>
      </c>
      <c r="BS88" s="2">
        <v>1.28</v>
      </c>
      <c r="BT88" s="141">
        <f t="shared" si="12"/>
        <v>147.20000000000002</v>
      </c>
      <c r="BU88" s="93">
        <v>115000</v>
      </c>
      <c r="BV88" s="94">
        <f t="shared" si="13"/>
        <v>16928000.000000004</v>
      </c>
    </row>
    <row r="89" spans="1:74" ht="18" customHeight="1" x14ac:dyDescent="0.25">
      <c r="A89" s="292"/>
      <c r="B89" s="92" t="s">
        <v>339</v>
      </c>
      <c r="C89" s="75">
        <v>32</v>
      </c>
      <c r="D89" s="132">
        <f t="shared" si="11"/>
        <v>32</v>
      </c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89"/>
      <c r="BK89" s="89"/>
      <c r="BL89" s="89"/>
      <c r="BM89" s="89"/>
      <c r="BN89" s="89"/>
      <c r="BO89" s="89"/>
      <c r="BP89" s="89"/>
      <c r="BQ89" s="108">
        <f t="shared" si="10"/>
        <v>0</v>
      </c>
      <c r="BR89" s="108">
        <f t="shared" si="10"/>
        <v>0</v>
      </c>
      <c r="BS89" s="2">
        <v>1.28</v>
      </c>
      <c r="BT89" s="141">
        <f t="shared" si="12"/>
        <v>40.96</v>
      </c>
      <c r="BU89" s="93">
        <v>110500</v>
      </c>
      <c r="BV89" s="94">
        <f t="shared" si="13"/>
        <v>4526080</v>
      </c>
    </row>
    <row r="90" spans="1:74" ht="18" customHeight="1" x14ac:dyDescent="0.25">
      <c r="A90" s="78"/>
      <c r="B90" s="96"/>
      <c r="C90" s="75">
        <v>0</v>
      </c>
      <c r="D90" s="132">
        <f t="shared" si="11"/>
        <v>0</v>
      </c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89"/>
      <c r="BM90" s="89"/>
      <c r="BN90" s="89"/>
      <c r="BO90" s="89"/>
      <c r="BP90" s="89"/>
      <c r="BQ90" s="108">
        <f t="shared" si="10"/>
        <v>0</v>
      </c>
      <c r="BR90" s="108">
        <f t="shared" si="10"/>
        <v>0</v>
      </c>
      <c r="BS90" s="2"/>
      <c r="BT90" s="141">
        <f t="shared" si="12"/>
        <v>0</v>
      </c>
      <c r="BU90" s="93"/>
      <c r="BV90" s="94">
        <f t="shared" si="13"/>
        <v>0</v>
      </c>
    </row>
    <row r="91" spans="1:74" ht="18" customHeight="1" x14ac:dyDescent="0.25">
      <c r="A91" s="290" t="s">
        <v>12137</v>
      </c>
      <c r="B91" s="92" t="s">
        <v>340</v>
      </c>
      <c r="C91" s="75">
        <v>100</v>
      </c>
      <c r="D91" s="132">
        <f t="shared" si="11"/>
        <v>100</v>
      </c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89"/>
      <c r="BK91" s="89"/>
      <c r="BL91" s="89"/>
      <c r="BM91" s="89"/>
      <c r="BN91" s="89"/>
      <c r="BO91" s="89"/>
      <c r="BP91" s="89"/>
      <c r="BQ91" s="108">
        <f t="shared" si="10"/>
        <v>0</v>
      </c>
      <c r="BR91" s="108">
        <f t="shared" si="10"/>
        <v>0</v>
      </c>
      <c r="BS91" s="2">
        <v>1.6</v>
      </c>
      <c r="BT91" s="141">
        <f t="shared" si="12"/>
        <v>160</v>
      </c>
      <c r="BU91" s="93">
        <v>129050</v>
      </c>
      <c r="BV91" s="94">
        <f t="shared" si="13"/>
        <v>20648000</v>
      </c>
    </row>
    <row r="92" spans="1:74" ht="18" customHeight="1" x14ac:dyDescent="0.25">
      <c r="A92" s="291"/>
      <c r="B92" s="92" t="s">
        <v>341</v>
      </c>
      <c r="C92" s="75">
        <v>20</v>
      </c>
      <c r="D92" s="132">
        <f t="shared" si="11"/>
        <v>20</v>
      </c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89"/>
      <c r="BM92" s="89"/>
      <c r="BN92" s="89"/>
      <c r="BO92" s="89"/>
      <c r="BP92" s="89"/>
      <c r="BQ92" s="108">
        <f t="shared" si="10"/>
        <v>0</v>
      </c>
      <c r="BR92" s="108">
        <f t="shared" si="10"/>
        <v>0</v>
      </c>
      <c r="BS92" s="2">
        <v>1.6</v>
      </c>
      <c r="BT92" s="141">
        <f t="shared" si="12"/>
        <v>32</v>
      </c>
      <c r="BU92" s="93">
        <v>159950</v>
      </c>
      <c r="BV92" s="94">
        <f t="shared" si="13"/>
        <v>5118400</v>
      </c>
    </row>
    <row r="93" spans="1:74" ht="18" customHeight="1" x14ac:dyDescent="0.25">
      <c r="A93" s="291"/>
      <c r="B93" s="2"/>
      <c r="C93" s="75">
        <v>0</v>
      </c>
      <c r="D93" s="132">
        <f t="shared" si="11"/>
        <v>0</v>
      </c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9"/>
      <c r="BF93" s="89"/>
      <c r="BG93" s="89"/>
      <c r="BH93" s="89"/>
      <c r="BI93" s="89"/>
      <c r="BJ93" s="89"/>
      <c r="BK93" s="89"/>
      <c r="BL93" s="89"/>
      <c r="BM93" s="89"/>
      <c r="BN93" s="89"/>
      <c r="BO93" s="89"/>
      <c r="BP93" s="89"/>
      <c r="BQ93" s="108">
        <f t="shared" si="10"/>
        <v>0</v>
      </c>
      <c r="BR93" s="108">
        <f t="shared" si="10"/>
        <v>0</v>
      </c>
      <c r="BS93" s="2">
        <v>1.6</v>
      </c>
      <c r="BT93" s="141">
        <f t="shared" si="12"/>
        <v>0</v>
      </c>
      <c r="BU93" s="93"/>
      <c r="BV93" s="94">
        <f t="shared" si="13"/>
        <v>0</v>
      </c>
    </row>
    <row r="94" spans="1:74" ht="18" customHeight="1" x14ac:dyDescent="0.25">
      <c r="A94" s="291"/>
      <c r="B94" s="92" t="s">
        <v>342</v>
      </c>
      <c r="C94" s="75">
        <v>39</v>
      </c>
      <c r="D94" s="132">
        <f t="shared" si="11"/>
        <v>39</v>
      </c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89"/>
      <c r="BK94" s="89"/>
      <c r="BL94" s="89"/>
      <c r="BM94" s="89"/>
      <c r="BN94" s="89"/>
      <c r="BO94" s="89"/>
      <c r="BP94" s="89"/>
      <c r="BQ94" s="108">
        <f t="shared" si="10"/>
        <v>0</v>
      </c>
      <c r="BR94" s="108">
        <f t="shared" si="10"/>
        <v>0</v>
      </c>
      <c r="BS94" s="2">
        <v>1.6</v>
      </c>
      <c r="BT94" s="141">
        <f t="shared" si="12"/>
        <v>62.400000000000006</v>
      </c>
      <c r="BU94" s="93">
        <v>129050</v>
      </c>
      <c r="BV94" s="94">
        <f t="shared" si="13"/>
        <v>8052720.0000000009</v>
      </c>
    </row>
    <row r="95" spans="1:74" ht="18" customHeight="1" x14ac:dyDescent="0.25">
      <c r="A95" s="291"/>
      <c r="B95" s="92" t="s">
        <v>343</v>
      </c>
      <c r="C95" s="75">
        <v>46</v>
      </c>
      <c r="D95" s="132">
        <f t="shared" si="11"/>
        <v>46</v>
      </c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89"/>
      <c r="BK95" s="89"/>
      <c r="BL95" s="89"/>
      <c r="BM95" s="89"/>
      <c r="BN95" s="89"/>
      <c r="BO95" s="89"/>
      <c r="BP95" s="89"/>
      <c r="BQ95" s="108">
        <f t="shared" si="10"/>
        <v>0</v>
      </c>
      <c r="BR95" s="108">
        <f t="shared" si="10"/>
        <v>0</v>
      </c>
      <c r="BS95" s="2">
        <v>1.6</v>
      </c>
      <c r="BT95" s="141">
        <f t="shared" si="12"/>
        <v>73.600000000000009</v>
      </c>
      <c r="BU95" s="93">
        <v>129050</v>
      </c>
      <c r="BV95" s="94">
        <f t="shared" si="13"/>
        <v>9498080.0000000019</v>
      </c>
    </row>
    <row r="96" spans="1:74" ht="18" customHeight="1" x14ac:dyDescent="0.25">
      <c r="A96" s="291"/>
      <c r="B96" s="92" t="s">
        <v>345</v>
      </c>
      <c r="C96" s="75">
        <v>0</v>
      </c>
      <c r="D96" s="132">
        <f t="shared" si="11"/>
        <v>0</v>
      </c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108">
        <f t="shared" si="10"/>
        <v>0</v>
      </c>
      <c r="BR96" s="108">
        <f t="shared" si="10"/>
        <v>0</v>
      </c>
      <c r="BS96" s="2">
        <v>1.6</v>
      </c>
      <c r="BT96" s="141">
        <f t="shared" si="12"/>
        <v>0</v>
      </c>
      <c r="BU96" s="93">
        <v>159950</v>
      </c>
      <c r="BV96" s="94">
        <f t="shared" si="13"/>
        <v>0</v>
      </c>
    </row>
    <row r="97" spans="1:74" ht="18" customHeight="1" x14ac:dyDescent="0.25">
      <c r="A97" s="291"/>
      <c r="B97" s="2"/>
      <c r="C97" s="75">
        <v>0</v>
      </c>
      <c r="D97" s="132">
        <f t="shared" si="11"/>
        <v>0</v>
      </c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9"/>
      <c r="BF97" s="89"/>
      <c r="BG97" s="89"/>
      <c r="BH97" s="89"/>
      <c r="BI97" s="89"/>
      <c r="BJ97" s="89"/>
      <c r="BK97" s="89"/>
      <c r="BL97" s="89"/>
      <c r="BM97" s="89"/>
      <c r="BN97" s="89"/>
      <c r="BO97" s="89"/>
      <c r="BP97" s="89"/>
      <c r="BQ97" s="108">
        <f t="shared" si="10"/>
        <v>0</v>
      </c>
      <c r="BR97" s="108">
        <f t="shared" si="10"/>
        <v>0</v>
      </c>
      <c r="BS97" s="2"/>
      <c r="BT97" s="141">
        <f t="shared" si="12"/>
        <v>0</v>
      </c>
      <c r="BU97" s="93"/>
      <c r="BV97" s="94">
        <f t="shared" si="13"/>
        <v>0</v>
      </c>
    </row>
    <row r="98" spans="1:74" ht="18" customHeight="1" x14ac:dyDescent="0.25">
      <c r="A98" s="291"/>
      <c r="B98" s="92" t="s">
        <v>344</v>
      </c>
      <c r="C98" s="75">
        <v>133</v>
      </c>
      <c r="D98" s="132">
        <f t="shared" si="11"/>
        <v>113</v>
      </c>
      <c r="E98" s="89"/>
      <c r="F98" s="89"/>
      <c r="G98" s="89"/>
      <c r="H98" s="89">
        <v>18</v>
      </c>
      <c r="I98" s="89"/>
      <c r="J98" s="89"/>
      <c r="K98" s="89"/>
      <c r="L98" s="89"/>
      <c r="M98" s="89"/>
      <c r="N98" s="89"/>
      <c r="O98" s="89"/>
      <c r="P98" s="89">
        <v>2</v>
      </c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89"/>
      <c r="BK98" s="89"/>
      <c r="BL98" s="89"/>
      <c r="BM98" s="89"/>
      <c r="BN98" s="89"/>
      <c r="BO98" s="89"/>
      <c r="BP98" s="89"/>
      <c r="BQ98" s="108">
        <f t="shared" si="10"/>
        <v>0</v>
      </c>
      <c r="BR98" s="108">
        <f t="shared" si="10"/>
        <v>20</v>
      </c>
      <c r="BS98" s="2">
        <v>1.6</v>
      </c>
      <c r="BT98" s="141">
        <f t="shared" si="12"/>
        <v>180.8</v>
      </c>
      <c r="BU98" s="93">
        <v>129050</v>
      </c>
      <c r="BV98" s="94">
        <f t="shared" si="13"/>
        <v>23332240</v>
      </c>
    </row>
    <row r="99" spans="1:74" ht="18" customHeight="1" x14ac:dyDescent="0.25">
      <c r="A99" s="291"/>
      <c r="B99" s="92" t="s">
        <v>346</v>
      </c>
      <c r="C99" s="75">
        <v>84</v>
      </c>
      <c r="D99" s="132">
        <f t="shared" si="11"/>
        <v>75</v>
      </c>
      <c r="E99" s="89"/>
      <c r="F99" s="89"/>
      <c r="G99" s="89"/>
      <c r="H99" s="89">
        <v>9</v>
      </c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9"/>
      <c r="BF99" s="89"/>
      <c r="BG99" s="89"/>
      <c r="BH99" s="89"/>
      <c r="BI99" s="89"/>
      <c r="BJ99" s="89"/>
      <c r="BK99" s="89"/>
      <c r="BL99" s="89"/>
      <c r="BM99" s="89"/>
      <c r="BN99" s="89"/>
      <c r="BO99" s="89"/>
      <c r="BP99" s="89"/>
      <c r="BQ99" s="108">
        <f t="shared" si="10"/>
        <v>0</v>
      </c>
      <c r="BR99" s="108">
        <f t="shared" si="10"/>
        <v>9</v>
      </c>
      <c r="BS99" s="2">
        <v>1.6</v>
      </c>
      <c r="BT99" s="141">
        <f t="shared" si="12"/>
        <v>120</v>
      </c>
      <c r="BU99" s="93">
        <v>129050</v>
      </c>
      <c r="BV99" s="94">
        <f t="shared" si="13"/>
        <v>15486000</v>
      </c>
    </row>
    <row r="100" spans="1:74" ht="18" customHeight="1" x14ac:dyDescent="0.25">
      <c r="A100" s="292"/>
      <c r="B100" s="92" t="s">
        <v>347</v>
      </c>
      <c r="C100" s="75">
        <v>44</v>
      </c>
      <c r="D100" s="132">
        <f t="shared" si="11"/>
        <v>38</v>
      </c>
      <c r="E100" s="89"/>
      <c r="F100" s="89"/>
      <c r="G100" s="89"/>
      <c r="H100" s="89">
        <v>6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/>
      <c r="BJ100" s="89"/>
      <c r="BK100" s="89"/>
      <c r="BL100" s="89"/>
      <c r="BM100" s="89"/>
      <c r="BN100" s="89"/>
      <c r="BO100" s="89"/>
      <c r="BP100" s="89"/>
      <c r="BQ100" s="108">
        <f t="shared" si="10"/>
        <v>0</v>
      </c>
      <c r="BR100" s="108">
        <f t="shared" si="10"/>
        <v>6</v>
      </c>
      <c r="BS100" s="2">
        <v>1.6</v>
      </c>
      <c r="BT100" s="141">
        <f t="shared" si="12"/>
        <v>60.800000000000004</v>
      </c>
      <c r="BU100" s="93">
        <v>159950</v>
      </c>
      <c r="BV100" s="94">
        <f t="shared" si="13"/>
        <v>9724960</v>
      </c>
    </row>
    <row r="101" spans="1:74" ht="18" customHeight="1" x14ac:dyDescent="0.25">
      <c r="A101" s="78"/>
      <c r="B101" s="96"/>
      <c r="C101" s="75">
        <v>0</v>
      </c>
      <c r="D101" s="132">
        <f t="shared" si="11"/>
        <v>0</v>
      </c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/>
      <c r="BE101" s="89"/>
      <c r="BF101" s="89"/>
      <c r="BG101" s="89"/>
      <c r="BH101" s="89"/>
      <c r="BI101" s="89"/>
      <c r="BJ101" s="89"/>
      <c r="BK101" s="89"/>
      <c r="BL101" s="89"/>
      <c r="BM101" s="89"/>
      <c r="BN101" s="89"/>
      <c r="BO101" s="89"/>
      <c r="BP101" s="89"/>
      <c r="BQ101" s="108">
        <f t="shared" si="10"/>
        <v>0</v>
      </c>
      <c r="BR101" s="108">
        <f t="shared" si="10"/>
        <v>0</v>
      </c>
      <c r="BS101" s="2"/>
      <c r="BT101" s="141">
        <f t="shared" si="12"/>
        <v>0</v>
      </c>
      <c r="BU101" s="93"/>
      <c r="BV101" s="94">
        <f t="shared" si="13"/>
        <v>0</v>
      </c>
    </row>
    <row r="102" spans="1:74" ht="18" customHeight="1" x14ac:dyDescent="0.25">
      <c r="A102" s="290" t="s">
        <v>220</v>
      </c>
      <c r="B102" s="92" t="s">
        <v>348</v>
      </c>
      <c r="C102" s="75">
        <v>28</v>
      </c>
      <c r="D102" s="132">
        <f t="shared" si="11"/>
        <v>28</v>
      </c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108">
        <f t="shared" si="10"/>
        <v>0</v>
      </c>
      <c r="BR102" s="108">
        <f t="shared" si="10"/>
        <v>0</v>
      </c>
      <c r="BS102" s="2">
        <v>1.44</v>
      </c>
      <c r="BT102" s="141">
        <f t="shared" si="12"/>
        <v>40.32</v>
      </c>
      <c r="BU102" s="93">
        <v>118700</v>
      </c>
      <c r="BV102" s="94">
        <f t="shared" si="13"/>
        <v>4785984</v>
      </c>
    </row>
    <row r="103" spans="1:74" ht="18" customHeight="1" x14ac:dyDescent="0.25">
      <c r="A103" s="291"/>
      <c r="B103" s="92" t="s">
        <v>596</v>
      </c>
      <c r="C103" s="75">
        <v>62</v>
      </c>
      <c r="D103" s="132">
        <f t="shared" si="11"/>
        <v>62</v>
      </c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9"/>
      <c r="BF103" s="89"/>
      <c r="BG103" s="89"/>
      <c r="BH103" s="89"/>
      <c r="BI103" s="89"/>
      <c r="BJ103" s="89"/>
      <c r="BK103" s="89"/>
      <c r="BL103" s="89"/>
      <c r="BM103" s="89"/>
      <c r="BN103" s="89"/>
      <c r="BO103" s="89"/>
      <c r="BP103" s="89"/>
      <c r="BQ103" s="108">
        <f t="shared" si="10"/>
        <v>0</v>
      </c>
      <c r="BR103" s="108">
        <f t="shared" si="10"/>
        <v>0</v>
      </c>
      <c r="BS103" s="2">
        <v>1.44</v>
      </c>
      <c r="BT103" s="141">
        <f t="shared" si="12"/>
        <v>89.28</v>
      </c>
      <c r="BU103" s="93">
        <v>78100</v>
      </c>
      <c r="BV103" s="94">
        <f t="shared" si="13"/>
        <v>6972768</v>
      </c>
    </row>
    <row r="104" spans="1:74" ht="18" customHeight="1" x14ac:dyDescent="0.25">
      <c r="A104" s="291"/>
      <c r="B104" s="2"/>
      <c r="C104" s="75">
        <v>0</v>
      </c>
      <c r="D104" s="132">
        <f t="shared" si="11"/>
        <v>0</v>
      </c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89"/>
      <c r="BM104" s="89"/>
      <c r="BN104" s="89"/>
      <c r="BO104" s="89"/>
      <c r="BP104" s="89"/>
      <c r="BQ104" s="108">
        <f t="shared" si="10"/>
        <v>0</v>
      </c>
      <c r="BR104" s="108">
        <f t="shared" si="10"/>
        <v>0</v>
      </c>
      <c r="BS104" s="2"/>
      <c r="BT104" s="141">
        <f t="shared" si="12"/>
        <v>0</v>
      </c>
      <c r="BU104" s="93"/>
      <c r="BV104" s="94">
        <f t="shared" si="13"/>
        <v>0</v>
      </c>
    </row>
    <row r="105" spans="1:74" ht="18" customHeight="1" x14ac:dyDescent="0.25">
      <c r="A105" s="291"/>
      <c r="B105" s="92" t="s">
        <v>349</v>
      </c>
      <c r="C105" s="75">
        <v>4</v>
      </c>
      <c r="D105" s="132">
        <f t="shared" si="11"/>
        <v>4</v>
      </c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89"/>
      <c r="BM105" s="89"/>
      <c r="BN105" s="89"/>
      <c r="BO105" s="89"/>
      <c r="BP105" s="89"/>
      <c r="BQ105" s="108">
        <f t="shared" si="10"/>
        <v>0</v>
      </c>
      <c r="BR105" s="108">
        <f t="shared" si="10"/>
        <v>0</v>
      </c>
      <c r="BS105" s="2">
        <v>1.44</v>
      </c>
      <c r="BT105" s="141">
        <f t="shared" si="12"/>
        <v>5.76</v>
      </c>
      <c r="BU105" s="93">
        <v>118700</v>
      </c>
      <c r="BV105" s="94">
        <f t="shared" si="13"/>
        <v>683712</v>
      </c>
    </row>
    <row r="106" spans="1:74" ht="18" customHeight="1" x14ac:dyDescent="0.25">
      <c r="A106" s="291"/>
      <c r="B106" s="92" t="s">
        <v>350</v>
      </c>
      <c r="C106" s="75">
        <v>13</v>
      </c>
      <c r="D106" s="132">
        <f t="shared" si="11"/>
        <v>13</v>
      </c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  <c r="BM106" s="89"/>
      <c r="BN106" s="89"/>
      <c r="BO106" s="89"/>
      <c r="BP106" s="89"/>
      <c r="BQ106" s="108">
        <f t="shared" si="10"/>
        <v>0</v>
      </c>
      <c r="BR106" s="108">
        <f t="shared" si="10"/>
        <v>0</v>
      </c>
      <c r="BS106" s="2">
        <v>1.44</v>
      </c>
      <c r="BT106" s="141">
        <f t="shared" si="12"/>
        <v>18.72</v>
      </c>
      <c r="BU106" s="93">
        <v>118700</v>
      </c>
      <c r="BV106" s="94">
        <f t="shared" si="13"/>
        <v>2222064</v>
      </c>
    </row>
    <row r="107" spans="1:74" ht="18" customHeight="1" x14ac:dyDescent="0.25">
      <c r="A107" s="291"/>
      <c r="B107" s="92" t="s">
        <v>351</v>
      </c>
      <c r="C107" s="75">
        <v>13.5</v>
      </c>
      <c r="D107" s="132">
        <f t="shared" si="11"/>
        <v>13.5</v>
      </c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89"/>
      <c r="BK107" s="89"/>
      <c r="BL107" s="89"/>
      <c r="BM107" s="89"/>
      <c r="BN107" s="89"/>
      <c r="BO107" s="89"/>
      <c r="BP107" s="89"/>
      <c r="BQ107" s="108">
        <f t="shared" si="10"/>
        <v>0</v>
      </c>
      <c r="BR107" s="108">
        <f t="shared" si="10"/>
        <v>0</v>
      </c>
      <c r="BS107" s="2">
        <v>1.44</v>
      </c>
      <c r="BT107" s="141">
        <f t="shared" si="12"/>
        <v>19.439999999999998</v>
      </c>
      <c r="BU107" s="93">
        <v>148700</v>
      </c>
      <c r="BV107" s="94">
        <f t="shared" si="13"/>
        <v>2890727.9999999995</v>
      </c>
    </row>
    <row r="108" spans="1:74" ht="18" customHeight="1" x14ac:dyDescent="0.25">
      <c r="A108" s="291"/>
      <c r="B108" s="67"/>
      <c r="C108" s="75">
        <v>0</v>
      </c>
      <c r="D108" s="132">
        <f t="shared" si="11"/>
        <v>0</v>
      </c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  <c r="BM108" s="89"/>
      <c r="BN108" s="89"/>
      <c r="BO108" s="89"/>
      <c r="BP108" s="89"/>
      <c r="BQ108" s="108">
        <f t="shared" si="10"/>
        <v>0</v>
      </c>
      <c r="BR108" s="108">
        <f t="shared" si="10"/>
        <v>0</v>
      </c>
      <c r="BS108" s="2"/>
      <c r="BT108" s="141">
        <f t="shared" si="12"/>
        <v>0</v>
      </c>
      <c r="BU108" s="93"/>
      <c r="BV108" s="94">
        <f t="shared" si="13"/>
        <v>0</v>
      </c>
    </row>
    <row r="109" spans="1:74" ht="18" customHeight="1" x14ac:dyDescent="0.25">
      <c r="A109" s="291"/>
      <c r="B109" s="92" t="s">
        <v>352</v>
      </c>
      <c r="C109" s="75">
        <v>36</v>
      </c>
      <c r="D109" s="132">
        <f t="shared" si="11"/>
        <v>36</v>
      </c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89"/>
      <c r="BG109" s="89"/>
      <c r="BH109" s="89"/>
      <c r="BI109" s="89"/>
      <c r="BJ109" s="89"/>
      <c r="BK109" s="89"/>
      <c r="BL109" s="89"/>
      <c r="BM109" s="89"/>
      <c r="BN109" s="89"/>
      <c r="BO109" s="89"/>
      <c r="BP109" s="89"/>
      <c r="BQ109" s="108">
        <f t="shared" si="10"/>
        <v>0</v>
      </c>
      <c r="BR109" s="108">
        <f t="shared" si="10"/>
        <v>0</v>
      </c>
      <c r="BS109" s="2">
        <v>1.44</v>
      </c>
      <c r="BT109" s="141">
        <f t="shared" si="12"/>
        <v>51.839999999999996</v>
      </c>
      <c r="BU109" s="93">
        <v>118700</v>
      </c>
      <c r="BV109" s="94">
        <f t="shared" si="13"/>
        <v>6153408</v>
      </c>
    </row>
    <row r="110" spans="1:74" ht="18" customHeight="1" x14ac:dyDescent="0.25">
      <c r="A110" s="291"/>
      <c r="B110" s="92" t="s">
        <v>353</v>
      </c>
      <c r="C110" s="75">
        <v>79</v>
      </c>
      <c r="D110" s="132">
        <f t="shared" si="11"/>
        <v>79</v>
      </c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/>
      <c r="BJ110" s="89"/>
      <c r="BK110" s="89"/>
      <c r="BL110" s="89"/>
      <c r="BM110" s="89"/>
      <c r="BN110" s="89"/>
      <c r="BO110" s="89"/>
      <c r="BP110" s="89"/>
      <c r="BQ110" s="108">
        <f t="shared" si="10"/>
        <v>0</v>
      </c>
      <c r="BR110" s="108">
        <f t="shared" si="10"/>
        <v>0</v>
      </c>
      <c r="BS110" s="2">
        <v>1.44</v>
      </c>
      <c r="BT110" s="141">
        <f t="shared" si="12"/>
        <v>113.75999999999999</v>
      </c>
      <c r="BU110" s="93">
        <v>118700</v>
      </c>
      <c r="BV110" s="94">
        <f t="shared" si="13"/>
        <v>13503311.999999998</v>
      </c>
    </row>
    <row r="111" spans="1:74" ht="18" customHeight="1" x14ac:dyDescent="0.25">
      <c r="A111" s="291"/>
      <c r="B111" s="92" t="s">
        <v>354</v>
      </c>
      <c r="C111" s="75">
        <v>41</v>
      </c>
      <c r="D111" s="132">
        <f t="shared" si="11"/>
        <v>41</v>
      </c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9"/>
      <c r="BF111" s="89"/>
      <c r="BG111" s="89"/>
      <c r="BH111" s="89"/>
      <c r="BI111" s="89"/>
      <c r="BJ111" s="89"/>
      <c r="BK111" s="89"/>
      <c r="BL111" s="89"/>
      <c r="BM111" s="89"/>
      <c r="BN111" s="89"/>
      <c r="BO111" s="89"/>
      <c r="BP111" s="89"/>
      <c r="BQ111" s="108">
        <f t="shared" si="10"/>
        <v>0</v>
      </c>
      <c r="BR111" s="108">
        <f t="shared" si="10"/>
        <v>0</v>
      </c>
      <c r="BS111" s="2">
        <v>1.44</v>
      </c>
      <c r="BT111" s="141">
        <f t="shared" si="12"/>
        <v>59.04</v>
      </c>
      <c r="BU111" s="93">
        <v>148700</v>
      </c>
      <c r="BV111" s="94">
        <f t="shared" si="13"/>
        <v>8779248</v>
      </c>
    </row>
    <row r="112" spans="1:74" ht="18" customHeight="1" x14ac:dyDescent="0.25">
      <c r="A112" s="291"/>
      <c r="B112" s="67"/>
      <c r="C112" s="75">
        <v>0</v>
      </c>
      <c r="D112" s="132">
        <f t="shared" si="11"/>
        <v>0</v>
      </c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  <c r="BK112" s="89"/>
      <c r="BL112" s="89"/>
      <c r="BM112" s="89"/>
      <c r="BN112" s="89"/>
      <c r="BO112" s="89"/>
      <c r="BP112" s="89"/>
      <c r="BQ112" s="108">
        <f t="shared" si="10"/>
        <v>0</v>
      </c>
      <c r="BR112" s="108">
        <f t="shared" si="10"/>
        <v>0</v>
      </c>
      <c r="BS112" s="2"/>
      <c r="BT112" s="141">
        <f t="shared" si="12"/>
        <v>0</v>
      </c>
      <c r="BU112" s="93"/>
      <c r="BV112" s="94">
        <f t="shared" si="13"/>
        <v>0</v>
      </c>
    </row>
    <row r="113" spans="1:74" ht="18" customHeight="1" x14ac:dyDescent="0.25">
      <c r="A113" s="291"/>
      <c r="B113" s="92" t="s">
        <v>355</v>
      </c>
      <c r="C113" s="75">
        <v>6</v>
      </c>
      <c r="D113" s="132">
        <f t="shared" si="11"/>
        <v>6</v>
      </c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9"/>
      <c r="BF113" s="89"/>
      <c r="BG113" s="89"/>
      <c r="BH113" s="89"/>
      <c r="BI113" s="89"/>
      <c r="BJ113" s="89"/>
      <c r="BK113" s="89"/>
      <c r="BL113" s="89"/>
      <c r="BM113" s="89"/>
      <c r="BN113" s="89"/>
      <c r="BO113" s="89"/>
      <c r="BP113" s="89"/>
      <c r="BQ113" s="108">
        <f t="shared" si="10"/>
        <v>0</v>
      </c>
      <c r="BR113" s="108">
        <f t="shared" si="10"/>
        <v>0</v>
      </c>
      <c r="BS113" s="2">
        <v>1.44</v>
      </c>
      <c r="BT113" s="141">
        <f t="shared" si="12"/>
        <v>8.64</v>
      </c>
      <c r="BU113" s="93">
        <v>114321</v>
      </c>
      <c r="BV113" s="94">
        <f t="shared" si="13"/>
        <v>987733.44000000006</v>
      </c>
    </row>
    <row r="114" spans="1:74" ht="18" customHeight="1" x14ac:dyDescent="0.25">
      <c r="A114" s="291"/>
      <c r="B114" s="2"/>
      <c r="C114" s="75">
        <v>0</v>
      </c>
      <c r="D114" s="132">
        <f t="shared" si="11"/>
        <v>0</v>
      </c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9"/>
      <c r="BF114" s="89"/>
      <c r="BG114" s="89"/>
      <c r="BH114" s="89"/>
      <c r="BI114" s="89"/>
      <c r="BJ114" s="89"/>
      <c r="BK114" s="89"/>
      <c r="BL114" s="89"/>
      <c r="BM114" s="89"/>
      <c r="BN114" s="89"/>
      <c r="BO114" s="89"/>
      <c r="BP114" s="89"/>
      <c r="BQ114" s="108">
        <f t="shared" si="10"/>
        <v>0</v>
      </c>
      <c r="BR114" s="108">
        <f t="shared" si="10"/>
        <v>0</v>
      </c>
      <c r="BS114" s="2"/>
      <c r="BT114" s="141">
        <f t="shared" si="12"/>
        <v>0</v>
      </c>
      <c r="BU114" s="93"/>
      <c r="BV114" s="94">
        <f t="shared" si="13"/>
        <v>0</v>
      </c>
    </row>
    <row r="115" spans="1:74" ht="18" customHeight="1" x14ac:dyDescent="0.25">
      <c r="A115" s="291"/>
      <c r="B115" s="92" t="s">
        <v>356</v>
      </c>
      <c r="C115" s="75">
        <v>86</v>
      </c>
      <c r="D115" s="132">
        <f t="shared" si="11"/>
        <v>65</v>
      </c>
      <c r="E115" s="89"/>
      <c r="F115" s="89"/>
      <c r="G115" s="89"/>
      <c r="H115" s="89"/>
      <c r="I115" s="89"/>
      <c r="J115" s="89"/>
      <c r="K115" s="89"/>
      <c r="L115" s="89"/>
      <c r="M115" s="89"/>
      <c r="N115" s="89">
        <v>21</v>
      </c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/>
      <c r="BE115" s="89"/>
      <c r="BF115" s="89"/>
      <c r="BG115" s="89"/>
      <c r="BH115" s="89"/>
      <c r="BI115" s="89"/>
      <c r="BJ115" s="89"/>
      <c r="BK115" s="89"/>
      <c r="BL115" s="89"/>
      <c r="BM115" s="89"/>
      <c r="BN115" s="89"/>
      <c r="BO115" s="89"/>
      <c r="BP115" s="89"/>
      <c r="BQ115" s="108">
        <f t="shared" si="10"/>
        <v>0</v>
      </c>
      <c r="BR115" s="108">
        <f t="shared" si="10"/>
        <v>21</v>
      </c>
      <c r="BS115" s="2">
        <v>1.44</v>
      </c>
      <c r="BT115" s="141">
        <f t="shared" si="12"/>
        <v>93.6</v>
      </c>
      <c r="BU115" s="93">
        <v>114321</v>
      </c>
      <c r="BV115" s="94">
        <f t="shared" si="13"/>
        <v>10700445.6</v>
      </c>
    </row>
    <row r="116" spans="1:74" ht="18" customHeight="1" x14ac:dyDescent="0.25">
      <c r="A116" s="291"/>
      <c r="B116" s="92" t="s">
        <v>357</v>
      </c>
      <c r="C116" s="75">
        <v>6</v>
      </c>
      <c r="D116" s="132">
        <f t="shared" si="11"/>
        <v>0</v>
      </c>
      <c r="E116" s="89"/>
      <c r="F116" s="89"/>
      <c r="G116" s="89"/>
      <c r="H116" s="89"/>
      <c r="I116" s="89"/>
      <c r="J116" s="89"/>
      <c r="K116" s="89"/>
      <c r="L116" s="89"/>
      <c r="M116" s="89">
        <v>1</v>
      </c>
      <c r="N116" s="89">
        <v>14</v>
      </c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/>
      <c r="BE116" s="89"/>
      <c r="BF116" s="89"/>
      <c r="BG116" s="89"/>
      <c r="BH116" s="89"/>
      <c r="BI116" s="89"/>
      <c r="BJ116" s="89"/>
      <c r="BK116" s="89"/>
      <c r="BL116" s="89"/>
      <c r="BM116" s="89"/>
      <c r="BN116" s="89"/>
      <c r="BO116" s="89">
        <v>7</v>
      </c>
      <c r="BP116" s="89"/>
      <c r="BQ116" s="108">
        <f t="shared" si="10"/>
        <v>8</v>
      </c>
      <c r="BR116" s="108">
        <f t="shared" si="10"/>
        <v>14</v>
      </c>
      <c r="BS116" s="2">
        <v>1.44</v>
      </c>
      <c r="BT116" s="141">
        <f t="shared" si="12"/>
        <v>0</v>
      </c>
      <c r="BU116" s="93">
        <v>114321</v>
      </c>
      <c r="BV116" s="94">
        <f t="shared" si="13"/>
        <v>0</v>
      </c>
    </row>
    <row r="117" spans="1:74" ht="18" customHeight="1" x14ac:dyDescent="0.25">
      <c r="A117" s="291"/>
      <c r="B117" s="92" t="s">
        <v>359</v>
      </c>
      <c r="C117" s="75">
        <v>12</v>
      </c>
      <c r="D117" s="132">
        <f t="shared" si="11"/>
        <v>0</v>
      </c>
      <c r="E117" s="89"/>
      <c r="F117" s="89"/>
      <c r="G117" s="89"/>
      <c r="H117" s="89"/>
      <c r="I117" s="89"/>
      <c r="J117" s="89"/>
      <c r="K117" s="89"/>
      <c r="L117" s="89"/>
      <c r="M117" s="89">
        <v>4</v>
      </c>
      <c r="N117" s="89">
        <v>5</v>
      </c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 s="89"/>
      <c r="BH117" s="89"/>
      <c r="BI117" s="89"/>
      <c r="BJ117" s="89"/>
      <c r="BK117" s="89"/>
      <c r="BL117" s="89"/>
      <c r="BM117" s="89"/>
      <c r="BN117" s="89"/>
      <c r="BO117" s="89"/>
      <c r="BP117" s="89">
        <v>11</v>
      </c>
      <c r="BQ117" s="108">
        <f t="shared" si="10"/>
        <v>4</v>
      </c>
      <c r="BR117" s="108">
        <f t="shared" si="10"/>
        <v>16</v>
      </c>
      <c r="BS117" s="2">
        <v>1.44</v>
      </c>
      <c r="BT117" s="141">
        <f t="shared" si="12"/>
        <v>0</v>
      </c>
      <c r="BU117" s="93">
        <v>144397</v>
      </c>
      <c r="BV117" s="94">
        <f t="shared" si="13"/>
        <v>0</v>
      </c>
    </row>
    <row r="118" spans="1:74" ht="18" customHeight="1" x14ac:dyDescent="0.25">
      <c r="A118" s="291"/>
      <c r="B118" s="97"/>
      <c r="C118" s="75">
        <v>0</v>
      </c>
      <c r="D118" s="132">
        <f t="shared" si="11"/>
        <v>0</v>
      </c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9"/>
      <c r="BF118" s="89"/>
      <c r="BG118" s="89"/>
      <c r="BH118" s="89"/>
      <c r="BI118" s="89"/>
      <c r="BJ118" s="89"/>
      <c r="BK118" s="89"/>
      <c r="BL118" s="89"/>
      <c r="BM118" s="89"/>
      <c r="BN118" s="89"/>
      <c r="BO118" s="89"/>
      <c r="BP118" s="89"/>
      <c r="BQ118" s="108">
        <f t="shared" si="10"/>
        <v>0</v>
      </c>
      <c r="BR118" s="108">
        <f t="shared" si="10"/>
        <v>0</v>
      </c>
      <c r="BS118" s="2"/>
      <c r="BT118" s="141">
        <f t="shared" si="12"/>
        <v>0</v>
      </c>
      <c r="BU118" s="93"/>
      <c r="BV118" s="94">
        <f t="shared" si="13"/>
        <v>0</v>
      </c>
    </row>
    <row r="119" spans="1:74" ht="18" customHeight="1" x14ac:dyDescent="0.25">
      <c r="A119" s="291"/>
      <c r="B119" s="92" t="s">
        <v>358</v>
      </c>
      <c r="C119" s="75">
        <v>4</v>
      </c>
      <c r="D119" s="132">
        <f t="shared" si="11"/>
        <v>4</v>
      </c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108">
        <f t="shared" si="10"/>
        <v>0</v>
      </c>
      <c r="BR119" s="108">
        <f t="shared" si="10"/>
        <v>0</v>
      </c>
      <c r="BS119" s="2">
        <v>1.44</v>
      </c>
      <c r="BT119" s="141">
        <f t="shared" si="12"/>
        <v>5.76</v>
      </c>
      <c r="BU119" s="93">
        <v>114321</v>
      </c>
      <c r="BV119" s="94">
        <f t="shared" si="13"/>
        <v>658488.96</v>
      </c>
    </row>
    <row r="120" spans="1:74" ht="18" customHeight="1" x14ac:dyDescent="0.25">
      <c r="A120" s="291"/>
      <c r="B120" s="92" t="s">
        <v>360</v>
      </c>
      <c r="C120" s="75">
        <v>76</v>
      </c>
      <c r="D120" s="132">
        <f t="shared" si="11"/>
        <v>76</v>
      </c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108">
        <f t="shared" si="10"/>
        <v>0</v>
      </c>
      <c r="BR120" s="108">
        <f t="shared" si="10"/>
        <v>0</v>
      </c>
      <c r="BS120" s="2">
        <v>1.44</v>
      </c>
      <c r="BT120" s="141">
        <f t="shared" si="12"/>
        <v>109.44</v>
      </c>
      <c r="BU120" s="93">
        <v>114321</v>
      </c>
      <c r="BV120" s="94">
        <f t="shared" si="13"/>
        <v>12511290.24</v>
      </c>
    </row>
    <row r="121" spans="1:74" ht="18" customHeight="1" x14ac:dyDescent="0.25">
      <c r="A121" s="292"/>
      <c r="B121" s="92" t="s">
        <v>361</v>
      </c>
      <c r="C121" s="75">
        <v>40.5</v>
      </c>
      <c r="D121" s="132">
        <f t="shared" si="11"/>
        <v>40.5</v>
      </c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108">
        <f t="shared" si="10"/>
        <v>0</v>
      </c>
      <c r="BR121" s="108">
        <f t="shared" si="10"/>
        <v>0</v>
      </c>
      <c r="BS121" s="2">
        <v>1.44</v>
      </c>
      <c r="BT121" s="141">
        <f t="shared" si="12"/>
        <v>58.32</v>
      </c>
      <c r="BU121" s="93">
        <v>144397</v>
      </c>
      <c r="BV121" s="94">
        <f t="shared" si="13"/>
        <v>8421233.040000001</v>
      </c>
    </row>
    <row r="122" spans="1:74" ht="18" customHeight="1" x14ac:dyDescent="0.25">
      <c r="A122" s="78"/>
      <c r="B122" s="96"/>
      <c r="C122" s="75">
        <v>0</v>
      </c>
      <c r="D122" s="132">
        <f t="shared" si="11"/>
        <v>0</v>
      </c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108">
        <f t="shared" si="10"/>
        <v>0</v>
      </c>
      <c r="BR122" s="108">
        <f t="shared" si="10"/>
        <v>0</v>
      </c>
      <c r="BS122" s="2"/>
      <c r="BT122" s="141">
        <f t="shared" si="12"/>
        <v>0</v>
      </c>
      <c r="BU122" s="93"/>
      <c r="BV122" s="94">
        <f t="shared" si="13"/>
        <v>0</v>
      </c>
    </row>
    <row r="123" spans="1:74" ht="18" customHeight="1" x14ac:dyDescent="0.25">
      <c r="A123" s="290" t="s">
        <v>221</v>
      </c>
      <c r="B123" s="92" t="s">
        <v>362</v>
      </c>
      <c r="C123" s="75">
        <v>602</v>
      </c>
      <c r="D123" s="132">
        <f t="shared" si="11"/>
        <v>602</v>
      </c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108">
        <f t="shared" si="10"/>
        <v>0</v>
      </c>
      <c r="BR123" s="108">
        <f t="shared" si="10"/>
        <v>0</v>
      </c>
      <c r="BS123" s="2">
        <v>1.44</v>
      </c>
      <c r="BT123" s="141">
        <f t="shared" si="12"/>
        <v>866.88</v>
      </c>
      <c r="BU123" s="93">
        <v>69000</v>
      </c>
      <c r="BV123" s="94">
        <f t="shared" si="13"/>
        <v>59814720</v>
      </c>
    </row>
    <row r="124" spans="1:74" ht="18" customHeight="1" x14ac:dyDescent="0.25">
      <c r="A124" s="291"/>
      <c r="B124" s="92" t="s">
        <v>363</v>
      </c>
      <c r="C124" s="75">
        <v>772.5</v>
      </c>
      <c r="D124" s="132">
        <f t="shared" si="11"/>
        <v>772.5</v>
      </c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7"/>
      <c r="BQ124" s="108">
        <f t="shared" si="10"/>
        <v>0</v>
      </c>
      <c r="BR124" s="108">
        <f t="shared" si="10"/>
        <v>0</v>
      </c>
      <c r="BS124" s="2">
        <v>1.44</v>
      </c>
      <c r="BT124" s="141">
        <f t="shared" si="12"/>
        <v>1112.3999999999999</v>
      </c>
      <c r="BU124" s="93">
        <v>69000</v>
      </c>
      <c r="BV124" s="94">
        <f t="shared" si="13"/>
        <v>76755599.999999985</v>
      </c>
    </row>
    <row r="125" spans="1:74" ht="18" customHeight="1" x14ac:dyDescent="0.25">
      <c r="A125" s="291"/>
      <c r="B125" s="92" t="s">
        <v>12201</v>
      </c>
      <c r="C125" s="75">
        <v>824.75</v>
      </c>
      <c r="D125" s="132">
        <f t="shared" si="11"/>
        <v>784.75</v>
      </c>
      <c r="E125" s="89"/>
      <c r="F125" s="89"/>
      <c r="G125" s="89"/>
      <c r="H125" s="89">
        <v>2</v>
      </c>
      <c r="I125" s="89"/>
      <c r="J125" s="89">
        <v>14</v>
      </c>
      <c r="K125" s="89"/>
      <c r="L125" s="89">
        <v>21</v>
      </c>
      <c r="M125" s="89"/>
      <c r="N125" s="89"/>
      <c r="O125" s="89"/>
      <c r="P125" s="89">
        <f>2+1</f>
        <v>3</v>
      </c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/>
      <c r="BF125" s="89"/>
      <c r="BG125" s="89"/>
      <c r="BH125" s="89"/>
      <c r="BI125" s="89"/>
      <c r="BJ125" s="89"/>
      <c r="BK125" s="89"/>
      <c r="BL125" s="89"/>
      <c r="BM125" s="89"/>
      <c r="BN125" s="89"/>
      <c r="BO125" s="87"/>
      <c r="BP125" s="87"/>
      <c r="BQ125" s="108">
        <f t="shared" si="10"/>
        <v>0</v>
      </c>
      <c r="BR125" s="108">
        <f t="shared" si="10"/>
        <v>40</v>
      </c>
      <c r="BS125" s="2">
        <v>1.44</v>
      </c>
      <c r="BT125" s="141">
        <f t="shared" si="12"/>
        <v>1130.04</v>
      </c>
      <c r="BU125" s="93">
        <v>69000</v>
      </c>
      <c r="BV125" s="94">
        <f t="shared" si="13"/>
        <v>77972760</v>
      </c>
    </row>
    <row r="126" spans="1:74" ht="18" customHeight="1" x14ac:dyDescent="0.25">
      <c r="A126" s="291"/>
      <c r="B126" s="92" t="s">
        <v>12246</v>
      </c>
      <c r="C126" s="75">
        <v>534</v>
      </c>
      <c r="D126" s="132">
        <f t="shared" si="11"/>
        <v>532</v>
      </c>
      <c r="E126" s="89"/>
      <c r="F126" s="89"/>
      <c r="G126" s="89"/>
      <c r="H126" s="89">
        <v>2</v>
      </c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7"/>
      <c r="BP126" s="87"/>
      <c r="BQ126" s="108">
        <f t="shared" si="10"/>
        <v>0</v>
      </c>
      <c r="BR126" s="108">
        <f t="shared" si="10"/>
        <v>2</v>
      </c>
      <c r="BS126" s="2">
        <v>1.44</v>
      </c>
      <c r="BT126" s="141">
        <f t="shared" si="12"/>
        <v>766.07999999999993</v>
      </c>
      <c r="BU126" s="93">
        <v>69000</v>
      </c>
      <c r="BV126" s="94">
        <f t="shared" si="13"/>
        <v>52859519.999999993</v>
      </c>
    </row>
    <row r="127" spans="1:74" ht="18" hidden="1" customHeight="1" x14ac:dyDescent="0.25">
      <c r="A127" s="291"/>
      <c r="B127" s="92" t="s">
        <v>364</v>
      </c>
      <c r="C127" s="75">
        <v>0</v>
      </c>
      <c r="D127" s="132">
        <f t="shared" si="11"/>
        <v>0</v>
      </c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108">
        <f t="shared" si="10"/>
        <v>0</v>
      </c>
      <c r="BR127" s="108">
        <f t="shared" si="10"/>
        <v>0</v>
      </c>
      <c r="BS127" s="2">
        <v>1.44</v>
      </c>
      <c r="BT127" s="141">
        <f t="shared" si="12"/>
        <v>0</v>
      </c>
      <c r="BU127" s="93">
        <v>69000</v>
      </c>
      <c r="BV127" s="94">
        <f t="shared" si="13"/>
        <v>0</v>
      </c>
    </row>
    <row r="128" spans="1:74" ht="18" customHeight="1" x14ac:dyDescent="0.25">
      <c r="A128" s="291"/>
      <c r="B128" s="92" t="s">
        <v>17</v>
      </c>
      <c r="C128" s="75">
        <v>177</v>
      </c>
      <c r="D128" s="132">
        <f t="shared" si="11"/>
        <v>177</v>
      </c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108">
        <f t="shared" si="10"/>
        <v>0</v>
      </c>
      <c r="BR128" s="108">
        <f t="shared" si="10"/>
        <v>0</v>
      </c>
      <c r="BS128" s="2">
        <v>1.44</v>
      </c>
      <c r="BT128" s="141">
        <f t="shared" ref="BT128:BT190" si="14">+BS128*D128</f>
        <v>254.88</v>
      </c>
      <c r="BU128" s="93">
        <v>69000</v>
      </c>
      <c r="BV128" s="94">
        <f t="shared" ref="BV128:BV190" si="15">+BU128*BT128</f>
        <v>17586720</v>
      </c>
    </row>
    <row r="129" spans="1:74" ht="18" customHeight="1" x14ac:dyDescent="0.25">
      <c r="A129" s="80"/>
      <c r="B129" s="92"/>
      <c r="C129" s="75">
        <v>0</v>
      </c>
      <c r="D129" s="132">
        <f t="shared" si="11"/>
        <v>0</v>
      </c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108">
        <f t="shared" si="10"/>
        <v>0</v>
      </c>
      <c r="BR129" s="108">
        <f t="shared" si="10"/>
        <v>0</v>
      </c>
      <c r="BS129" s="2"/>
      <c r="BT129" s="141">
        <f t="shared" si="14"/>
        <v>0</v>
      </c>
      <c r="BU129" s="93"/>
      <c r="BV129" s="94">
        <f t="shared" si="15"/>
        <v>0</v>
      </c>
    </row>
    <row r="130" spans="1:74" ht="18" customHeight="1" x14ac:dyDescent="0.25">
      <c r="A130" s="302" t="s">
        <v>2203</v>
      </c>
      <c r="B130" s="98" t="s">
        <v>365</v>
      </c>
      <c r="C130" s="75">
        <v>6</v>
      </c>
      <c r="D130" s="132">
        <f t="shared" si="11"/>
        <v>6</v>
      </c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108">
        <f t="shared" si="10"/>
        <v>0</v>
      </c>
      <c r="BR130" s="108">
        <f t="shared" si="10"/>
        <v>0</v>
      </c>
      <c r="BS130" s="2">
        <v>1.44</v>
      </c>
      <c r="BT130" s="141">
        <f t="shared" si="14"/>
        <v>8.64</v>
      </c>
      <c r="BU130" s="93">
        <v>78000</v>
      </c>
      <c r="BV130" s="94">
        <f t="shared" si="15"/>
        <v>673920</v>
      </c>
    </row>
    <row r="131" spans="1:74" ht="18" customHeight="1" x14ac:dyDescent="0.25">
      <c r="A131" s="303"/>
      <c r="B131" s="98" t="s">
        <v>366</v>
      </c>
      <c r="C131" s="75">
        <v>42.5</v>
      </c>
      <c r="D131" s="132">
        <f t="shared" si="11"/>
        <v>42.5</v>
      </c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108">
        <f t="shared" si="10"/>
        <v>0</v>
      </c>
      <c r="BR131" s="108">
        <f t="shared" si="10"/>
        <v>0</v>
      </c>
      <c r="BS131" s="2">
        <v>1.44</v>
      </c>
      <c r="BT131" s="141">
        <f t="shared" si="14"/>
        <v>61.199999999999996</v>
      </c>
      <c r="BU131" s="93">
        <v>78000</v>
      </c>
      <c r="BV131" s="94">
        <f t="shared" si="15"/>
        <v>4773600</v>
      </c>
    </row>
    <row r="132" spans="1:74" ht="18" customHeight="1" x14ac:dyDescent="0.25">
      <c r="A132" s="303"/>
      <c r="B132" s="98" t="s">
        <v>367</v>
      </c>
      <c r="C132" s="75">
        <v>74</v>
      </c>
      <c r="D132" s="132">
        <f t="shared" si="11"/>
        <v>74</v>
      </c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108">
        <f t="shared" si="10"/>
        <v>0</v>
      </c>
      <c r="BR132" s="108">
        <f t="shared" si="10"/>
        <v>0</v>
      </c>
      <c r="BS132" s="2">
        <v>1.44</v>
      </c>
      <c r="BT132" s="141">
        <f t="shared" si="14"/>
        <v>106.56</v>
      </c>
      <c r="BU132" s="93">
        <v>78000</v>
      </c>
      <c r="BV132" s="94">
        <f t="shared" si="15"/>
        <v>8311680</v>
      </c>
    </row>
    <row r="133" spans="1:74" ht="18" customHeight="1" x14ac:dyDescent="0.25">
      <c r="A133" s="304"/>
      <c r="B133" s="98" t="s">
        <v>368</v>
      </c>
      <c r="C133" s="75">
        <v>16</v>
      </c>
      <c r="D133" s="132">
        <f t="shared" si="11"/>
        <v>16</v>
      </c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108">
        <f t="shared" ref="BQ133:BR196" si="16">+E133+G133+I133+K133+M133+O133+Q133+S133+U133+W133+Y133+AA133+AC133+AE133+AG133+AI133+AK133+AM133+AO133+AQ133+AS133+AU133+AW133+AY133+BA133+BC133+BE133+BG133+BI133+BK133+BM133+BO133</f>
        <v>0</v>
      </c>
      <c r="BR133" s="108">
        <f t="shared" si="16"/>
        <v>0</v>
      </c>
      <c r="BS133" s="2">
        <v>1.44</v>
      </c>
      <c r="BT133" s="141">
        <f t="shared" si="14"/>
        <v>23.04</v>
      </c>
      <c r="BU133" s="93">
        <v>78000</v>
      </c>
      <c r="BV133" s="94">
        <f t="shared" si="15"/>
        <v>1797120</v>
      </c>
    </row>
    <row r="134" spans="1:74" ht="18" customHeight="1" x14ac:dyDescent="0.25">
      <c r="A134" s="299" t="s">
        <v>2204</v>
      </c>
      <c r="B134" s="98" t="s">
        <v>2102</v>
      </c>
      <c r="C134" s="75">
        <v>33</v>
      </c>
      <c r="D134" s="132">
        <f t="shared" si="11"/>
        <v>10</v>
      </c>
      <c r="E134" s="89"/>
      <c r="F134" s="89">
        <v>23</v>
      </c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108">
        <f t="shared" si="16"/>
        <v>0</v>
      </c>
      <c r="BR134" s="108">
        <f t="shared" si="16"/>
        <v>23</v>
      </c>
      <c r="BS134" s="2">
        <v>1.44</v>
      </c>
      <c r="BT134" s="141">
        <f t="shared" si="14"/>
        <v>14.399999999999999</v>
      </c>
      <c r="BU134" s="93">
        <v>78000</v>
      </c>
      <c r="BV134" s="94">
        <f t="shared" si="15"/>
        <v>1123200</v>
      </c>
    </row>
    <row r="135" spans="1:74" ht="18" customHeight="1" x14ac:dyDescent="0.25">
      <c r="A135" s="300"/>
      <c r="B135" s="98" t="s">
        <v>2104</v>
      </c>
      <c r="C135" s="75">
        <v>36</v>
      </c>
      <c r="D135" s="132">
        <f t="shared" ref="D135:D198" si="17">C135+BQ135-BR135</f>
        <v>36</v>
      </c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108">
        <f t="shared" si="16"/>
        <v>0</v>
      </c>
      <c r="BR135" s="108">
        <f t="shared" si="16"/>
        <v>0</v>
      </c>
      <c r="BS135" s="2">
        <v>1.44</v>
      </c>
      <c r="BT135" s="141">
        <f t="shared" si="14"/>
        <v>51.839999999999996</v>
      </c>
      <c r="BU135" s="93">
        <v>78000</v>
      </c>
      <c r="BV135" s="94">
        <f t="shared" si="15"/>
        <v>4043519.9999999995</v>
      </c>
    </row>
    <row r="136" spans="1:74" ht="18" customHeight="1" x14ac:dyDescent="0.25">
      <c r="A136" s="300"/>
      <c r="B136" s="98" t="s">
        <v>2105</v>
      </c>
      <c r="C136" s="75">
        <v>65</v>
      </c>
      <c r="D136" s="132">
        <f t="shared" si="17"/>
        <v>65</v>
      </c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  <c r="AY136" s="89"/>
      <c r="AZ136" s="89"/>
      <c r="BA136" s="89"/>
      <c r="BB136" s="89"/>
      <c r="BC136" s="89"/>
      <c r="BD136" s="89"/>
      <c r="BE136" s="89"/>
      <c r="BF136" s="89"/>
      <c r="BG136" s="89"/>
      <c r="BH136" s="89"/>
      <c r="BI136" s="89"/>
      <c r="BJ136" s="89"/>
      <c r="BK136" s="89"/>
      <c r="BL136" s="89"/>
      <c r="BM136" s="89"/>
      <c r="BN136" s="89"/>
      <c r="BO136" s="89"/>
      <c r="BP136" s="89"/>
      <c r="BQ136" s="108">
        <f t="shared" si="16"/>
        <v>0</v>
      </c>
      <c r="BR136" s="108">
        <f t="shared" si="16"/>
        <v>0</v>
      </c>
      <c r="BS136" s="2">
        <v>1.44</v>
      </c>
      <c r="BT136" s="141">
        <f t="shared" si="14"/>
        <v>93.6</v>
      </c>
      <c r="BU136" s="93">
        <v>78000</v>
      </c>
      <c r="BV136" s="94">
        <f t="shared" si="15"/>
        <v>7300800</v>
      </c>
    </row>
    <row r="137" spans="1:74" ht="18" customHeight="1" x14ac:dyDescent="0.25">
      <c r="A137" s="301"/>
      <c r="B137" s="98" t="s">
        <v>2103</v>
      </c>
      <c r="C137" s="75">
        <v>119</v>
      </c>
      <c r="D137" s="132">
        <f t="shared" si="17"/>
        <v>119</v>
      </c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  <c r="BA137" s="89"/>
      <c r="BB137" s="89"/>
      <c r="BC137" s="89"/>
      <c r="BD137" s="89"/>
      <c r="BE137" s="89"/>
      <c r="BF137" s="89"/>
      <c r="BG137" s="89"/>
      <c r="BH137" s="89"/>
      <c r="BI137" s="89"/>
      <c r="BJ137" s="89"/>
      <c r="BK137" s="89"/>
      <c r="BL137" s="89"/>
      <c r="BM137" s="89"/>
      <c r="BN137" s="89"/>
      <c r="BO137" s="89"/>
      <c r="BP137" s="89"/>
      <c r="BQ137" s="108">
        <f t="shared" si="16"/>
        <v>0</v>
      </c>
      <c r="BR137" s="108">
        <f t="shared" si="16"/>
        <v>0</v>
      </c>
      <c r="BS137" s="2">
        <v>1.44</v>
      </c>
      <c r="BT137" s="141">
        <f t="shared" si="14"/>
        <v>171.35999999999999</v>
      </c>
      <c r="BU137" s="93">
        <v>78000</v>
      </c>
      <c r="BV137" s="94">
        <f t="shared" si="15"/>
        <v>13366079.999999998</v>
      </c>
    </row>
    <row r="138" spans="1:74" ht="18" customHeight="1" x14ac:dyDescent="0.25">
      <c r="A138" s="81"/>
      <c r="B138" s="96"/>
      <c r="C138" s="75">
        <v>0</v>
      </c>
      <c r="D138" s="132">
        <f t="shared" si="17"/>
        <v>0</v>
      </c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108">
        <f t="shared" si="16"/>
        <v>0</v>
      </c>
      <c r="BR138" s="108">
        <f t="shared" si="16"/>
        <v>0</v>
      </c>
      <c r="BS138" s="2">
        <v>1.44</v>
      </c>
      <c r="BT138" s="141">
        <f t="shared" si="14"/>
        <v>0</v>
      </c>
      <c r="BU138" s="93"/>
      <c r="BV138" s="94">
        <f t="shared" si="15"/>
        <v>0</v>
      </c>
    </row>
    <row r="139" spans="1:74" ht="18" customHeight="1" x14ac:dyDescent="0.25">
      <c r="A139" s="296" t="s">
        <v>411</v>
      </c>
      <c r="B139" s="92" t="s">
        <v>369</v>
      </c>
      <c r="C139" s="75">
        <v>151</v>
      </c>
      <c r="D139" s="132">
        <f t="shared" si="17"/>
        <v>82</v>
      </c>
      <c r="E139" s="89"/>
      <c r="F139" s="89"/>
      <c r="G139" s="89"/>
      <c r="H139" s="89"/>
      <c r="I139" s="89"/>
      <c r="J139" s="89"/>
      <c r="K139" s="89"/>
      <c r="L139" s="89">
        <v>69</v>
      </c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108">
        <f t="shared" si="16"/>
        <v>0</v>
      </c>
      <c r="BR139" s="108">
        <f t="shared" si="16"/>
        <v>69</v>
      </c>
      <c r="BS139" s="2">
        <v>1.44</v>
      </c>
      <c r="BT139" s="141">
        <f t="shared" si="14"/>
        <v>118.08</v>
      </c>
      <c r="BU139" s="93">
        <v>72000</v>
      </c>
      <c r="BV139" s="94">
        <f t="shared" si="15"/>
        <v>8501760</v>
      </c>
    </row>
    <row r="140" spans="1:74" ht="18" customHeight="1" x14ac:dyDescent="0.25">
      <c r="A140" s="297"/>
      <c r="B140" s="92" t="s">
        <v>370</v>
      </c>
      <c r="C140" s="75">
        <v>31</v>
      </c>
      <c r="D140" s="132">
        <f t="shared" si="17"/>
        <v>31</v>
      </c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9"/>
      <c r="BF140" s="89"/>
      <c r="BG140" s="89"/>
      <c r="BH140" s="89"/>
      <c r="BI140" s="89"/>
      <c r="BJ140" s="89"/>
      <c r="BK140" s="89"/>
      <c r="BL140" s="89"/>
      <c r="BM140" s="89"/>
      <c r="BN140" s="89"/>
      <c r="BO140" s="89"/>
      <c r="BP140" s="89"/>
      <c r="BQ140" s="108">
        <f t="shared" si="16"/>
        <v>0</v>
      </c>
      <c r="BR140" s="108">
        <f t="shared" si="16"/>
        <v>0</v>
      </c>
      <c r="BS140" s="2">
        <v>1.44</v>
      </c>
      <c r="BT140" s="141">
        <f t="shared" si="14"/>
        <v>44.64</v>
      </c>
      <c r="BU140" s="93">
        <v>72000</v>
      </c>
      <c r="BV140" s="94">
        <f t="shared" si="15"/>
        <v>3214080</v>
      </c>
    </row>
    <row r="141" spans="1:74" ht="18" customHeight="1" x14ac:dyDescent="0.25">
      <c r="A141" s="297"/>
      <c r="B141" s="92" t="s">
        <v>380</v>
      </c>
      <c r="C141" s="75">
        <v>34</v>
      </c>
      <c r="D141" s="132">
        <f t="shared" si="17"/>
        <v>31</v>
      </c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>
        <v>3</v>
      </c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108">
        <f t="shared" si="16"/>
        <v>0</v>
      </c>
      <c r="BR141" s="108">
        <f t="shared" si="16"/>
        <v>3</v>
      </c>
      <c r="BS141" s="2">
        <v>1.44</v>
      </c>
      <c r="BT141" s="141">
        <f t="shared" si="14"/>
        <v>44.64</v>
      </c>
      <c r="BU141" s="93">
        <v>78000</v>
      </c>
      <c r="BV141" s="94">
        <f t="shared" si="15"/>
        <v>3481920</v>
      </c>
    </row>
    <row r="142" spans="1:74" ht="18" customHeight="1" x14ac:dyDescent="0.25">
      <c r="A142" s="297"/>
      <c r="B142" s="97"/>
      <c r="C142" s="75">
        <v>0</v>
      </c>
      <c r="D142" s="132">
        <f t="shared" si="17"/>
        <v>0</v>
      </c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/>
      <c r="BK142" s="89"/>
      <c r="BL142" s="89"/>
      <c r="BM142" s="89"/>
      <c r="BN142" s="89"/>
      <c r="BO142" s="89"/>
      <c r="BP142" s="89"/>
      <c r="BQ142" s="108">
        <f t="shared" si="16"/>
        <v>0</v>
      </c>
      <c r="BR142" s="108">
        <f t="shared" si="16"/>
        <v>0</v>
      </c>
      <c r="BS142" s="2"/>
      <c r="BT142" s="141">
        <f t="shared" si="14"/>
        <v>0</v>
      </c>
      <c r="BU142" s="93"/>
      <c r="BV142" s="94">
        <f t="shared" si="15"/>
        <v>0</v>
      </c>
    </row>
    <row r="143" spans="1:74" ht="18" customHeight="1" x14ac:dyDescent="0.25">
      <c r="A143" s="297"/>
      <c r="B143" s="92" t="s">
        <v>371</v>
      </c>
      <c r="C143" s="75">
        <v>266</v>
      </c>
      <c r="D143" s="132">
        <f t="shared" si="17"/>
        <v>266</v>
      </c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9"/>
      <c r="BF143" s="89"/>
      <c r="BG143" s="89"/>
      <c r="BH143" s="89"/>
      <c r="BI143" s="89"/>
      <c r="BJ143" s="89"/>
      <c r="BK143" s="89"/>
      <c r="BL143" s="89"/>
      <c r="BM143" s="89"/>
      <c r="BN143" s="89"/>
      <c r="BO143" s="89"/>
      <c r="BP143" s="89"/>
      <c r="BQ143" s="108">
        <f t="shared" si="16"/>
        <v>0</v>
      </c>
      <c r="BR143" s="108">
        <f t="shared" si="16"/>
        <v>0</v>
      </c>
      <c r="BS143" s="2">
        <v>1.44</v>
      </c>
      <c r="BT143" s="141">
        <f t="shared" si="14"/>
        <v>383.03999999999996</v>
      </c>
      <c r="BU143" s="93">
        <v>72000</v>
      </c>
      <c r="BV143" s="94">
        <f t="shared" si="15"/>
        <v>27578879.999999996</v>
      </c>
    </row>
    <row r="144" spans="1:74" ht="18" customHeight="1" x14ac:dyDescent="0.25">
      <c r="A144" s="297"/>
      <c r="B144" s="92" t="s">
        <v>372</v>
      </c>
      <c r="C144" s="75">
        <v>145.5</v>
      </c>
      <c r="D144" s="132">
        <f t="shared" si="17"/>
        <v>145.5</v>
      </c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89"/>
      <c r="BM144" s="89"/>
      <c r="BN144" s="89"/>
      <c r="BO144" s="89"/>
      <c r="BP144" s="89"/>
      <c r="BQ144" s="108">
        <f t="shared" si="16"/>
        <v>0</v>
      </c>
      <c r="BR144" s="108">
        <f t="shared" si="16"/>
        <v>0</v>
      </c>
      <c r="BS144" s="2">
        <v>1.44</v>
      </c>
      <c r="BT144" s="141">
        <f t="shared" si="14"/>
        <v>209.51999999999998</v>
      </c>
      <c r="BU144" s="93">
        <v>72000</v>
      </c>
      <c r="BV144" s="94">
        <f t="shared" si="15"/>
        <v>15085439.999999998</v>
      </c>
    </row>
    <row r="145" spans="1:74" ht="18" customHeight="1" x14ac:dyDescent="0.25">
      <c r="A145" s="297"/>
      <c r="B145" s="92" t="s">
        <v>379</v>
      </c>
      <c r="C145" s="75">
        <v>80</v>
      </c>
      <c r="D145" s="132">
        <f t="shared" si="17"/>
        <v>80</v>
      </c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108">
        <f t="shared" si="16"/>
        <v>0</v>
      </c>
      <c r="BR145" s="108">
        <f t="shared" si="16"/>
        <v>0</v>
      </c>
      <c r="BS145" s="2">
        <v>1.44</v>
      </c>
      <c r="BT145" s="141">
        <f t="shared" si="14"/>
        <v>115.19999999999999</v>
      </c>
      <c r="BU145" s="93">
        <v>78000</v>
      </c>
      <c r="BV145" s="94">
        <f t="shared" si="15"/>
        <v>8985600</v>
      </c>
    </row>
    <row r="146" spans="1:74" ht="17.25" customHeight="1" x14ac:dyDescent="0.25">
      <c r="A146" s="297"/>
      <c r="B146" s="2"/>
      <c r="C146" s="75">
        <v>0</v>
      </c>
      <c r="D146" s="132">
        <f t="shared" si="17"/>
        <v>0</v>
      </c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108">
        <f t="shared" si="16"/>
        <v>0</v>
      </c>
      <c r="BR146" s="108">
        <f t="shared" si="16"/>
        <v>0</v>
      </c>
      <c r="BS146" s="2"/>
      <c r="BT146" s="141">
        <f t="shared" si="14"/>
        <v>0</v>
      </c>
      <c r="BU146" s="93"/>
      <c r="BV146" s="94">
        <f t="shared" si="15"/>
        <v>0</v>
      </c>
    </row>
    <row r="147" spans="1:74" ht="23.25" hidden="1" customHeight="1" x14ac:dyDescent="0.25">
      <c r="A147" s="297"/>
      <c r="B147" s="92" t="s">
        <v>373</v>
      </c>
      <c r="C147" s="75">
        <v>0.25</v>
      </c>
      <c r="D147" s="132">
        <f t="shared" si="17"/>
        <v>0.25</v>
      </c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89"/>
      <c r="BN147" s="89"/>
      <c r="BO147" s="87"/>
      <c r="BP147" s="87"/>
      <c r="BQ147" s="108">
        <f t="shared" si="16"/>
        <v>0</v>
      </c>
      <c r="BR147" s="108">
        <f t="shared" si="16"/>
        <v>0</v>
      </c>
      <c r="BS147" s="2">
        <v>1.44</v>
      </c>
      <c r="BT147" s="141">
        <f t="shared" si="14"/>
        <v>0.36</v>
      </c>
      <c r="BU147" s="93">
        <v>72000</v>
      </c>
      <c r="BV147" s="94">
        <f t="shared" si="15"/>
        <v>25920</v>
      </c>
    </row>
    <row r="148" spans="1:74" ht="28.5" hidden="1" customHeight="1" x14ac:dyDescent="0.25">
      <c r="A148" s="297"/>
      <c r="B148" s="92" t="s">
        <v>374</v>
      </c>
      <c r="C148" s="75">
        <v>0</v>
      </c>
      <c r="D148" s="132">
        <f t="shared" si="17"/>
        <v>0</v>
      </c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9"/>
      <c r="BF148" s="89"/>
      <c r="BG148" s="89"/>
      <c r="BH148" s="89"/>
      <c r="BI148" s="89"/>
      <c r="BJ148" s="89"/>
      <c r="BK148" s="89"/>
      <c r="BL148" s="89"/>
      <c r="BM148" s="89"/>
      <c r="BN148" s="89"/>
      <c r="BO148" s="87"/>
      <c r="BP148" s="87"/>
      <c r="BQ148" s="108">
        <f t="shared" si="16"/>
        <v>0</v>
      </c>
      <c r="BR148" s="108">
        <f t="shared" si="16"/>
        <v>0</v>
      </c>
      <c r="BS148" s="2">
        <v>1.44</v>
      </c>
      <c r="BT148" s="141">
        <f t="shared" si="14"/>
        <v>0</v>
      </c>
      <c r="BU148" s="93">
        <v>72000</v>
      </c>
      <c r="BV148" s="94">
        <f t="shared" si="15"/>
        <v>0</v>
      </c>
    </row>
    <row r="149" spans="1:74" ht="29.25" customHeight="1" x14ac:dyDescent="0.25">
      <c r="A149" s="297"/>
      <c r="B149" s="92" t="s">
        <v>378</v>
      </c>
      <c r="C149" s="75">
        <v>24.4</v>
      </c>
      <c r="D149" s="132">
        <f t="shared" si="17"/>
        <v>24.4</v>
      </c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89"/>
      <c r="BN149" s="89"/>
      <c r="BO149" s="87"/>
      <c r="BP149" s="87"/>
      <c r="BQ149" s="108">
        <f t="shared" si="16"/>
        <v>0</v>
      </c>
      <c r="BR149" s="108">
        <f t="shared" si="16"/>
        <v>0</v>
      </c>
      <c r="BS149" s="2">
        <v>1.44</v>
      </c>
      <c r="BT149" s="141">
        <f t="shared" si="14"/>
        <v>35.135999999999996</v>
      </c>
      <c r="BU149" s="93">
        <v>78000</v>
      </c>
      <c r="BV149" s="94">
        <f t="shared" si="15"/>
        <v>2740607.9999999995</v>
      </c>
    </row>
    <row r="150" spans="1:74" ht="18" customHeight="1" x14ac:dyDescent="0.25">
      <c r="A150" s="297"/>
      <c r="B150" s="2"/>
      <c r="C150" s="75">
        <v>0</v>
      </c>
      <c r="D150" s="132">
        <f t="shared" si="17"/>
        <v>0</v>
      </c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108">
        <f t="shared" si="16"/>
        <v>0</v>
      </c>
      <c r="BR150" s="108">
        <f t="shared" si="16"/>
        <v>0</v>
      </c>
      <c r="BS150" s="2"/>
      <c r="BT150" s="141">
        <f t="shared" si="14"/>
        <v>0</v>
      </c>
      <c r="BU150" s="93"/>
      <c r="BV150" s="94">
        <f t="shared" si="15"/>
        <v>0</v>
      </c>
    </row>
    <row r="151" spans="1:74" ht="18" customHeight="1" x14ac:dyDescent="0.25">
      <c r="A151" s="297"/>
      <c r="B151" s="92" t="s">
        <v>198</v>
      </c>
      <c r="C151" s="75">
        <v>26</v>
      </c>
      <c r="D151" s="132">
        <f t="shared" si="17"/>
        <v>26</v>
      </c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  <c r="BA151" s="89"/>
      <c r="BB151" s="89"/>
      <c r="BC151" s="89"/>
      <c r="BD151" s="89"/>
      <c r="BE151" s="89"/>
      <c r="BF151" s="89"/>
      <c r="BG151" s="89"/>
      <c r="BH151" s="89"/>
      <c r="BI151" s="89"/>
      <c r="BJ151" s="89"/>
      <c r="BK151" s="89"/>
      <c r="BL151" s="89"/>
      <c r="BM151" s="89"/>
      <c r="BN151" s="89"/>
      <c r="BO151" s="89"/>
      <c r="BP151" s="89"/>
      <c r="BQ151" s="108">
        <f t="shared" si="16"/>
        <v>0</v>
      </c>
      <c r="BR151" s="108">
        <f t="shared" si="16"/>
        <v>0</v>
      </c>
      <c r="BS151" s="2">
        <v>1.44</v>
      </c>
      <c r="BT151" s="141">
        <f t="shared" si="14"/>
        <v>37.44</v>
      </c>
      <c r="BU151" s="93">
        <v>72000</v>
      </c>
      <c r="BV151" s="94">
        <f t="shared" si="15"/>
        <v>2695680</v>
      </c>
    </row>
    <row r="152" spans="1:74" ht="18" customHeight="1" x14ac:dyDescent="0.25">
      <c r="A152" s="297"/>
      <c r="B152" s="92" t="s">
        <v>199</v>
      </c>
      <c r="C152" s="75">
        <v>48</v>
      </c>
      <c r="D152" s="132">
        <f t="shared" si="17"/>
        <v>48</v>
      </c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9"/>
      <c r="BF152" s="89"/>
      <c r="BG152" s="89"/>
      <c r="BH152" s="89"/>
      <c r="BI152" s="89"/>
      <c r="BJ152" s="89"/>
      <c r="BK152" s="89"/>
      <c r="BL152" s="89"/>
      <c r="BM152" s="89"/>
      <c r="BN152" s="89"/>
      <c r="BO152" s="89"/>
      <c r="BP152" s="89"/>
      <c r="BQ152" s="108">
        <f t="shared" si="16"/>
        <v>0</v>
      </c>
      <c r="BR152" s="108">
        <f t="shared" si="16"/>
        <v>0</v>
      </c>
      <c r="BS152" s="2">
        <v>1.44</v>
      </c>
      <c r="BT152" s="141">
        <f t="shared" si="14"/>
        <v>69.12</v>
      </c>
      <c r="BU152" s="93">
        <v>72000</v>
      </c>
      <c r="BV152" s="94">
        <f t="shared" si="15"/>
        <v>4976640</v>
      </c>
    </row>
    <row r="153" spans="1:74" ht="18" customHeight="1" x14ac:dyDescent="0.25">
      <c r="A153" s="297"/>
      <c r="B153" s="92" t="s">
        <v>375</v>
      </c>
      <c r="C153" s="75">
        <v>7.375</v>
      </c>
      <c r="D153" s="132">
        <f t="shared" si="17"/>
        <v>7.375</v>
      </c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9"/>
      <c r="BF153" s="89"/>
      <c r="BG153" s="89"/>
      <c r="BH153" s="89"/>
      <c r="BI153" s="89"/>
      <c r="BJ153" s="89"/>
      <c r="BK153" s="89"/>
      <c r="BL153" s="89"/>
      <c r="BM153" s="89"/>
      <c r="BN153" s="89"/>
      <c r="BO153" s="89"/>
      <c r="BP153" s="89"/>
      <c r="BQ153" s="108">
        <f t="shared" si="16"/>
        <v>0</v>
      </c>
      <c r="BR153" s="108">
        <f t="shared" si="16"/>
        <v>0</v>
      </c>
      <c r="BS153" s="2">
        <v>1.44</v>
      </c>
      <c r="BT153" s="141">
        <f t="shared" si="14"/>
        <v>10.62</v>
      </c>
      <c r="BU153" s="93">
        <v>78000</v>
      </c>
      <c r="BV153" s="94">
        <f t="shared" si="15"/>
        <v>828359.99999999988</v>
      </c>
    </row>
    <row r="154" spans="1:74" ht="18" customHeight="1" x14ac:dyDescent="0.25">
      <c r="A154" s="297"/>
      <c r="B154" s="2"/>
      <c r="C154" s="75">
        <v>0</v>
      </c>
      <c r="D154" s="132">
        <f t="shared" si="17"/>
        <v>0</v>
      </c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/>
      <c r="BK154" s="89"/>
      <c r="BL154" s="89"/>
      <c r="BM154" s="89"/>
      <c r="BN154" s="89"/>
      <c r="BO154" s="89"/>
      <c r="BP154" s="89"/>
      <c r="BQ154" s="108">
        <f t="shared" si="16"/>
        <v>0</v>
      </c>
      <c r="BR154" s="108">
        <f t="shared" si="16"/>
        <v>0</v>
      </c>
      <c r="BS154" s="2"/>
      <c r="BT154" s="141">
        <f t="shared" si="14"/>
        <v>0</v>
      </c>
      <c r="BU154" s="93"/>
      <c r="BV154" s="94">
        <f t="shared" si="15"/>
        <v>0</v>
      </c>
    </row>
    <row r="155" spans="1:74" ht="18" customHeight="1" x14ac:dyDescent="0.25">
      <c r="A155" s="297"/>
      <c r="B155" s="92" t="s">
        <v>200</v>
      </c>
      <c r="C155" s="75">
        <v>168</v>
      </c>
      <c r="D155" s="132">
        <f t="shared" si="17"/>
        <v>168</v>
      </c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89"/>
      <c r="BM155" s="89"/>
      <c r="BN155" s="89"/>
      <c r="BO155" s="89"/>
      <c r="BP155" s="89"/>
      <c r="BQ155" s="108">
        <f t="shared" si="16"/>
        <v>0</v>
      </c>
      <c r="BR155" s="108">
        <f t="shared" si="16"/>
        <v>0</v>
      </c>
      <c r="BS155" s="2">
        <v>1.44</v>
      </c>
      <c r="BT155" s="141">
        <f t="shared" si="14"/>
        <v>241.92</v>
      </c>
      <c r="BU155" s="93">
        <v>72000</v>
      </c>
      <c r="BV155" s="94">
        <f t="shared" si="15"/>
        <v>17418240</v>
      </c>
    </row>
    <row r="156" spans="1:74" ht="18" customHeight="1" x14ac:dyDescent="0.25">
      <c r="A156" s="297"/>
      <c r="B156" s="92" t="s">
        <v>201</v>
      </c>
      <c r="C156" s="75">
        <v>97.75</v>
      </c>
      <c r="D156" s="132">
        <f t="shared" si="17"/>
        <v>97.75</v>
      </c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/>
      <c r="BJ156" s="89"/>
      <c r="BK156" s="89"/>
      <c r="BL156" s="89"/>
      <c r="BM156" s="89"/>
      <c r="BN156" s="89"/>
      <c r="BO156" s="89"/>
      <c r="BP156" s="89"/>
      <c r="BQ156" s="108">
        <f t="shared" si="16"/>
        <v>0</v>
      </c>
      <c r="BR156" s="108">
        <f t="shared" si="16"/>
        <v>0</v>
      </c>
      <c r="BS156" s="2">
        <v>1.44</v>
      </c>
      <c r="BT156" s="141">
        <f t="shared" si="14"/>
        <v>140.76</v>
      </c>
      <c r="BU156" s="93">
        <v>72000</v>
      </c>
      <c r="BV156" s="94">
        <f t="shared" si="15"/>
        <v>10134720</v>
      </c>
    </row>
    <row r="157" spans="1:74" ht="18" customHeight="1" x14ac:dyDescent="0.25">
      <c r="A157" s="297"/>
      <c r="B157" s="92" t="s">
        <v>377</v>
      </c>
      <c r="C157" s="75">
        <v>29</v>
      </c>
      <c r="D157" s="132">
        <f t="shared" si="17"/>
        <v>29</v>
      </c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9"/>
      <c r="BF157" s="89"/>
      <c r="BG157" s="89"/>
      <c r="BH157" s="89"/>
      <c r="BI157" s="89"/>
      <c r="BJ157" s="89"/>
      <c r="BK157" s="89"/>
      <c r="BL157" s="89"/>
      <c r="BM157" s="89"/>
      <c r="BN157" s="89"/>
      <c r="BO157" s="89"/>
      <c r="BP157" s="89"/>
      <c r="BQ157" s="108">
        <f t="shared" si="16"/>
        <v>0</v>
      </c>
      <c r="BR157" s="108">
        <f t="shared" si="16"/>
        <v>0</v>
      </c>
      <c r="BS157" s="2">
        <v>1.44</v>
      </c>
      <c r="BT157" s="141">
        <f t="shared" si="14"/>
        <v>41.76</v>
      </c>
      <c r="BU157" s="93">
        <v>78000</v>
      </c>
      <c r="BV157" s="94">
        <f t="shared" si="15"/>
        <v>3257280</v>
      </c>
    </row>
    <row r="158" spans="1:74" ht="18" customHeight="1" x14ac:dyDescent="0.25">
      <c r="A158" s="297"/>
      <c r="B158" s="2"/>
      <c r="C158" s="75">
        <v>0</v>
      </c>
      <c r="D158" s="132">
        <f t="shared" si="17"/>
        <v>0</v>
      </c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89"/>
      <c r="BM158" s="89"/>
      <c r="BN158" s="89"/>
      <c r="BO158" s="89"/>
      <c r="BP158" s="89"/>
      <c r="BQ158" s="108">
        <f t="shared" si="16"/>
        <v>0</v>
      </c>
      <c r="BR158" s="108">
        <f t="shared" si="16"/>
        <v>0</v>
      </c>
      <c r="BS158" s="2"/>
      <c r="BT158" s="141">
        <f t="shared" si="14"/>
        <v>0</v>
      </c>
      <c r="BU158" s="93"/>
      <c r="BV158" s="94">
        <f t="shared" si="15"/>
        <v>0</v>
      </c>
    </row>
    <row r="159" spans="1:74" ht="18" customHeight="1" x14ac:dyDescent="0.25">
      <c r="A159" s="297"/>
      <c r="B159" s="92" t="s">
        <v>202</v>
      </c>
      <c r="C159" s="75">
        <v>86.5</v>
      </c>
      <c r="D159" s="132">
        <f t="shared" si="17"/>
        <v>67.5</v>
      </c>
      <c r="E159" s="89"/>
      <c r="F159" s="89"/>
      <c r="G159" s="89"/>
      <c r="H159" s="89"/>
      <c r="I159" s="89"/>
      <c r="J159" s="89"/>
      <c r="K159" s="89"/>
      <c r="L159" s="89"/>
      <c r="M159" s="89"/>
      <c r="N159" s="89">
        <v>19</v>
      </c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9"/>
      <c r="BF159" s="89"/>
      <c r="BG159" s="89"/>
      <c r="BH159" s="89"/>
      <c r="BI159" s="89"/>
      <c r="BJ159" s="89"/>
      <c r="BK159" s="89"/>
      <c r="BL159" s="89"/>
      <c r="BM159" s="89"/>
      <c r="BN159" s="89"/>
      <c r="BO159" s="89"/>
      <c r="BP159" s="89"/>
      <c r="BQ159" s="108">
        <f t="shared" si="16"/>
        <v>0</v>
      </c>
      <c r="BR159" s="108">
        <f t="shared" si="16"/>
        <v>19</v>
      </c>
      <c r="BS159" s="2">
        <v>1.44</v>
      </c>
      <c r="BT159" s="141">
        <f t="shared" si="14"/>
        <v>97.2</v>
      </c>
      <c r="BU159" s="93">
        <v>72000</v>
      </c>
      <c r="BV159" s="94">
        <f t="shared" si="15"/>
        <v>6998400</v>
      </c>
    </row>
    <row r="160" spans="1:74" ht="18" customHeight="1" x14ac:dyDescent="0.25">
      <c r="A160" s="297"/>
      <c r="B160" s="92" t="s">
        <v>203</v>
      </c>
      <c r="C160" s="75">
        <v>62</v>
      </c>
      <c r="D160" s="132">
        <f t="shared" si="17"/>
        <v>48</v>
      </c>
      <c r="E160" s="89"/>
      <c r="F160" s="89"/>
      <c r="G160" s="89"/>
      <c r="H160" s="89"/>
      <c r="I160" s="89"/>
      <c r="J160" s="89"/>
      <c r="K160" s="89"/>
      <c r="L160" s="89"/>
      <c r="M160" s="89"/>
      <c r="N160" s="89">
        <v>14</v>
      </c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/>
      <c r="BE160" s="89"/>
      <c r="BF160" s="89"/>
      <c r="BG160" s="89"/>
      <c r="BH160" s="89"/>
      <c r="BI160" s="89"/>
      <c r="BJ160" s="89"/>
      <c r="BK160" s="89"/>
      <c r="BL160" s="89"/>
      <c r="BM160" s="89"/>
      <c r="BN160" s="89"/>
      <c r="BO160" s="89"/>
      <c r="BP160" s="89"/>
      <c r="BQ160" s="108">
        <f t="shared" si="16"/>
        <v>0</v>
      </c>
      <c r="BR160" s="108">
        <f t="shared" si="16"/>
        <v>14</v>
      </c>
      <c r="BS160" s="2">
        <v>1.44</v>
      </c>
      <c r="BT160" s="141">
        <f t="shared" si="14"/>
        <v>69.12</v>
      </c>
      <c r="BU160" s="93">
        <v>72000</v>
      </c>
      <c r="BV160" s="94">
        <f t="shared" si="15"/>
        <v>4976640</v>
      </c>
    </row>
    <row r="161" spans="1:74" ht="18" customHeight="1" x14ac:dyDescent="0.25">
      <c r="A161" s="297"/>
      <c r="B161" s="92" t="s">
        <v>376</v>
      </c>
      <c r="C161" s="75">
        <v>49.25</v>
      </c>
      <c r="D161" s="132">
        <f t="shared" si="17"/>
        <v>45.25</v>
      </c>
      <c r="E161" s="89"/>
      <c r="F161" s="89"/>
      <c r="G161" s="89"/>
      <c r="H161" s="89"/>
      <c r="I161" s="89"/>
      <c r="J161" s="89"/>
      <c r="K161" s="89"/>
      <c r="L161" s="89"/>
      <c r="M161" s="89"/>
      <c r="N161" s="89">
        <v>4</v>
      </c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108">
        <f t="shared" si="16"/>
        <v>0</v>
      </c>
      <c r="BR161" s="108">
        <f t="shared" si="16"/>
        <v>4</v>
      </c>
      <c r="BS161" s="2">
        <v>1.44</v>
      </c>
      <c r="BT161" s="141">
        <f t="shared" si="14"/>
        <v>65.16</v>
      </c>
      <c r="BU161" s="93">
        <v>78000</v>
      </c>
      <c r="BV161" s="94">
        <f t="shared" si="15"/>
        <v>5082480</v>
      </c>
    </row>
    <row r="162" spans="1:74" ht="18" customHeight="1" x14ac:dyDescent="0.25">
      <c r="A162" s="297"/>
      <c r="B162" s="2"/>
      <c r="C162" s="75">
        <v>0</v>
      </c>
      <c r="D162" s="132">
        <f t="shared" si="17"/>
        <v>0</v>
      </c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9"/>
      <c r="BF162" s="89"/>
      <c r="BG162" s="89"/>
      <c r="BH162" s="89"/>
      <c r="BI162" s="89"/>
      <c r="BJ162" s="89"/>
      <c r="BK162" s="89"/>
      <c r="BL162" s="89"/>
      <c r="BM162" s="89"/>
      <c r="BN162" s="89"/>
      <c r="BO162" s="89"/>
      <c r="BP162" s="89"/>
      <c r="BQ162" s="108">
        <f t="shared" si="16"/>
        <v>0</v>
      </c>
      <c r="BR162" s="108">
        <f t="shared" si="16"/>
        <v>0</v>
      </c>
      <c r="BS162" s="2"/>
      <c r="BT162" s="141">
        <f t="shared" si="14"/>
        <v>0</v>
      </c>
      <c r="BU162" s="93"/>
      <c r="BV162" s="94">
        <f t="shared" si="15"/>
        <v>0</v>
      </c>
    </row>
    <row r="163" spans="1:74" ht="18" customHeight="1" x14ac:dyDescent="0.25">
      <c r="A163" s="297"/>
      <c r="B163" s="92" t="s">
        <v>204</v>
      </c>
      <c r="C163" s="75">
        <v>185</v>
      </c>
      <c r="D163" s="132">
        <f t="shared" si="17"/>
        <v>185</v>
      </c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9"/>
      <c r="BF163" s="89"/>
      <c r="BG163" s="89"/>
      <c r="BH163" s="89"/>
      <c r="BI163" s="89"/>
      <c r="BJ163" s="89"/>
      <c r="BK163" s="89"/>
      <c r="BL163" s="89"/>
      <c r="BM163" s="89"/>
      <c r="BN163" s="89"/>
      <c r="BO163" s="89"/>
      <c r="BP163" s="89"/>
      <c r="BQ163" s="108">
        <f t="shared" si="16"/>
        <v>0</v>
      </c>
      <c r="BR163" s="108">
        <f t="shared" si="16"/>
        <v>0</v>
      </c>
      <c r="BS163" s="2">
        <v>1.44</v>
      </c>
      <c r="BT163" s="141">
        <f t="shared" si="14"/>
        <v>266.39999999999998</v>
      </c>
      <c r="BU163" s="93">
        <v>72000</v>
      </c>
      <c r="BV163" s="94">
        <f t="shared" si="15"/>
        <v>19180800</v>
      </c>
    </row>
    <row r="164" spans="1:74" ht="18" customHeight="1" x14ac:dyDescent="0.25">
      <c r="A164" s="297"/>
      <c r="B164" s="92" t="s">
        <v>205</v>
      </c>
      <c r="C164" s="75">
        <v>143</v>
      </c>
      <c r="D164" s="132">
        <f t="shared" si="17"/>
        <v>143</v>
      </c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89"/>
      <c r="BM164" s="89"/>
      <c r="BN164" s="89"/>
      <c r="BO164" s="89"/>
      <c r="BP164" s="89"/>
      <c r="BQ164" s="108">
        <f t="shared" si="16"/>
        <v>0</v>
      </c>
      <c r="BR164" s="108">
        <f t="shared" si="16"/>
        <v>0</v>
      </c>
      <c r="BS164" s="2">
        <v>1.44</v>
      </c>
      <c r="BT164" s="141">
        <f t="shared" si="14"/>
        <v>205.92</v>
      </c>
      <c r="BU164" s="93">
        <v>72000</v>
      </c>
      <c r="BV164" s="94">
        <f t="shared" si="15"/>
        <v>14826240</v>
      </c>
    </row>
    <row r="165" spans="1:74" ht="18" customHeight="1" x14ac:dyDescent="0.25">
      <c r="A165" s="297"/>
      <c r="B165" s="92" t="s">
        <v>381</v>
      </c>
      <c r="C165" s="75">
        <v>44</v>
      </c>
      <c r="D165" s="132">
        <f t="shared" si="17"/>
        <v>44</v>
      </c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9"/>
      <c r="BF165" s="89"/>
      <c r="BG165" s="89"/>
      <c r="BH165" s="89"/>
      <c r="BI165" s="89"/>
      <c r="BJ165" s="89"/>
      <c r="BK165" s="89"/>
      <c r="BL165" s="89"/>
      <c r="BM165" s="89"/>
      <c r="BN165" s="89"/>
      <c r="BO165" s="89"/>
      <c r="BP165" s="89"/>
      <c r="BQ165" s="108">
        <f t="shared" si="16"/>
        <v>0</v>
      </c>
      <c r="BR165" s="108">
        <f t="shared" si="16"/>
        <v>0</v>
      </c>
      <c r="BS165" s="2">
        <v>1.44</v>
      </c>
      <c r="BT165" s="141">
        <f t="shared" si="14"/>
        <v>63.36</v>
      </c>
      <c r="BU165" s="93">
        <v>78000</v>
      </c>
      <c r="BV165" s="94">
        <f t="shared" si="15"/>
        <v>4942080</v>
      </c>
    </row>
    <row r="166" spans="1:74" ht="18" customHeight="1" x14ac:dyDescent="0.25">
      <c r="A166" s="297"/>
      <c r="B166" s="2"/>
      <c r="C166" s="75">
        <v>0</v>
      </c>
      <c r="D166" s="132">
        <f t="shared" si="17"/>
        <v>0</v>
      </c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/>
      <c r="BF166" s="89"/>
      <c r="BG166" s="89"/>
      <c r="BH166" s="89"/>
      <c r="BI166" s="89"/>
      <c r="BJ166" s="89"/>
      <c r="BK166" s="89"/>
      <c r="BL166" s="89"/>
      <c r="BM166" s="89"/>
      <c r="BN166" s="89"/>
      <c r="BO166" s="89"/>
      <c r="BP166" s="89"/>
      <c r="BQ166" s="108">
        <f t="shared" si="16"/>
        <v>0</v>
      </c>
      <c r="BR166" s="108">
        <f t="shared" si="16"/>
        <v>0</v>
      </c>
      <c r="BS166" s="2"/>
      <c r="BT166" s="141">
        <f t="shared" si="14"/>
        <v>0</v>
      </c>
      <c r="BU166" s="93"/>
      <c r="BV166" s="94">
        <f t="shared" si="15"/>
        <v>0</v>
      </c>
    </row>
    <row r="167" spans="1:74" ht="18" customHeight="1" x14ac:dyDescent="0.25">
      <c r="A167" s="297"/>
      <c r="B167" s="92" t="s">
        <v>206</v>
      </c>
      <c r="C167" s="75">
        <v>74</v>
      </c>
      <c r="D167" s="132">
        <f t="shared" si="17"/>
        <v>74</v>
      </c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9"/>
      <c r="BF167" s="89"/>
      <c r="BG167" s="89"/>
      <c r="BH167" s="89"/>
      <c r="BI167" s="89"/>
      <c r="BJ167" s="89"/>
      <c r="BK167" s="89"/>
      <c r="BL167" s="89"/>
      <c r="BM167" s="89"/>
      <c r="BN167" s="89"/>
      <c r="BO167" s="89"/>
      <c r="BP167" s="89"/>
      <c r="BQ167" s="108">
        <f t="shared" si="16"/>
        <v>0</v>
      </c>
      <c r="BR167" s="108">
        <f t="shared" si="16"/>
        <v>0</v>
      </c>
      <c r="BS167" s="2">
        <v>1.44</v>
      </c>
      <c r="BT167" s="141">
        <f t="shared" si="14"/>
        <v>106.56</v>
      </c>
      <c r="BU167" s="93">
        <v>72000</v>
      </c>
      <c r="BV167" s="94">
        <f t="shared" si="15"/>
        <v>7672320</v>
      </c>
    </row>
    <row r="168" spans="1:74" ht="18" customHeight="1" x14ac:dyDescent="0.25">
      <c r="A168" s="297"/>
      <c r="B168" s="92" t="s">
        <v>207</v>
      </c>
      <c r="C168" s="75">
        <v>33</v>
      </c>
      <c r="D168" s="132">
        <f t="shared" si="17"/>
        <v>33</v>
      </c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/>
      <c r="BJ168" s="89"/>
      <c r="BK168" s="89"/>
      <c r="BL168" s="89"/>
      <c r="BM168" s="89"/>
      <c r="BN168" s="89"/>
      <c r="BO168" s="89"/>
      <c r="BP168" s="87"/>
      <c r="BQ168" s="108">
        <f t="shared" si="16"/>
        <v>0</v>
      </c>
      <c r="BR168" s="108">
        <f t="shared" si="16"/>
        <v>0</v>
      </c>
      <c r="BS168" s="2">
        <v>1.44</v>
      </c>
      <c r="BT168" s="141">
        <f t="shared" si="14"/>
        <v>47.519999999999996</v>
      </c>
      <c r="BU168" s="93">
        <v>72000</v>
      </c>
      <c r="BV168" s="94">
        <f t="shared" si="15"/>
        <v>3421439.9999999995</v>
      </c>
    </row>
    <row r="169" spans="1:74" ht="18" customHeight="1" x14ac:dyDescent="0.25">
      <c r="A169" s="297"/>
      <c r="B169" s="92" t="s">
        <v>382</v>
      </c>
      <c r="C169" s="75">
        <v>15</v>
      </c>
      <c r="D169" s="132">
        <f t="shared" si="17"/>
        <v>15</v>
      </c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9"/>
      <c r="BF169" s="89"/>
      <c r="BG169" s="89"/>
      <c r="BH169" s="89"/>
      <c r="BI169" s="89"/>
      <c r="BJ169" s="89"/>
      <c r="BK169" s="89"/>
      <c r="BL169" s="89"/>
      <c r="BM169" s="89"/>
      <c r="BN169" s="89"/>
      <c r="BO169" s="89"/>
      <c r="BP169" s="89"/>
      <c r="BQ169" s="108">
        <f t="shared" si="16"/>
        <v>0</v>
      </c>
      <c r="BR169" s="108">
        <f t="shared" si="16"/>
        <v>0</v>
      </c>
      <c r="BS169" s="2">
        <v>1.44</v>
      </c>
      <c r="BT169" s="141">
        <f t="shared" si="14"/>
        <v>21.599999999999998</v>
      </c>
      <c r="BU169" s="93">
        <v>78000</v>
      </c>
      <c r="BV169" s="94">
        <f t="shared" si="15"/>
        <v>1684799.9999999998</v>
      </c>
    </row>
    <row r="170" spans="1:74" ht="18" customHeight="1" x14ac:dyDescent="0.25">
      <c r="A170" s="297"/>
      <c r="B170" s="2"/>
      <c r="C170" s="75">
        <v>0</v>
      </c>
      <c r="D170" s="132">
        <f t="shared" si="17"/>
        <v>0</v>
      </c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  <c r="AS170" s="89"/>
      <c r="AT170" s="89"/>
      <c r="AU170" s="89"/>
      <c r="AV170" s="89"/>
      <c r="AW170" s="89"/>
      <c r="AX170" s="89"/>
      <c r="AY170" s="89"/>
      <c r="AZ170" s="89"/>
      <c r="BA170" s="89"/>
      <c r="BB170" s="89"/>
      <c r="BC170" s="89"/>
      <c r="BD170" s="89"/>
      <c r="BE170" s="89"/>
      <c r="BF170" s="89"/>
      <c r="BG170" s="89"/>
      <c r="BH170" s="89"/>
      <c r="BI170" s="89"/>
      <c r="BJ170" s="89"/>
      <c r="BK170" s="89"/>
      <c r="BL170" s="89"/>
      <c r="BM170" s="89"/>
      <c r="BN170" s="89"/>
      <c r="BO170" s="89"/>
      <c r="BP170" s="89"/>
      <c r="BQ170" s="108">
        <f t="shared" si="16"/>
        <v>0</v>
      </c>
      <c r="BR170" s="108">
        <f t="shared" si="16"/>
        <v>0</v>
      </c>
      <c r="BS170" s="2"/>
      <c r="BT170" s="141">
        <f t="shared" si="14"/>
        <v>0</v>
      </c>
      <c r="BU170" s="93"/>
      <c r="BV170" s="94">
        <f t="shared" si="15"/>
        <v>0</v>
      </c>
    </row>
    <row r="171" spans="1:74" ht="18" customHeight="1" x14ac:dyDescent="0.25">
      <c r="A171" s="297"/>
      <c r="B171" s="92" t="s">
        <v>383</v>
      </c>
      <c r="C171" s="75">
        <v>193</v>
      </c>
      <c r="D171" s="132">
        <f t="shared" si="17"/>
        <v>193</v>
      </c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  <c r="AS171" s="89"/>
      <c r="AT171" s="89"/>
      <c r="AU171" s="89"/>
      <c r="AV171" s="89"/>
      <c r="AW171" s="89"/>
      <c r="AX171" s="89"/>
      <c r="AY171" s="89"/>
      <c r="AZ171" s="89"/>
      <c r="BA171" s="89"/>
      <c r="BB171" s="89"/>
      <c r="BC171" s="89"/>
      <c r="BD171" s="89"/>
      <c r="BE171" s="89"/>
      <c r="BF171" s="89"/>
      <c r="BG171" s="89"/>
      <c r="BH171" s="89"/>
      <c r="BI171" s="89"/>
      <c r="BJ171" s="89"/>
      <c r="BK171" s="89"/>
      <c r="BL171" s="89"/>
      <c r="BM171" s="89"/>
      <c r="BN171" s="89"/>
      <c r="BO171" s="89"/>
      <c r="BP171" s="89"/>
      <c r="BQ171" s="108">
        <f t="shared" si="16"/>
        <v>0</v>
      </c>
      <c r="BR171" s="108">
        <f t="shared" si="16"/>
        <v>0</v>
      </c>
      <c r="BS171" s="2">
        <v>1.44</v>
      </c>
      <c r="BT171" s="141">
        <f t="shared" si="14"/>
        <v>277.92</v>
      </c>
      <c r="BU171" s="93">
        <v>72000</v>
      </c>
      <c r="BV171" s="94">
        <f t="shared" si="15"/>
        <v>20010240</v>
      </c>
    </row>
    <row r="172" spans="1:74" ht="18" customHeight="1" x14ac:dyDescent="0.25">
      <c r="A172" s="297"/>
      <c r="B172" s="92" t="s">
        <v>384</v>
      </c>
      <c r="C172" s="75">
        <v>108</v>
      </c>
      <c r="D172" s="132">
        <f t="shared" si="17"/>
        <v>108</v>
      </c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108">
        <f t="shared" si="16"/>
        <v>0</v>
      </c>
      <c r="BR172" s="108">
        <f t="shared" si="16"/>
        <v>0</v>
      </c>
      <c r="BS172" s="2">
        <v>1.44</v>
      </c>
      <c r="BT172" s="141">
        <f t="shared" si="14"/>
        <v>155.51999999999998</v>
      </c>
      <c r="BU172" s="93">
        <v>72000</v>
      </c>
      <c r="BV172" s="94">
        <f t="shared" si="15"/>
        <v>11197439.999999998</v>
      </c>
    </row>
    <row r="173" spans="1:74" ht="18" customHeight="1" x14ac:dyDescent="0.25">
      <c r="A173" s="297"/>
      <c r="B173" s="92" t="s">
        <v>386</v>
      </c>
      <c r="C173" s="75">
        <v>60</v>
      </c>
      <c r="D173" s="132">
        <f t="shared" si="17"/>
        <v>60</v>
      </c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9"/>
      <c r="BF173" s="89"/>
      <c r="BG173" s="89"/>
      <c r="BH173" s="89"/>
      <c r="BI173" s="89"/>
      <c r="BJ173" s="89"/>
      <c r="BK173" s="89"/>
      <c r="BL173" s="89"/>
      <c r="BM173" s="89"/>
      <c r="BN173" s="89"/>
      <c r="BO173" s="89"/>
      <c r="BP173" s="89"/>
      <c r="BQ173" s="108">
        <f t="shared" si="16"/>
        <v>0</v>
      </c>
      <c r="BR173" s="108">
        <f t="shared" si="16"/>
        <v>0</v>
      </c>
      <c r="BS173" s="2">
        <v>1.44</v>
      </c>
      <c r="BT173" s="141">
        <f t="shared" si="14"/>
        <v>86.399999999999991</v>
      </c>
      <c r="BU173" s="93">
        <v>78000</v>
      </c>
      <c r="BV173" s="94">
        <f t="shared" si="15"/>
        <v>6739199.9999999991</v>
      </c>
    </row>
    <row r="174" spans="1:74" ht="18" customHeight="1" x14ac:dyDescent="0.25">
      <c r="A174" s="297"/>
      <c r="B174" s="92"/>
      <c r="C174" s="75">
        <v>0</v>
      </c>
      <c r="D174" s="132">
        <f t="shared" si="17"/>
        <v>0</v>
      </c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/>
      <c r="BE174" s="89"/>
      <c r="BF174" s="89"/>
      <c r="BG174" s="89"/>
      <c r="BH174" s="89"/>
      <c r="BI174" s="89"/>
      <c r="BJ174" s="89"/>
      <c r="BK174" s="89"/>
      <c r="BL174" s="89"/>
      <c r="BM174" s="89"/>
      <c r="BN174" s="89"/>
      <c r="BO174" s="89"/>
      <c r="BP174" s="89"/>
      <c r="BQ174" s="108">
        <f t="shared" si="16"/>
        <v>0</v>
      </c>
      <c r="BR174" s="108">
        <f t="shared" si="16"/>
        <v>0</v>
      </c>
      <c r="BS174" s="2"/>
      <c r="BT174" s="141">
        <f t="shared" si="14"/>
        <v>0</v>
      </c>
      <c r="BU174" s="93"/>
      <c r="BV174" s="94">
        <f t="shared" si="15"/>
        <v>0</v>
      </c>
    </row>
    <row r="175" spans="1:74" ht="18" customHeight="1" x14ac:dyDescent="0.25">
      <c r="A175" s="297"/>
      <c r="B175" s="92" t="s">
        <v>385</v>
      </c>
      <c r="C175" s="75">
        <v>179</v>
      </c>
      <c r="D175" s="132">
        <f t="shared" si="17"/>
        <v>182</v>
      </c>
      <c r="E175" s="89"/>
      <c r="F175" s="89"/>
      <c r="G175" s="89">
        <v>3</v>
      </c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/>
      <c r="BE175" s="89"/>
      <c r="BF175" s="89"/>
      <c r="BG175" s="89"/>
      <c r="BH175" s="89"/>
      <c r="BI175" s="89"/>
      <c r="BJ175" s="89"/>
      <c r="BK175" s="89"/>
      <c r="BL175" s="89"/>
      <c r="BM175" s="89"/>
      <c r="BN175" s="89"/>
      <c r="BO175" s="89"/>
      <c r="BP175" s="89"/>
      <c r="BQ175" s="108">
        <f t="shared" si="16"/>
        <v>3</v>
      </c>
      <c r="BR175" s="108">
        <f t="shared" si="16"/>
        <v>0</v>
      </c>
      <c r="BS175" s="2">
        <v>1.44</v>
      </c>
      <c r="BT175" s="141">
        <f t="shared" si="14"/>
        <v>262.08</v>
      </c>
      <c r="BU175" s="93">
        <v>72000</v>
      </c>
      <c r="BV175" s="94">
        <f t="shared" si="15"/>
        <v>18869760</v>
      </c>
    </row>
    <row r="176" spans="1:74" ht="18" customHeight="1" x14ac:dyDescent="0.25">
      <c r="A176" s="297"/>
      <c r="B176" s="92" t="s">
        <v>387</v>
      </c>
      <c r="C176" s="75">
        <v>194</v>
      </c>
      <c r="D176" s="132">
        <f t="shared" si="17"/>
        <v>194</v>
      </c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9"/>
      <c r="BF176" s="89"/>
      <c r="BG176" s="89"/>
      <c r="BH176" s="89"/>
      <c r="BI176" s="89"/>
      <c r="BJ176" s="89"/>
      <c r="BK176" s="89"/>
      <c r="BL176" s="89"/>
      <c r="BM176" s="89"/>
      <c r="BN176" s="89"/>
      <c r="BO176" s="89"/>
      <c r="BP176" s="89"/>
      <c r="BQ176" s="108">
        <f t="shared" si="16"/>
        <v>0</v>
      </c>
      <c r="BR176" s="108">
        <f t="shared" si="16"/>
        <v>0</v>
      </c>
      <c r="BS176" s="2">
        <v>1.44</v>
      </c>
      <c r="BT176" s="141">
        <f t="shared" si="14"/>
        <v>279.36</v>
      </c>
      <c r="BU176" s="93">
        <v>72000</v>
      </c>
      <c r="BV176" s="94">
        <f t="shared" si="15"/>
        <v>20113920</v>
      </c>
    </row>
    <row r="177" spans="1:74" ht="18" customHeight="1" x14ac:dyDescent="0.25">
      <c r="A177" s="298"/>
      <c r="B177" s="99" t="s">
        <v>388</v>
      </c>
      <c r="C177" s="75">
        <v>24</v>
      </c>
      <c r="D177" s="132">
        <f t="shared" si="17"/>
        <v>24</v>
      </c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  <c r="AS177" s="89"/>
      <c r="AT177" s="89"/>
      <c r="AU177" s="89"/>
      <c r="AV177" s="89"/>
      <c r="AW177" s="89"/>
      <c r="AX177" s="89"/>
      <c r="AY177" s="89"/>
      <c r="AZ177" s="89"/>
      <c r="BA177" s="89"/>
      <c r="BB177" s="89"/>
      <c r="BC177" s="89"/>
      <c r="BD177" s="89"/>
      <c r="BE177" s="89"/>
      <c r="BF177" s="89"/>
      <c r="BG177" s="89"/>
      <c r="BH177" s="89"/>
      <c r="BI177" s="89"/>
      <c r="BJ177" s="89"/>
      <c r="BK177" s="89"/>
      <c r="BL177" s="89"/>
      <c r="BM177" s="89"/>
      <c r="BN177" s="89"/>
      <c r="BO177" s="89"/>
      <c r="BP177" s="89"/>
      <c r="BQ177" s="108">
        <f t="shared" si="16"/>
        <v>0</v>
      </c>
      <c r="BR177" s="108">
        <f t="shared" si="16"/>
        <v>0</v>
      </c>
      <c r="BS177" s="2">
        <v>1.44</v>
      </c>
      <c r="BT177" s="141">
        <f t="shared" si="14"/>
        <v>34.56</v>
      </c>
      <c r="BU177" s="100">
        <v>78000</v>
      </c>
      <c r="BV177" s="94">
        <f t="shared" si="15"/>
        <v>2695680</v>
      </c>
    </row>
    <row r="178" spans="1:74" ht="18" customHeight="1" x14ac:dyDescent="0.25">
      <c r="A178" s="79"/>
      <c r="B178" s="92"/>
      <c r="C178" s="75">
        <v>0</v>
      </c>
      <c r="D178" s="132">
        <f t="shared" si="17"/>
        <v>0</v>
      </c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9"/>
      <c r="BF178" s="89"/>
      <c r="BG178" s="89"/>
      <c r="BH178" s="89"/>
      <c r="BI178" s="89"/>
      <c r="BJ178" s="89"/>
      <c r="BK178" s="89"/>
      <c r="BL178" s="89"/>
      <c r="BM178" s="89"/>
      <c r="BN178" s="89"/>
      <c r="BO178" s="89"/>
      <c r="BP178" s="89"/>
      <c r="BQ178" s="108">
        <f t="shared" si="16"/>
        <v>0</v>
      </c>
      <c r="BR178" s="108">
        <f t="shared" si="16"/>
        <v>0</v>
      </c>
      <c r="BS178" s="2"/>
      <c r="BT178" s="141">
        <f t="shared" si="14"/>
        <v>0</v>
      </c>
      <c r="BU178" s="93"/>
      <c r="BV178" s="94">
        <f t="shared" si="15"/>
        <v>0</v>
      </c>
    </row>
    <row r="179" spans="1:74" ht="18" customHeight="1" x14ac:dyDescent="0.25">
      <c r="A179" s="290" t="s">
        <v>2312</v>
      </c>
      <c r="B179" s="92" t="s">
        <v>2310</v>
      </c>
      <c r="C179" s="75">
        <v>324</v>
      </c>
      <c r="D179" s="132">
        <f t="shared" si="17"/>
        <v>324</v>
      </c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  <c r="AS179" s="89"/>
      <c r="AT179" s="89"/>
      <c r="AU179" s="89"/>
      <c r="AV179" s="89"/>
      <c r="AW179" s="89"/>
      <c r="AX179" s="89"/>
      <c r="AY179" s="89"/>
      <c r="AZ179" s="89"/>
      <c r="BA179" s="89"/>
      <c r="BB179" s="89"/>
      <c r="BC179" s="89"/>
      <c r="BD179" s="89"/>
      <c r="BE179" s="89"/>
      <c r="BF179" s="89"/>
      <c r="BG179" s="89"/>
      <c r="BH179" s="89"/>
      <c r="BI179" s="89"/>
      <c r="BJ179" s="89"/>
      <c r="BK179" s="89"/>
      <c r="BL179" s="89"/>
      <c r="BM179" s="89"/>
      <c r="BN179" s="89"/>
      <c r="BO179" s="89"/>
      <c r="BP179" s="89"/>
      <c r="BQ179" s="108">
        <f t="shared" si="16"/>
        <v>0</v>
      </c>
      <c r="BR179" s="108">
        <f t="shared" si="16"/>
        <v>0</v>
      </c>
      <c r="BS179" s="2">
        <v>1.44</v>
      </c>
      <c r="BT179" s="141">
        <f t="shared" si="14"/>
        <v>466.56</v>
      </c>
      <c r="BU179" s="93">
        <v>72000</v>
      </c>
      <c r="BV179" s="94">
        <f t="shared" si="15"/>
        <v>33592320</v>
      </c>
    </row>
    <row r="180" spans="1:74" ht="18" customHeight="1" x14ac:dyDescent="0.25">
      <c r="A180" s="291"/>
      <c r="B180" s="92" t="s">
        <v>2311</v>
      </c>
      <c r="C180" s="75">
        <v>179</v>
      </c>
      <c r="D180" s="132">
        <f t="shared" si="17"/>
        <v>179</v>
      </c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  <c r="AS180" s="89"/>
      <c r="AT180" s="89"/>
      <c r="AU180" s="89"/>
      <c r="AV180" s="89"/>
      <c r="AW180" s="89"/>
      <c r="AX180" s="89"/>
      <c r="AY180" s="89"/>
      <c r="AZ180" s="89"/>
      <c r="BA180" s="89"/>
      <c r="BB180" s="89"/>
      <c r="BC180" s="89"/>
      <c r="BD180" s="89"/>
      <c r="BE180" s="89"/>
      <c r="BF180" s="89"/>
      <c r="BG180" s="89"/>
      <c r="BH180" s="89"/>
      <c r="BI180" s="89"/>
      <c r="BJ180" s="89"/>
      <c r="BK180" s="89"/>
      <c r="BL180" s="89"/>
      <c r="BM180" s="89"/>
      <c r="BN180" s="89"/>
      <c r="BO180" s="89"/>
      <c r="BP180" s="89"/>
      <c r="BQ180" s="108">
        <f t="shared" si="16"/>
        <v>0</v>
      </c>
      <c r="BR180" s="108">
        <f t="shared" si="16"/>
        <v>0</v>
      </c>
      <c r="BS180" s="2">
        <v>1.44</v>
      </c>
      <c r="BT180" s="141">
        <f t="shared" si="14"/>
        <v>257.76</v>
      </c>
      <c r="BU180" s="93">
        <v>72000</v>
      </c>
      <c r="BV180" s="94">
        <f t="shared" si="15"/>
        <v>18558720</v>
      </c>
    </row>
    <row r="181" spans="1:74" ht="18" customHeight="1" x14ac:dyDescent="0.25">
      <c r="A181" s="291"/>
      <c r="B181" s="92" t="s">
        <v>2319</v>
      </c>
      <c r="C181" s="75">
        <v>38</v>
      </c>
      <c r="D181" s="132">
        <f t="shared" si="17"/>
        <v>38</v>
      </c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  <c r="AS181" s="89"/>
      <c r="AT181" s="89"/>
      <c r="AU181" s="89"/>
      <c r="AV181" s="89"/>
      <c r="AW181" s="89"/>
      <c r="AX181" s="89"/>
      <c r="AY181" s="89"/>
      <c r="AZ181" s="89"/>
      <c r="BA181" s="89"/>
      <c r="BB181" s="89"/>
      <c r="BC181" s="89"/>
      <c r="BD181" s="89"/>
      <c r="BE181" s="89"/>
      <c r="BF181" s="89"/>
      <c r="BG181" s="89"/>
      <c r="BH181" s="89"/>
      <c r="BI181" s="89"/>
      <c r="BJ181" s="89"/>
      <c r="BK181" s="89"/>
      <c r="BL181" s="89"/>
      <c r="BM181" s="89"/>
      <c r="BN181" s="89"/>
      <c r="BO181" s="89"/>
      <c r="BP181" s="89"/>
      <c r="BQ181" s="108">
        <f t="shared" si="16"/>
        <v>0</v>
      </c>
      <c r="BR181" s="108">
        <f t="shared" si="16"/>
        <v>0</v>
      </c>
      <c r="BS181" s="2">
        <v>1.44</v>
      </c>
      <c r="BT181" s="141">
        <f t="shared" si="14"/>
        <v>54.72</v>
      </c>
      <c r="BU181" s="100">
        <v>78000</v>
      </c>
      <c r="BV181" s="94">
        <f t="shared" si="15"/>
        <v>4268160</v>
      </c>
    </row>
    <row r="182" spans="1:74" ht="18" customHeight="1" x14ac:dyDescent="0.25">
      <c r="A182" s="291"/>
      <c r="B182" s="92"/>
      <c r="C182" s="75">
        <v>0</v>
      </c>
      <c r="D182" s="132">
        <f t="shared" si="17"/>
        <v>0</v>
      </c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  <c r="AS182" s="89"/>
      <c r="AT182" s="89"/>
      <c r="AU182" s="89"/>
      <c r="AV182" s="89"/>
      <c r="AW182" s="89"/>
      <c r="AX182" s="89"/>
      <c r="AY182" s="89"/>
      <c r="AZ182" s="89"/>
      <c r="BA182" s="89"/>
      <c r="BB182" s="89"/>
      <c r="BC182" s="89"/>
      <c r="BD182" s="89"/>
      <c r="BE182" s="89"/>
      <c r="BF182" s="89"/>
      <c r="BG182" s="89"/>
      <c r="BH182" s="89"/>
      <c r="BI182" s="89"/>
      <c r="BJ182" s="89"/>
      <c r="BK182" s="89"/>
      <c r="BL182" s="89"/>
      <c r="BM182" s="89"/>
      <c r="BN182" s="89"/>
      <c r="BO182" s="89"/>
      <c r="BP182" s="89"/>
      <c r="BQ182" s="108">
        <f t="shared" si="16"/>
        <v>0</v>
      </c>
      <c r="BR182" s="108">
        <f t="shared" si="16"/>
        <v>0</v>
      </c>
      <c r="BS182" s="2"/>
      <c r="BT182" s="141">
        <f t="shared" si="14"/>
        <v>0</v>
      </c>
      <c r="BU182" s="93"/>
      <c r="BV182" s="94">
        <f t="shared" si="15"/>
        <v>0</v>
      </c>
    </row>
    <row r="183" spans="1:74" ht="18" customHeight="1" x14ac:dyDescent="0.25">
      <c r="A183" s="291"/>
      <c r="B183" s="92" t="s">
        <v>2316</v>
      </c>
      <c r="C183" s="75">
        <v>267.5</v>
      </c>
      <c r="D183" s="132">
        <f t="shared" si="17"/>
        <v>267.5</v>
      </c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  <c r="AS183" s="89"/>
      <c r="AT183" s="89"/>
      <c r="AU183" s="89"/>
      <c r="AV183" s="89"/>
      <c r="AW183" s="89"/>
      <c r="AX183" s="89"/>
      <c r="AY183" s="89"/>
      <c r="AZ183" s="89"/>
      <c r="BA183" s="89"/>
      <c r="BB183" s="89"/>
      <c r="BC183" s="89"/>
      <c r="BD183" s="89"/>
      <c r="BE183" s="89"/>
      <c r="BF183" s="89"/>
      <c r="BG183" s="89"/>
      <c r="BH183" s="89"/>
      <c r="BI183" s="89"/>
      <c r="BJ183" s="89"/>
      <c r="BK183" s="89"/>
      <c r="BL183" s="89"/>
      <c r="BM183" s="89"/>
      <c r="BN183" s="89"/>
      <c r="BO183" s="89"/>
      <c r="BP183" s="89"/>
      <c r="BQ183" s="108">
        <f t="shared" si="16"/>
        <v>0</v>
      </c>
      <c r="BR183" s="108">
        <f t="shared" si="16"/>
        <v>0</v>
      </c>
      <c r="BS183" s="2">
        <v>1.44</v>
      </c>
      <c r="BT183" s="141">
        <f t="shared" si="14"/>
        <v>385.2</v>
      </c>
      <c r="BU183" s="93">
        <v>72000</v>
      </c>
      <c r="BV183" s="94">
        <f t="shared" si="15"/>
        <v>27734400</v>
      </c>
    </row>
    <row r="184" spans="1:74" ht="18" customHeight="1" x14ac:dyDescent="0.25">
      <c r="A184" s="291"/>
      <c r="B184" s="92" t="s">
        <v>2313</v>
      </c>
      <c r="C184" s="75">
        <v>196.5</v>
      </c>
      <c r="D184" s="132">
        <f t="shared" si="17"/>
        <v>196.5</v>
      </c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  <c r="AS184" s="89"/>
      <c r="AT184" s="89"/>
      <c r="AU184" s="89"/>
      <c r="AV184" s="89"/>
      <c r="AW184" s="89"/>
      <c r="AX184" s="89"/>
      <c r="AY184" s="89"/>
      <c r="AZ184" s="89"/>
      <c r="BA184" s="89"/>
      <c r="BB184" s="89"/>
      <c r="BC184" s="89"/>
      <c r="BD184" s="89"/>
      <c r="BE184" s="89"/>
      <c r="BF184" s="89"/>
      <c r="BG184" s="89"/>
      <c r="BH184" s="89"/>
      <c r="BI184" s="89"/>
      <c r="BJ184" s="89"/>
      <c r="BK184" s="89"/>
      <c r="BL184" s="89"/>
      <c r="BM184" s="89"/>
      <c r="BN184" s="89"/>
      <c r="BO184" s="89"/>
      <c r="BP184" s="89"/>
      <c r="BQ184" s="108">
        <f t="shared" si="16"/>
        <v>0</v>
      </c>
      <c r="BR184" s="108">
        <f t="shared" si="16"/>
        <v>0</v>
      </c>
      <c r="BS184" s="2">
        <v>1.44</v>
      </c>
      <c r="BT184" s="141">
        <f t="shared" si="14"/>
        <v>282.95999999999998</v>
      </c>
      <c r="BU184" s="93">
        <v>72000</v>
      </c>
      <c r="BV184" s="94">
        <f t="shared" si="15"/>
        <v>20373120</v>
      </c>
    </row>
    <row r="185" spans="1:74" ht="18" customHeight="1" x14ac:dyDescent="0.25">
      <c r="A185" s="291"/>
      <c r="B185" s="92" t="s">
        <v>2317</v>
      </c>
      <c r="C185" s="75">
        <v>42.5</v>
      </c>
      <c r="D185" s="132">
        <f t="shared" si="17"/>
        <v>42.5</v>
      </c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  <c r="AS185" s="89"/>
      <c r="AT185" s="89"/>
      <c r="AU185" s="89"/>
      <c r="AV185" s="89"/>
      <c r="AW185" s="89"/>
      <c r="AX185" s="89"/>
      <c r="AY185" s="89"/>
      <c r="AZ185" s="89"/>
      <c r="BA185" s="89"/>
      <c r="BB185" s="89"/>
      <c r="BC185" s="89"/>
      <c r="BD185" s="89"/>
      <c r="BE185" s="89"/>
      <c r="BF185" s="89"/>
      <c r="BG185" s="89"/>
      <c r="BH185" s="89"/>
      <c r="BI185" s="89"/>
      <c r="BJ185" s="89"/>
      <c r="BK185" s="89"/>
      <c r="BL185" s="89"/>
      <c r="BM185" s="89"/>
      <c r="BN185" s="89"/>
      <c r="BO185" s="89"/>
      <c r="BP185" s="89"/>
      <c r="BQ185" s="108">
        <f t="shared" si="16"/>
        <v>0</v>
      </c>
      <c r="BR185" s="108">
        <f t="shared" si="16"/>
        <v>0</v>
      </c>
      <c r="BS185" s="2">
        <v>1.44</v>
      </c>
      <c r="BT185" s="141">
        <f t="shared" si="14"/>
        <v>61.199999999999996</v>
      </c>
      <c r="BU185" s="100">
        <v>78000</v>
      </c>
      <c r="BV185" s="94">
        <f t="shared" si="15"/>
        <v>4773600</v>
      </c>
    </row>
    <row r="186" spans="1:74" ht="18" customHeight="1" x14ac:dyDescent="0.25">
      <c r="A186" s="291"/>
      <c r="B186" s="92"/>
      <c r="C186" s="75">
        <v>0</v>
      </c>
      <c r="D186" s="132">
        <f t="shared" si="17"/>
        <v>0</v>
      </c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89"/>
      <c r="BN186" s="89"/>
      <c r="BO186" s="89"/>
      <c r="BP186" s="89"/>
      <c r="BQ186" s="108">
        <f t="shared" si="16"/>
        <v>0</v>
      </c>
      <c r="BR186" s="108">
        <f t="shared" si="16"/>
        <v>0</v>
      </c>
      <c r="BS186" s="2"/>
      <c r="BT186" s="141">
        <f t="shared" si="14"/>
        <v>0</v>
      </c>
      <c r="BU186" s="93"/>
      <c r="BV186" s="94">
        <f t="shared" si="15"/>
        <v>0</v>
      </c>
    </row>
    <row r="187" spans="1:74" ht="18" customHeight="1" x14ac:dyDescent="0.25">
      <c r="A187" s="291"/>
      <c r="B187" s="92" t="s">
        <v>2314</v>
      </c>
      <c r="C187" s="75">
        <v>346</v>
      </c>
      <c r="D187" s="132">
        <f t="shared" si="17"/>
        <v>326</v>
      </c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>
        <v>20</v>
      </c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  <c r="AS187" s="89"/>
      <c r="AT187" s="89"/>
      <c r="AU187" s="89"/>
      <c r="AV187" s="89"/>
      <c r="AW187" s="89"/>
      <c r="AX187" s="89"/>
      <c r="AY187" s="89"/>
      <c r="AZ187" s="89"/>
      <c r="BA187" s="89"/>
      <c r="BB187" s="89"/>
      <c r="BC187" s="89"/>
      <c r="BD187" s="89"/>
      <c r="BE187" s="89"/>
      <c r="BF187" s="89"/>
      <c r="BG187" s="89"/>
      <c r="BH187" s="89"/>
      <c r="BI187" s="89"/>
      <c r="BJ187" s="89"/>
      <c r="BK187" s="89"/>
      <c r="BL187" s="89"/>
      <c r="BM187" s="89"/>
      <c r="BN187" s="89"/>
      <c r="BO187" s="89"/>
      <c r="BP187" s="89"/>
      <c r="BQ187" s="108">
        <f t="shared" si="16"/>
        <v>0</v>
      </c>
      <c r="BR187" s="108">
        <f t="shared" si="16"/>
        <v>20</v>
      </c>
      <c r="BS187" s="2">
        <v>1.44</v>
      </c>
      <c r="BT187" s="141">
        <f t="shared" si="14"/>
        <v>469.44</v>
      </c>
      <c r="BU187" s="93">
        <v>72000</v>
      </c>
      <c r="BV187" s="94">
        <f t="shared" si="15"/>
        <v>33799680</v>
      </c>
    </row>
    <row r="188" spans="1:74" ht="18" customHeight="1" x14ac:dyDescent="0.25">
      <c r="A188" s="291"/>
      <c r="B188" s="92" t="s">
        <v>2315</v>
      </c>
      <c r="C188" s="75">
        <v>204</v>
      </c>
      <c r="D188" s="132">
        <f t="shared" si="17"/>
        <v>177</v>
      </c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>
        <v>27</v>
      </c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  <c r="AS188" s="89"/>
      <c r="AT188" s="89"/>
      <c r="AU188" s="89"/>
      <c r="AV188" s="89"/>
      <c r="AW188" s="89"/>
      <c r="AX188" s="89"/>
      <c r="AY188" s="89"/>
      <c r="AZ188" s="89"/>
      <c r="BA188" s="89"/>
      <c r="BB188" s="89"/>
      <c r="BC188" s="89"/>
      <c r="BD188" s="89"/>
      <c r="BE188" s="89"/>
      <c r="BF188" s="89"/>
      <c r="BG188" s="89"/>
      <c r="BH188" s="89"/>
      <c r="BI188" s="89"/>
      <c r="BJ188" s="89"/>
      <c r="BK188" s="89"/>
      <c r="BL188" s="89"/>
      <c r="BM188" s="89"/>
      <c r="BN188" s="89"/>
      <c r="BO188" s="89"/>
      <c r="BP188" s="89"/>
      <c r="BQ188" s="108">
        <f t="shared" si="16"/>
        <v>0</v>
      </c>
      <c r="BR188" s="108">
        <f t="shared" si="16"/>
        <v>27</v>
      </c>
      <c r="BS188" s="2">
        <v>1.44</v>
      </c>
      <c r="BT188" s="141">
        <f t="shared" si="14"/>
        <v>254.88</v>
      </c>
      <c r="BU188" s="93">
        <v>72000</v>
      </c>
      <c r="BV188" s="94">
        <f t="shared" si="15"/>
        <v>18351360</v>
      </c>
    </row>
    <row r="189" spans="1:74" ht="18" customHeight="1" x14ac:dyDescent="0.25">
      <c r="A189" s="291"/>
      <c r="B189" s="92" t="s">
        <v>2318</v>
      </c>
      <c r="C189" s="75">
        <v>44</v>
      </c>
      <c r="D189" s="132">
        <f t="shared" si="17"/>
        <v>37</v>
      </c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>
        <v>7</v>
      </c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  <c r="AS189" s="89"/>
      <c r="AT189" s="89"/>
      <c r="AU189" s="89"/>
      <c r="AV189" s="89"/>
      <c r="AW189" s="89"/>
      <c r="AX189" s="89"/>
      <c r="AY189" s="89"/>
      <c r="AZ189" s="89"/>
      <c r="BA189" s="89"/>
      <c r="BB189" s="89"/>
      <c r="BC189" s="89"/>
      <c r="BD189" s="89"/>
      <c r="BE189" s="89"/>
      <c r="BF189" s="89"/>
      <c r="BG189" s="89"/>
      <c r="BH189" s="89"/>
      <c r="BI189" s="89"/>
      <c r="BJ189" s="89"/>
      <c r="BK189" s="89"/>
      <c r="BL189" s="89"/>
      <c r="BM189" s="89"/>
      <c r="BN189" s="89"/>
      <c r="BO189" s="89"/>
      <c r="BP189" s="89"/>
      <c r="BQ189" s="108">
        <f t="shared" si="16"/>
        <v>0</v>
      </c>
      <c r="BR189" s="108">
        <f t="shared" si="16"/>
        <v>7</v>
      </c>
      <c r="BS189" s="2">
        <v>1.44</v>
      </c>
      <c r="BT189" s="141">
        <f t="shared" si="14"/>
        <v>53.28</v>
      </c>
      <c r="BU189" s="100">
        <v>78000</v>
      </c>
      <c r="BV189" s="94">
        <f t="shared" si="15"/>
        <v>4155840</v>
      </c>
    </row>
    <row r="190" spans="1:74" ht="18" customHeight="1" x14ac:dyDescent="0.25">
      <c r="A190" s="82"/>
      <c r="B190" s="92"/>
      <c r="C190" s="75">
        <v>0</v>
      </c>
      <c r="D190" s="132">
        <f t="shared" si="17"/>
        <v>0</v>
      </c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89"/>
      <c r="BN190" s="89"/>
      <c r="BO190" s="89"/>
      <c r="BP190" s="89"/>
      <c r="BQ190" s="108">
        <f t="shared" si="16"/>
        <v>0</v>
      </c>
      <c r="BR190" s="108">
        <f t="shared" si="16"/>
        <v>0</v>
      </c>
      <c r="BS190" s="2"/>
      <c r="BT190" s="141">
        <f t="shared" si="14"/>
        <v>0</v>
      </c>
      <c r="BU190" s="93"/>
      <c r="BV190" s="94">
        <f t="shared" si="15"/>
        <v>0</v>
      </c>
    </row>
    <row r="191" spans="1:74" ht="18" customHeight="1" x14ac:dyDescent="0.25">
      <c r="A191" s="291"/>
      <c r="B191" s="92" t="s">
        <v>402</v>
      </c>
      <c r="C191" s="75">
        <v>21</v>
      </c>
      <c r="D191" s="132">
        <f t="shared" si="17"/>
        <v>21</v>
      </c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  <c r="AS191" s="89"/>
      <c r="AT191" s="89"/>
      <c r="AU191" s="89"/>
      <c r="AV191" s="89"/>
      <c r="AW191" s="89"/>
      <c r="AX191" s="89"/>
      <c r="AY191" s="89"/>
      <c r="AZ191" s="89"/>
      <c r="BA191" s="89"/>
      <c r="BB191" s="89"/>
      <c r="BC191" s="89"/>
      <c r="BD191" s="89"/>
      <c r="BE191" s="89"/>
      <c r="BF191" s="89"/>
      <c r="BG191" s="89"/>
      <c r="BH191" s="89"/>
      <c r="BI191" s="89"/>
      <c r="BJ191" s="89"/>
      <c r="BK191" s="89"/>
      <c r="BL191" s="89"/>
      <c r="BM191" s="89"/>
      <c r="BN191" s="89"/>
      <c r="BO191" s="89"/>
      <c r="BP191" s="89"/>
      <c r="BQ191" s="108">
        <f t="shared" si="16"/>
        <v>0</v>
      </c>
      <c r="BR191" s="108">
        <f t="shared" si="16"/>
        <v>0</v>
      </c>
      <c r="BS191" s="2">
        <v>1.44</v>
      </c>
      <c r="BT191" s="141">
        <f t="shared" ref="BT191:BT247" si="18">+BS191*D191</f>
        <v>30.24</v>
      </c>
      <c r="BU191" s="93">
        <v>72000</v>
      </c>
      <c r="BV191" s="94">
        <f t="shared" ref="BV191:BV247" si="19">+BU191*BT191</f>
        <v>2177280</v>
      </c>
    </row>
    <row r="192" spans="1:74" ht="18" customHeight="1" x14ac:dyDescent="0.25">
      <c r="A192" s="291"/>
      <c r="B192" s="92" t="s">
        <v>403</v>
      </c>
      <c r="C192" s="75">
        <v>245</v>
      </c>
      <c r="D192" s="132">
        <f t="shared" si="17"/>
        <v>245</v>
      </c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  <c r="AS192" s="89"/>
      <c r="AT192" s="89"/>
      <c r="AU192" s="89"/>
      <c r="AV192" s="89"/>
      <c r="AW192" s="89"/>
      <c r="AX192" s="89"/>
      <c r="AY192" s="89"/>
      <c r="AZ192" s="89"/>
      <c r="BA192" s="89"/>
      <c r="BB192" s="89"/>
      <c r="BC192" s="89"/>
      <c r="BD192" s="89"/>
      <c r="BE192" s="89"/>
      <c r="BF192" s="89"/>
      <c r="BG192" s="89"/>
      <c r="BH192" s="89"/>
      <c r="BI192" s="89"/>
      <c r="BJ192" s="89"/>
      <c r="BK192" s="89"/>
      <c r="BL192" s="89"/>
      <c r="BM192" s="89"/>
      <c r="BN192" s="89"/>
      <c r="BO192" s="89"/>
      <c r="BP192" s="89"/>
      <c r="BQ192" s="108">
        <f t="shared" si="16"/>
        <v>0</v>
      </c>
      <c r="BR192" s="108">
        <f t="shared" si="16"/>
        <v>0</v>
      </c>
      <c r="BS192" s="2">
        <v>1.44</v>
      </c>
      <c r="BT192" s="141">
        <f t="shared" si="18"/>
        <v>352.8</v>
      </c>
      <c r="BU192" s="93">
        <v>72000</v>
      </c>
      <c r="BV192" s="94">
        <f t="shared" si="19"/>
        <v>25401600</v>
      </c>
    </row>
    <row r="193" spans="1:74" ht="18" customHeight="1" x14ac:dyDescent="0.25">
      <c r="A193" s="292"/>
      <c r="B193" s="92" t="s">
        <v>404</v>
      </c>
      <c r="C193" s="75">
        <v>29</v>
      </c>
      <c r="D193" s="132">
        <f t="shared" si="17"/>
        <v>29</v>
      </c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 s="89"/>
      <c r="BH193" s="89"/>
      <c r="BI193" s="89"/>
      <c r="BJ193" s="89"/>
      <c r="BK193" s="89"/>
      <c r="BL193" s="89"/>
      <c r="BM193" s="89"/>
      <c r="BN193" s="89"/>
      <c r="BO193" s="89"/>
      <c r="BP193" s="89"/>
      <c r="BQ193" s="108">
        <f t="shared" si="16"/>
        <v>0</v>
      </c>
      <c r="BR193" s="108">
        <f t="shared" si="16"/>
        <v>0</v>
      </c>
      <c r="BS193" s="2">
        <v>1.44</v>
      </c>
      <c r="BT193" s="141">
        <f t="shared" si="18"/>
        <v>41.76</v>
      </c>
      <c r="BU193" s="93">
        <v>72000</v>
      </c>
      <c r="BV193" s="94">
        <f t="shared" si="19"/>
        <v>3006720</v>
      </c>
    </row>
    <row r="194" spans="1:74" ht="18" customHeight="1" x14ac:dyDescent="0.25">
      <c r="A194" s="83"/>
      <c r="B194" s="101"/>
      <c r="C194" s="102">
        <v>0</v>
      </c>
      <c r="D194" s="132">
        <f t="shared" si="17"/>
        <v>0</v>
      </c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BE194" s="89"/>
      <c r="BF194" s="89"/>
      <c r="BG194" s="89"/>
      <c r="BH194" s="89"/>
      <c r="BI194" s="89"/>
      <c r="BJ194" s="89"/>
      <c r="BK194" s="89"/>
      <c r="BL194" s="89"/>
      <c r="BM194" s="89"/>
      <c r="BN194" s="89"/>
      <c r="BO194" s="89"/>
      <c r="BP194" s="89"/>
      <c r="BQ194" s="108">
        <f t="shared" si="16"/>
        <v>0</v>
      </c>
      <c r="BR194" s="108">
        <f t="shared" si="16"/>
        <v>0</v>
      </c>
      <c r="BS194" s="2"/>
      <c r="BT194" s="141">
        <f t="shared" si="18"/>
        <v>0</v>
      </c>
      <c r="BU194" s="103"/>
      <c r="BV194" s="94">
        <f t="shared" si="19"/>
        <v>0</v>
      </c>
    </row>
    <row r="195" spans="1:74" ht="19.5" customHeight="1" x14ac:dyDescent="0.25">
      <c r="A195" s="290" t="s">
        <v>410</v>
      </c>
      <c r="B195" s="92" t="s">
        <v>12265</v>
      </c>
      <c r="C195" s="75">
        <v>23</v>
      </c>
      <c r="D195" s="132">
        <f t="shared" si="17"/>
        <v>8</v>
      </c>
      <c r="E195" s="89"/>
      <c r="F195" s="89">
        <v>13</v>
      </c>
      <c r="G195" s="89"/>
      <c r="H195" s="89">
        <v>1</v>
      </c>
      <c r="I195" s="89"/>
      <c r="J195" s="89"/>
      <c r="K195" s="89"/>
      <c r="L195" s="89"/>
      <c r="M195" s="89"/>
      <c r="N195" s="89">
        <v>1</v>
      </c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/>
      <c r="BE195" s="89"/>
      <c r="BF195" s="89"/>
      <c r="BG195" s="89"/>
      <c r="BH195" s="89"/>
      <c r="BI195" s="89"/>
      <c r="BJ195" s="89"/>
      <c r="BK195" s="89"/>
      <c r="BL195" s="89"/>
      <c r="BM195" s="89"/>
      <c r="BN195" s="89"/>
      <c r="BO195" s="89"/>
      <c r="BP195" s="89"/>
      <c r="BQ195" s="108">
        <f t="shared" si="16"/>
        <v>0</v>
      </c>
      <c r="BR195" s="108">
        <f t="shared" si="16"/>
        <v>15</v>
      </c>
      <c r="BS195" s="2">
        <v>1.44</v>
      </c>
      <c r="BT195" s="141">
        <f t="shared" si="18"/>
        <v>11.52</v>
      </c>
      <c r="BU195" s="93">
        <v>76600</v>
      </c>
      <c r="BV195" s="94">
        <f t="shared" si="19"/>
        <v>882432</v>
      </c>
    </row>
    <row r="196" spans="1:74" ht="18" customHeight="1" x14ac:dyDescent="0.25">
      <c r="A196" s="291"/>
      <c r="B196" s="92" t="s">
        <v>389</v>
      </c>
      <c r="C196" s="75">
        <v>77</v>
      </c>
      <c r="D196" s="132">
        <f t="shared" si="17"/>
        <v>71</v>
      </c>
      <c r="E196" s="89"/>
      <c r="F196" s="89"/>
      <c r="G196" s="89"/>
      <c r="H196" s="89"/>
      <c r="I196" s="89"/>
      <c r="J196" s="89"/>
      <c r="K196" s="89"/>
      <c r="L196" s="89"/>
      <c r="M196" s="89"/>
      <c r="N196" s="89">
        <v>5</v>
      </c>
      <c r="O196" s="89"/>
      <c r="P196" s="89">
        <v>1</v>
      </c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  <c r="AS196" s="89"/>
      <c r="AT196" s="89"/>
      <c r="AU196" s="89"/>
      <c r="AV196" s="89"/>
      <c r="AW196" s="89"/>
      <c r="AX196" s="89"/>
      <c r="AY196" s="89"/>
      <c r="AZ196" s="89"/>
      <c r="BA196" s="89"/>
      <c r="BB196" s="89"/>
      <c r="BC196" s="89"/>
      <c r="BD196" s="89"/>
      <c r="BE196" s="89"/>
      <c r="BF196" s="89"/>
      <c r="BG196" s="89"/>
      <c r="BH196" s="89"/>
      <c r="BI196" s="89"/>
      <c r="BJ196" s="89"/>
      <c r="BK196" s="89"/>
      <c r="BL196" s="89"/>
      <c r="BM196" s="89"/>
      <c r="BN196" s="89"/>
      <c r="BO196" s="89"/>
      <c r="BP196" s="89"/>
      <c r="BQ196" s="108">
        <f t="shared" si="16"/>
        <v>0</v>
      </c>
      <c r="BR196" s="108">
        <f t="shared" si="16"/>
        <v>6</v>
      </c>
      <c r="BS196" s="2">
        <v>1.44</v>
      </c>
      <c r="BT196" s="141">
        <f t="shared" si="18"/>
        <v>102.24</v>
      </c>
      <c r="BU196" s="93">
        <v>76600</v>
      </c>
      <c r="BV196" s="94">
        <f t="shared" si="19"/>
        <v>7831584</v>
      </c>
    </row>
    <row r="197" spans="1:74" ht="18" customHeight="1" x14ac:dyDescent="0.25">
      <c r="A197" s="291"/>
      <c r="B197" s="92" t="s">
        <v>390</v>
      </c>
      <c r="C197" s="75">
        <v>65.75</v>
      </c>
      <c r="D197" s="132">
        <f t="shared" si="17"/>
        <v>17.75</v>
      </c>
      <c r="E197" s="89"/>
      <c r="F197" s="89"/>
      <c r="G197" s="89"/>
      <c r="H197" s="89">
        <f>4+37+3</f>
        <v>44</v>
      </c>
      <c r="I197" s="89"/>
      <c r="J197" s="89"/>
      <c r="K197" s="89"/>
      <c r="L197" s="89"/>
      <c r="M197" s="89"/>
      <c r="N197" s="89">
        <v>4</v>
      </c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  <c r="AS197" s="89"/>
      <c r="AT197" s="89"/>
      <c r="AU197" s="89"/>
      <c r="AV197" s="89"/>
      <c r="AW197" s="89"/>
      <c r="AX197" s="89"/>
      <c r="AY197" s="89"/>
      <c r="AZ197" s="89"/>
      <c r="BA197" s="89"/>
      <c r="BB197" s="89"/>
      <c r="BC197" s="89"/>
      <c r="BD197" s="89"/>
      <c r="BE197" s="89"/>
      <c r="BF197" s="89"/>
      <c r="BG197" s="89"/>
      <c r="BH197" s="89"/>
      <c r="BI197" s="89"/>
      <c r="BJ197" s="89"/>
      <c r="BK197" s="89"/>
      <c r="BL197" s="89"/>
      <c r="BM197" s="89"/>
      <c r="BN197" s="89"/>
      <c r="BO197" s="89"/>
      <c r="BP197" s="89"/>
      <c r="BQ197" s="108">
        <f t="shared" ref="BQ197:BR241" si="20">+E197+G197+I197+K197+M197+O197+Q197+S197+U197+W197+Y197+AA197+AC197+AE197+AG197+AI197+AK197+AM197+AO197+AQ197+AS197+AU197+AW197+AY197+BA197+BC197+BE197+BG197+BI197+BK197+BM197+BO197</f>
        <v>0</v>
      </c>
      <c r="BR197" s="108">
        <f t="shared" si="20"/>
        <v>48</v>
      </c>
      <c r="BS197" s="2">
        <v>1.44</v>
      </c>
      <c r="BT197" s="141">
        <f t="shared" si="18"/>
        <v>25.56</v>
      </c>
      <c r="BU197" s="93">
        <v>76600</v>
      </c>
      <c r="BV197" s="94">
        <f t="shared" si="19"/>
        <v>1957896</v>
      </c>
    </row>
    <row r="198" spans="1:74" ht="18" customHeight="1" x14ac:dyDescent="0.25">
      <c r="A198" s="291"/>
      <c r="B198" s="92" t="s">
        <v>391</v>
      </c>
      <c r="C198" s="75">
        <v>65</v>
      </c>
      <c r="D198" s="132">
        <f t="shared" si="17"/>
        <v>65</v>
      </c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  <c r="AS198" s="89"/>
      <c r="AT198" s="89"/>
      <c r="AU198" s="89"/>
      <c r="AV198" s="89"/>
      <c r="AW198" s="89"/>
      <c r="AX198" s="89"/>
      <c r="AY198" s="89"/>
      <c r="AZ198" s="89"/>
      <c r="BA198" s="89"/>
      <c r="BB198" s="89"/>
      <c r="BC198" s="89"/>
      <c r="BD198" s="89"/>
      <c r="BE198" s="89"/>
      <c r="BF198" s="89"/>
      <c r="BG198" s="89"/>
      <c r="BH198" s="89"/>
      <c r="BI198" s="89"/>
      <c r="BJ198" s="89"/>
      <c r="BK198" s="89"/>
      <c r="BL198" s="89"/>
      <c r="BM198" s="89"/>
      <c r="BN198" s="89"/>
      <c r="BO198" s="89"/>
      <c r="BP198" s="89"/>
      <c r="BQ198" s="108">
        <f t="shared" si="20"/>
        <v>0</v>
      </c>
      <c r="BR198" s="108">
        <f t="shared" si="20"/>
        <v>0</v>
      </c>
      <c r="BS198" s="2">
        <v>1.44</v>
      </c>
      <c r="BT198" s="141">
        <f t="shared" si="18"/>
        <v>93.6</v>
      </c>
      <c r="BU198" s="93">
        <v>76600</v>
      </c>
      <c r="BV198" s="94">
        <f t="shared" si="19"/>
        <v>7169760</v>
      </c>
    </row>
    <row r="199" spans="1:74" ht="18" customHeight="1" x14ac:dyDescent="0.25">
      <c r="A199" s="291"/>
      <c r="B199" s="92" t="s">
        <v>392</v>
      </c>
      <c r="C199" s="75">
        <v>204.5</v>
      </c>
      <c r="D199" s="132">
        <f t="shared" ref="D199:D253" si="21">C199+BQ199-BR199</f>
        <v>180.5</v>
      </c>
      <c r="E199" s="89"/>
      <c r="F199" s="89"/>
      <c r="G199" s="89"/>
      <c r="H199" s="89"/>
      <c r="I199" s="89"/>
      <c r="J199" s="89">
        <v>2</v>
      </c>
      <c r="K199" s="89"/>
      <c r="L199" s="89">
        <f>5+3</f>
        <v>8</v>
      </c>
      <c r="M199" s="89"/>
      <c r="N199" s="89">
        <v>5</v>
      </c>
      <c r="O199" s="89"/>
      <c r="P199" s="89">
        <v>9</v>
      </c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  <c r="AS199" s="89"/>
      <c r="AT199" s="89"/>
      <c r="AU199" s="89"/>
      <c r="AV199" s="89"/>
      <c r="AW199" s="89"/>
      <c r="AX199" s="89"/>
      <c r="AY199" s="89"/>
      <c r="AZ199" s="89"/>
      <c r="BA199" s="89"/>
      <c r="BB199" s="89"/>
      <c r="BC199" s="89"/>
      <c r="BD199" s="89"/>
      <c r="BE199" s="89"/>
      <c r="BF199" s="89"/>
      <c r="BG199" s="89"/>
      <c r="BH199" s="89"/>
      <c r="BI199" s="89"/>
      <c r="BJ199" s="89"/>
      <c r="BK199" s="89"/>
      <c r="BL199" s="89"/>
      <c r="BM199" s="89"/>
      <c r="BN199" s="89"/>
      <c r="BO199" s="89"/>
      <c r="BP199" s="89"/>
      <c r="BQ199" s="108">
        <f t="shared" si="20"/>
        <v>0</v>
      </c>
      <c r="BR199" s="108">
        <f t="shared" si="20"/>
        <v>24</v>
      </c>
      <c r="BS199" s="2">
        <v>1.44</v>
      </c>
      <c r="BT199" s="141">
        <f t="shared" si="18"/>
        <v>259.92</v>
      </c>
      <c r="BU199" s="93">
        <v>76600</v>
      </c>
      <c r="BV199" s="94">
        <f t="shared" si="19"/>
        <v>19909872</v>
      </c>
    </row>
    <row r="200" spans="1:74" ht="0.75" customHeight="1" x14ac:dyDescent="0.25">
      <c r="A200" s="291"/>
      <c r="B200" s="92" t="s">
        <v>393</v>
      </c>
      <c r="C200" s="75">
        <v>0.25</v>
      </c>
      <c r="D200" s="132">
        <f t="shared" si="21"/>
        <v>0.25</v>
      </c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  <c r="AS200" s="89"/>
      <c r="AT200" s="89"/>
      <c r="AU200" s="89"/>
      <c r="AV200" s="89"/>
      <c r="AW200" s="89"/>
      <c r="AX200" s="89"/>
      <c r="AY200" s="89"/>
      <c r="AZ200" s="89"/>
      <c r="BA200" s="89"/>
      <c r="BB200" s="89"/>
      <c r="BC200" s="89"/>
      <c r="BD200" s="89"/>
      <c r="BE200" s="89"/>
      <c r="BF200" s="89"/>
      <c r="BG200" s="89"/>
      <c r="BH200" s="89"/>
      <c r="BI200" s="89"/>
      <c r="BJ200" s="89"/>
      <c r="BK200" s="89"/>
      <c r="BL200" s="89"/>
      <c r="BM200" s="89"/>
      <c r="BN200" s="89"/>
      <c r="BO200" s="89"/>
      <c r="BP200" s="89"/>
      <c r="BQ200" s="108">
        <f t="shared" si="20"/>
        <v>0</v>
      </c>
      <c r="BR200" s="108">
        <f t="shared" si="20"/>
        <v>0</v>
      </c>
      <c r="BS200" s="2">
        <v>1.44</v>
      </c>
      <c r="BT200" s="141">
        <f t="shared" si="18"/>
        <v>0.36</v>
      </c>
      <c r="BU200" s="93">
        <v>76600</v>
      </c>
      <c r="BV200" s="94">
        <f t="shared" si="19"/>
        <v>27576</v>
      </c>
    </row>
    <row r="201" spans="1:74" ht="18" customHeight="1" x14ac:dyDescent="0.25">
      <c r="A201" s="291"/>
      <c r="B201" s="92" t="s">
        <v>2038</v>
      </c>
      <c r="C201" s="75">
        <v>44</v>
      </c>
      <c r="D201" s="132">
        <f t="shared" si="21"/>
        <v>44</v>
      </c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  <c r="AS201" s="89"/>
      <c r="AT201" s="89"/>
      <c r="AU201" s="89"/>
      <c r="AV201" s="89"/>
      <c r="AW201" s="89"/>
      <c r="AX201" s="89"/>
      <c r="AY201" s="89"/>
      <c r="AZ201" s="89"/>
      <c r="BA201" s="89"/>
      <c r="BB201" s="89"/>
      <c r="BC201" s="89"/>
      <c r="BD201" s="89"/>
      <c r="BE201" s="89"/>
      <c r="BF201" s="89"/>
      <c r="BG201" s="89"/>
      <c r="BH201" s="89"/>
      <c r="BI201" s="89"/>
      <c r="BJ201" s="89"/>
      <c r="BK201" s="89"/>
      <c r="BL201" s="89"/>
      <c r="BM201" s="89"/>
      <c r="BN201" s="89"/>
      <c r="BO201" s="89"/>
      <c r="BP201" s="89"/>
      <c r="BQ201" s="108">
        <f t="shared" si="20"/>
        <v>0</v>
      </c>
      <c r="BR201" s="108">
        <f t="shared" si="20"/>
        <v>0</v>
      </c>
      <c r="BS201" s="2">
        <v>1.44</v>
      </c>
      <c r="BT201" s="141">
        <f t="shared" si="18"/>
        <v>63.36</v>
      </c>
      <c r="BU201" s="93">
        <v>76600</v>
      </c>
      <c r="BV201" s="94">
        <f t="shared" si="19"/>
        <v>4853376</v>
      </c>
    </row>
    <row r="202" spans="1:74" ht="18" customHeight="1" x14ac:dyDescent="0.25">
      <c r="A202" s="291"/>
      <c r="B202" s="92" t="s">
        <v>2039</v>
      </c>
      <c r="C202" s="75">
        <v>24.875</v>
      </c>
      <c r="D202" s="132">
        <f t="shared" si="21"/>
        <v>24.875</v>
      </c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  <c r="AP202" s="89"/>
      <c r="AQ202" s="89"/>
      <c r="AR202" s="89"/>
      <c r="AS202" s="89"/>
      <c r="AT202" s="89"/>
      <c r="AU202" s="89"/>
      <c r="AV202" s="89"/>
      <c r="AW202" s="89"/>
      <c r="AX202" s="89"/>
      <c r="AY202" s="89"/>
      <c r="AZ202" s="89"/>
      <c r="BA202" s="89"/>
      <c r="BB202" s="89"/>
      <c r="BC202" s="89"/>
      <c r="BD202" s="89"/>
      <c r="BE202" s="89"/>
      <c r="BF202" s="89"/>
      <c r="BG202" s="89"/>
      <c r="BH202" s="89"/>
      <c r="BI202" s="89"/>
      <c r="BJ202" s="89"/>
      <c r="BK202" s="89"/>
      <c r="BL202" s="89"/>
      <c r="BM202" s="89"/>
      <c r="BN202" s="89"/>
      <c r="BO202" s="89"/>
      <c r="BP202" s="89"/>
      <c r="BQ202" s="108">
        <f t="shared" si="20"/>
        <v>0</v>
      </c>
      <c r="BR202" s="108">
        <f t="shared" si="20"/>
        <v>0</v>
      </c>
      <c r="BS202" s="2">
        <v>1.44</v>
      </c>
      <c r="BT202" s="141">
        <f t="shared" si="18"/>
        <v>35.82</v>
      </c>
      <c r="BU202" s="93">
        <v>76600</v>
      </c>
      <c r="BV202" s="94">
        <f t="shared" si="19"/>
        <v>2743812</v>
      </c>
    </row>
    <row r="203" spans="1:74" ht="18" customHeight="1" x14ac:dyDescent="0.25">
      <c r="A203" s="292"/>
      <c r="B203" s="92" t="s">
        <v>12145</v>
      </c>
      <c r="C203" s="75">
        <v>6</v>
      </c>
      <c r="D203" s="132">
        <f t="shared" si="21"/>
        <v>6</v>
      </c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  <c r="AP203" s="89"/>
      <c r="AQ203" s="89"/>
      <c r="AR203" s="89"/>
      <c r="AS203" s="89"/>
      <c r="AT203" s="89"/>
      <c r="AU203" s="89"/>
      <c r="AV203" s="89"/>
      <c r="AW203" s="89"/>
      <c r="AX203" s="89"/>
      <c r="AY203" s="89"/>
      <c r="AZ203" s="89"/>
      <c r="BA203" s="89"/>
      <c r="BB203" s="89"/>
      <c r="BC203" s="89"/>
      <c r="BD203" s="89"/>
      <c r="BE203" s="89"/>
      <c r="BF203" s="89"/>
      <c r="BG203" s="89"/>
      <c r="BH203" s="89"/>
      <c r="BI203" s="89"/>
      <c r="BJ203" s="89"/>
      <c r="BK203" s="89"/>
      <c r="BL203" s="89"/>
      <c r="BM203" s="89"/>
      <c r="BN203" s="89"/>
      <c r="BO203" s="89"/>
      <c r="BP203" s="89"/>
      <c r="BQ203" s="108">
        <f t="shared" si="20"/>
        <v>0</v>
      </c>
      <c r="BR203" s="108">
        <f t="shared" si="20"/>
        <v>0</v>
      </c>
      <c r="BS203" s="2">
        <v>1.44</v>
      </c>
      <c r="BT203" s="141">
        <f t="shared" si="18"/>
        <v>8.64</v>
      </c>
      <c r="BU203" s="93">
        <v>76600</v>
      </c>
      <c r="BV203" s="94">
        <f t="shared" si="19"/>
        <v>661824</v>
      </c>
    </row>
    <row r="204" spans="1:74" ht="18" customHeight="1" x14ac:dyDescent="0.25">
      <c r="A204" s="290" t="s">
        <v>409</v>
      </c>
      <c r="B204" s="92" t="s">
        <v>394</v>
      </c>
      <c r="C204" s="75">
        <v>61.003600000000006</v>
      </c>
      <c r="D204" s="132">
        <f t="shared" si="21"/>
        <v>32.003600000000006</v>
      </c>
      <c r="E204" s="89"/>
      <c r="F204" s="89"/>
      <c r="G204" s="89"/>
      <c r="H204" s="89"/>
      <c r="I204" s="89"/>
      <c r="J204" s="89">
        <v>20</v>
      </c>
      <c r="K204" s="89"/>
      <c r="L204" s="89"/>
      <c r="M204" s="89"/>
      <c r="N204" s="89">
        <v>9</v>
      </c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R204" s="89"/>
      <c r="AS204" s="89"/>
      <c r="AT204" s="89"/>
      <c r="AU204" s="89"/>
      <c r="AV204" s="89"/>
      <c r="AW204" s="89"/>
      <c r="AX204" s="89"/>
      <c r="AY204" s="89"/>
      <c r="AZ204" s="89"/>
      <c r="BA204" s="89"/>
      <c r="BB204" s="89"/>
      <c r="BC204" s="89"/>
      <c r="BD204" s="89"/>
      <c r="BE204" s="89"/>
      <c r="BF204" s="89"/>
      <c r="BG204" s="89"/>
      <c r="BH204" s="89"/>
      <c r="BI204" s="89"/>
      <c r="BJ204" s="89"/>
      <c r="BK204" s="89"/>
      <c r="BL204" s="89"/>
      <c r="BM204" s="89"/>
      <c r="BN204" s="89"/>
      <c r="BO204" s="89"/>
      <c r="BP204" s="89"/>
      <c r="BQ204" s="108">
        <f t="shared" si="20"/>
        <v>0</v>
      </c>
      <c r="BR204" s="108">
        <f t="shared" si="20"/>
        <v>29</v>
      </c>
      <c r="BS204" s="2">
        <v>1.5</v>
      </c>
      <c r="BT204" s="141">
        <f t="shared" si="18"/>
        <v>48.005400000000009</v>
      </c>
      <c r="BU204" s="93">
        <v>65000</v>
      </c>
      <c r="BV204" s="94">
        <f t="shared" si="19"/>
        <v>3120351.0000000005</v>
      </c>
    </row>
    <row r="205" spans="1:74" ht="18" customHeight="1" x14ac:dyDescent="0.25">
      <c r="A205" s="291"/>
      <c r="B205" s="92" t="s">
        <v>395</v>
      </c>
      <c r="C205" s="75">
        <v>65.699999999999989</v>
      </c>
      <c r="D205" s="132">
        <f>C205+BQ205-BR205</f>
        <v>65.699999999999989</v>
      </c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  <c r="AP205" s="89"/>
      <c r="AQ205" s="89"/>
      <c r="AR205" s="89"/>
      <c r="AS205" s="89"/>
      <c r="AT205" s="89"/>
      <c r="AU205" s="89"/>
      <c r="AV205" s="89"/>
      <c r="AW205" s="89"/>
      <c r="AX205" s="89"/>
      <c r="AY205" s="89"/>
      <c r="AZ205" s="89"/>
      <c r="BA205" s="89"/>
      <c r="BB205" s="89"/>
      <c r="BC205" s="89"/>
      <c r="BD205" s="89"/>
      <c r="BE205" s="89"/>
      <c r="BF205" s="89"/>
      <c r="BG205" s="89"/>
      <c r="BH205" s="89"/>
      <c r="BI205" s="89"/>
      <c r="BJ205" s="89"/>
      <c r="BK205" s="89"/>
      <c r="BL205" s="89"/>
      <c r="BM205" s="89"/>
      <c r="BN205" s="89"/>
      <c r="BO205" s="89"/>
      <c r="BP205" s="89"/>
      <c r="BQ205" s="108">
        <f t="shared" si="20"/>
        <v>0</v>
      </c>
      <c r="BR205" s="108">
        <f t="shared" si="20"/>
        <v>0</v>
      </c>
      <c r="BS205" s="2">
        <v>1.5</v>
      </c>
      <c r="BT205" s="141">
        <f t="shared" si="18"/>
        <v>98.549999999999983</v>
      </c>
      <c r="BU205" s="93">
        <v>65000</v>
      </c>
      <c r="BV205" s="94">
        <f t="shared" si="19"/>
        <v>6405749.9999999991</v>
      </c>
    </row>
    <row r="206" spans="1:74" ht="17.25" customHeight="1" x14ac:dyDescent="0.25">
      <c r="A206" s="291"/>
      <c r="B206" s="92" t="s">
        <v>396</v>
      </c>
      <c r="C206" s="75">
        <v>278.32999999999993</v>
      </c>
      <c r="D206" s="132">
        <f t="shared" si="21"/>
        <v>214.32999999999993</v>
      </c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>
        <v>64</v>
      </c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  <c r="AP206" s="89"/>
      <c r="AQ206" s="89"/>
      <c r="AR206" s="89"/>
      <c r="AS206" s="89"/>
      <c r="AT206" s="89"/>
      <c r="AU206" s="89"/>
      <c r="AV206" s="89"/>
      <c r="AW206" s="89"/>
      <c r="AX206" s="89"/>
      <c r="AY206" s="89"/>
      <c r="AZ206" s="89"/>
      <c r="BA206" s="89"/>
      <c r="BB206" s="89"/>
      <c r="BC206" s="89"/>
      <c r="BD206" s="89"/>
      <c r="BE206" s="89"/>
      <c r="BF206" s="89"/>
      <c r="BG206" s="89"/>
      <c r="BH206" s="89"/>
      <c r="BI206" s="89"/>
      <c r="BJ206" s="89"/>
      <c r="BK206" s="89"/>
      <c r="BL206" s="89"/>
      <c r="BM206" s="89"/>
      <c r="BN206" s="89"/>
      <c r="BO206" s="89"/>
      <c r="BP206" s="89"/>
      <c r="BQ206" s="108">
        <f t="shared" si="20"/>
        <v>0</v>
      </c>
      <c r="BR206" s="108">
        <f t="shared" si="20"/>
        <v>64</v>
      </c>
      <c r="BS206" s="2">
        <v>1.5</v>
      </c>
      <c r="BT206" s="141">
        <f t="shared" si="18"/>
        <v>321.49499999999989</v>
      </c>
      <c r="BU206" s="93">
        <v>65000</v>
      </c>
      <c r="BV206" s="94">
        <f t="shared" si="19"/>
        <v>20897174.999999993</v>
      </c>
    </row>
    <row r="207" spans="1:74" ht="18" customHeight="1" x14ac:dyDescent="0.25">
      <c r="A207" s="291"/>
      <c r="B207" s="92" t="s">
        <v>397</v>
      </c>
      <c r="C207" s="75">
        <v>282.33699999999999</v>
      </c>
      <c r="D207" s="132">
        <f t="shared" si="21"/>
        <v>218.33699999999999</v>
      </c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>
        <v>64</v>
      </c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  <c r="AP207" s="89"/>
      <c r="AQ207" s="89"/>
      <c r="AR207" s="89"/>
      <c r="AS207" s="89"/>
      <c r="AT207" s="89"/>
      <c r="AU207" s="89"/>
      <c r="AV207" s="89"/>
      <c r="AW207" s="89"/>
      <c r="AX207" s="89"/>
      <c r="AY207" s="89"/>
      <c r="AZ207" s="89"/>
      <c r="BA207" s="89"/>
      <c r="BB207" s="89"/>
      <c r="BC207" s="89"/>
      <c r="BD207" s="89"/>
      <c r="BE207" s="89"/>
      <c r="BF207" s="89"/>
      <c r="BG207" s="89"/>
      <c r="BH207" s="89"/>
      <c r="BI207" s="89"/>
      <c r="BJ207" s="89"/>
      <c r="BK207" s="89"/>
      <c r="BL207" s="89"/>
      <c r="BM207" s="89"/>
      <c r="BN207" s="89"/>
      <c r="BO207" s="89"/>
      <c r="BP207" s="89"/>
      <c r="BQ207" s="108">
        <f t="shared" si="20"/>
        <v>0</v>
      </c>
      <c r="BR207" s="108">
        <f t="shared" si="20"/>
        <v>64</v>
      </c>
      <c r="BS207" s="2">
        <v>1.5</v>
      </c>
      <c r="BT207" s="141">
        <f t="shared" si="18"/>
        <v>327.50549999999998</v>
      </c>
      <c r="BU207" s="93">
        <v>65000</v>
      </c>
      <c r="BV207" s="94">
        <f t="shared" si="19"/>
        <v>21287857.5</v>
      </c>
    </row>
    <row r="208" spans="1:74" ht="18" customHeight="1" x14ac:dyDescent="0.25">
      <c r="A208" s="291"/>
      <c r="B208" s="92" t="s">
        <v>2143</v>
      </c>
      <c r="C208" s="75">
        <v>137</v>
      </c>
      <c r="D208" s="132">
        <f t="shared" si="21"/>
        <v>137</v>
      </c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  <c r="AS208" s="89"/>
      <c r="AT208" s="89"/>
      <c r="AU208" s="89"/>
      <c r="AV208" s="89"/>
      <c r="AW208" s="89"/>
      <c r="AX208" s="89"/>
      <c r="AY208" s="89"/>
      <c r="AZ208" s="89"/>
      <c r="BA208" s="89"/>
      <c r="BB208" s="89"/>
      <c r="BC208" s="89"/>
      <c r="BD208" s="89"/>
      <c r="BE208" s="89"/>
      <c r="BF208" s="89"/>
      <c r="BG208" s="89"/>
      <c r="BH208" s="89"/>
      <c r="BI208" s="89"/>
      <c r="BJ208" s="89"/>
      <c r="BK208" s="89"/>
      <c r="BL208" s="89"/>
      <c r="BM208" s="89"/>
      <c r="BN208" s="89"/>
      <c r="BO208" s="89"/>
      <c r="BP208" s="89"/>
      <c r="BQ208" s="108">
        <f t="shared" si="20"/>
        <v>0</v>
      </c>
      <c r="BR208" s="108">
        <f t="shared" si="20"/>
        <v>0</v>
      </c>
      <c r="BS208" s="2">
        <v>1.5</v>
      </c>
      <c r="BT208" s="141">
        <f t="shared" si="18"/>
        <v>205.5</v>
      </c>
      <c r="BU208" s="93">
        <v>65000</v>
      </c>
      <c r="BV208" s="94">
        <f t="shared" si="19"/>
        <v>13357500</v>
      </c>
    </row>
    <row r="209" spans="1:74" ht="17.25" customHeight="1" x14ac:dyDescent="0.25">
      <c r="A209" s="291"/>
      <c r="B209" s="92" t="s">
        <v>4279</v>
      </c>
      <c r="C209" s="75">
        <v>169.66669999999999</v>
      </c>
      <c r="D209" s="132">
        <f t="shared" si="21"/>
        <v>159.66669999999999</v>
      </c>
      <c r="E209" s="89"/>
      <c r="F209" s="89"/>
      <c r="G209" s="89"/>
      <c r="H209" s="89"/>
      <c r="I209" s="89"/>
      <c r="J209" s="89"/>
      <c r="K209" s="89"/>
      <c r="L209" s="89">
        <v>3</v>
      </c>
      <c r="M209" s="89"/>
      <c r="N209" s="89">
        <v>7</v>
      </c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  <c r="AP209" s="89"/>
      <c r="AQ209" s="89"/>
      <c r="AR209" s="89"/>
      <c r="AS209" s="89"/>
      <c r="AT209" s="89"/>
      <c r="AU209" s="89"/>
      <c r="AV209" s="89"/>
      <c r="AW209" s="89"/>
      <c r="AX209" s="89"/>
      <c r="AY209" s="89"/>
      <c r="AZ209" s="89"/>
      <c r="BA209" s="89"/>
      <c r="BB209" s="89"/>
      <c r="BC209" s="89"/>
      <c r="BD209" s="89"/>
      <c r="BE209" s="89"/>
      <c r="BF209" s="89"/>
      <c r="BG209" s="89"/>
      <c r="BH209" s="89"/>
      <c r="BI209" s="89"/>
      <c r="BJ209" s="89"/>
      <c r="BK209" s="89"/>
      <c r="BL209" s="89"/>
      <c r="BM209" s="89"/>
      <c r="BN209" s="89"/>
      <c r="BO209" s="89"/>
      <c r="BP209" s="89"/>
      <c r="BQ209" s="108">
        <f t="shared" si="20"/>
        <v>0</v>
      </c>
      <c r="BR209" s="108">
        <f t="shared" si="20"/>
        <v>10</v>
      </c>
      <c r="BS209" s="2">
        <v>1.5</v>
      </c>
      <c r="BT209" s="141">
        <f t="shared" si="18"/>
        <v>239.50004999999999</v>
      </c>
      <c r="BU209" s="93">
        <v>65000</v>
      </c>
      <c r="BV209" s="94">
        <f t="shared" si="19"/>
        <v>15567503.25</v>
      </c>
    </row>
    <row r="210" spans="1:74" ht="17.25" customHeight="1" x14ac:dyDescent="0.25">
      <c r="A210" s="291"/>
      <c r="B210" s="92" t="s">
        <v>4280</v>
      </c>
      <c r="C210" s="75">
        <v>300</v>
      </c>
      <c r="D210" s="132">
        <f t="shared" si="21"/>
        <v>300</v>
      </c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  <c r="AS210" s="89"/>
      <c r="AT210" s="89"/>
      <c r="AU210" s="89"/>
      <c r="AV210" s="89"/>
      <c r="AW210" s="89"/>
      <c r="AX210" s="89"/>
      <c r="AY210" s="89"/>
      <c r="AZ210" s="89"/>
      <c r="BA210" s="89"/>
      <c r="BB210" s="89"/>
      <c r="BC210" s="89"/>
      <c r="BD210" s="89"/>
      <c r="BE210" s="89"/>
      <c r="BF210" s="89"/>
      <c r="BG210" s="89"/>
      <c r="BH210" s="89"/>
      <c r="BI210" s="89"/>
      <c r="BJ210" s="89"/>
      <c r="BK210" s="89"/>
      <c r="BL210" s="89"/>
      <c r="BM210" s="89"/>
      <c r="BN210" s="89"/>
      <c r="BO210" s="89"/>
      <c r="BP210" s="89"/>
      <c r="BQ210" s="108">
        <f t="shared" si="20"/>
        <v>0</v>
      </c>
      <c r="BR210" s="108">
        <f t="shared" si="20"/>
        <v>0</v>
      </c>
      <c r="BS210" s="2">
        <v>1.5</v>
      </c>
      <c r="BT210" s="141">
        <f t="shared" si="18"/>
        <v>450</v>
      </c>
      <c r="BU210" s="93">
        <v>65000</v>
      </c>
      <c r="BV210" s="94">
        <f t="shared" si="19"/>
        <v>29250000</v>
      </c>
    </row>
    <row r="211" spans="1:74" ht="18" customHeight="1" x14ac:dyDescent="0.25">
      <c r="A211" s="291"/>
      <c r="B211" s="92" t="s">
        <v>4281</v>
      </c>
      <c r="C211" s="75">
        <v>422.66700000000003</v>
      </c>
      <c r="D211" s="132">
        <f t="shared" si="21"/>
        <v>289.66700000000003</v>
      </c>
      <c r="E211" s="89"/>
      <c r="F211" s="89"/>
      <c r="G211" s="89"/>
      <c r="H211" s="89">
        <v>128</v>
      </c>
      <c r="I211" s="89"/>
      <c r="J211" s="89"/>
      <c r="K211" s="89"/>
      <c r="L211" s="89"/>
      <c r="M211" s="89"/>
      <c r="N211" s="89"/>
      <c r="O211" s="89"/>
      <c r="P211" s="89">
        <v>5</v>
      </c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  <c r="AP211" s="89"/>
      <c r="AQ211" s="89"/>
      <c r="AR211" s="89"/>
      <c r="AS211" s="89"/>
      <c r="AT211" s="89"/>
      <c r="AU211" s="89"/>
      <c r="AV211" s="89"/>
      <c r="AW211" s="89"/>
      <c r="AX211" s="89"/>
      <c r="AY211" s="89"/>
      <c r="AZ211" s="89"/>
      <c r="BA211" s="89"/>
      <c r="BB211" s="89"/>
      <c r="BC211" s="89"/>
      <c r="BD211" s="89"/>
      <c r="BE211" s="89"/>
      <c r="BF211" s="89"/>
      <c r="BG211" s="89"/>
      <c r="BH211" s="89"/>
      <c r="BI211" s="89"/>
      <c r="BJ211" s="89"/>
      <c r="BK211" s="89"/>
      <c r="BL211" s="89"/>
      <c r="BM211" s="89"/>
      <c r="BN211" s="89"/>
      <c r="BO211" s="89"/>
      <c r="BP211" s="89"/>
      <c r="BQ211" s="108">
        <f t="shared" si="20"/>
        <v>0</v>
      </c>
      <c r="BR211" s="108">
        <f t="shared" si="20"/>
        <v>133</v>
      </c>
      <c r="BS211" s="2">
        <v>1.5</v>
      </c>
      <c r="BT211" s="141">
        <f t="shared" si="18"/>
        <v>434.50050000000005</v>
      </c>
      <c r="BU211" s="93">
        <v>65000</v>
      </c>
      <c r="BV211" s="94">
        <f t="shared" si="19"/>
        <v>28242532.500000004</v>
      </c>
    </row>
    <row r="212" spans="1:74" ht="18" customHeight="1" x14ac:dyDescent="0.25">
      <c r="A212" s="291"/>
      <c r="B212" s="92" t="s">
        <v>4282</v>
      </c>
      <c r="C212" s="75">
        <v>313.02999999999997</v>
      </c>
      <c r="D212" s="132">
        <f t="shared" si="21"/>
        <v>313.02999999999997</v>
      </c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89"/>
      <c r="AS212" s="89"/>
      <c r="AT212" s="89"/>
      <c r="AU212" s="89"/>
      <c r="AV212" s="89"/>
      <c r="AW212" s="89"/>
      <c r="AX212" s="89"/>
      <c r="AY212" s="89"/>
      <c r="AZ212" s="89"/>
      <c r="BA212" s="89"/>
      <c r="BB212" s="89"/>
      <c r="BC212" s="89"/>
      <c r="BD212" s="89"/>
      <c r="BE212" s="89"/>
      <c r="BF212" s="89"/>
      <c r="BG212" s="89"/>
      <c r="BH212" s="89"/>
      <c r="BI212" s="89"/>
      <c r="BJ212" s="89"/>
      <c r="BK212" s="89"/>
      <c r="BL212" s="89"/>
      <c r="BM212" s="89"/>
      <c r="BN212" s="89"/>
      <c r="BO212" s="89"/>
      <c r="BP212" s="89"/>
      <c r="BQ212" s="108">
        <f t="shared" si="20"/>
        <v>0</v>
      </c>
      <c r="BR212" s="108">
        <f t="shared" si="20"/>
        <v>0</v>
      </c>
      <c r="BS212" s="2">
        <v>1.5</v>
      </c>
      <c r="BT212" s="141">
        <f t="shared" si="18"/>
        <v>469.54499999999996</v>
      </c>
      <c r="BU212" s="93">
        <v>65000</v>
      </c>
      <c r="BV212" s="94">
        <f t="shared" si="19"/>
        <v>30520424.999999996</v>
      </c>
    </row>
    <row r="213" spans="1:74" ht="18" hidden="1" customHeight="1" x14ac:dyDescent="0.25">
      <c r="A213" s="291"/>
      <c r="B213" s="92" t="s">
        <v>12282</v>
      </c>
      <c r="C213" s="75">
        <v>0</v>
      </c>
      <c r="D213" s="132">
        <f t="shared" si="21"/>
        <v>0</v>
      </c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  <c r="AP213" s="89"/>
      <c r="AQ213" s="89"/>
      <c r="AR213" s="89"/>
      <c r="AS213" s="89"/>
      <c r="AT213" s="89"/>
      <c r="AU213" s="89"/>
      <c r="AV213" s="89"/>
      <c r="AW213" s="89"/>
      <c r="AX213" s="89"/>
      <c r="AY213" s="89"/>
      <c r="AZ213" s="89"/>
      <c r="BA213" s="89"/>
      <c r="BB213" s="89"/>
      <c r="BC213" s="89"/>
      <c r="BD213" s="89"/>
      <c r="BE213" s="89"/>
      <c r="BF213" s="89"/>
      <c r="BG213" s="89"/>
      <c r="BH213" s="89"/>
      <c r="BI213" s="89"/>
      <c r="BJ213" s="89"/>
      <c r="BK213" s="89"/>
      <c r="BL213" s="89"/>
      <c r="BM213" s="89"/>
      <c r="BN213" s="89"/>
      <c r="BO213" s="89"/>
      <c r="BP213" s="89"/>
      <c r="BQ213" s="108">
        <f t="shared" si="20"/>
        <v>0</v>
      </c>
      <c r="BR213" s="108">
        <f t="shared" si="20"/>
        <v>0</v>
      </c>
      <c r="BS213" s="2">
        <v>1.5</v>
      </c>
      <c r="BT213" s="141">
        <f t="shared" si="18"/>
        <v>0</v>
      </c>
      <c r="BU213" s="93">
        <v>61000</v>
      </c>
      <c r="BV213" s="94">
        <f t="shared" si="19"/>
        <v>0</v>
      </c>
    </row>
    <row r="214" spans="1:74" ht="18" customHeight="1" x14ac:dyDescent="0.25">
      <c r="A214" s="291"/>
      <c r="B214" s="92" t="s">
        <v>4283</v>
      </c>
      <c r="C214" s="75">
        <v>343</v>
      </c>
      <c r="D214" s="132">
        <f t="shared" si="21"/>
        <v>343</v>
      </c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89"/>
      <c r="BM214" s="89"/>
      <c r="BN214" s="89"/>
      <c r="BO214" s="89"/>
      <c r="BP214" s="89"/>
      <c r="BQ214" s="108">
        <f t="shared" si="20"/>
        <v>0</v>
      </c>
      <c r="BR214" s="108">
        <f t="shared" si="20"/>
        <v>0</v>
      </c>
      <c r="BS214" s="2">
        <v>1.5</v>
      </c>
      <c r="BT214" s="141">
        <f t="shared" si="18"/>
        <v>514.5</v>
      </c>
      <c r="BU214" s="93">
        <v>65000</v>
      </c>
      <c r="BV214" s="94">
        <f t="shared" si="19"/>
        <v>33442500</v>
      </c>
    </row>
    <row r="215" spans="1:74" ht="18" customHeight="1" x14ac:dyDescent="0.25">
      <c r="A215" s="291" t="s">
        <v>228</v>
      </c>
      <c r="B215" s="92" t="s">
        <v>12209</v>
      </c>
      <c r="C215" s="75">
        <v>45</v>
      </c>
      <c r="D215" s="132">
        <f t="shared" si="21"/>
        <v>45</v>
      </c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  <c r="AS215" s="89"/>
      <c r="AT215" s="89"/>
      <c r="AU215" s="89"/>
      <c r="AV215" s="89"/>
      <c r="AW215" s="89"/>
      <c r="AX215" s="89"/>
      <c r="AY215" s="89"/>
      <c r="AZ215" s="89"/>
      <c r="BA215" s="89"/>
      <c r="BB215" s="89"/>
      <c r="BC215" s="89"/>
      <c r="BD215" s="89"/>
      <c r="BE215" s="89"/>
      <c r="BF215" s="89"/>
      <c r="BG215" s="89"/>
      <c r="BH215" s="89"/>
      <c r="BI215" s="89"/>
      <c r="BJ215" s="89"/>
      <c r="BK215" s="89"/>
      <c r="BL215" s="89"/>
      <c r="BM215" s="89"/>
      <c r="BN215" s="89"/>
      <c r="BO215" s="89"/>
      <c r="BP215" s="89"/>
      <c r="BQ215" s="108">
        <f t="shared" si="20"/>
        <v>0</v>
      </c>
      <c r="BR215" s="108">
        <f t="shared" si="20"/>
        <v>0</v>
      </c>
      <c r="BS215" s="2">
        <v>1</v>
      </c>
      <c r="BT215" s="141">
        <f t="shared" si="18"/>
        <v>45</v>
      </c>
      <c r="BU215" s="93">
        <v>55000</v>
      </c>
      <c r="BV215" s="94">
        <f t="shared" si="19"/>
        <v>2475000</v>
      </c>
    </row>
    <row r="216" spans="1:74" ht="0.75" customHeight="1" x14ac:dyDescent="0.25">
      <c r="A216" s="291"/>
      <c r="B216" s="92" t="s">
        <v>12210</v>
      </c>
      <c r="C216" s="75">
        <v>0</v>
      </c>
      <c r="D216" s="132">
        <f t="shared" si="21"/>
        <v>0</v>
      </c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89"/>
      <c r="AS216" s="89"/>
      <c r="AT216" s="89"/>
      <c r="AU216" s="89"/>
      <c r="AV216" s="89"/>
      <c r="AW216" s="89"/>
      <c r="AX216" s="89"/>
      <c r="AY216" s="89"/>
      <c r="AZ216" s="89"/>
      <c r="BA216" s="89"/>
      <c r="BB216" s="89"/>
      <c r="BC216" s="89"/>
      <c r="BD216" s="89"/>
      <c r="BE216" s="89"/>
      <c r="BF216" s="89"/>
      <c r="BG216" s="89"/>
      <c r="BH216" s="89"/>
      <c r="BI216" s="89"/>
      <c r="BJ216" s="89"/>
      <c r="BK216" s="89"/>
      <c r="BL216" s="89"/>
      <c r="BM216" s="89"/>
      <c r="BN216" s="89"/>
      <c r="BO216" s="89"/>
      <c r="BP216" s="89"/>
      <c r="BQ216" s="108">
        <f t="shared" si="20"/>
        <v>0</v>
      </c>
      <c r="BR216" s="108">
        <f t="shared" si="20"/>
        <v>0</v>
      </c>
      <c r="BS216" s="2">
        <v>1</v>
      </c>
      <c r="BT216" s="141">
        <f t="shared" si="18"/>
        <v>0</v>
      </c>
      <c r="BU216" s="93">
        <v>48000</v>
      </c>
      <c r="BV216" s="94">
        <f t="shared" si="19"/>
        <v>0</v>
      </c>
    </row>
    <row r="217" spans="1:74" ht="18" customHeight="1" x14ac:dyDescent="0.25">
      <c r="A217" s="291"/>
      <c r="B217" s="92" t="s">
        <v>2070</v>
      </c>
      <c r="C217" s="75">
        <v>570</v>
      </c>
      <c r="D217" s="132">
        <f t="shared" si="21"/>
        <v>570</v>
      </c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  <c r="AP217" s="89"/>
      <c r="AQ217" s="89"/>
      <c r="AR217" s="89"/>
      <c r="AS217" s="89"/>
      <c r="AT217" s="89"/>
      <c r="AU217" s="89"/>
      <c r="AV217" s="89"/>
      <c r="AW217" s="89"/>
      <c r="AX217" s="89"/>
      <c r="AY217" s="89"/>
      <c r="AZ217" s="89"/>
      <c r="BA217" s="89"/>
      <c r="BB217" s="89"/>
      <c r="BC217" s="89"/>
      <c r="BD217" s="89"/>
      <c r="BE217" s="89"/>
      <c r="BF217" s="89"/>
      <c r="BG217" s="89"/>
      <c r="BH217" s="89"/>
      <c r="BI217" s="89"/>
      <c r="BJ217" s="89"/>
      <c r="BK217" s="89"/>
      <c r="BL217" s="89"/>
      <c r="BM217" s="89"/>
      <c r="BN217" s="89"/>
      <c r="BO217" s="89"/>
      <c r="BP217" s="89"/>
      <c r="BQ217" s="108">
        <f t="shared" si="20"/>
        <v>0</v>
      </c>
      <c r="BR217" s="108">
        <f t="shared" si="20"/>
        <v>0</v>
      </c>
      <c r="BS217" s="2">
        <v>1</v>
      </c>
      <c r="BT217" s="141">
        <f t="shared" si="18"/>
        <v>570</v>
      </c>
      <c r="BU217" s="93">
        <v>49500</v>
      </c>
      <c r="BV217" s="94">
        <f t="shared" si="19"/>
        <v>28215000</v>
      </c>
    </row>
    <row r="218" spans="1:74" ht="17.25" customHeight="1" x14ac:dyDescent="0.25">
      <c r="A218" s="291"/>
      <c r="B218" s="92" t="s">
        <v>2176</v>
      </c>
      <c r="C218" s="75">
        <v>20</v>
      </c>
      <c r="D218" s="132">
        <f t="shared" si="21"/>
        <v>20</v>
      </c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  <c r="AP218" s="89"/>
      <c r="AQ218" s="89"/>
      <c r="AR218" s="89"/>
      <c r="AS218" s="89"/>
      <c r="AT218" s="89"/>
      <c r="AU218" s="89"/>
      <c r="AV218" s="89"/>
      <c r="AW218" s="89"/>
      <c r="AX218" s="89"/>
      <c r="AY218" s="89"/>
      <c r="AZ218" s="89"/>
      <c r="BA218" s="89"/>
      <c r="BB218" s="89"/>
      <c r="BC218" s="89"/>
      <c r="BD218" s="89"/>
      <c r="BE218" s="89"/>
      <c r="BF218" s="89"/>
      <c r="BG218" s="89"/>
      <c r="BH218" s="89"/>
      <c r="BI218" s="89"/>
      <c r="BJ218" s="89"/>
      <c r="BK218" s="89"/>
      <c r="BL218" s="89"/>
      <c r="BM218" s="89"/>
      <c r="BN218" s="89"/>
      <c r="BO218" s="89"/>
      <c r="BP218" s="89"/>
      <c r="BQ218" s="108">
        <f t="shared" si="20"/>
        <v>0</v>
      </c>
      <c r="BR218" s="108">
        <f t="shared" si="20"/>
        <v>0</v>
      </c>
      <c r="BS218" s="2">
        <v>1</v>
      </c>
      <c r="BT218" s="141">
        <f t="shared" si="18"/>
        <v>20</v>
      </c>
      <c r="BU218" s="93">
        <v>42500</v>
      </c>
      <c r="BV218" s="94">
        <f t="shared" si="19"/>
        <v>850000</v>
      </c>
    </row>
    <row r="219" spans="1:74" ht="18" customHeight="1" x14ac:dyDescent="0.25">
      <c r="A219" s="291"/>
      <c r="B219" s="92" t="s">
        <v>2256</v>
      </c>
      <c r="C219" s="75">
        <v>20</v>
      </c>
      <c r="D219" s="132">
        <f t="shared" si="21"/>
        <v>20</v>
      </c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  <c r="AP219" s="89"/>
      <c r="AQ219" s="89"/>
      <c r="AR219" s="89"/>
      <c r="AS219" s="89"/>
      <c r="AT219" s="89"/>
      <c r="AU219" s="89"/>
      <c r="AV219" s="89"/>
      <c r="AW219" s="89"/>
      <c r="AX219" s="89"/>
      <c r="AY219" s="89"/>
      <c r="AZ219" s="89"/>
      <c r="BA219" s="89"/>
      <c r="BB219" s="89"/>
      <c r="BC219" s="89"/>
      <c r="BD219" s="89"/>
      <c r="BE219" s="89"/>
      <c r="BF219" s="89"/>
      <c r="BG219" s="89"/>
      <c r="BH219" s="89"/>
      <c r="BI219" s="89"/>
      <c r="BJ219" s="89"/>
      <c r="BK219" s="89"/>
      <c r="BL219" s="89"/>
      <c r="BM219" s="89"/>
      <c r="BN219" s="89"/>
      <c r="BO219" s="89"/>
      <c r="BP219" s="89"/>
      <c r="BQ219" s="108">
        <f t="shared" si="20"/>
        <v>0</v>
      </c>
      <c r="BR219" s="108">
        <f t="shared" si="20"/>
        <v>0</v>
      </c>
      <c r="BS219" s="2">
        <v>1</v>
      </c>
      <c r="BT219" s="141">
        <f t="shared" si="18"/>
        <v>20</v>
      </c>
      <c r="BU219" s="93">
        <v>55000</v>
      </c>
      <c r="BV219" s="94">
        <f t="shared" si="19"/>
        <v>1100000</v>
      </c>
    </row>
    <row r="220" spans="1:74" ht="17.25" customHeight="1" x14ac:dyDescent="0.25">
      <c r="A220" s="291"/>
      <c r="B220" s="92" t="s">
        <v>2309</v>
      </c>
      <c r="C220" s="75">
        <v>6.6700000000000017</v>
      </c>
      <c r="D220" s="132">
        <f t="shared" si="21"/>
        <v>6.6700000000000017</v>
      </c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89"/>
      <c r="AS220" s="89"/>
      <c r="AT220" s="89"/>
      <c r="AU220" s="89"/>
      <c r="AV220" s="89"/>
      <c r="AW220" s="89"/>
      <c r="AX220" s="89"/>
      <c r="AY220" s="89"/>
      <c r="AZ220" s="89"/>
      <c r="BA220" s="89"/>
      <c r="BB220" s="89"/>
      <c r="BC220" s="89"/>
      <c r="BD220" s="89"/>
      <c r="BE220" s="89"/>
      <c r="BF220" s="89"/>
      <c r="BG220" s="89"/>
      <c r="BH220" s="89"/>
      <c r="BI220" s="89"/>
      <c r="BJ220" s="89"/>
      <c r="BK220" s="89"/>
      <c r="BL220" s="89"/>
      <c r="BM220" s="89"/>
      <c r="BN220" s="89"/>
      <c r="BO220" s="89"/>
      <c r="BP220" s="89"/>
      <c r="BQ220" s="108">
        <f t="shared" si="20"/>
        <v>0</v>
      </c>
      <c r="BR220" s="108">
        <f t="shared" si="20"/>
        <v>0</v>
      </c>
      <c r="BS220" s="2">
        <v>1.5</v>
      </c>
      <c r="BT220" s="141">
        <f t="shared" si="18"/>
        <v>10.005000000000003</v>
      </c>
      <c r="BU220" s="93">
        <v>52000</v>
      </c>
      <c r="BV220" s="94">
        <f t="shared" si="19"/>
        <v>520260.00000000012</v>
      </c>
    </row>
    <row r="221" spans="1:74" ht="17.25" customHeight="1" x14ac:dyDescent="0.25">
      <c r="A221" s="292"/>
      <c r="B221" s="92" t="s">
        <v>4268</v>
      </c>
      <c r="C221" s="75">
        <v>5.6699999999999875</v>
      </c>
      <c r="D221" s="132">
        <f t="shared" si="21"/>
        <v>5.6699999999999875</v>
      </c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  <c r="AP221" s="89"/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108">
        <f t="shared" si="20"/>
        <v>0</v>
      </c>
      <c r="BR221" s="108">
        <f t="shared" si="20"/>
        <v>0</v>
      </c>
      <c r="BS221" s="2">
        <v>1.5</v>
      </c>
      <c r="BT221" s="141">
        <f t="shared" si="18"/>
        <v>8.5049999999999812</v>
      </c>
      <c r="BU221" s="93">
        <v>55000</v>
      </c>
      <c r="BV221" s="94">
        <f t="shared" si="19"/>
        <v>467774.99999999895</v>
      </c>
    </row>
    <row r="222" spans="1:74" ht="18" customHeight="1" x14ac:dyDescent="0.25">
      <c r="A222" s="295" t="s">
        <v>243</v>
      </c>
      <c r="B222" s="92" t="s">
        <v>398</v>
      </c>
      <c r="C222" s="75">
        <v>5</v>
      </c>
      <c r="D222" s="132">
        <f t="shared" si="21"/>
        <v>5</v>
      </c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  <c r="AP222" s="89"/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108">
        <f t="shared" si="20"/>
        <v>0</v>
      </c>
      <c r="BR222" s="108">
        <f t="shared" si="20"/>
        <v>0</v>
      </c>
      <c r="BS222" s="2">
        <v>1.44</v>
      </c>
      <c r="BT222" s="141">
        <f t="shared" si="18"/>
        <v>7.1999999999999993</v>
      </c>
      <c r="BU222" s="93">
        <v>76000</v>
      </c>
      <c r="BV222" s="94">
        <f t="shared" si="19"/>
        <v>547200</v>
      </c>
    </row>
    <row r="223" spans="1:74" ht="19.5" customHeight="1" x14ac:dyDescent="0.25">
      <c r="A223" s="295"/>
      <c r="B223" s="92" t="s">
        <v>2270</v>
      </c>
      <c r="C223" s="75">
        <v>1</v>
      </c>
      <c r="D223" s="132">
        <f t="shared" si="21"/>
        <v>1</v>
      </c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  <c r="AP223" s="89"/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108">
        <f t="shared" si="20"/>
        <v>0</v>
      </c>
      <c r="BR223" s="108">
        <f t="shared" si="20"/>
        <v>0</v>
      </c>
      <c r="BS223" s="2">
        <v>1.44</v>
      </c>
      <c r="BT223" s="141">
        <f t="shared" si="18"/>
        <v>1.44</v>
      </c>
      <c r="BU223" s="93">
        <v>76000</v>
      </c>
      <c r="BV223" s="94">
        <f t="shared" si="19"/>
        <v>109440</v>
      </c>
    </row>
    <row r="224" spans="1:74" ht="18" customHeight="1" x14ac:dyDescent="0.25">
      <c r="A224" s="295"/>
      <c r="B224" s="92" t="s">
        <v>4384</v>
      </c>
      <c r="C224" s="75">
        <v>252</v>
      </c>
      <c r="D224" s="132">
        <f t="shared" si="21"/>
        <v>252</v>
      </c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108">
        <f t="shared" si="20"/>
        <v>0</v>
      </c>
      <c r="BR224" s="108">
        <f t="shared" si="20"/>
        <v>0</v>
      </c>
      <c r="BS224" s="2">
        <v>1.44</v>
      </c>
      <c r="BT224" s="141">
        <f t="shared" si="18"/>
        <v>362.88</v>
      </c>
      <c r="BU224" s="93">
        <v>76000</v>
      </c>
      <c r="BV224" s="94">
        <f t="shared" si="19"/>
        <v>27578880</v>
      </c>
    </row>
    <row r="225" spans="1:74" ht="18" customHeight="1" x14ac:dyDescent="0.25">
      <c r="A225" s="295"/>
      <c r="B225" s="92" t="s">
        <v>2271</v>
      </c>
      <c r="C225" s="75">
        <v>97</v>
      </c>
      <c r="D225" s="132">
        <f t="shared" si="21"/>
        <v>97</v>
      </c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108">
        <f t="shared" si="20"/>
        <v>0</v>
      </c>
      <c r="BR225" s="108">
        <f t="shared" si="20"/>
        <v>0</v>
      </c>
      <c r="BS225" s="2">
        <v>1.44</v>
      </c>
      <c r="BT225" s="141">
        <f t="shared" si="18"/>
        <v>139.68</v>
      </c>
      <c r="BU225" s="93">
        <v>76000</v>
      </c>
      <c r="BV225" s="94">
        <f t="shared" si="19"/>
        <v>10615680</v>
      </c>
    </row>
    <row r="226" spans="1:74" ht="18" customHeight="1" x14ac:dyDescent="0.25">
      <c r="A226" s="295"/>
      <c r="B226" s="95" t="s">
        <v>4260</v>
      </c>
      <c r="C226" s="75">
        <v>90</v>
      </c>
      <c r="D226" s="132">
        <f t="shared" si="21"/>
        <v>90</v>
      </c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  <c r="AP226" s="89"/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108">
        <f t="shared" si="20"/>
        <v>0</v>
      </c>
      <c r="BR226" s="108">
        <f t="shared" si="20"/>
        <v>0</v>
      </c>
      <c r="BS226" s="2">
        <v>1.44</v>
      </c>
      <c r="BT226" s="141">
        <f t="shared" si="18"/>
        <v>129.6</v>
      </c>
      <c r="BU226" s="93">
        <v>76000</v>
      </c>
      <c r="BV226" s="94">
        <f t="shared" si="19"/>
        <v>9849600</v>
      </c>
    </row>
    <row r="227" spans="1:74" ht="22.5" customHeight="1" x14ac:dyDescent="0.25">
      <c r="A227" s="290" t="s">
        <v>262</v>
      </c>
      <c r="B227" s="92" t="s">
        <v>208</v>
      </c>
      <c r="C227" s="75">
        <v>124</v>
      </c>
      <c r="D227" s="132">
        <f t="shared" si="21"/>
        <v>13</v>
      </c>
      <c r="E227" s="89"/>
      <c r="F227" s="89"/>
      <c r="G227" s="89"/>
      <c r="H227" s="89">
        <v>90</v>
      </c>
      <c r="I227" s="89"/>
      <c r="J227" s="89">
        <v>17</v>
      </c>
      <c r="K227" s="89"/>
      <c r="L227" s="89">
        <v>4</v>
      </c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  <c r="AP227" s="89"/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108">
        <f t="shared" si="20"/>
        <v>0</v>
      </c>
      <c r="BR227" s="108">
        <f t="shared" si="20"/>
        <v>111</v>
      </c>
      <c r="BS227" s="2">
        <v>1.44</v>
      </c>
      <c r="BT227" s="141">
        <f t="shared" si="18"/>
        <v>18.72</v>
      </c>
      <c r="BU227" s="93">
        <v>78000</v>
      </c>
      <c r="BV227" s="94">
        <f t="shared" si="19"/>
        <v>1460160</v>
      </c>
    </row>
    <row r="228" spans="1:74" ht="18" customHeight="1" x14ac:dyDescent="0.25">
      <c r="A228" s="291"/>
      <c r="B228" s="92" t="s">
        <v>209</v>
      </c>
      <c r="C228" s="75">
        <v>505</v>
      </c>
      <c r="D228" s="132">
        <f t="shared" si="21"/>
        <v>505</v>
      </c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  <c r="AP228" s="89"/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108">
        <f t="shared" si="20"/>
        <v>0</v>
      </c>
      <c r="BR228" s="108">
        <f t="shared" si="20"/>
        <v>0</v>
      </c>
      <c r="BS228" s="2">
        <v>1.44</v>
      </c>
      <c r="BT228" s="141">
        <f t="shared" si="18"/>
        <v>727.19999999999993</v>
      </c>
      <c r="BU228" s="93">
        <v>78000</v>
      </c>
      <c r="BV228" s="94">
        <f t="shared" si="19"/>
        <v>56721599.999999993</v>
      </c>
    </row>
    <row r="229" spans="1:74" ht="18" customHeight="1" x14ac:dyDescent="0.25">
      <c r="A229" s="291"/>
      <c r="B229" s="92" t="s">
        <v>210</v>
      </c>
      <c r="C229" s="75">
        <v>54.16700000000003</v>
      </c>
      <c r="D229" s="132">
        <f t="shared" si="21"/>
        <v>54.16700000000003</v>
      </c>
      <c r="E229" s="89"/>
      <c r="F229" s="89"/>
      <c r="G229" s="89"/>
      <c r="H229" s="89"/>
      <c r="I229" s="89"/>
      <c r="J229" s="89"/>
      <c r="K229" s="89"/>
      <c r="L229" s="89"/>
      <c r="M229" s="89"/>
      <c r="N229" s="87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  <c r="AP229" s="89"/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108">
        <f t="shared" si="20"/>
        <v>0</v>
      </c>
      <c r="BR229" s="108">
        <f t="shared" si="20"/>
        <v>0</v>
      </c>
      <c r="BS229" s="2">
        <v>1.44</v>
      </c>
      <c r="BT229" s="141">
        <f t="shared" si="18"/>
        <v>78.000480000000039</v>
      </c>
      <c r="BU229" s="93">
        <v>78000</v>
      </c>
      <c r="BV229" s="94">
        <f t="shared" si="19"/>
        <v>6084037.4400000032</v>
      </c>
    </row>
    <row r="230" spans="1:74" ht="18" customHeight="1" x14ac:dyDescent="0.25">
      <c r="A230" s="291"/>
      <c r="B230" s="92" t="s">
        <v>211</v>
      </c>
      <c r="C230" s="75">
        <v>158</v>
      </c>
      <c r="D230" s="132">
        <f t="shared" si="21"/>
        <v>158</v>
      </c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  <c r="AS230" s="89"/>
      <c r="AT230" s="89"/>
      <c r="AU230" s="89"/>
      <c r="AV230" s="89"/>
      <c r="AW230" s="89"/>
      <c r="AX230" s="89"/>
      <c r="AY230" s="89"/>
      <c r="AZ230" s="89"/>
      <c r="BA230" s="89"/>
      <c r="BB230" s="89"/>
      <c r="BC230" s="89"/>
      <c r="BD230" s="89"/>
      <c r="BE230" s="89"/>
      <c r="BF230" s="89"/>
      <c r="BG230" s="89"/>
      <c r="BH230" s="89"/>
      <c r="BI230" s="89"/>
      <c r="BJ230" s="89"/>
      <c r="BK230" s="89"/>
      <c r="BL230" s="89"/>
      <c r="BM230" s="89"/>
      <c r="BN230" s="89"/>
      <c r="BO230" s="89"/>
      <c r="BP230" s="89"/>
      <c r="BQ230" s="108">
        <f t="shared" si="20"/>
        <v>0</v>
      </c>
      <c r="BR230" s="108">
        <f t="shared" si="20"/>
        <v>0</v>
      </c>
      <c r="BS230" s="2">
        <v>1.44</v>
      </c>
      <c r="BT230" s="141">
        <f t="shared" si="18"/>
        <v>227.51999999999998</v>
      </c>
      <c r="BU230" s="93">
        <v>78000</v>
      </c>
      <c r="BV230" s="94">
        <f t="shared" si="19"/>
        <v>17746560</v>
      </c>
    </row>
    <row r="231" spans="1:74" ht="18" customHeight="1" x14ac:dyDescent="0.25">
      <c r="A231" s="291"/>
      <c r="B231" s="92" t="s">
        <v>212</v>
      </c>
      <c r="C231" s="75">
        <v>36.92</v>
      </c>
      <c r="D231" s="132">
        <f t="shared" si="21"/>
        <v>36.92</v>
      </c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 s="89"/>
      <c r="BH231" s="89"/>
      <c r="BI231" s="89"/>
      <c r="BJ231" s="89"/>
      <c r="BK231" s="89"/>
      <c r="BL231" s="89"/>
      <c r="BM231" s="89"/>
      <c r="BN231" s="89"/>
      <c r="BO231" s="89"/>
      <c r="BP231" s="89"/>
      <c r="BQ231" s="108">
        <f t="shared" si="20"/>
        <v>0</v>
      </c>
      <c r="BR231" s="108">
        <f t="shared" si="20"/>
        <v>0</v>
      </c>
      <c r="BS231" s="2">
        <v>1.44</v>
      </c>
      <c r="BT231" s="141">
        <f t="shared" si="18"/>
        <v>53.1648</v>
      </c>
      <c r="BU231" s="93">
        <v>78000</v>
      </c>
      <c r="BV231" s="94">
        <f t="shared" si="19"/>
        <v>4146854.4</v>
      </c>
    </row>
    <row r="232" spans="1:74" ht="18" customHeight="1" x14ac:dyDescent="0.25">
      <c r="A232" s="291"/>
      <c r="B232" s="92" t="s">
        <v>213</v>
      </c>
      <c r="C232" s="75">
        <v>479.83</v>
      </c>
      <c r="D232" s="132">
        <f t="shared" si="21"/>
        <v>479.83</v>
      </c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89"/>
      <c r="AR232" s="89"/>
      <c r="AS232" s="89"/>
      <c r="AT232" s="89"/>
      <c r="AU232" s="89"/>
      <c r="AV232" s="89"/>
      <c r="AW232" s="89"/>
      <c r="AX232" s="89"/>
      <c r="AY232" s="89"/>
      <c r="AZ232" s="89"/>
      <c r="BA232" s="89"/>
      <c r="BB232" s="89"/>
      <c r="BC232" s="89"/>
      <c r="BD232" s="89"/>
      <c r="BE232" s="89"/>
      <c r="BF232" s="89"/>
      <c r="BG232" s="89"/>
      <c r="BH232" s="89"/>
      <c r="BI232" s="89"/>
      <c r="BJ232" s="89"/>
      <c r="BK232" s="89"/>
      <c r="BL232" s="89"/>
      <c r="BM232" s="89"/>
      <c r="BN232" s="89"/>
      <c r="BO232" s="89"/>
      <c r="BP232" s="89"/>
      <c r="BQ232" s="108">
        <f t="shared" si="20"/>
        <v>0</v>
      </c>
      <c r="BR232" s="108">
        <f t="shared" si="20"/>
        <v>0</v>
      </c>
      <c r="BS232" s="2">
        <v>1.44</v>
      </c>
      <c r="BT232" s="141">
        <f t="shared" si="18"/>
        <v>690.95519999999999</v>
      </c>
      <c r="BU232" s="93">
        <v>78000</v>
      </c>
      <c r="BV232" s="94">
        <f t="shared" si="19"/>
        <v>53894505.600000001</v>
      </c>
    </row>
    <row r="233" spans="1:74" ht="18" customHeight="1" x14ac:dyDescent="0.25">
      <c r="A233" s="291"/>
      <c r="B233" s="92" t="s">
        <v>399</v>
      </c>
      <c r="C233" s="75">
        <v>74.670000000000016</v>
      </c>
      <c r="D233" s="132">
        <f t="shared" si="21"/>
        <v>74.670000000000016</v>
      </c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  <c r="AP233" s="89"/>
      <c r="AQ233" s="89"/>
      <c r="AR233" s="89"/>
      <c r="AS233" s="89"/>
      <c r="AT233" s="89"/>
      <c r="AU233" s="89"/>
      <c r="AV233" s="89"/>
      <c r="AW233" s="89"/>
      <c r="AX233" s="89"/>
      <c r="AY233" s="89"/>
      <c r="AZ233" s="89"/>
      <c r="BA233" s="89"/>
      <c r="BB233" s="89"/>
      <c r="BC233" s="89"/>
      <c r="BD233" s="89"/>
      <c r="BE233" s="89"/>
      <c r="BF233" s="89"/>
      <c r="BG233" s="89"/>
      <c r="BH233" s="89"/>
      <c r="BI233" s="89"/>
      <c r="BJ233" s="89"/>
      <c r="BK233" s="89"/>
      <c r="BL233" s="89"/>
      <c r="BM233" s="89"/>
      <c r="BN233" s="89"/>
      <c r="BO233" s="89"/>
      <c r="BP233" s="89"/>
      <c r="BQ233" s="108">
        <f t="shared" si="20"/>
        <v>0</v>
      </c>
      <c r="BR233" s="108">
        <f t="shared" si="20"/>
        <v>0</v>
      </c>
      <c r="BS233" s="2">
        <v>1.44</v>
      </c>
      <c r="BT233" s="141">
        <f t="shared" si="18"/>
        <v>107.52480000000001</v>
      </c>
      <c r="BU233" s="93">
        <v>78000</v>
      </c>
      <c r="BV233" s="94">
        <f t="shared" si="19"/>
        <v>8386934.4000000013</v>
      </c>
    </row>
    <row r="234" spans="1:74" ht="18" customHeight="1" x14ac:dyDescent="0.25">
      <c r="A234" s="291"/>
      <c r="B234" s="92" t="s">
        <v>400</v>
      </c>
      <c r="C234" s="75">
        <v>258.5</v>
      </c>
      <c r="D234" s="132">
        <f t="shared" si="21"/>
        <v>258.5</v>
      </c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  <c r="AS234" s="89"/>
      <c r="AT234" s="89"/>
      <c r="AU234" s="89"/>
      <c r="AV234" s="89"/>
      <c r="AW234" s="89"/>
      <c r="AX234" s="89"/>
      <c r="AY234" s="89"/>
      <c r="AZ234" s="89"/>
      <c r="BA234" s="89"/>
      <c r="BB234" s="89"/>
      <c r="BC234" s="89"/>
      <c r="BD234" s="89"/>
      <c r="BE234" s="89"/>
      <c r="BF234" s="89"/>
      <c r="BG234" s="89"/>
      <c r="BH234" s="89"/>
      <c r="BI234" s="89"/>
      <c r="BJ234" s="89"/>
      <c r="BK234" s="89"/>
      <c r="BL234" s="89"/>
      <c r="BM234" s="89"/>
      <c r="BN234" s="89"/>
      <c r="BO234" s="89"/>
      <c r="BP234" s="89"/>
      <c r="BQ234" s="108">
        <f t="shared" si="20"/>
        <v>0</v>
      </c>
      <c r="BR234" s="108">
        <f t="shared" si="20"/>
        <v>0</v>
      </c>
      <c r="BS234" s="2">
        <v>1.44</v>
      </c>
      <c r="BT234" s="141">
        <f t="shared" si="18"/>
        <v>372.24</v>
      </c>
      <c r="BU234" s="93">
        <v>78000</v>
      </c>
      <c r="BV234" s="94">
        <f t="shared" si="19"/>
        <v>29034720</v>
      </c>
    </row>
    <row r="235" spans="1:74" ht="18" customHeight="1" x14ac:dyDescent="0.25">
      <c r="A235" s="291"/>
      <c r="B235" s="92" t="s">
        <v>401</v>
      </c>
      <c r="C235" s="75">
        <v>85</v>
      </c>
      <c r="D235" s="132">
        <f t="shared" si="21"/>
        <v>85</v>
      </c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  <c r="AS235" s="89"/>
      <c r="AT235" s="89"/>
      <c r="AU235" s="89"/>
      <c r="AV235" s="89"/>
      <c r="AW235" s="89"/>
      <c r="AX235" s="89"/>
      <c r="AY235" s="89"/>
      <c r="AZ235" s="89"/>
      <c r="BA235" s="89"/>
      <c r="BB235" s="89"/>
      <c r="BC235" s="89"/>
      <c r="BD235" s="89"/>
      <c r="BE235" s="89"/>
      <c r="BF235" s="89"/>
      <c r="BG235" s="89"/>
      <c r="BH235" s="89"/>
      <c r="BI235" s="89"/>
      <c r="BJ235" s="89"/>
      <c r="BK235" s="89"/>
      <c r="BL235" s="89"/>
      <c r="BM235" s="89"/>
      <c r="BN235" s="89"/>
      <c r="BO235" s="89"/>
      <c r="BP235" s="89"/>
      <c r="BQ235" s="108">
        <f t="shared" si="20"/>
        <v>0</v>
      </c>
      <c r="BR235" s="108">
        <f t="shared" si="20"/>
        <v>0</v>
      </c>
      <c r="BS235" s="2">
        <v>1.44</v>
      </c>
      <c r="BT235" s="141">
        <f t="shared" si="18"/>
        <v>122.39999999999999</v>
      </c>
      <c r="BU235" s="93">
        <v>78000</v>
      </c>
      <c r="BV235" s="94">
        <f t="shared" si="19"/>
        <v>9547200</v>
      </c>
    </row>
    <row r="236" spans="1:74" ht="18" customHeight="1" x14ac:dyDescent="0.25">
      <c r="A236" s="291"/>
      <c r="B236" s="92" t="s">
        <v>214</v>
      </c>
      <c r="C236" s="75">
        <v>114</v>
      </c>
      <c r="D236" s="132">
        <f t="shared" si="21"/>
        <v>114</v>
      </c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89"/>
      <c r="BN236" s="89"/>
      <c r="BO236" s="89"/>
      <c r="BP236" s="89"/>
      <c r="BQ236" s="108">
        <f t="shared" si="20"/>
        <v>0</v>
      </c>
      <c r="BR236" s="108">
        <f t="shared" si="20"/>
        <v>0</v>
      </c>
      <c r="BS236" s="2">
        <v>1.44</v>
      </c>
      <c r="BT236" s="141">
        <f t="shared" si="18"/>
        <v>164.16</v>
      </c>
      <c r="BU236" s="93">
        <v>78000</v>
      </c>
      <c r="BV236" s="94">
        <f t="shared" si="19"/>
        <v>12804480</v>
      </c>
    </row>
    <row r="237" spans="1:74" ht="18" customHeight="1" x14ac:dyDescent="0.25">
      <c r="A237" s="292"/>
      <c r="B237" s="92" t="s">
        <v>215</v>
      </c>
      <c r="C237" s="75">
        <v>164</v>
      </c>
      <c r="D237" s="132">
        <f t="shared" si="21"/>
        <v>164</v>
      </c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89"/>
      <c r="BN237" s="89"/>
      <c r="BO237" s="89"/>
      <c r="BP237" s="89"/>
      <c r="BQ237" s="108">
        <f t="shared" si="20"/>
        <v>0</v>
      </c>
      <c r="BR237" s="108">
        <f t="shared" si="20"/>
        <v>0</v>
      </c>
      <c r="BS237" s="2">
        <v>1.44</v>
      </c>
      <c r="BT237" s="141">
        <f t="shared" si="18"/>
        <v>236.16</v>
      </c>
      <c r="BU237" s="93">
        <v>78000</v>
      </c>
      <c r="BV237" s="94">
        <f t="shared" si="19"/>
        <v>18420480</v>
      </c>
    </row>
    <row r="238" spans="1:74" ht="18" customHeight="1" x14ac:dyDescent="0.25">
      <c r="A238" s="84"/>
      <c r="B238" s="2"/>
      <c r="C238" s="75">
        <v>0</v>
      </c>
      <c r="D238" s="132">
        <f t="shared" si="21"/>
        <v>0</v>
      </c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  <c r="AP238" s="89"/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89"/>
      <c r="BN238" s="89"/>
      <c r="BO238" s="89"/>
      <c r="BP238" s="89"/>
      <c r="BQ238" s="108">
        <f t="shared" si="20"/>
        <v>0</v>
      </c>
      <c r="BR238" s="108">
        <f t="shared" si="20"/>
        <v>0</v>
      </c>
      <c r="BS238" s="2"/>
      <c r="BT238" s="141">
        <f t="shared" si="18"/>
        <v>0</v>
      </c>
      <c r="BU238" s="93"/>
      <c r="BV238" s="94">
        <f t="shared" si="19"/>
        <v>0</v>
      </c>
    </row>
    <row r="239" spans="1:74" ht="18" customHeight="1" x14ac:dyDescent="0.25">
      <c r="A239" s="290" t="s">
        <v>4317</v>
      </c>
      <c r="B239" s="2" t="s">
        <v>4319</v>
      </c>
      <c r="C239" s="75">
        <v>69</v>
      </c>
      <c r="D239" s="132">
        <f t="shared" si="21"/>
        <v>43</v>
      </c>
      <c r="E239" s="89"/>
      <c r="F239" s="89">
        <v>13</v>
      </c>
      <c r="G239" s="89"/>
      <c r="H239" s="89">
        <v>10</v>
      </c>
      <c r="I239" s="89"/>
      <c r="J239" s="89"/>
      <c r="K239" s="89"/>
      <c r="L239" s="89"/>
      <c r="M239" s="89"/>
      <c r="N239" s="89"/>
      <c r="O239" s="89"/>
      <c r="P239" s="89">
        <v>3</v>
      </c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89"/>
      <c r="BN239" s="89"/>
      <c r="BO239" s="89"/>
      <c r="BP239" s="89"/>
      <c r="BQ239" s="108">
        <f t="shared" si="20"/>
        <v>0</v>
      </c>
      <c r="BR239" s="108">
        <f t="shared" si="20"/>
        <v>26</v>
      </c>
      <c r="BS239" s="2">
        <v>0.96</v>
      </c>
      <c r="BT239" s="141">
        <f t="shared" si="18"/>
        <v>41.28</v>
      </c>
      <c r="BU239" s="93">
        <v>95000</v>
      </c>
      <c r="BV239" s="94">
        <f t="shared" si="19"/>
        <v>3921600</v>
      </c>
    </row>
    <row r="240" spans="1:74" ht="18" customHeight="1" x14ac:dyDescent="0.25">
      <c r="A240" s="291"/>
      <c r="B240" s="2" t="s">
        <v>4318</v>
      </c>
      <c r="C240" s="75">
        <v>110</v>
      </c>
      <c r="D240" s="132">
        <f t="shared" si="21"/>
        <v>110</v>
      </c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  <c r="AP240" s="89"/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89"/>
      <c r="BN240" s="89"/>
      <c r="BO240" s="89"/>
      <c r="BP240" s="89"/>
      <c r="BQ240" s="108">
        <f t="shared" si="20"/>
        <v>0</v>
      </c>
      <c r="BR240" s="108">
        <f t="shared" si="20"/>
        <v>0</v>
      </c>
      <c r="BS240" s="2">
        <v>0.96</v>
      </c>
      <c r="BT240" s="141">
        <f t="shared" si="18"/>
        <v>105.6</v>
      </c>
      <c r="BU240" s="93">
        <v>95000</v>
      </c>
      <c r="BV240" s="94">
        <f t="shared" si="19"/>
        <v>10032000</v>
      </c>
    </row>
    <row r="241" spans="1:74" ht="18" customHeight="1" x14ac:dyDescent="0.25">
      <c r="A241" s="292"/>
      <c r="B241" s="2" t="s">
        <v>4320</v>
      </c>
      <c r="C241" s="75">
        <v>187</v>
      </c>
      <c r="D241" s="132">
        <f t="shared" si="21"/>
        <v>187</v>
      </c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89"/>
      <c r="BN241" s="89"/>
      <c r="BO241" s="89"/>
      <c r="BP241" s="89"/>
      <c r="BQ241" s="108">
        <f t="shared" si="20"/>
        <v>0</v>
      </c>
      <c r="BR241" s="108">
        <f t="shared" si="20"/>
        <v>0</v>
      </c>
      <c r="BS241" s="2">
        <v>0.96</v>
      </c>
      <c r="BT241" s="141">
        <f t="shared" si="18"/>
        <v>179.51999999999998</v>
      </c>
      <c r="BU241" s="93">
        <v>95000</v>
      </c>
      <c r="BV241" s="94">
        <f t="shared" si="19"/>
        <v>17054400</v>
      </c>
    </row>
    <row r="242" spans="1:74" ht="18" customHeight="1" x14ac:dyDescent="0.25">
      <c r="A242" s="282"/>
      <c r="B242" s="2"/>
      <c r="C242" s="75"/>
      <c r="D242" s="132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89"/>
      <c r="BN242" s="89"/>
      <c r="BO242" s="89"/>
      <c r="BP242" s="89"/>
      <c r="BQ242" s="108"/>
      <c r="BR242" s="108"/>
      <c r="BS242" s="2"/>
      <c r="BT242" s="141"/>
      <c r="BU242" s="93"/>
      <c r="BV242" s="94"/>
    </row>
    <row r="243" spans="1:74" ht="18" customHeight="1" x14ac:dyDescent="0.25">
      <c r="A243" s="290" t="s">
        <v>12283</v>
      </c>
      <c r="B243" s="2" t="s">
        <v>12284</v>
      </c>
      <c r="C243" s="75">
        <v>277</v>
      </c>
      <c r="D243" s="132">
        <f t="shared" si="21"/>
        <v>149</v>
      </c>
      <c r="E243" s="75"/>
      <c r="F243" s="75"/>
      <c r="G243" s="75"/>
      <c r="H243" s="75">
        <v>64</v>
      </c>
      <c r="I243" s="75"/>
      <c r="J243" s="75">
        <v>64</v>
      </c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75"/>
      <c r="AX243" s="75"/>
      <c r="AY243" s="75"/>
      <c r="AZ243" s="75"/>
      <c r="BA243" s="75"/>
      <c r="BB243" s="75"/>
      <c r="BC243" s="75"/>
      <c r="BD243" s="75"/>
      <c r="BE243" s="75"/>
      <c r="BF243" s="75"/>
      <c r="BG243" s="75"/>
      <c r="BH243" s="75"/>
      <c r="BI243" s="75"/>
      <c r="BJ243" s="75"/>
      <c r="BK243" s="75"/>
      <c r="BL243" s="75"/>
      <c r="BM243" s="75"/>
      <c r="BN243" s="75"/>
      <c r="BO243" s="75"/>
      <c r="BP243" s="75"/>
      <c r="BQ243" s="108">
        <f t="shared" ref="BQ243:BR247" si="22">+E243+G243+I243+K243+M243+O243+Q243+S243+U243+W243+Y243+AA243+AC243+AE243+AG243+AI243+AK243+AM243+AO243+AQ243+AS243+AU243+AW243+AY243+BA243+BC243+BE243+BG243+BI243+BK243+BM243+BO243</f>
        <v>0</v>
      </c>
      <c r="BR243" s="108">
        <f t="shared" si="22"/>
        <v>128</v>
      </c>
      <c r="BS243" s="2">
        <v>1.5</v>
      </c>
      <c r="BT243" s="141">
        <f t="shared" si="18"/>
        <v>223.5</v>
      </c>
      <c r="BU243" s="93">
        <v>65000</v>
      </c>
      <c r="BV243" s="94">
        <f t="shared" si="19"/>
        <v>14527500</v>
      </c>
    </row>
    <row r="244" spans="1:74" ht="18" customHeight="1" x14ac:dyDescent="0.25">
      <c r="A244" s="291"/>
      <c r="B244" s="2" t="s">
        <v>12285</v>
      </c>
      <c r="C244" s="75">
        <v>136</v>
      </c>
      <c r="D244" s="132">
        <f t="shared" si="21"/>
        <v>116</v>
      </c>
      <c r="E244" s="75"/>
      <c r="F244" s="75"/>
      <c r="G244" s="75"/>
      <c r="H244" s="75">
        <v>20</v>
      </c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75"/>
      <c r="AZ244" s="75"/>
      <c r="BA244" s="75"/>
      <c r="BB244" s="75"/>
      <c r="BC244" s="75"/>
      <c r="BD244" s="75"/>
      <c r="BE244" s="75"/>
      <c r="BF244" s="75"/>
      <c r="BG244" s="75"/>
      <c r="BH244" s="75"/>
      <c r="BI244" s="75"/>
      <c r="BJ244" s="75"/>
      <c r="BK244" s="75"/>
      <c r="BL244" s="75"/>
      <c r="BM244" s="75"/>
      <c r="BN244" s="75"/>
      <c r="BO244" s="75"/>
      <c r="BP244" s="75"/>
      <c r="BQ244" s="108">
        <f t="shared" si="22"/>
        <v>0</v>
      </c>
      <c r="BR244" s="108">
        <f t="shared" si="22"/>
        <v>20</v>
      </c>
      <c r="BS244" s="2">
        <v>1.5</v>
      </c>
      <c r="BT244" s="141">
        <f t="shared" si="18"/>
        <v>174</v>
      </c>
      <c r="BU244" s="93">
        <v>65000</v>
      </c>
      <c r="BV244" s="94">
        <f t="shared" si="19"/>
        <v>11310000</v>
      </c>
    </row>
    <row r="245" spans="1:74" ht="18" customHeight="1" x14ac:dyDescent="0.25">
      <c r="A245" s="291"/>
      <c r="B245" s="2" t="s">
        <v>12286</v>
      </c>
      <c r="C245" s="75">
        <v>310</v>
      </c>
      <c r="D245" s="132">
        <f t="shared" si="21"/>
        <v>297</v>
      </c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>
        <v>13</v>
      </c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75"/>
      <c r="AZ245" s="75"/>
      <c r="BA245" s="75"/>
      <c r="BB245" s="75"/>
      <c r="BC245" s="75"/>
      <c r="BD245" s="75"/>
      <c r="BE245" s="75"/>
      <c r="BF245" s="75"/>
      <c r="BG245" s="75"/>
      <c r="BH245" s="75"/>
      <c r="BI245" s="75"/>
      <c r="BJ245" s="75"/>
      <c r="BK245" s="75"/>
      <c r="BL245" s="75"/>
      <c r="BM245" s="75"/>
      <c r="BN245" s="75"/>
      <c r="BO245" s="75"/>
      <c r="BP245" s="75"/>
      <c r="BQ245" s="108">
        <f t="shared" si="22"/>
        <v>0</v>
      </c>
      <c r="BR245" s="108">
        <f t="shared" si="22"/>
        <v>13</v>
      </c>
      <c r="BS245" s="2">
        <v>1.5</v>
      </c>
      <c r="BT245" s="141">
        <f t="shared" si="18"/>
        <v>445.5</v>
      </c>
      <c r="BU245" s="93">
        <v>65000</v>
      </c>
      <c r="BV245" s="94">
        <f t="shared" si="19"/>
        <v>28957500</v>
      </c>
    </row>
    <row r="246" spans="1:74" ht="18" customHeight="1" x14ac:dyDescent="0.25">
      <c r="A246" s="291"/>
      <c r="B246" s="2" t="s">
        <v>12287</v>
      </c>
      <c r="C246" s="75">
        <v>210</v>
      </c>
      <c r="D246" s="132">
        <f t="shared" si="21"/>
        <v>210</v>
      </c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75"/>
      <c r="BI246" s="75"/>
      <c r="BJ246" s="75"/>
      <c r="BK246" s="75"/>
      <c r="BL246" s="75"/>
      <c r="BM246" s="75"/>
      <c r="BN246" s="75"/>
      <c r="BO246" s="75"/>
      <c r="BP246" s="75"/>
      <c r="BQ246" s="108">
        <f t="shared" si="22"/>
        <v>0</v>
      </c>
      <c r="BR246" s="108">
        <f t="shared" si="22"/>
        <v>0</v>
      </c>
      <c r="BS246" s="2">
        <v>1.5</v>
      </c>
      <c r="BT246" s="141">
        <f t="shared" si="18"/>
        <v>315</v>
      </c>
      <c r="BU246" s="93">
        <v>65000</v>
      </c>
      <c r="BV246" s="94">
        <f t="shared" si="19"/>
        <v>20475000</v>
      </c>
    </row>
    <row r="247" spans="1:74" ht="18" customHeight="1" x14ac:dyDescent="0.25">
      <c r="A247" s="292"/>
      <c r="B247" s="2" t="s">
        <v>12288</v>
      </c>
      <c r="C247" s="75">
        <v>240</v>
      </c>
      <c r="D247" s="132">
        <f t="shared" si="21"/>
        <v>112</v>
      </c>
      <c r="E247" s="75"/>
      <c r="F247" s="75"/>
      <c r="G247" s="75"/>
      <c r="H247" s="75">
        <v>64</v>
      </c>
      <c r="I247" s="75"/>
      <c r="J247" s="75"/>
      <c r="K247" s="75"/>
      <c r="L247" s="75"/>
      <c r="M247" s="75"/>
      <c r="N247" s="75">
        <v>64</v>
      </c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75"/>
      <c r="AZ247" s="75"/>
      <c r="BA247" s="75"/>
      <c r="BB247" s="75"/>
      <c r="BC247" s="75"/>
      <c r="BD247" s="75"/>
      <c r="BE247" s="75"/>
      <c r="BF247" s="75"/>
      <c r="BG247" s="75"/>
      <c r="BH247" s="75"/>
      <c r="BI247" s="75"/>
      <c r="BJ247" s="75"/>
      <c r="BK247" s="75"/>
      <c r="BL247" s="75"/>
      <c r="BM247" s="75"/>
      <c r="BN247" s="75"/>
      <c r="BO247" s="75"/>
      <c r="BP247" s="75"/>
      <c r="BQ247" s="108">
        <f t="shared" si="22"/>
        <v>0</v>
      </c>
      <c r="BR247" s="108">
        <f t="shared" si="22"/>
        <v>128</v>
      </c>
      <c r="BS247" s="2">
        <v>1.5</v>
      </c>
      <c r="BT247" s="141">
        <f t="shared" si="18"/>
        <v>168</v>
      </c>
      <c r="BU247" s="93">
        <v>65000</v>
      </c>
      <c r="BV247" s="94">
        <f t="shared" si="19"/>
        <v>10920000</v>
      </c>
    </row>
    <row r="248" spans="1:74" ht="18" customHeight="1" x14ac:dyDescent="0.25">
      <c r="D248" s="132">
        <f t="shared" si="21"/>
        <v>0</v>
      </c>
    </row>
    <row r="249" spans="1:74" ht="18" customHeight="1" x14ac:dyDescent="0.25">
      <c r="D249" s="132">
        <f t="shared" si="21"/>
        <v>0</v>
      </c>
    </row>
    <row r="250" spans="1:74" ht="18" customHeight="1" x14ac:dyDescent="0.25">
      <c r="D250" s="132">
        <f t="shared" si="21"/>
        <v>0</v>
      </c>
    </row>
    <row r="251" spans="1:74" ht="18" customHeight="1" x14ac:dyDescent="0.25">
      <c r="D251" s="132">
        <f t="shared" si="21"/>
        <v>0</v>
      </c>
    </row>
    <row r="252" spans="1:74" ht="18" customHeight="1" x14ac:dyDescent="0.25">
      <c r="D252" s="132">
        <f t="shared" si="21"/>
        <v>0</v>
      </c>
    </row>
    <row r="253" spans="1:74" ht="18" customHeight="1" x14ac:dyDescent="0.25">
      <c r="D253" s="132">
        <f t="shared" si="21"/>
        <v>0</v>
      </c>
    </row>
    <row r="254" spans="1:74" ht="18" customHeight="1" x14ac:dyDescent="0.25"/>
    <row r="255" spans="1:74" ht="18" customHeight="1" x14ac:dyDescent="0.25"/>
    <row r="256" spans="1:74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</sheetData>
  <mergeCells count="56">
    <mergeCell ref="A80:A89"/>
    <mergeCell ref="A91:A100"/>
    <mergeCell ref="A36:A47"/>
    <mergeCell ref="A60:A67"/>
    <mergeCell ref="AA1:AB1"/>
    <mergeCell ref="E1:F1"/>
    <mergeCell ref="G1:H1"/>
    <mergeCell ref="I1:J1"/>
    <mergeCell ref="K1:L1"/>
    <mergeCell ref="M1:N1"/>
    <mergeCell ref="A18:A34"/>
    <mergeCell ref="A5:A8"/>
    <mergeCell ref="A10:A12"/>
    <mergeCell ref="A49:A59"/>
    <mergeCell ref="A69:A78"/>
    <mergeCell ref="AQ1:AR1"/>
    <mergeCell ref="AS1:AT1"/>
    <mergeCell ref="AU1:AV1"/>
    <mergeCell ref="AC1:AD1"/>
    <mergeCell ref="AE1:AF1"/>
    <mergeCell ref="AG1:AH1"/>
    <mergeCell ref="AI1:AJ1"/>
    <mergeCell ref="AK1:AL1"/>
    <mergeCell ref="AO1:AP1"/>
    <mergeCell ref="BQ1:BR1"/>
    <mergeCell ref="O1:P1"/>
    <mergeCell ref="Q1:R1"/>
    <mergeCell ref="S1:T1"/>
    <mergeCell ref="U1:V1"/>
    <mergeCell ref="W1:X1"/>
    <mergeCell ref="BE1:BF1"/>
    <mergeCell ref="BG1:BH1"/>
    <mergeCell ref="BI1:BJ1"/>
    <mergeCell ref="BK1:BL1"/>
    <mergeCell ref="BM1:BN1"/>
    <mergeCell ref="AW1:AX1"/>
    <mergeCell ref="AY1:AZ1"/>
    <mergeCell ref="Y1:Z1"/>
    <mergeCell ref="BA1:BB1"/>
    <mergeCell ref="BC1:BD1"/>
    <mergeCell ref="A243:A247"/>
    <mergeCell ref="A215:A221"/>
    <mergeCell ref="BO1:BP1"/>
    <mergeCell ref="A102:A121"/>
    <mergeCell ref="A123:A128"/>
    <mergeCell ref="A239:A241"/>
    <mergeCell ref="A227:A237"/>
    <mergeCell ref="A222:A226"/>
    <mergeCell ref="A204:A214"/>
    <mergeCell ref="A195:A203"/>
    <mergeCell ref="A191:A193"/>
    <mergeCell ref="A179:A189"/>
    <mergeCell ref="A139:A177"/>
    <mergeCell ref="A134:A137"/>
    <mergeCell ref="A130:A133"/>
    <mergeCell ref="AM1:AN1"/>
  </mergeCells>
  <pageMargins left="0.23" right="0.2" top="0.16" bottom="0.24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BT147"/>
  <sheetViews>
    <sheetView topLeftCell="A43" zoomScaleNormal="100" workbookViewId="0">
      <selection activeCell="D5" sqref="D5:D147"/>
    </sheetView>
  </sheetViews>
  <sheetFormatPr defaultRowHeight="18.75" x14ac:dyDescent="0.3"/>
  <cols>
    <col min="1" max="1" width="20.7109375" style="6" customWidth="1"/>
    <col min="2" max="2" width="39.5703125" style="5" customWidth="1"/>
    <col min="3" max="3" width="25.28515625" style="25" customWidth="1"/>
    <col min="4" max="4" width="16.140625" style="5" customWidth="1"/>
    <col min="5" max="14" width="6.7109375" style="5" customWidth="1"/>
    <col min="15" max="15" width="9.140625" style="5" customWidth="1"/>
    <col min="16" max="20" width="6.7109375" style="5" customWidth="1"/>
    <col min="21" max="22" width="9.28515625" style="5" customWidth="1"/>
    <col min="23" max="24" width="6.7109375" style="5" customWidth="1"/>
    <col min="25" max="25" width="9.5703125" style="5" customWidth="1"/>
    <col min="26" max="26" width="6.7109375" style="5" customWidth="1"/>
    <col min="27" max="27" width="10.140625" style="5" customWidth="1"/>
    <col min="28" max="28" width="10.7109375" style="5" customWidth="1"/>
    <col min="29" max="30" width="6.7109375" style="5" customWidth="1"/>
    <col min="31" max="31" width="10.42578125" style="5" customWidth="1"/>
    <col min="32" max="32" width="8.7109375" style="5" customWidth="1"/>
    <col min="33" max="42" width="6.7109375" style="5" customWidth="1"/>
    <col min="43" max="43" width="9" style="5" customWidth="1"/>
    <col min="44" max="44" width="9.42578125" style="5" customWidth="1"/>
    <col min="45" max="45" width="8.85546875" style="5" customWidth="1"/>
    <col min="46" max="54" width="6.7109375" style="5" customWidth="1"/>
    <col min="55" max="55" width="7.5703125" style="5" customWidth="1"/>
    <col min="56" max="58" width="6.7109375" style="5" customWidth="1"/>
    <col min="59" max="59" width="8.28515625" style="5" customWidth="1"/>
    <col min="60" max="60" width="6.7109375" style="5" customWidth="1"/>
    <col min="61" max="61" width="6.28515625" style="5" customWidth="1"/>
    <col min="62" max="62" width="7.5703125" style="5" customWidth="1"/>
    <col min="63" max="63" width="11.42578125" style="5" customWidth="1"/>
    <col min="64" max="68" width="6.7109375" style="5" customWidth="1"/>
    <col min="69" max="69" width="7.85546875" style="5" customWidth="1"/>
    <col min="70" max="70" width="7.5703125" style="5" customWidth="1"/>
    <col min="71" max="71" width="13.85546875" style="5" customWidth="1"/>
    <col min="72" max="72" width="23.42578125" style="25" customWidth="1"/>
    <col min="73" max="73" width="28" style="25" customWidth="1"/>
    <col min="74" max="74" width="23.85546875" style="19" customWidth="1"/>
    <col min="75" max="75" width="25" style="19" customWidth="1"/>
  </cols>
  <sheetData>
    <row r="1" spans="1:75" ht="42.75" customHeight="1" x14ac:dyDescent="0.25">
      <c r="A1" s="70" t="s">
        <v>189</v>
      </c>
      <c r="B1" s="71" t="s">
        <v>12138</v>
      </c>
      <c r="C1" s="165" t="s">
        <v>12195</v>
      </c>
      <c r="D1" s="164" t="s">
        <v>12196</v>
      </c>
      <c r="E1" s="305">
        <v>1</v>
      </c>
      <c r="F1" s="306"/>
      <c r="G1" s="305">
        <f>1+E1</f>
        <v>2</v>
      </c>
      <c r="H1" s="306"/>
      <c r="I1" s="305">
        <f>1+G1</f>
        <v>3</v>
      </c>
      <c r="J1" s="306"/>
      <c r="K1" s="305">
        <f>1+I1</f>
        <v>4</v>
      </c>
      <c r="L1" s="306"/>
      <c r="M1" s="305">
        <v>5</v>
      </c>
      <c r="N1" s="306"/>
      <c r="O1" s="305">
        <f>1+M1</f>
        <v>6</v>
      </c>
      <c r="P1" s="306"/>
      <c r="Q1" s="305">
        <f>1+O1</f>
        <v>7</v>
      </c>
      <c r="R1" s="306"/>
      <c r="S1" s="305">
        <f>1+Q1</f>
        <v>8</v>
      </c>
      <c r="T1" s="306"/>
      <c r="U1" s="305">
        <f>1+S1</f>
        <v>9</v>
      </c>
      <c r="V1" s="306"/>
      <c r="W1" s="305">
        <f>1+U1</f>
        <v>10</v>
      </c>
      <c r="X1" s="306"/>
      <c r="Y1" s="305">
        <f>1+W1</f>
        <v>11</v>
      </c>
      <c r="Z1" s="306"/>
      <c r="AA1" s="305">
        <f>1+Y1</f>
        <v>12</v>
      </c>
      <c r="AB1" s="306"/>
      <c r="AC1" s="305">
        <f>1+AA1</f>
        <v>13</v>
      </c>
      <c r="AD1" s="306"/>
      <c r="AE1" s="305">
        <f>1+AC1</f>
        <v>14</v>
      </c>
      <c r="AF1" s="306"/>
      <c r="AG1" s="305">
        <f>1+AE1</f>
        <v>15</v>
      </c>
      <c r="AH1" s="306"/>
      <c r="AI1" s="305">
        <f>1+AG1</f>
        <v>16</v>
      </c>
      <c r="AJ1" s="306"/>
      <c r="AK1" s="305">
        <f>1+AI1</f>
        <v>17</v>
      </c>
      <c r="AL1" s="306"/>
      <c r="AM1" s="305">
        <f>1+AK1</f>
        <v>18</v>
      </c>
      <c r="AN1" s="306"/>
      <c r="AO1" s="305">
        <f>1+AM1</f>
        <v>19</v>
      </c>
      <c r="AP1" s="306"/>
      <c r="AQ1" s="305">
        <f>1+AO1</f>
        <v>20</v>
      </c>
      <c r="AR1" s="306"/>
      <c r="AS1" s="305">
        <f>1+AQ1</f>
        <v>21</v>
      </c>
      <c r="AT1" s="306"/>
      <c r="AU1" s="305">
        <f>1+AS1</f>
        <v>22</v>
      </c>
      <c r="AV1" s="306"/>
      <c r="AW1" s="305">
        <f>1+AU1</f>
        <v>23</v>
      </c>
      <c r="AX1" s="306"/>
      <c r="AY1" s="305">
        <f>1+AW1</f>
        <v>24</v>
      </c>
      <c r="AZ1" s="306"/>
      <c r="BA1" s="305">
        <f>1+AY1</f>
        <v>25</v>
      </c>
      <c r="BB1" s="306"/>
      <c r="BC1" s="305">
        <f>1+BA1</f>
        <v>26</v>
      </c>
      <c r="BD1" s="306"/>
      <c r="BE1" s="305">
        <f>1+BC1</f>
        <v>27</v>
      </c>
      <c r="BF1" s="306"/>
      <c r="BG1" s="305">
        <f>1+BE1</f>
        <v>28</v>
      </c>
      <c r="BH1" s="306"/>
      <c r="BI1" s="305">
        <f>1+BG1</f>
        <v>29</v>
      </c>
      <c r="BJ1" s="306"/>
      <c r="BK1" s="305">
        <f>1+BI1</f>
        <v>30</v>
      </c>
      <c r="BL1" s="306"/>
      <c r="BM1" s="305">
        <f>1+BK1</f>
        <v>31</v>
      </c>
      <c r="BN1" s="306"/>
      <c r="BO1" s="293" t="s">
        <v>12168</v>
      </c>
      <c r="BP1" s="294"/>
      <c r="BQ1" s="307" t="s">
        <v>12139</v>
      </c>
      <c r="BR1" s="307"/>
      <c r="BS1" s="71" t="s">
        <v>408</v>
      </c>
      <c r="BT1" s="137" t="s">
        <v>405</v>
      </c>
      <c r="BU1" s="137" t="s">
        <v>595</v>
      </c>
      <c r="BV1" s="73" t="s">
        <v>407</v>
      </c>
      <c r="BW1" s="48"/>
    </row>
    <row r="2" spans="1:75" ht="30" customHeight="1" x14ac:dyDescent="0.3">
      <c r="A2" s="314" t="s">
        <v>412</v>
      </c>
      <c r="B2" s="314"/>
      <c r="C2" s="17">
        <f>SUM(C4:C147)</f>
        <v>14358.084000000003</v>
      </c>
      <c r="D2" s="14">
        <f>SUM(D4:D147)</f>
        <v>13285.583999999999</v>
      </c>
      <c r="E2" s="87" t="s">
        <v>12140</v>
      </c>
      <c r="F2" s="87" t="s">
        <v>12141</v>
      </c>
      <c r="G2" s="87" t="s">
        <v>12140</v>
      </c>
      <c r="H2" s="87" t="s">
        <v>12141</v>
      </c>
      <c r="I2" s="87" t="s">
        <v>12140</v>
      </c>
      <c r="J2" s="87" t="s">
        <v>12141</v>
      </c>
      <c r="K2" s="87" t="s">
        <v>12140</v>
      </c>
      <c r="L2" s="87" t="s">
        <v>12141</v>
      </c>
      <c r="M2" s="87" t="s">
        <v>12140</v>
      </c>
      <c r="N2" s="87" t="s">
        <v>12141</v>
      </c>
      <c r="O2" s="87" t="s">
        <v>12140</v>
      </c>
      <c r="P2" s="87" t="s">
        <v>12141</v>
      </c>
      <c r="Q2" s="87" t="s">
        <v>12140</v>
      </c>
      <c r="R2" s="87" t="s">
        <v>12141</v>
      </c>
      <c r="S2" s="87" t="s">
        <v>12140</v>
      </c>
      <c r="T2" s="87" t="s">
        <v>12141</v>
      </c>
      <c r="U2" s="87" t="s">
        <v>12140</v>
      </c>
      <c r="V2" s="87" t="s">
        <v>12141</v>
      </c>
      <c r="W2" s="87" t="s">
        <v>12140</v>
      </c>
      <c r="X2" s="87" t="s">
        <v>12141</v>
      </c>
      <c r="Y2" s="87" t="s">
        <v>12140</v>
      </c>
      <c r="Z2" s="87" t="s">
        <v>12141</v>
      </c>
      <c r="AA2" s="87" t="s">
        <v>12140</v>
      </c>
      <c r="AB2" s="87" t="s">
        <v>12141</v>
      </c>
      <c r="AC2" s="87" t="s">
        <v>12140</v>
      </c>
      <c r="AD2" s="87" t="s">
        <v>12141</v>
      </c>
      <c r="AE2" s="87" t="s">
        <v>12140</v>
      </c>
      <c r="AF2" s="87" t="s">
        <v>12141</v>
      </c>
      <c r="AG2" s="87" t="s">
        <v>12140</v>
      </c>
      <c r="AH2" s="87" t="s">
        <v>12141</v>
      </c>
      <c r="AI2" s="87" t="s">
        <v>12140</v>
      </c>
      <c r="AJ2" s="87" t="s">
        <v>12141</v>
      </c>
      <c r="AK2" s="87" t="s">
        <v>12140</v>
      </c>
      <c r="AL2" s="87" t="s">
        <v>12141</v>
      </c>
      <c r="AM2" s="87" t="s">
        <v>12140</v>
      </c>
      <c r="AN2" s="87" t="s">
        <v>12141</v>
      </c>
      <c r="AO2" s="87" t="s">
        <v>12140</v>
      </c>
      <c r="AP2" s="87" t="s">
        <v>12141</v>
      </c>
      <c r="AQ2" s="87" t="s">
        <v>12140</v>
      </c>
      <c r="AR2" s="87" t="s">
        <v>12141</v>
      </c>
      <c r="AS2" s="87" t="s">
        <v>12140</v>
      </c>
      <c r="AT2" s="87" t="s">
        <v>12141</v>
      </c>
      <c r="AU2" s="87" t="s">
        <v>12140</v>
      </c>
      <c r="AV2" s="87" t="s">
        <v>12141</v>
      </c>
      <c r="AW2" s="87" t="s">
        <v>12140</v>
      </c>
      <c r="AX2" s="87" t="s">
        <v>12141</v>
      </c>
      <c r="AY2" s="87" t="s">
        <v>12140</v>
      </c>
      <c r="AZ2" s="87" t="s">
        <v>12141</v>
      </c>
      <c r="BA2" s="87" t="s">
        <v>12140</v>
      </c>
      <c r="BB2" s="87" t="s">
        <v>12141</v>
      </c>
      <c r="BC2" s="87" t="s">
        <v>12140</v>
      </c>
      <c r="BD2" s="87" t="s">
        <v>12141</v>
      </c>
      <c r="BE2" s="87" t="s">
        <v>12140</v>
      </c>
      <c r="BF2" s="87" t="s">
        <v>12141</v>
      </c>
      <c r="BG2" s="87" t="s">
        <v>12140</v>
      </c>
      <c r="BH2" s="87" t="s">
        <v>12141</v>
      </c>
      <c r="BI2" s="87" t="s">
        <v>12140</v>
      </c>
      <c r="BJ2" s="87" t="s">
        <v>12141</v>
      </c>
      <c r="BK2" s="87" t="s">
        <v>12140</v>
      </c>
      <c r="BL2" s="87" t="s">
        <v>12141</v>
      </c>
      <c r="BM2" s="87" t="s">
        <v>12140</v>
      </c>
      <c r="BN2" s="87" t="s">
        <v>12141</v>
      </c>
      <c r="BO2" s="87" t="s">
        <v>12140</v>
      </c>
      <c r="BP2" s="87" t="s">
        <v>12141</v>
      </c>
      <c r="BQ2" s="87" t="s">
        <v>12140</v>
      </c>
      <c r="BR2" s="87" t="s">
        <v>12141</v>
      </c>
      <c r="BS2" s="87">
        <v>340.81999999999965</v>
      </c>
      <c r="BT2" s="138">
        <f>SUM(BT5:BT147)</f>
        <v>21685.928400000008</v>
      </c>
      <c r="BU2" s="138"/>
      <c r="BV2" s="87">
        <f>SUM(BV5:BV147)</f>
        <v>2124673631.1999998</v>
      </c>
      <c r="BW2" s="14"/>
    </row>
    <row r="3" spans="1:75" s="115" customFormat="1" ht="30" customHeight="1" x14ac:dyDescent="0.3">
      <c r="A3" s="113"/>
      <c r="B3" s="113"/>
      <c r="C3" s="155"/>
      <c r="D3" s="118"/>
      <c r="E3" s="108">
        <f t="shared" ref="E3:Q3" si="0">SUM(E4:E267)</f>
        <v>0</v>
      </c>
      <c r="F3" s="108">
        <f t="shared" si="0"/>
        <v>120</v>
      </c>
      <c r="G3" s="108">
        <f t="shared" si="0"/>
        <v>0</v>
      </c>
      <c r="H3" s="108">
        <f t="shared" si="0"/>
        <v>62</v>
      </c>
      <c r="I3" s="108">
        <f t="shared" si="0"/>
        <v>344</v>
      </c>
      <c r="J3" s="108">
        <f t="shared" si="0"/>
        <v>129</v>
      </c>
      <c r="K3" s="108">
        <f t="shared" si="0"/>
        <v>2</v>
      </c>
      <c r="L3" s="108">
        <f t="shared" si="0"/>
        <v>17</v>
      </c>
      <c r="M3" s="108">
        <f t="shared" si="0"/>
        <v>0</v>
      </c>
      <c r="N3" s="108">
        <f t="shared" si="0"/>
        <v>0</v>
      </c>
      <c r="O3" s="108">
        <f t="shared" si="0"/>
        <v>0</v>
      </c>
      <c r="P3" s="108">
        <f t="shared" si="0"/>
        <v>45</v>
      </c>
      <c r="Q3" s="108">
        <f t="shared" si="0"/>
        <v>0</v>
      </c>
      <c r="R3" s="108">
        <f>SUM(R4:R144)</f>
        <v>207</v>
      </c>
      <c r="S3" s="108">
        <f t="shared" ref="S3:AX3" si="1">SUM(S4:S267)</f>
        <v>5</v>
      </c>
      <c r="T3" s="108">
        <f t="shared" si="1"/>
        <v>72</v>
      </c>
      <c r="U3" s="108">
        <f t="shared" si="1"/>
        <v>1</v>
      </c>
      <c r="V3" s="108">
        <f t="shared" si="1"/>
        <v>72</v>
      </c>
      <c r="W3" s="108">
        <f t="shared" si="1"/>
        <v>13</v>
      </c>
      <c r="X3" s="108">
        <f t="shared" si="1"/>
        <v>40</v>
      </c>
      <c r="Y3" s="108">
        <f t="shared" si="1"/>
        <v>0</v>
      </c>
      <c r="Z3" s="108">
        <f t="shared" si="1"/>
        <v>117</v>
      </c>
      <c r="AA3" s="108">
        <f t="shared" si="1"/>
        <v>0</v>
      </c>
      <c r="AB3" s="108">
        <f t="shared" si="1"/>
        <v>0</v>
      </c>
      <c r="AC3" s="108">
        <f t="shared" si="1"/>
        <v>0</v>
      </c>
      <c r="AD3" s="108">
        <f t="shared" si="1"/>
        <v>51</v>
      </c>
      <c r="AE3" s="108">
        <f t="shared" si="1"/>
        <v>0</v>
      </c>
      <c r="AF3" s="108">
        <f t="shared" si="1"/>
        <v>119</v>
      </c>
      <c r="AG3" s="108">
        <f t="shared" si="1"/>
        <v>16</v>
      </c>
      <c r="AH3" s="108">
        <f t="shared" si="1"/>
        <v>181</v>
      </c>
      <c r="AI3" s="108">
        <f t="shared" si="1"/>
        <v>2</v>
      </c>
      <c r="AJ3" s="108">
        <f t="shared" si="1"/>
        <v>54</v>
      </c>
      <c r="AK3" s="108">
        <f t="shared" si="1"/>
        <v>0</v>
      </c>
      <c r="AL3" s="108">
        <f t="shared" si="1"/>
        <v>35</v>
      </c>
      <c r="AM3" s="108">
        <f t="shared" si="1"/>
        <v>0</v>
      </c>
      <c r="AN3" s="108">
        <f t="shared" si="1"/>
        <v>330</v>
      </c>
      <c r="AO3" s="108">
        <f t="shared" si="1"/>
        <v>0</v>
      </c>
      <c r="AP3" s="108">
        <f t="shared" si="1"/>
        <v>29</v>
      </c>
      <c r="AQ3" s="108">
        <f t="shared" si="1"/>
        <v>0</v>
      </c>
      <c r="AR3" s="108">
        <f t="shared" si="1"/>
        <v>80</v>
      </c>
      <c r="AS3" s="108">
        <f t="shared" si="1"/>
        <v>1093</v>
      </c>
      <c r="AT3" s="108">
        <f t="shared" si="1"/>
        <v>22</v>
      </c>
      <c r="AU3" s="108">
        <f t="shared" si="1"/>
        <v>0</v>
      </c>
      <c r="AV3" s="108">
        <f t="shared" si="1"/>
        <v>51</v>
      </c>
      <c r="AW3" s="108">
        <f t="shared" si="1"/>
        <v>0</v>
      </c>
      <c r="AX3" s="108">
        <f t="shared" si="1"/>
        <v>80</v>
      </c>
      <c r="AY3" s="108">
        <f t="shared" ref="AY3:BP3" si="2">SUM(AY4:AY267)</f>
        <v>0</v>
      </c>
      <c r="AZ3" s="108">
        <f t="shared" si="2"/>
        <v>227</v>
      </c>
      <c r="BA3" s="108">
        <f t="shared" si="2"/>
        <v>430</v>
      </c>
      <c r="BB3" s="108">
        <f t="shared" si="2"/>
        <v>49</v>
      </c>
      <c r="BC3" s="108">
        <f t="shared" si="2"/>
        <v>0</v>
      </c>
      <c r="BD3" s="108">
        <f t="shared" si="2"/>
        <v>0</v>
      </c>
      <c r="BE3" s="108">
        <f t="shared" si="2"/>
        <v>2</v>
      </c>
      <c r="BF3" s="108">
        <f t="shared" si="2"/>
        <v>96</v>
      </c>
      <c r="BG3" s="108">
        <f t="shared" si="2"/>
        <v>0</v>
      </c>
      <c r="BH3" s="108">
        <f t="shared" si="2"/>
        <v>116</v>
      </c>
      <c r="BI3" s="108">
        <f t="shared" si="2"/>
        <v>4</v>
      </c>
      <c r="BJ3" s="108">
        <f t="shared" si="2"/>
        <v>352.5</v>
      </c>
      <c r="BK3" s="108">
        <f t="shared" si="2"/>
        <v>0</v>
      </c>
      <c r="BL3" s="108">
        <f t="shared" si="2"/>
        <v>203</v>
      </c>
      <c r="BM3" s="108">
        <f t="shared" si="2"/>
        <v>0</v>
      </c>
      <c r="BN3" s="108">
        <f t="shared" si="2"/>
        <v>1</v>
      </c>
      <c r="BO3" s="108">
        <f t="shared" si="2"/>
        <v>3</v>
      </c>
      <c r="BP3" s="108">
        <f t="shared" si="2"/>
        <v>30</v>
      </c>
      <c r="BQ3" s="108">
        <f>+E3+G3+I3+K3+M3+O3+Q3+S3+U3+W3+Y3+AA3+AC3+AE3+AG3+AI3+AK3+AM3+AO3+AQ3+AS3+AU3+AW3+AY3+BA3+BC3+BE3+BG3+BI3+BK3+BM3+BO3</f>
        <v>1915</v>
      </c>
      <c r="BR3" s="108">
        <f>+F3+H3+J3+L3+N3+P3+R3+T3+V3+X3+Z3+AB3+AD3+AF3+AH3+AJ3+AL3+AN3+AP3+AR3+AT3+AV3+AX3+AZ3+BB3+BD3+BF3+BH3+BJ3+BL3+BN3+BP3</f>
        <v>2987.5</v>
      </c>
      <c r="BS3" s="108"/>
      <c r="BT3" s="139"/>
      <c r="BU3" s="139"/>
      <c r="BV3" s="109"/>
      <c r="BW3" s="114"/>
    </row>
    <row r="4" spans="1:75" s="117" customFormat="1" ht="20.25" customHeight="1" x14ac:dyDescent="0.3">
      <c r="A4" s="116"/>
      <c r="B4" s="116"/>
      <c r="C4" s="143"/>
      <c r="D4" s="119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08">
        <f t="shared" ref="BQ4:BQ63" si="3">+E4+G4+I4+K4+M4+O4+Q4+S4+U4+W4+Y4+AA4+AC4+AE4+AG4+AI4+AK4+AM4+AO4+AQ4+AS4+AU4+AW4+AY4+BA4+BC4+BE4+BG4+BI4+BK4+BM4+BO4</f>
        <v>0</v>
      </c>
      <c r="BR4" s="108">
        <f t="shared" ref="BR4:BR63" si="4">+F4+H4+J4+L4+N4+P4+R4+T4+V4+X4+Z4+AB4+AD4+AF4+AH4+AJ4+AL4+AN4+AP4+AR4+AT4+AV4+AX4+AZ4+BB4+BD4+BF4+BH4+BJ4+BL4+BN4+BP4</f>
        <v>0</v>
      </c>
      <c r="BS4" s="20"/>
      <c r="BT4" s="143"/>
      <c r="BU4" s="143"/>
      <c r="BV4" s="20"/>
      <c r="BW4" s="20"/>
    </row>
    <row r="5" spans="1:75" x14ac:dyDescent="0.3">
      <c r="A5" s="313" t="s">
        <v>220</v>
      </c>
      <c r="B5" s="21" t="s">
        <v>529</v>
      </c>
      <c r="C5" s="24">
        <v>250</v>
      </c>
      <c r="D5" s="119">
        <f>+C5+BQ5-BR5</f>
        <v>250</v>
      </c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08">
        <f t="shared" si="3"/>
        <v>0</v>
      </c>
      <c r="BR5" s="108">
        <f t="shared" si="4"/>
        <v>0</v>
      </c>
      <c r="BS5" s="11">
        <v>1.44</v>
      </c>
      <c r="BT5" s="24">
        <f>+BS5*D5</f>
        <v>360</v>
      </c>
      <c r="BU5" s="24">
        <v>76500</v>
      </c>
      <c r="BV5" s="18">
        <f>+BU5*BT5</f>
        <v>27540000</v>
      </c>
      <c r="BW5" s="18"/>
    </row>
    <row r="6" spans="1:75" x14ac:dyDescent="0.3">
      <c r="A6" s="313"/>
      <c r="B6" s="21" t="s">
        <v>509</v>
      </c>
      <c r="C6" s="24">
        <v>68</v>
      </c>
      <c r="D6" s="119">
        <f t="shared" ref="D6:D69" si="5">+C6+BQ6-BR6</f>
        <v>68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08">
        <f t="shared" si="3"/>
        <v>0</v>
      </c>
      <c r="BR6" s="108">
        <f t="shared" si="4"/>
        <v>0</v>
      </c>
      <c r="BS6" s="11">
        <v>1.44</v>
      </c>
      <c r="BT6" s="24">
        <f t="shared" ref="BT6:BT65" si="6">+BS6*D6</f>
        <v>97.92</v>
      </c>
      <c r="BU6" s="24">
        <v>95250</v>
      </c>
      <c r="BV6" s="18">
        <f t="shared" ref="BV6:BV65" si="7">+BU6*BT6</f>
        <v>9326880</v>
      </c>
      <c r="BW6" s="18"/>
    </row>
    <row r="7" spans="1:75" ht="18" customHeight="1" x14ac:dyDescent="0.3">
      <c r="A7" s="313"/>
      <c r="B7" s="21" t="s">
        <v>510</v>
      </c>
      <c r="C7" s="24">
        <v>16</v>
      </c>
      <c r="D7" s="119">
        <f t="shared" si="5"/>
        <v>16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08">
        <f t="shared" si="3"/>
        <v>0</v>
      </c>
      <c r="BR7" s="108">
        <f t="shared" si="4"/>
        <v>0</v>
      </c>
      <c r="BS7" s="11">
        <v>1.44</v>
      </c>
      <c r="BT7" s="24">
        <f t="shared" si="6"/>
        <v>23.04</v>
      </c>
      <c r="BU7" s="24">
        <v>76500</v>
      </c>
      <c r="BV7" s="18">
        <f t="shared" si="7"/>
        <v>1762560</v>
      </c>
      <c r="BW7" s="18"/>
    </row>
    <row r="8" spans="1:75" hidden="1" x14ac:dyDescent="0.3">
      <c r="A8" s="313"/>
      <c r="B8" s="67"/>
      <c r="C8" s="24">
        <v>0</v>
      </c>
      <c r="D8" s="119">
        <f t="shared" si="5"/>
        <v>0</v>
      </c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08">
        <f t="shared" si="3"/>
        <v>0</v>
      </c>
      <c r="BR8" s="108">
        <f t="shared" si="4"/>
        <v>0</v>
      </c>
      <c r="BS8" s="11"/>
      <c r="BT8" s="24">
        <f t="shared" si="6"/>
        <v>0</v>
      </c>
      <c r="BU8" s="24"/>
      <c r="BV8" s="18">
        <f t="shared" si="7"/>
        <v>0</v>
      </c>
      <c r="BW8" s="18"/>
    </row>
    <row r="9" spans="1:75" ht="17.25" customHeight="1" x14ac:dyDescent="0.3">
      <c r="A9" s="95"/>
      <c r="B9" s="95"/>
      <c r="C9" s="24">
        <v>0</v>
      </c>
      <c r="D9" s="119">
        <f t="shared" si="5"/>
        <v>0</v>
      </c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08">
        <f t="shared" si="3"/>
        <v>0</v>
      </c>
      <c r="BR9" s="108">
        <f t="shared" si="4"/>
        <v>0</v>
      </c>
      <c r="BS9" s="11"/>
      <c r="BT9" s="24">
        <f t="shared" si="6"/>
        <v>0</v>
      </c>
      <c r="BU9" s="24"/>
      <c r="BV9" s="18">
        <f t="shared" si="7"/>
        <v>0</v>
      </c>
      <c r="BW9" s="18"/>
    </row>
    <row r="10" spans="1:75" ht="18" hidden="1" customHeight="1" x14ac:dyDescent="0.3">
      <c r="A10" s="313" t="s">
        <v>526</v>
      </c>
      <c r="B10" s="21" t="s">
        <v>511</v>
      </c>
      <c r="C10" s="24">
        <v>0</v>
      </c>
      <c r="D10" s="154">
        <f t="shared" si="5"/>
        <v>0</v>
      </c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08">
        <f t="shared" si="3"/>
        <v>0</v>
      </c>
      <c r="BR10" s="108">
        <f t="shared" si="4"/>
        <v>0</v>
      </c>
      <c r="BS10" s="11">
        <v>1.92</v>
      </c>
      <c r="BT10" s="24">
        <f t="shared" si="6"/>
        <v>0</v>
      </c>
      <c r="BU10" s="24">
        <v>98000</v>
      </c>
      <c r="BV10" s="18">
        <f t="shared" si="7"/>
        <v>0</v>
      </c>
      <c r="BW10" s="18"/>
    </row>
    <row r="11" spans="1:75" ht="16.5" customHeight="1" x14ac:dyDescent="0.3">
      <c r="A11" s="313"/>
      <c r="B11" s="21" t="s">
        <v>12156</v>
      </c>
      <c r="C11" s="24">
        <v>6</v>
      </c>
      <c r="D11" s="119">
        <f t="shared" si="5"/>
        <v>6</v>
      </c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08">
        <f t="shared" si="3"/>
        <v>0</v>
      </c>
      <c r="BR11" s="108">
        <f t="shared" si="4"/>
        <v>0</v>
      </c>
      <c r="BS11" s="11">
        <v>1.92</v>
      </c>
      <c r="BT11" s="24">
        <f t="shared" si="6"/>
        <v>11.52</v>
      </c>
      <c r="BU11" s="24">
        <v>103000</v>
      </c>
      <c r="BV11" s="18">
        <f t="shared" si="7"/>
        <v>1186560</v>
      </c>
      <c r="BW11" s="18"/>
    </row>
    <row r="12" spans="1:75" x14ac:dyDescent="0.3">
      <c r="A12" s="313"/>
      <c r="B12" s="21"/>
      <c r="C12" s="24">
        <v>0</v>
      </c>
      <c r="D12" s="119">
        <f t="shared" si="5"/>
        <v>0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08">
        <f t="shared" si="3"/>
        <v>0</v>
      </c>
      <c r="BR12" s="108">
        <f t="shared" si="4"/>
        <v>0</v>
      </c>
      <c r="BS12" s="11">
        <v>1.92</v>
      </c>
      <c r="BT12" s="24">
        <f t="shared" si="6"/>
        <v>0</v>
      </c>
      <c r="BU12" s="24"/>
      <c r="BV12" s="18">
        <f t="shared" si="7"/>
        <v>0</v>
      </c>
      <c r="BW12" s="18"/>
    </row>
    <row r="13" spans="1:75" x14ac:dyDescent="0.3">
      <c r="A13" s="313"/>
      <c r="B13" s="21" t="s">
        <v>512</v>
      </c>
      <c r="C13" s="24">
        <v>70</v>
      </c>
      <c r="D13" s="119">
        <f t="shared" si="5"/>
        <v>52</v>
      </c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>
        <v>12</v>
      </c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>
        <v>6</v>
      </c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08">
        <f t="shared" si="3"/>
        <v>0</v>
      </c>
      <c r="BR13" s="108">
        <f t="shared" si="4"/>
        <v>18</v>
      </c>
      <c r="BS13" s="11">
        <v>1.92</v>
      </c>
      <c r="BT13" s="24">
        <f t="shared" si="6"/>
        <v>99.84</v>
      </c>
      <c r="BU13" s="24">
        <v>98000</v>
      </c>
      <c r="BV13" s="18">
        <f t="shared" si="7"/>
        <v>9784320</v>
      </c>
      <c r="BW13" s="18"/>
    </row>
    <row r="14" spans="1:75" x14ac:dyDescent="0.3">
      <c r="A14" s="313"/>
      <c r="B14" s="21" t="s">
        <v>513</v>
      </c>
      <c r="C14" s="24">
        <v>61.67</v>
      </c>
      <c r="D14" s="119">
        <f t="shared" si="5"/>
        <v>55.67</v>
      </c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>
        <v>6</v>
      </c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08">
        <f t="shared" si="3"/>
        <v>0</v>
      </c>
      <c r="BR14" s="108">
        <f t="shared" si="4"/>
        <v>6</v>
      </c>
      <c r="BS14" s="11">
        <v>1.92</v>
      </c>
      <c r="BT14" s="24">
        <f t="shared" si="6"/>
        <v>106.88639999999999</v>
      </c>
      <c r="BU14" s="24">
        <v>103000</v>
      </c>
      <c r="BV14" s="18">
        <f t="shared" si="7"/>
        <v>11009299.199999999</v>
      </c>
      <c r="BW14" s="18"/>
    </row>
    <row r="15" spans="1:75" x14ac:dyDescent="0.3">
      <c r="A15" s="313"/>
      <c r="B15" s="21" t="s">
        <v>514</v>
      </c>
      <c r="C15" s="24">
        <v>11</v>
      </c>
      <c r="D15" s="119">
        <f t="shared" si="5"/>
        <v>9</v>
      </c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>
        <v>2</v>
      </c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08">
        <f t="shared" si="3"/>
        <v>0</v>
      </c>
      <c r="BR15" s="108">
        <f t="shared" si="4"/>
        <v>2</v>
      </c>
      <c r="BS15" s="11">
        <v>1.92</v>
      </c>
      <c r="BT15" s="24">
        <f t="shared" si="6"/>
        <v>17.28</v>
      </c>
      <c r="BU15" s="24">
        <v>103000</v>
      </c>
      <c r="BV15" s="18">
        <f t="shared" si="7"/>
        <v>1779840.0000000002</v>
      </c>
      <c r="BW15" s="18"/>
    </row>
    <row r="16" spans="1:75" x14ac:dyDescent="0.3">
      <c r="A16" s="313"/>
      <c r="B16" s="11"/>
      <c r="C16" s="24">
        <v>0</v>
      </c>
      <c r="D16" s="119">
        <f t="shared" si="5"/>
        <v>0</v>
      </c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08">
        <f t="shared" si="3"/>
        <v>0</v>
      </c>
      <c r="BR16" s="108">
        <f t="shared" si="4"/>
        <v>0</v>
      </c>
      <c r="BS16" s="11"/>
      <c r="BT16" s="24">
        <f t="shared" si="6"/>
        <v>0</v>
      </c>
      <c r="BU16" s="24"/>
      <c r="BV16" s="18">
        <f t="shared" si="7"/>
        <v>0</v>
      </c>
      <c r="BW16" s="18"/>
    </row>
    <row r="17" spans="1:75" x14ac:dyDescent="0.3">
      <c r="A17" s="313"/>
      <c r="B17" s="21" t="s">
        <v>515</v>
      </c>
      <c r="C17" s="24">
        <v>144</v>
      </c>
      <c r="D17" s="119">
        <f t="shared" si="5"/>
        <v>131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>
        <v>13</v>
      </c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08">
        <f t="shared" si="3"/>
        <v>0</v>
      </c>
      <c r="BR17" s="108">
        <f t="shared" si="4"/>
        <v>13</v>
      </c>
      <c r="BS17" s="11">
        <v>1.92</v>
      </c>
      <c r="BT17" s="24">
        <f t="shared" si="6"/>
        <v>251.51999999999998</v>
      </c>
      <c r="BU17" s="24">
        <v>98000</v>
      </c>
      <c r="BV17" s="18">
        <f t="shared" si="7"/>
        <v>24648960</v>
      </c>
      <c r="BW17" s="18"/>
    </row>
    <row r="18" spans="1:75" x14ac:dyDescent="0.3">
      <c r="A18" s="313"/>
      <c r="B18" s="21" t="s">
        <v>516</v>
      </c>
      <c r="C18" s="24">
        <v>6</v>
      </c>
      <c r="D18" s="119">
        <f t="shared" si="5"/>
        <v>6</v>
      </c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08">
        <f t="shared" si="3"/>
        <v>0</v>
      </c>
      <c r="BR18" s="108">
        <f t="shared" si="4"/>
        <v>0</v>
      </c>
      <c r="BS18" s="11">
        <v>1.92</v>
      </c>
      <c r="BT18" s="24">
        <f t="shared" si="6"/>
        <v>11.52</v>
      </c>
      <c r="BU18" s="24">
        <v>103000</v>
      </c>
      <c r="BV18" s="18">
        <f t="shared" si="7"/>
        <v>1186560</v>
      </c>
      <c r="BW18" s="18"/>
    </row>
    <row r="19" spans="1:75" x14ac:dyDescent="0.3">
      <c r="A19" s="313"/>
      <c r="B19" s="11"/>
      <c r="C19" s="24">
        <v>0</v>
      </c>
      <c r="D19" s="119">
        <f t="shared" si="5"/>
        <v>0</v>
      </c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08">
        <f t="shared" si="3"/>
        <v>0</v>
      </c>
      <c r="BR19" s="108">
        <f t="shared" si="4"/>
        <v>0</v>
      </c>
      <c r="BS19" s="11">
        <v>1.92</v>
      </c>
      <c r="BT19" s="24">
        <f t="shared" si="6"/>
        <v>0</v>
      </c>
      <c r="BU19" s="24"/>
      <c r="BV19" s="18">
        <f t="shared" si="7"/>
        <v>0</v>
      </c>
      <c r="BW19" s="18"/>
    </row>
    <row r="20" spans="1:75" x14ac:dyDescent="0.3">
      <c r="A20" s="313"/>
      <c r="B20" s="21" t="s">
        <v>517</v>
      </c>
      <c r="C20" s="24">
        <v>90</v>
      </c>
      <c r="D20" s="119">
        <f t="shared" si="5"/>
        <v>90</v>
      </c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08">
        <f t="shared" si="3"/>
        <v>0</v>
      </c>
      <c r="BR20" s="108">
        <f t="shared" si="4"/>
        <v>0</v>
      </c>
      <c r="BS20" s="11">
        <v>1.92</v>
      </c>
      <c r="BT20" s="24">
        <f t="shared" si="6"/>
        <v>172.79999999999998</v>
      </c>
      <c r="BU20" s="24">
        <v>98000</v>
      </c>
      <c r="BV20" s="18">
        <f t="shared" si="7"/>
        <v>16934400</v>
      </c>
      <c r="BW20" s="18"/>
    </row>
    <row r="21" spans="1:75" x14ac:dyDescent="0.3">
      <c r="A21" s="313"/>
      <c r="B21" s="21" t="s">
        <v>518</v>
      </c>
      <c r="C21" s="24">
        <v>19</v>
      </c>
      <c r="D21" s="119">
        <f t="shared" si="5"/>
        <v>19</v>
      </c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08">
        <f t="shared" si="3"/>
        <v>0</v>
      </c>
      <c r="BR21" s="108">
        <f t="shared" si="4"/>
        <v>0</v>
      </c>
      <c r="BS21" s="11">
        <v>1.92</v>
      </c>
      <c r="BT21" s="24">
        <f t="shared" si="6"/>
        <v>36.479999999999997</v>
      </c>
      <c r="BU21" s="24">
        <v>103000</v>
      </c>
      <c r="BV21" s="18">
        <f t="shared" si="7"/>
        <v>3757439.9999999995</v>
      </c>
      <c r="BW21" s="18"/>
    </row>
    <row r="22" spans="1:75" x14ac:dyDescent="0.3">
      <c r="A22" s="313"/>
      <c r="B22" s="11"/>
      <c r="C22" s="24">
        <v>0</v>
      </c>
      <c r="D22" s="119">
        <f t="shared" si="5"/>
        <v>0</v>
      </c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08">
        <f t="shared" si="3"/>
        <v>0</v>
      </c>
      <c r="BR22" s="108">
        <f t="shared" si="4"/>
        <v>0</v>
      </c>
      <c r="BS22" s="11"/>
      <c r="BT22" s="24">
        <f t="shared" si="6"/>
        <v>0</v>
      </c>
      <c r="BU22" s="24"/>
      <c r="BV22" s="18">
        <f t="shared" si="7"/>
        <v>0</v>
      </c>
      <c r="BW22" s="18"/>
    </row>
    <row r="23" spans="1:75" x14ac:dyDescent="0.3">
      <c r="A23" s="313"/>
      <c r="B23" s="21" t="s">
        <v>519</v>
      </c>
      <c r="C23" s="24">
        <v>168</v>
      </c>
      <c r="D23" s="119">
        <f t="shared" si="5"/>
        <v>76</v>
      </c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>
        <v>35</v>
      </c>
      <c r="Y23" s="116"/>
      <c r="Z23" s="116"/>
      <c r="AA23" s="116"/>
      <c r="AB23" s="116"/>
      <c r="AC23" s="116"/>
      <c r="AD23" s="116"/>
      <c r="AE23" s="116"/>
      <c r="AF23" s="116">
        <v>22</v>
      </c>
      <c r="AG23" s="116"/>
      <c r="AH23" s="116">
        <v>5</v>
      </c>
      <c r="AI23" s="116"/>
      <c r="AJ23" s="116">
        <v>4</v>
      </c>
      <c r="AK23" s="116"/>
      <c r="AL23" s="116">
        <v>1</v>
      </c>
      <c r="AM23" s="116"/>
      <c r="AN23" s="116"/>
      <c r="AO23" s="116"/>
      <c r="AP23" s="116">
        <v>6</v>
      </c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>
        <v>1</v>
      </c>
      <c r="BF23" s="116"/>
      <c r="BG23" s="116"/>
      <c r="BH23" s="116">
        <v>20</v>
      </c>
      <c r="BI23" s="116"/>
      <c r="BJ23" s="116"/>
      <c r="BK23" s="116"/>
      <c r="BL23" s="116"/>
      <c r="BM23" s="116"/>
      <c r="BN23" s="116"/>
      <c r="BO23" s="116"/>
      <c r="BP23" s="116"/>
      <c r="BQ23" s="108">
        <f t="shared" si="3"/>
        <v>1</v>
      </c>
      <c r="BR23" s="108">
        <f t="shared" si="4"/>
        <v>93</v>
      </c>
      <c r="BS23" s="11">
        <v>1.92</v>
      </c>
      <c r="BT23" s="24">
        <f t="shared" si="6"/>
        <v>145.91999999999999</v>
      </c>
      <c r="BU23" s="24">
        <v>98000</v>
      </c>
      <c r="BV23" s="18">
        <f t="shared" si="7"/>
        <v>14300159.999999998</v>
      </c>
      <c r="BW23" s="18"/>
    </row>
    <row r="24" spans="1:75" x14ac:dyDescent="0.3">
      <c r="A24" s="313"/>
      <c r="B24" s="21" t="s">
        <v>520</v>
      </c>
      <c r="C24" s="24">
        <v>102.17000000000002</v>
      </c>
      <c r="D24" s="119">
        <f t="shared" si="5"/>
        <v>79.170000000000016</v>
      </c>
      <c r="E24" s="116"/>
      <c r="F24" s="116"/>
      <c r="G24" s="116"/>
      <c r="H24" s="116"/>
      <c r="I24" s="116"/>
      <c r="J24" s="116">
        <v>1</v>
      </c>
      <c r="K24" s="116"/>
      <c r="L24" s="116"/>
      <c r="M24" s="116"/>
      <c r="N24" s="116"/>
      <c r="O24" s="116"/>
      <c r="P24" s="116">
        <v>1</v>
      </c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>
        <v>15</v>
      </c>
      <c r="AG24" s="116"/>
      <c r="AH24" s="116">
        <v>3</v>
      </c>
      <c r="AI24" s="116"/>
      <c r="AJ24" s="116"/>
      <c r="AK24" s="116"/>
      <c r="AL24" s="116"/>
      <c r="AM24" s="116"/>
      <c r="AN24" s="116"/>
      <c r="AO24" s="116"/>
      <c r="AP24" s="116">
        <v>4</v>
      </c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>
        <v>1</v>
      </c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08">
        <f t="shared" si="3"/>
        <v>1</v>
      </c>
      <c r="BR24" s="108">
        <f t="shared" si="4"/>
        <v>24</v>
      </c>
      <c r="BS24" s="11">
        <v>1.92</v>
      </c>
      <c r="BT24" s="24">
        <f t="shared" si="6"/>
        <v>152.00640000000001</v>
      </c>
      <c r="BU24" s="24">
        <v>103000</v>
      </c>
      <c r="BV24" s="18">
        <f t="shared" si="7"/>
        <v>15656659.200000001</v>
      </c>
      <c r="BW24" s="18"/>
    </row>
    <row r="25" spans="1:75" x14ac:dyDescent="0.3">
      <c r="A25" s="313"/>
      <c r="B25" s="21" t="s">
        <v>521</v>
      </c>
      <c r="C25" s="24">
        <v>37.659999999999997</v>
      </c>
      <c r="D25" s="119">
        <f t="shared" si="5"/>
        <v>35.659999999999997</v>
      </c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>
        <v>2</v>
      </c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08">
        <f t="shared" si="3"/>
        <v>0</v>
      </c>
      <c r="BR25" s="108">
        <f t="shared" si="4"/>
        <v>2</v>
      </c>
      <c r="BS25" s="11">
        <v>1.92</v>
      </c>
      <c r="BT25" s="24">
        <f t="shared" si="6"/>
        <v>68.467199999999991</v>
      </c>
      <c r="BU25" s="24">
        <v>103000</v>
      </c>
      <c r="BV25" s="18">
        <f t="shared" si="7"/>
        <v>7052121.5999999987</v>
      </c>
      <c r="BW25" s="18"/>
    </row>
    <row r="26" spans="1:75" x14ac:dyDescent="0.3">
      <c r="A26" s="313"/>
      <c r="B26" s="11"/>
      <c r="C26" s="24">
        <v>0</v>
      </c>
      <c r="D26" s="119">
        <f t="shared" si="5"/>
        <v>0</v>
      </c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08">
        <f t="shared" si="3"/>
        <v>0</v>
      </c>
      <c r="BR26" s="108">
        <f t="shared" si="4"/>
        <v>0</v>
      </c>
      <c r="BS26" s="11"/>
      <c r="BT26" s="24">
        <f t="shared" si="6"/>
        <v>0</v>
      </c>
      <c r="BU26" s="24"/>
      <c r="BV26" s="18">
        <f t="shared" si="7"/>
        <v>0</v>
      </c>
      <c r="BW26" s="18"/>
    </row>
    <row r="27" spans="1:75" x14ac:dyDescent="0.3">
      <c r="A27" s="313"/>
      <c r="B27" s="21" t="s">
        <v>12143</v>
      </c>
      <c r="C27" s="24">
        <v>68</v>
      </c>
      <c r="D27" s="119">
        <f t="shared" si="5"/>
        <v>65</v>
      </c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>
        <v>3</v>
      </c>
      <c r="BI27" s="116"/>
      <c r="BJ27" s="116"/>
      <c r="BK27" s="116"/>
      <c r="BL27" s="116"/>
      <c r="BM27" s="116"/>
      <c r="BN27" s="116"/>
      <c r="BO27" s="116"/>
      <c r="BP27" s="116"/>
      <c r="BQ27" s="108">
        <f t="shared" si="3"/>
        <v>0</v>
      </c>
      <c r="BR27" s="108">
        <f t="shared" si="4"/>
        <v>3</v>
      </c>
      <c r="BS27" s="11">
        <v>1.92</v>
      </c>
      <c r="BT27" s="24">
        <f t="shared" si="6"/>
        <v>124.8</v>
      </c>
      <c r="BU27" s="24">
        <v>98000</v>
      </c>
      <c r="BV27" s="18">
        <f t="shared" si="7"/>
        <v>12230400</v>
      </c>
      <c r="BW27" s="18"/>
    </row>
    <row r="28" spans="1:75" x14ac:dyDescent="0.3">
      <c r="A28" s="313"/>
      <c r="B28" s="21" t="s">
        <v>12148</v>
      </c>
      <c r="C28" s="24">
        <v>5</v>
      </c>
      <c r="D28" s="119">
        <f t="shared" si="5"/>
        <v>5</v>
      </c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08">
        <f t="shared" si="3"/>
        <v>0</v>
      </c>
      <c r="BR28" s="108">
        <f t="shared" si="4"/>
        <v>0</v>
      </c>
      <c r="BS28" s="11"/>
      <c r="BT28" s="24">
        <f t="shared" si="6"/>
        <v>0</v>
      </c>
      <c r="BU28" s="24"/>
      <c r="BV28" s="18">
        <f t="shared" si="7"/>
        <v>0</v>
      </c>
      <c r="BW28" s="18"/>
    </row>
    <row r="29" spans="1:75" x14ac:dyDescent="0.3">
      <c r="A29" s="313"/>
      <c r="B29" s="21" t="s">
        <v>522</v>
      </c>
      <c r="C29" s="24">
        <v>99</v>
      </c>
      <c r="D29" s="119">
        <f t="shared" si="5"/>
        <v>85</v>
      </c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>
        <v>11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>
        <v>3</v>
      </c>
      <c r="BK29" s="116"/>
      <c r="BL29" s="116"/>
      <c r="BM29" s="116"/>
      <c r="BN29" s="116"/>
      <c r="BO29" s="116"/>
      <c r="BP29" s="116"/>
      <c r="BQ29" s="108">
        <f t="shared" si="3"/>
        <v>0</v>
      </c>
      <c r="BR29" s="108">
        <f t="shared" si="4"/>
        <v>14</v>
      </c>
      <c r="BS29" s="11">
        <v>1.92</v>
      </c>
      <c r="BT29" s="24">
        <f t="shared" si="6"/>
        <v>163.19999999999999</v>
      </c>
      <c r="BU29" s="24">
        <v>103000</v>
      </c>
      <c r="BV29" s="18">
        <f t="shared" si="7"/>
        <v>16809600</v>
      </c>
      <c r="BW29" s="18"/>
    </row>
    <row r="30" spans="1:75" x14ac:dyDescent="0.3">
      <c r="A30" s="313"/>
      <c r="B30" s="21" t="s">
        <v>523</v>
      </c>
      <c r="C30" s="24">
        <v>6</v>
      </c>
      <c r="D30" s="119">
        <f t="shared" si="5"/>
        <v>6</v>
      </c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08">
        <f t="shared" si="3"/>
        <v>0</v>
      </c>
      <c r="BR30" s="108">
        <f t="shared" si="4"/>
        <v>0</v>
      </c>
      <c r="BS30" s="11">
        <v>1.92</v>
      </c>
      <c r="BT30" s="24">
        <f t="shared" si="6"/>
        <v>11.52</v>
      </c>
      <c r="BU30" s="24">
        <v>83000</v>
      </c>
      <c r="BV30" s="18">
        <f t="shared" si="7"/>
        <v>956160</v>
      </c>
      <c r="BW30" s="18"/>
    </row>
    <row r="31" spans="1:75" x14ac:dyDescent="0.3">
      <c r="A31" s="313"/>
      <c r="B31" s="21" t="s">
        <v>524</v>
      </c>
      <c r="C31" s="24">
        <v>5.33</v>
      </c>
      <c r="D31" s="119">
        <f t="shared" si="5"/>
        <v>5.33</v>
      </c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08">
        <f t="shared" si="3"/>
        <v>0</v>
      </c>
      <c r="BR31" s="108">
        <f t="shared" si="4"/>
        <v>0</v>
      </c>
      <c r="BS31" s="11">
        <v>1.92</v>
      </c>
      <c r="BT31" s="24">
        <f t="shared" si="6"/>
        <v>10.233599999999999</v>
      </c>
      <c r="BU31" s="24">
        <v>103000</v>
      </c>
      <c r="BV31" s="18">
        <f t="shared" si="7"/>
        <v>1054060.7999999998</v>
      </c>
      <c r="BW31" s="18"/>
    </row>
    <row r="32" spans="1:75" x14ac:dyDescent="0.3">
      <c r="A32" s="95"/>
      <c r="B32" s="95"/>
      <c r="C32" s="24">
        <v>0</v>
      </c>
      <c r="D32" s="119">
        <f t="shared" si="5"/>
        <v>0</v>
      </c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08">
        <f t="shared" si="3"/>
        <v>0</v>
      </c>
      <c r="BR32" s="108">
        <f t="shared" si="4"/>
        <v>0</v>
      </c>
      <c r="BS32" s="11"/>
      <c r="BT32" s="24">
        <f t="shared" si="6"/>
        <v>0</v>
      </c>
      <c r="BU32" s="24"/>
      <c r="BV32" s="18">
        <f t="shared" si="7"/>
        <v>0</v>
      </c>
      <c r="BW32" s="18"/>
    </row>
    <row r="33" spans="1:75" x14ac:dyDescent="0.3">
      <c r="A33" s="315" t="s">
        <v>525</v>
      </c>
      <c r="B33" s="21" t="s">
        <v>528</v>
      </c>
      <c r="C33" s="24">
        <v>41.33</v>
      </c>
      <c r="D33" s="119">
        <f t="shared" si="5"/>
        <v>41.33</v>
      </c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08">
        <f t="shared" si="3"/>
        <v>0</v>
      </c>
      <c r="BR33" s="108">
        <f t="shared" si="4"/>
        <v>0</v>
      </c>
      <c r="BS33" s="11">
        <v>1.92</v>
      </c>
      <c r="BT33" s="24">
        <f t="shared" si="6"/>
        <v>79.3536</v>
      </c>
      <c r="BU33" s="24">
        <v>103000</v>
      </c>
      <c r="BV33" s="18">
        <f t="shared" si="7"/>
        <v>8173420.7999999998</v>
      </c>
      <c r="BW33" s="18"/>
    </row>
    <row r="34" spans="1:75" x14ac:dyDescent="0.3">
      <c r="A34" s="315"/>
      <c r="B34" s="21" t="s">
        <v>527</v>
      </c>
      <c r="C34" s="24">
        <v>32</v>
      </c>
      <c r="D34" s="119">
        <f t="shared" si="5"/>
        <v>32</v>
      </c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08">
        <f t="shared" si="3"/>
        <v>0</v>
      </c>
      <c r="BR34" s="108">
        <f t="shared" si="4"/>
        <v>0</v>
      </c>
      <c r="BS34" s="11">
        <v>1.92</v>
      </c>
      <c r="BT34" s="24">
        <f t="shared" si="6"/>
        <v>61.44</v>
      </c>
      <c r="BU34" s="24">
        <v>103000</v>
      </c>
      <c r="BV34" s="18">
        <f t="shared" si="7"/>
        <v>6328320</v>
      </c>
      <c r="BW34" s="18"/>
    </row>
    <row r="35" spans="1:75" x14ac:dyDescent="0.3">
      <c r="A35" s="95"/>
      <c r="B35" s="95"/>
      <c r="C35" s="24">
        <v>0</v>
      </c>
      <c r="D35" s="119">
        <f t="shared" si="5"/>
        <v>0</v>
      </c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08">
        <f t="shared" si="3"/>
        <v>0</v>
      </c>
      <c r="BR35" s="108">
        <f t="shared" si="4"/>
        <v>0</v>
      </c>
      <c r="BS35" s="11"/>
      <c r="BT35" s="24">
        <f t="shared" si="6"/>
        <v>0</v>
      </c>
      <c r="BU35" s="24"/>
      <c r="BV35" s="18">
        <f t="shared" si="7"/>
        <v>0</v>
      </c>
      <c r="BW35" s="18"/>
    </row>
    <row r="36" spans="1:75" x14ac:dyDescent="0.3">
      <c r="A36" s="313" t="s">
        <v>228</v>
      </c>
      <c r="B36" s="21" t="s">
        <v>530</v>
      </c>
      <c r="C36" s="24">
        <v>200.834</v>
      </c>
      <c r="D36" s="119">
        <f t="shared" si="5"/>
        <v>162.834</v>
      </c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>
        <v>5</v>
      </c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>
        <v>10</v>
      </c>
      <c r="BA36" s="116"/>
      <c r="BB36" s="116">
        <v>1</v>
      </c>
      <c r="BC36" s="116"/>
      <c r="BD36" s="116"/>
      <c r="BE36" s="116"/>
      <c r="BF36" s="116">
        <v>11</v>
      </c>
      <c r="BG36" s="116"/>
      <c r="BH36" s="116"/>
      <c r="BI36" s="116"/>
      <c r="BJ36" s="116"/>
      <c r="BK36" s="116"/>
      <c r="BL36" s="116">
        <v>11</v>
      </c>
      <c r="BM36" s="116"/>
      <c r="BN36" s="116"/>
      <c r="BO36" s="116"/>
      <c r="BP36" s="116"/>
      <c r="BQ36" s="108">
        <f t="shared" si="3"/>
        <v>0</v>
      </c>
      <c r="BR36" s="108">
        <f t="shared" si="4"/>
        <v>38</v>
      </c>
      <c r="BS36" s="11">
        <v>1.5</v>
      </c>
      <c r="BT36" s="24">
        <f t="shared" si="6"/>
        <v>244.251</v>
      </c>
      <c r="BU36" s="24">
        <v>61000</v>
      </c>
      <c r="BV36" s="18">
        <f t="shared" si="7"/>
        <v>14899311</v>
      </c>
      <c r="BW36" s="18"/>
    </row>
    <row r="37" spans="1:75" x14ac:dyDescent="0.3">
      <c r="A37" s="313"/>
      <c r="B37" s="21" t="s">
        <v>531</v>
      </c>
      <c r="C37" s="24">
        <v>333.7</v>
      </c>
      <c r="D37" s="119">
        <f t="shared" si="5"/>
        <v>66.699999999999989</v>
      </c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>
        <v>67</v>
      </c>
      <c r="S37" s="116"/>
      <c r="T37" s="116"/>
      <c r="U37" s="116"/>
      <c r="V37" s="116"/>
      <c r="W37" s="116"/>
      <c r="X37" s="116"/>
      <c r="Y37" s="116"/>
      <c r="Z37" s="116">
        <v>7</v>
      </c>
      <c r="AA37" s="116"/>
      <c r="AB37" s="116"/>
      <c r="AC37" s="116"/>
      <c r="AD37" s="116">
        <v>1</v>
      </c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>
        <f>64+128</f>
        <v>192</v>
      </c>
      <c r="BK37" s="116"/>
      <c r="BL37" s="116"/>
      <c r="BM37" s="116"/>
      <c r="BN37" s="116"/>
      <c r="BO37" s="116"/>
      <c r="BP37" s="116"/>
      <c r="BQ37" s="108">
        <f t="shared" si="3"/>
        <v>0</v>
      </c>
      <c r="BR37" s="108">
        <f t="shared" si="4"/>
        <v>267</v>
      </c>
      <c r="BS37" s="11">
        <v>1.5</v>
      </c>
      <c r="BT37" s="24">
        <f t="shared" si="6"/>
        <v>100.04999999999998</v>
      </c>
      <c r="BU37" s="24">
        <v>61000</v>
      </c>
      <c r="BV37" s="18">
        <f t="shared" si="7"/>
        <v>6103049.9999999991</v>
      </c>
      <c r="BW37" s="18"/>
    </row>
    <row r="38" spans="1:75" x14ac:dyDescent="0.3">
      <c r="A38" s="313"/>
      <c r="B38" s="21" t="s">
        <v>532</v>
      </c>
      <c r="C38" s="24">
        <v>293.5</v>
      </c>
      <c r="D38" s="119">
        <f t="shared" si="5"/>
        <v>293.5</v>
      </c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08">
        <f t="shared" si="3"/>
        <v>0</v>
      </c>
      <c r="BR38" s="108">
        <f t="shared" si="4"/>
        <v>0</v>
      </c>
      <c r="BS38" s="11">
        <v>1.5</v>
      </c>
      <c r="BT38" s="24">
        <f t="shared" si="6"/>
        <v>440.25</v>
      </c>
      <c r="BU38" s="24">
        <v>61000</v>
      </c>
      <c r="BV38" s="18">
        <f t="shared" si="7"/>
        <v>26855250</v>
      </c>
      <c r="BW38" s="18"/>
    </row>
    <row r="39" spans="1:75" ht="0.75" customHeight="1" x14ac:dyDescent="0.3">
      <c r="A39" s="313"/>
      <c r="B39" s="21" t="s">
        <v>533</v>
      </c>
      <c r="C39" s="24">
        <v>0</v>
      </c>
      <c r="D39" s="119">
        <f t="shared" si="5"/>
        <v>0</v>
      </c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08">
        <f t="shared" si="3"/>
        <v>0</v>
      </c>
      <c r="BR39" s="108">
        <f t="shared" si="4"/>
        <v>0</v>
      </c>
      <c r="BS39" s="11">
        <v>1.5</v>
      </c>
      <c r="BT39" s="24">
        <f t="shared" si="6"/>
        <v>0</v>
      </c>
      <c r="BU39" s="24">
        <v>61000</v>
      </c>
      <c r="BV39" s="18">
        <f t="shared" si="7"/>
        <v>0</v>
      </c>
      <c r="BW39" s="18"/>
    </row>
    <row r="40" spans="1:75" ht="18" customHeight="1" x14ac:dyDescent="0.3">
      <c r="A40" s="313"/>
      <c r="B40" s="21" t="s">
        <v>2257</v>
      </c>
      <c r="C40" s="24">
        <v>189.00000000000011</v>
      </c>
      <c r="D40" s="119">
        <f t="shared" si="5"/>
        <v>132.00000000000011</v>
      </c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>
        <v>34</v>
      </c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>
        <v>2</v>
      </c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>
        <v>8</v>
      </c>
      <c r="AQ40" s="116"/>
      <c r="AR40" s="116">
        <v>8</v>
      </c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>
        <v>7</v>
      </c>
      <c r="BI40" s="116">
        <v>2</v>
      </c>
      <c r="BJ40" s="116"/>
      <c r="BK40" s="116"/>
      <c r="BL40" s="116"/>
      <c r="BM40" s="116"/>
      <c r="BN40" s="116"/>
      <c r="BO40" s="116"/>
      <c r="BP40" s="116"/>
      <c r="BQ40" s="108">
        <f t="shared" si="3"/>
        <v>2</v>
      </c>
      <c r="BR40" s="108">
        <f t="shared" si="4"/>
        <v>59</v>
      </c>
      <c r="BS40" s="11">
        <v>1.5</v>
      </c>
      <c r="BT40" s="24">
        <f t="shared" si="6"/>
        <v>198.00000000000017</v>
      </c>
      <c r="BU40" s="24">
        <v>61000</v>
      </c>
      <c r="BV40" s="18">
        <f t="shared" si="7"/>
        <v>12078000.000000011</v>
      </c>
      <c r="BW40" s="18"/>
    </row>
    <row r="41" spans="1:75" ht="22.5" hidden="1" customHeight="1" x14ac:dyDescent="0.3">
      <c r="A41" s="313"/>
      <c r="B41" s="21" t="s">
        <v>12151</v>
      </c>
      <c r="C41" s="24">
        <v>0</v>
      </c>
      <c r="D41" s="119">
        <f t="shared" si="5"/>
        <v>0</v>
      </c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08">
        <f t="shared" si="3"/>
        <v>0</v>
      </c>
      <c r="BR41" s="108">
        <f t="shared" si="4"/>
        <v>0</v>
      </c>
      <c r="BS41" s="11"/>
      <c r="BT41" s="24">
        <f t="shared" si="6"/>
        <v>0</v>
      </c>
      <c r="BU41" s="24"/>
      <c r="BV41" s="18">
        <f t="shared" si="7"/>
        <v>0</v>
      </c>
      <c r="BW41" s="18"/>
    </row>
    <row r="42" spans="1:75" ht="21" hidden="1" customHeight="1" x14ac:dyDescent="0.3">
      <c r="A42" s="313"/>
      <c r="B42" s="21" t="s">
        <v>534</v>
      </c>
      <c r="C42" s="24">
        <v>0</v>
      </c>
      <c r="D42" s="119">
        <f t="shared" si="5"/>
        <v>0</v>
      </c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08">
        <f t="shared" si="3"/>
        <v>0</v>
      </c>
      <c r="BR42" s="108">
        <f t="shared" si="4"/>
        <v>0</v>
      </c>
      <c r="BS42" s="11">
        <v>1.5</v>
      </c>
      <c r="BT42" s="24">
        <f t="shared" si="6"/>
        <v>0</v>
      </c>
      <c r="BU42" s="24">
        <v>61000</v>
      </c>
      <c r="BV42" s="18">
        <f t="shared" si="7"/>
        <v>0</v>
      </c>
      <c r="BW42" s="18"/>
    </row>
    <row r="43" spans="1:75" ht="21.75" customHeight="1" x14ac:dyDescent="0.3">
      <c r="A43" s="313"/>
      <c r="B43" s="21" t="s">
        <v>535</v>
      </c>
      <c r="C43" s="24">
        <v>133.32999999999998</v>
      </c>
      <c r="D43" s="119">
        <f t="shared" si="5"/>
        <v>79.329999999999984</v>
      </c>
      <c r="E43" s="116"/>
      <c r="F43" s="116"/>
      <c r="G43" s="116"/>
      <c r="H43" s="116"/>
      <c r="I43" s="116"/>
      <c r="J43" s="116"/>
      <c r="K43" s="116">
        <v>2</v>
      </c>
      <c r="L43" s="116">
        <v>7</v>
      </c>
      <c r="M43" s="116"/>
      <c r="N43" s="116"/>
      <c r="O43" s="116"/>
      <c r="P43" s="116"/>
      <c r="Q43" s="116"/>
      <c r="R43" s="116"/>
      <c r="S43" s="116"/>
      <c r="T43" s="116">
        <v>10</v>
      </c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>
        <f>35+4</f>
        <v>39</v>
      </c>
      <c r="BI43" s="116"/>
      <c r="BJ43" s="116"/>
      <c r="BK43" s="116"/>
      <c r="BL43" s="116"/>
      <c r="BM43" s="116"/>
      <c r="BN43" s="116"/>
      <c r="BO43" s="116"/>
      <c r="BP43" s="116"/>
      <c r="BQ43" s="108">
        <f t="shared" si="3"/>
        <v>2</v>
      </c>
      <c r="BR43" s="108">
        <f t="shared" si="4"/>
        <v>56</v>
      </c>
      <c r="BS43" s="11">
        <v>1.5</v>
      </c>
      <c r="BT43" s="24">
        <f t="shared" si="6"/>
        <v>118.99499999999998</v>
      </c>
      <c r="BU43" s="24">
        <v>63000</v>
      </c>
      <c r="BV43" s="18">
        <f t="shared" si="7"/>
        <v>7496684.9999999981</v>
      </c>
      <c r="BW43" s="18"/>
    </row>
    <row r="44" spans="1:75" x14ac:dyDescent="0.3">
      <c r="A44" s="313"/>
      <c r="B44" s="21" t="s">
        <v>536</v>
      </c>
      <c r="C44" s="24">
        <v>0</v>
      </c>
      <c r="D44" s="119">
        <f t="shared" si="5"/>
        <v>0</v>
      </c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  <c r="BO44" s="116"/>
      <c r="BP44" s="116"/>
      <c r="BQ44" s="108">
        <f t="shared" si="3"/>
        <v>0</v>
      </c>
      <c r="BR44" s="108">
        <f t="shared" si="4"/>
        <v>0</v>
      </c>
      <c r="BS44" s="11">
        <v>1.5</v>
      </c>
      <c r="BT44" s="24">
        <f t="shared" si="6"/>
        <v>0</v>
      </c>
      <c r="BU44" s="24">
        <v>74000</v>
      </c>
      <c r="BV44" s="18">
        <f t="shared" si="7"/>
        <v>0</v>
      </c>
      <c r="BW44" s="18"/>
    </row>
    <row r="45" spans="1:75" x14ac:dyDescent="0.3">
      <c r="A45" s="13"/>
      <c r="B45" s="13"/>
      <c r="C45" s="24">
        <v>0</v>
      </c>
      <c r="D45" s="119">
        <f t="shared" si="5"/>
        <v>0</v>
      </c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08">
        <f t="shared" si="3"/>
        <v>0</v>
      </c>
      <c r="BR45" s="108">
        <f t="shared" si="4"/>
        <v>0</v>
      </c>
      <c r="BS45" s="11"/>
      <c r="BT45" s="24">
        <f t="shared" si="6"/>
        <v>0</v>
      </c>
      <c r="BU45" s="24"/>
      <c r="BV45" s="18">
        <f t="shared" si="7"/>
        <v>0</v>
      </c>
      <c r="BW45" s="18"/>
    </row>
    <row r="46" spans="1:75" x14ac:dyDescent="0.3">
      <c r="A46" s="313" t="s">
        <v>223</v>
      </c>
      <c r="B46" s="21" t="s">
        <v>537</v>
      </c>
      <c r="C46" s="24">
        <v>42</v>
      </c>
      <c r="D46" s="119">
        <f t="shared" si="5"/>
        <v>22</v>
      </c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>
        <v>20</v>
      </c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08">
        <f t="shared" si="3"/>
        <v>0</v>
      </c>
      <c r="BR46" s="108">
        <f t="shared" si="4"/>
        <v>20</v>
      </c>
      <c r="BS46" s="11">
        <v>1.5</v>
      </c>
      <c r="BT46" s="24">
        <f t="shared" si="6"/>
        <v>33</v>
      </c>
      <c r="BU46" s="24">
        <v>73800</v>
      </c>
      <c r="BV46" s="18">
        <f t="shared" si="7"/>
        <v>2435400</v>
      </c>
      <c r="BW46" s="18"/>
    </row>
    <row r="47" spans="1:75" x14ac:dyDescent="0.3">
      <c r="A47" s="313"/>
      <c r="B47" s="21" t="s">
        <v>538</v>
      </c>
      <c r="C47" s="24">
        <v>167</v>
      </c>
      <c r="D47" s="119">
        <f t="shared" si="5"/>
        <v>167</v>
      </c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08">
        <f t="shared" si="3"/>
        <v>0</v>
      </c>
      <c r="BR47" s="108">
        <f t="shared" si="4"/>
        <v>0</v>
      </c>
      <c r="BS47" s="11">
        <v>1.5</v>
      </c>
      <c r="BT47" s="24">
        <f t="shared" si="6"/>
        <v>250.5</v>
      </c>
      <c r="BU47" s="24">
        <v>73800</v>
      </c>
      <c r="BV47" s="18">
        <f t="shared" si="7"/>
        <v>18486900</v>
      </c>
      <c r="BW47" s="18"/>
    </row>
    <row r="48" spans="1:75" ht="18" customHeight="1" x14ac:dyDescent="0.3">
      <c r="A48" s="313"/>
      <c r="B48" s="21" t="s">
        <v>539</v>
      </c>
      <c r="C48" s="24">
        <v>204</v>
      </c>
      <c r="D48" s="119">
        <f t="shared" si="5"/>
        <v>204</v>
      </c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  <c r="BO48" s="116"/>
      <c r="BP48" s="116"/>
      <c r="BQ48" s="108">
        <f t="shared" si="3"/>
        <v>0</v>
      </c>
      <c r="BR48" s="108">
        <f t="shared" si="4"/>
        <v>0</v>
      </c>
      <c r="BS48" s="11">
        <v>1.5</v>
      </c>
      <c r="BT48" s="24">
        <f t="shared" si="6"/>
        <v>306</v>
      </c>
      <c r="BU48" s="24">
        <v>83000</v>
      </c>
      <c r="BV48" s="18">
        <f t="shared" si="7"/>
        <v>25398000</v>
      </c>
      <c r="BW48" s="18"/>
    </row>
    <row r="49" spans="1:75" ht="17.25" hidden="1" customHeight="1" x14ac:dyDescent="0.3">
      <c r="A49" s="313"/>
      <c r="B49" s="21" t="s">
        <v>540</v>
      </c>
      <c r="C49" s="24">
        <v>2</v>
      </c>
      <c r="D49" s="119">
        <f t="shared" si="5"/>
        <v>2</v>
      </c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08">
        <f t="shared" si="3"/>
        <v>0</v>
      </c>
      <c r="BR49" s="108">
        <f t="shared" si="4"/>
        <v>0</v>
      </c>
      <c r="BS49" s="11">
        <v>1.5</v>
      </c>
      <c r="BT49" s="24">
        <f t="shared" si="6"/>
        <v>3</v>
      </c>
      <c r="BU49" s="24">
        <v>61000</v>
      </c>
      <c r="BV49" s="18">
        <f t="shared" si="7"/>
        <v>183000</v>
      </c>
      <c r="BW49" s="18"/>
    </row>
    <row r="50" spans="1:75" ht="18" customHeight="1" x14ac:dyDescent="0.3">
      <c r="A50" s="313"/>
      <c r="B50" s="21" t="s">
        <v>541</v>
      </c>
      <c r="C50" s="24">
        <v>79</v>
      </c>
      <c r="D50" s="119">
        <f t="shared" si="5"/>
        <v>65</v>
      </c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>
        <v>14</v>
      </c>
      <c r="BK50" s="116"/>
      <c r="BL50" s="116"/>
      <c r="BM50" s="116"/>
      <c r="BN50" s="116"/>
      <c r="BO50" s="116"/>
      <c r="BP50" s="116"/>
      <c r="BQ50" s="108">
        <f t="shared" si="3"/>
        <v>0</v>
      </c>
      <c r="BR50" s="108">
        <f t="shared" si="4"/>
        <v>14</v>
      </c>
      <c r="BS50" s="11">
        <v>1.5</v>
      </c>
      <c r="BT50" s="24">
        <f t="shared" si="6"/>
        <v>97.5</v>
      </c>
      <c r="BU50" s="24">
        <v>61000</v>
      </c>
      <c r="BV50" s="18">
        <f t="shared" si="7"/>
        <v>5947500</v>
      </c>
      <c r="BW50" s="18"/>
    </row>
    <row r="51" spans="1:75" ht="18" hidden="1" customHeight="1" x14ac:dyDescent="0.3">
      <c r="A51" s="313"/>
      <c r="B51" s="21" t="s">
        <v>225</v>
      </c>
      <c r="C51" s="24">
        <v>1</v>
      </c>
      <c r="D51" s="119">
        <f t="shared" si="5"/>
        <v>1</v>
      </c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08">
        <f t="shared" si="3"/>
        <v>0</v>
      </c>
      <c r="BR51" s="108">
        <f t="shared" si="4"/>
        <v>0</v>
      </c>
      <c r="BS51" s="11">
        <v>1.5</v>
      </c>
      <c r="BT51" s="24">
        <f t="shared" si="6"/>
        <v>1.5</v>
      </c>
      <c r="BU51" s="24">
        <v>61000</v>
      </c>
      <c r="BV51" s="18">
        <f t="shared" si="7"/>
        <v>91500</v>
      </c>
      <c r="BW51" s="18"/>
    </row>
    <row r="52" spans="1:75" x14ac:dyDescent="0.3">
      <c r="A52" s="313"/>
      <c r="B52" s="21" t="s">
        <v>226</v>
      </c>
      <c r="C52" s="24">
        <v>47</v>
      </c>
      <c r="D52" s="119">
        <f t="shared" si="5"/>
        <v>47</v>
      </c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08">
        <f t="shared" si="3"/>
        <v>0</v>
      </c>
      <c r="BR52" s="108">
        <f t="shared" si="4"/>
        <v>0</v>
      </c>
      <c r="BS52" s="11">
        <v>1.5</v>
      </c>
      <c r="BT52" s="24">
        <f t="shared" si="6"/>
        <v>70.5</v>
      </c>
      <c r="BU52" s="24">
        <v>61000</v>
      </c>
      <c r="BV52" s="18">
        <f t="shared" si="7"/>
        <v>4300500</v>
      </c>
      <c r="BW52" s="18"/>
    </row>
    <row r="53" spans="1:75" x14ac:dyDescent="0.3">
      <c r="A53" s="313"/>
      <c r="B53" s="21" t="s">
        <v>227</v>
      </c>
      <c r="C53" s="24">
        <v>345</v>
      </c>
      <c r="D53" s="119">
        <f t="shared" si="5"/>
        <v>338</v>
      </c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>
        <v>6</v>
      </c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>
        <v>1</v>
      </c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6"/>
      <c r="BL53" s="116"/>
      <c r="BM53" s="116"/>
      <c r="BN53" s="116"/>
      <c r="BO53" s="116"/>
      <c r="BP53" s="116"/>
      <c r="BQ53" s="108">
        <f t="shared" si="3"/>
        <v>0</v>
      </c>
      <c r="BR53" s="108">
        <f t="shared" si="4"/>
        <v>7</v>
      </c>
      <c r="BS53" s="11">
        <v>1.5</v>
      </c>
      <c r="BT53" s="24">
        <f t="shared" si="6"/>
        <v>507</v>
      </c>
      <c r="BU53" s="24">
        <v>61000</v>
      </c>
      <c r="BV53" s="18">
        <f t="shared" si="7"/>
        <v>30927000</v>
      </c>
      <c r="BW53" s="18"/>
    </row>
    <row r="54" spans="1:75" x14ac:dyDescent="0.3">
      <c r="A54" s="68"/>
      <c r="B54" s="21"/>
      <c r="C54" s="24">
        <v>0</v>
      </c>
      <c r="D54" s="119">
        <f t="shared" si="5"/>
        <v>0</v>
      </c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  <c r="BO54" s="116"/>
      <c r="BP54" s="116"/>
      <c r="BQ54" s="108">
        <f t="shared" si="3"/>
        <v>0</v>
      </c>
      <c r="BR54" s="108">
        <f t="shared" si="4"/>
        <v>0</v>
      </c>
      <c r="BS54" s="11"/>
      <c r="BT54" s="24">
        <f t="shared" si="6"/>
        <v>0</v>
      </c>
      <c r="BU54" s="24"/>
      <c r="BV54" s="18">
        <f t="shared" si="7"/>
        <v>0</v>
      </c>
      <c r="BW54" s="18"/>
    </row>
    <row r="55" spans="1:75" x14ac:dyDescent="0.3">
      <c r="A55" s="313" t="s">
        <v>219</v>
      </c>
      <c r="B55" s="21" t="s">
        <v>594</v>
      </c>
      <c r="C55" s="24">
        <v>3</v>
      </c>
      <c r="D55" s="119">
        <f t="shared" si="5"/>
        <v>3</v>
      </c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  <c r="BO55" s="116"/>
      <c r="BP55" s="116"/>
      <c r="BQ55" s="108">
        <f t="shared" si="3"/>
        <v>0</v>
      </c>
      <c r="BR55" s="108">
        <f t="shared" si="4"/>
        <v>0</v>
      </c>
      <c r="BS55" s="11">
        <v>1.44</v>
      </c>
      <c r="BT55" s="24">
        <f t="shared" si="6"/>
        <v>4.32</v>
      </c>
      <c r="BU55" s="24">
        <v>75000</v>
      </c>
      <c r="BV55" s="18">
        <f t="shared" si="7"/>
        <v>324000</v>
      </c>
      <c r="BW55" s="18"/>
    </row>
    <row r="56" spans="1:75" hidden="1" x14ac:dyDescent="0.3">
      <c r="A56" s="313"/>
      <c r="B56" s="13"/>
      <c r="C56" s="24">
        <v>0</v>
      </c>
      <c r="D56" s="119">
        <f t="shared" si="5"/>
        <v>0</v>
      </c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08">
        <f t="shared" si="3"/>
        <v>0</v>
      </c>
      <c r="BR56" s="108">
        <f t="shared" si="4"/>
        <v>0</v>
      </c>
      <c r="BS56" s="11">
        <v>1.44</v>
      </c>
      <c r="BT56" s="24">
        <f t="shared" si="6"/>
        <v>0</v>
      </c>
      <c r="BU56" s="24"/>
      <c r="BV56" s="18">
        <f t="shared" si="7"/>
        <v>0</v>
      </c>
      <c r="BW56" s="18"/>
    </row>
    <row r="57" spans="1:75" hidden="1" x14ac:dyDescent="0.3">
      <c r="A57" s="313"/>
      <c r="B57" s="21" t="s">
        <v>12147</v>
      </c>
      <c r="C57" s="24">
        <v>-0.25</v>
      </c>
      <c r="D57" s="29">
        <f t="shared" si="5"/>
        <v>-0.25</v>
      </c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08">
        <f t="shared" si="3"/>
        <v>0</v>
      </c>
      <c r="BR57" s="108">
        <f t="shared" si="4"/>
        <v>0</v>
      </c>
      <c r="BS57" s="11">
        <v>1.44</v>
      </c>
      <c r="BT57" s="24">
        <f t="shared" si="6"/>
        <v>-0.36</v>
      </c>
      <c r="BU57" s="24">
        <v>70000</v>
      </c>
      <c r="BV57" s="18">
        <f t="shared" si="7"/>
        <v>-25200</v>
      </c>
      <c r="BW57" s="18"/>
    </row>
    <row r="58" spans="1:75" x14ac:dyDescent="0.3">
      <c r="A58" s="313"/>
      <c r="B58" s="21" t="s">
        <v>12149</v>
      </c>
      <c r="C58" s="24">
        <v>367.75</v>
      </c>
      <c r="D58" s="29">
        <f t="shared" si="5"/>
        <v>284.75</v>
      </c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>
        <v>38</v>
      </c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>
        <v>47</v>
      </c>
      <c r="AI58" s="116">
        <v>2</v>
      </c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08">
        <f t="shared" si="3"/>
        <v>2</v>
      </c>
      <c r="BR58" s="108">
        <f t="shared" si="4"/>
        <v>85</v>
      </c>
      <c r="BS58" s="11">
        <v>1.44</v>
      </c>
      <c r="BT58" s="24">
        <f t="shared" si="6"/>
        <v>410.03999999999996</v>
      </c>
      <c r="BU58" s="24">
        <v>70000</v>
      </c>
      <c r="BV58" s="18">
        <f t="shared" si="7"/>
        <v>28702799.999999996</v>
      </c>
      <c r="BW58" s="18"/>
    </row>
    <row r="59" spans="1:75" hidden="1" x14ac:dyDescent="0.3">
      <c r="A59" s="313"/>
      <c r="B59" s="21" t="s">
        <v>542</v>
      </c>
      <c r="C59" s="24">
        <v>0</v>
      </c>
      <c r="D59" s="29">
        <f t="shared" si="5"/>
        <v>0</v>
      </c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  <c r="BM59" s="116"/>
      <c r="BN59" s="116"/>
      <c r="BO59" s="116"/>
      <c r="BP59" s="116"/>
      <c r="BQ59" s="108">
        <f t="shared" si="3"/>
        <v>0</v>
      </c>
      <c r="BR59" s="108">
        <f t="shared" si="4"/>
        <v>0</v>
      </c>
      <c r="BS59" s="11">
        <v>1.44</v>
      </c>
      <c r="BT59" s="24">
        <f t="shared" si="6"/>
        <v>0</v>
      </c>
      <c r="BU59" s="24">
        <v>70000</v>
      </c>
      <c r="BV59" s="18">
        <f t="shared" si="7"/>
        <v>0</v>
      </c>
      <c r="BW59" s="18"/>
    </row>
    <row r="60" spans="1:75" ht="18" customHeight="1" x14ac:dyDescent="0.3">
      <c r="A60" s="313"/>
      <c r="B60" s="21" t="s">
        <v>542</v>
      </c>
      <c r="C60" s="24">
        <v>418</v>
      </c>
      <c r="D60" s="119">
        <f t="shared" si="5"/>
        <v>444</v>
      </c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>
        <f>38+4</f>
        <v>42</v>
      </c>
      <c r="S60" s="116"/>
      <c r="T60" s="116"/>
      <c r="U60" s="116"/>
      <c r="V60" s="116"/>
      <c r="W60" s="116"/>
      <c r="X60" s="116"/>
      <c r="Y60" s="116"/>
      <c r="Z60" s="116">
        <v>70</v>
      </c>
      <c r="AA60" s="116"/>
      <c r="AB60" s="116"/>
      <c r="AC60" s="116"/>
      <c r="AD60" s="116">
        <v>1</v>
      </c>
      <c r="AE60" s="116"/>
      <c r="AF60" s="116">
        <v>14</v>
      </c>
      <c r="AG60" s="116"/>
      <c r="AH60" s="116"/>
      <c r="AI60" s="116"/>
      <c r="AJ60" s="116">
        <v>1</v>
      </c>
      <c r="AK60" s="116"/>
      <c r="AL60" s="116"/>
      <c r="AM60" s="116"/>
      <c r="AN60" s="116"/>
      <c r="AO60" s="116"/>
      <c r="AP60" s="116"/>
      <c r="AQ60" s="116"/>
      <c r="AR60" s="116"/>
      <c r="AS60" s="116">
        <v>279</v>
      </c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  <c r="BD60" s="116"/>
      <c r="BE60" s="116"/>
      <c r="BF60" s="116">
        <v>14</v>
      </c>
      <c r="BG60" s="116"/>
      <c r="BH60" s="116"/>
      <c r="BI60" s="116"/>
      <c r="BJ60" s="116"/>
      <c r="BK60" s="116"/>
      <c r="BL60" s="116">
        <f>31+80</f>
        <v>111</v>
      </c>
      <c r="BM60" s="116"/>
      <c r="BN60" s="116"/>
      <c r="BO60" s="116"/>
      <c r="BP60" s="116"/>
      <c r="BQ60" s="108">
        <f t="shared" si="3"/>
        <v>279</v>
      </c>
      <c r="BR60" s="108">
        <f t="shared" si="4"/>
        <v>253</v>
      </c>
      <c r="BS60" s="11">
        <v>1.44</v>
      </c>
      <c r="BT60" s="24">
        <f t="shared" si="6"/>
        <v>639.36</v>
      </c>
      <c r="BU60" s="24">
        <v>70000</v>
      </c>
      <c r="BV60" s="18">
        <f t="shared" si="7"/>
        <v>44755200</v>
      </c>
      <c r="BW60" s="18"/>
    </row>
    <row r="61" spans="1:75" ht="18" customHeight="1" x14ac:dyDescent="0.3">
      <c r="A61" s="313"/>
      <c r="B61" s="21" t="s">
        <v>543</v>
      </c>
      <c r="C61" s="24">
        <v>14.25</v>
      </c>
      <c r="D61" s="119">
        <f t="shared" si="5"/>
        <v>14.25</v>
      </c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116"/>
      <c r="AV61" s="116"/>
      <c r="AW61" s="116"/>
      <c r="AX61" s="116"/>
      <c r="AY61" s="116"/>
      <c r="AZ61" s="116"/>
      <c r="BA61" s="116"/>
      <c r="BB61" s="116"/>
      <c r="BC61" s="116"/>
      <c r="BD61" s="116"/>
      <c r="BE61" s="116"/>
      <c r="BF61" s="116"/>
      <c r="BG61" s="116"/>
      <c r="BH61" s="116"/>
      <c r="BI61" s="116"/>
      <c r="BJ61" s="116"/>
      <c r="BK61" s="116"/>
      <c r="BL61" s="116"/>
      <c r="BM61" s="116"/>
      <c r="BN61" s="116"/>
      <c r="BO61" s="116"/>
      <c r="BP61" s="116"/>
      <c r="BQ61" s="108">
        <f t="shared" si="3"/>
        <v>0</v>
      </c>
      <c r="BR61" s="108">
        <f t="shared" si="4"/>
        <v>0</v>
      </c>
      <c r="BS61" s="11">
        <v>1.44</v>
      </c>
      <c r="BT61" s="24">
        <f t="shared" si="6"/>
        <v>20.52</v>
      </c>
      <c r="BU61" s="24">
        <v>70000</v>
      </c>
      <c r="BV61" s="18">
        <f t="shared" si="7"/>
        <v>1436400</v>
      </c>
      <c r="BW61" s="18"/>
    </row>
    <row r="62" spans="1:75" ht="0.75" customHeight="1" x14ac:dyDescent="0.3">
      <c r="A62" s="313"/>
      <c r="B62" s="21" t="s">
        <v>544</v>
      </c>
      <c r="C62" s="24">
        <v>0</v>
      </c>
      <c r="D62" s="119">
        <f t="shared" si="5"/>
        <v>0</v>
      </c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08">
        <f t="shared" si="3"/>
        <v>0</v>
      </c>
      <c r="BR62" s="108">
        <f t="shared" si="4"/>
        <v>0</v>
      </c>
      <c r="BS62" s="11">
        <v>1.44</v>
      </c>
      <c r="BT62" s="24">
        <f t="shared" si="6"/>
        <v>0</v>
      </c>
      <c r="BU62" s="24">
        <v>70000</v>
      </c>
      <c r="BV62" s="18">
        <f t="shared" si="7"/>
        <v>0</v>
      </c>
      <c r="BW62" s="18"/>
    </row>
    <row r="63" spans="1:75" x14ac:dyDescent="0.3">
      <c r="A63" s="313"/>
      <c r="B63" s="21" t="s">
        <v>545</v>
      </c>
      <c r="C63" s="24">
        <v>14</v>
      </c>
      <c r="D63" s="119">
        <f t="shared" si="5"/>
        <v>14</v>
      </c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  <c r="BO63" s="116"/>
      <c r="BP63" s="116"/>
      <c r="BQ63" s="108">
        <f t="shared" si="3"/>
        <v>0</v>
      </c>
      <c r="BR63" s="108">
        <f t="shared" si="4"/>
        <v>0</v>
      </c>
      <c r="BS63" s="11">
        <v>1.44</v>
      </c>
      <c r="BT63" s="24">
        <f t="shared" si="6"/>
        <v>20.16</v>
      </c>
      <c r="BU63" s="24">
        <v>70000</v>
      </c>
      <c r="BV63" s="18">
        <f t="shared" si="7"/>
        <v>1411200</v>
      </c>
      <c r="BW63" s="18"/>
    </row>
    <row r="64" spans="1:75" x14ac:dyDescent="0.3">
      <c r="A64" s="313"/>
      <c r="B64" s="21" t="s">
        <v>546</v>
      </c>
      <c r="C64" s="24">
        <v>42</v>
      </c>
      <c r="D64" s="119">
        <f t="shared" si="5"/>
        <v>42</v>
      </c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08">
        <f t="shared" ref="BQ64:BQ127" si="8">+E64+G64+I64+K64+M64+O64+Q64+S64+U64+W64+Y64+AA64+AC64+AE64+AG64+AI64+AK64+AM64+AO64+AQ64+AS64+AU64+AW64+AY64+BA64+BC64+BE64+BG64+BI64+BK64+BM64+BO64</f>
        <v>0</v>
      </c>
      <c r="BR64" s="108">
        <f t="shared" ref="BR64:BR127" si="9">+F64+H64+J64+L64+N64+P64+R64+T64+V64+X64+Z64+AB64+AD64+AF64+AH64+AJ64+AL64+AN64+AP64+AR64+AT64+AV64+AX64+AZ64+BB64+BD64+BF64+BH64+BJ64+BL64+BN64+BP64</f>
        <v>0</v>
      </c>
      <c r="BS64" s="11">
        <v>1.44</v>
      </c>
      <c r="BT64" s="24">
        <f t="shared" si="6"/>
        <v>60.48</v>
      </c>
      <c r="BU64" s="24">
        <v>70000</v>
      </c>
      <c r="BV64" s="18">
        <f t="shared" si="7"/>
        <v>4233600</v>
      </c>
      <c r="BW64" s="18"/>
    </row>
    <row r="65" spans="1:75" ht="18" customHeight="1" x14ac:dyDescent="0.3">
      <c r="A65" s="313"/>
      <c r="B65" s="21" t="s">
        <v>547</v>
      </c>
      <c r="C65" s="24">
        <v>12</v>
      </c>
      <c r="D65" s="119">
        <f t="shared" si="5"/>
        <v>12</v>
      </c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08">
        <f t="shared" si="8"/>
        <v>0</v>
      </c>
      <c r="BR65" s="108">
        <f t="shared" si="9"/>
        <v>0</v>
      </c>
      <c r="BS65" s="11">
        <v>1.44</v>
      </c>
      <c r="BT65" s="24">
        <f t="shared" si="6"/>
        <v>17.28</v>
      </c>
      <c r="BU65" s="24">
        <v>70000</v>
      </c>
      <c r="BV65" s="18">
        <f t="shared" si="7"/>
        <v>1209600</v>
      </c>
      <c r="BW65" s="18"/>
    </row>
    <row r="66" spans="1:75" ht="18.75" customHeight="1" x14ac:dyDescent="0.3">
      <c r="A66" s="313"/>
      <c r="B66" s="21" t="s">
        <v>548</v>
      </c>
      <c r="C66" s="24">
        <v>2</v>
      </c>
      <c r="D66" s="119">
        <f t="shared" si="5"/>
        <v>26</v>
      </c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>
        <v>80</v>
      </c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>
        <f>50+6</f>
        <v>56</v>
      </c>
      <c r="BM66" s="116"/>
      <c r="BN66" s="116"/>
      <c r="BO66" s="116"/>
      <c r="BP66" s="116"/>
      <c r="BQ66" s="108">
        <f t="shared" si="8"/>
        <v>80</v>
      </c>
      <c r="BR66" s="108">
        <f t="shared" si="9"/>
        <v>56</v>
      </c>
      <c r="BS66" s="11">
        <v>1.44</v>
      </c>
      <c r="BT66" s="24">
        <f t="shared" ref="BT66:BT129" si="10">+BS66*D66</f>
        <v>37.44</v>
      </c>
      <c r="BU66" s="24">
        <v>70000</v>
      </c>
      <c r="BV66" s="18">
        <f t="shared" ref="BV66:BV129" si="11">+BU66*BT66</f>
        <v>2620800</v>
      </c>
      <c r="BW66" s="18"/>
    </row>
    <row r="67" spans="1:75" x14ac:dyDescent="0.3">
      <c r="A67" s="313"/>
      <c r="B67" s="21" t="s">
        <v>549</v>
      </c>
      <c r="C67" s="24">
        <v>462</v>
      </c>
      <c r="D67" s="119">
        <f t="shared" si="5"/>
        <v>294</v>
      </c>
      <c r="E67" s="116"/>
      <c r="F67" s="116"/>
      <c r="G67" s="116"/>
      <c r="H67" s="116">
        <v>29</v>
      </c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>
        <v>1</v>
      </c>
      <c r="X67" s="116"/>
      <c r="Y67" s="116"/>
      <c r="Z67" s="116"/>
      <c r="AA67" s="116"/>
      <c r="AB67" s="116"/>
      <c r="AC67" s="116"/>
      <c r="AD67" s="116"/>
      <c r="AE67" s="116"/>
      <c r="AF67" s="116">
        <f>60+5</f>
        <v>65</v>
      </c>
      <c r="AG67" s="116"/>
      <c r="AH67" s="116"/>
      <c r="AI67" s="116"/>
      <c r="AJ67" s="116"/>
      <c r="AK67" s="116"/>
      <c r="AL67" s="116">
        <v>32</v>
      </c>
      <c r="AM67" s="116"/>
      <c r="AN67" s="116">
        <v>29</v>
      </c>
      <c r="AO67" s="116"/>
      <c r="AP67" s="116">
        <v>2</v>
      </c>
      <c r="AQ67" s="116"/>
      <c r="AR67" s="116"/>
      <c r="AS67" s="116"/>
      <c r="AT67" s="116"/>
      <c r="AU67" s="116"/>
      <c r="AV67" s="116">
        <v>12</v>
      </c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08">
        <f t="shared" si="8"/>
        <v>1</v>
      </c>
      <c r="BR67" s="108">
        <f t="shared" si="9"/>
        <v>169</v>
      </c>
      <c r="BS67" s="11">
        <v>1.44</v>
      </c>
      <c r="BT67" s="24">
        <f t="shared" si="10"/>
        <v>423.35999999999996</v>
      </c>
      <c r="BU67" s="24">
        <v>72000</v>
      </c>
      <c r="BV67" s="18">
        <f t="shared" si="11"/>
        <v>30481919.999999996</v>
      </c>
      <c r="BW67" s="18"/>
    </row>
    <row r="68" spans="1:75" x14ac:dyDescent="0.3">
      <c r="A68" s="313"/>
      <c r="B68" s="21" t="s">
        <v>12157</v>
      </c>
      <c r="C68" s="24">
        <v>444.25</v>
      </c>
      <c r="D68" s="119">
        <f t="shared" si="5"/>
        <v>347.25</v>
      </c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>
        <v>35</v>
      </c>
      <c r="AO68" s="116"/>
      <c r="AP68" s="116">
        <v>9</v>
      </c>
      <c r="AQ68" s="116"/>
      <c r="AR68" s="116"/>
      <c r="AS68" s="116"/>
      <c r="AT68" s="116"/>
      <c r="AU68" s="116"/>
      <c r="AV68" s="116">
        <f>23+3+13</f>
        <v>39</v>
      </c>
      <c r="AW68" s="116"/>
      <c r="AX68" s="116"/>
      <c r="AY68" s="116"/>
      <c r="AZ68" s="116"/>
      <c r="BA68" s="116"/>
      <c r="BB68" s="116"/>
      <c r="BC68" s="116"/>
      <c r="BD68" s="116"/>
      <c r="BE68" s="116"/>
      <c r="BF68" s="116">
        <v>14</v>
      </c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08">
        <f t="shared" si="8"/>
        <v>0</v>
      </c>
      <c r="BR68" s="108">
        <f t="shared" si="9"/>
        <v>97</v>
      </c>
      <c r="BS68" s="11"/>
      <c r="BT68" s="24">
        <f t="shared" si="10"/>
        <v>0</v>
      </c>
      <c r="BU68" s="24"/>
      <c r="BV68" s="18">
        <f t="shared" si="11"/>
        <v>0</v>
      </c>
      <c r="BW68" s="18"/>
    </row>
    <row r="69" spans="1:75" x14ac:dyDescent="0.3">
      <c r="A69" s="313"/>
      <c r="B69" s="21" t="s">
        <v>550</v>
      </c>
      <c r="C69" s="24">
        <v>62</v>
      </c>
      <c r="D69" s="119">
        <f t="shared" si="5"/>
        <v>62</v>
      </c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08">
        <f t="shared" si="8"/>
        <v>0</v>
      </c>
      <c r="BR69" s="108">
        <f t="shared" si="9"/>
        <v>0</v>
      </c>
      <c r="BS69" s="11">
        <v>1.44</v>
      </c>
      <c r="BT69" s="24">
        <f t="shared" si="10"/>
        <v>89.28</v>
      </c>
      <c r="BU69" s="24">
        <v>86000</v>
      </c>
      <c r="BV69" s="18">
        <f t="shared" si="11"/>
        <v>7678080</v>
      </c>
      <c r="BW69" s="18"/>
    </row>
    <row r="70" spans="1:75" x14ac:dyDescent="0.3">
      <c r="A70" s="313"/>
      <c r="B70" s="21" t="s">
        <v>551</v>
      </c>
      <c r="C70" s="24">
        <v>73</v>
      </c>
      <c r="D70" s="119">
        <f t="shared" ref="D70:D139" si="12">+C70+BQ70-BR70</f>
        <v>78</v>
      </c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>
        <v>5</v>
      </c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08">
        <f t="shared" si="8"/>
        <v>5</v>
      </c>
      <c r="BR70" s="108">
        <f t="shared" si="9"/>
        <v>0</v>
      </c>
      <c r="BS70" s="11">
        <v>1.44</v>
      </c>
      <c r="BT70" s="24">
        <f t="shared" si="10"/>
        <v>112.32</v>
      </c>
      <c r="BU70" s="24">
        <v>84000</v>
      </c>
      <c r="BV70" s="18">
        <f t="shared" si="11"/>
        <v>9434880</v>
      </c>
      <c r="BW70" s="18"/>
    </row>
    <row r="71" spans="1:75" x14ac:dyDescent="0.3">
      <c r="A71" s="13"/>
      <c r="B71" s="13"/>
      <c r="C71" s="24">
        <v>0</v>
      </c>
      <c r="D71" s="119">
        <f t="shared" si="12"/>
        <v>0</v>
      </c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08">
        <f t="shared" si="8"/>
        <v>0</v>
      </c>
      <c r="BR71" s="108">
        <f t="shared" si="9"/>
        <v>0</v>
      </c>
      <c r="BS71" s="11"/>
      <c r="BT71" s="24">
        <f t="shared" si="10"/>
        <v>0</v>
      </c>
      <c r="BU71" s="144"/>
      <c r="BV71" s="18">
        <f t="shared" si="11"/>
        <v>0</v>
      </c>
      <c r="BW71" s="18"/>
    </row>
    <row r="72" spans="1:75" ht="18" customHeight="1" x14ac:dyDescent="0.3">
      <c r="A72" s="313" t="s">
        <v>229</v>
      </c>
      <c r="B72" s="34" t="s">
        <v>552</v>
      </c>
      <c r="C72" s="24">
        <v>65.75</v>
      </c>
      <c r="D72" s="119">
        <f t="shared" si="12"/>
        <v>65.75</v>
      </c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08">
        <f t="shared" si="8"/>
        <v>0</v>
      </c>
      <c r="BR72" s="108">
        <f t="shared" si="9"/>
        <v>0</v>
      </c>
      <c r="BS72" s="11">
        <v>1.44</v>
      </c>
      <c r="BT72" s="24">
        <f t="shared" si="10"/>
        <v>94.679999999999993</v>
      </c>
      <c r="BU72" s="24">
        <v>90500</v>
      </c>
      <c r="BV72" s="18">
        <f t="shared" si="11"/>
        <v>8568540</v>
      </c>
      <c r="BW72" s="18"/>
    </row>
    <row r="73" spans="1:75" ht="18.75" hidden="1" customHeight="1" x14ac:dyDescent="0.3">
      <c r="A73" s="313"/>
      <c r="B73" s="34" t="s">
        <v>553</v>
      </c>
      <c r="C73" s="24">
        <v>0</v>
      </c>
      <c r="D73" s="119">
        <f t="shared" si="12"/>
        <v>0</v>
      </c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08">
        <f t="shared" si="8"/>
        <v>0</v>
      </c>
      <c r="BR73" s="108">
        <f t="shared" si="9"/>
        <v>0</v>
      </c>
      <c r="BS73" s="11">
        <v>1.44</v>
      </c>
      <c r="BT73" s="24">
        <f t="shared" si="10"/>
        <v>0</v>
      </c>
      <c r="BU73" s="24">
        <v>89000</v>
      </c>
      <c r="BV73" s="18">
        <f t="shared" si="11"/>
        <v>0</v>
      </c>
      <c r="BW73" s="18"/>
    </row>
    <row r="74" spans="1:75" x14ac:dyDescent="0.3">
      <c r="A74" s="313"/>
      <c r="B74" s="34" t="s">
        <v>12150</v>
      </c>
      <c r="C74" s="24">
        <v>272</v>
      </c>
      <c r="D74" s="119">
        <f t="shared" si="12"/>
        <v>270</v>
      </c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>
        <v>2</v>
      </c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08">
        <f t="shared" si="8"/>
        <v>0</v>
      </c>
      <c r="BR74" s="108">
        <f t="shared" si="9"/>
        <v>2</v>
      </c>
      <c r="BS74" s="11"/>
      <c r="BT74" s="24">
        <f t="shared" si="10"/>
        <v>0</v>
      </c>
      <c r="BU74" s="24"/>
      <c r="BV74" s="18">
        <f t="shared" si="11"/>
        <v>0</v>
      </c>
      <c r="BW74" s="18"/>
    </row>
    <row r="75" spans="1:75" x14ac:dyDescent="0.3">
      <c r="A75" s="313"/>
      <c r="B75" s="34" t="s">
        <v>554</v>
      </c>
      <c r="C75" s="24">
        <v>6</v>
      </c>
      <c r="D75" s="119">
        <f t="shared" si="12"/>
        <v>6</v>
      </c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  <c r="BM75" s="116"/>
      <c r="BN75" s="116"/>
      <c r="BO75" s="116"/>
      <c r="BP75" s="116"/>
      <c r="BQ75" s="108">
        <f t="shared" si="8"/>
        <v>0</v>
      </c>
      <c r="BR75" s="108">
        <f t="shared" si="9"/>
        <v>0</v>
      </c>
      <c r="BS75" s="11">
        <v>1.44</v>
      </c>
      <c r="BT75" s="24">
        <f t="shared" si="10"/>
        <v>8.64</v>
      </c>
      <c r="BU75" s="24">
        <v>89000</v>
      </c>
      <c r="BV75" s="18">
        <f t="shared" si="11"/>
        <v>768960</v>
      </c>
      <c r="BW75" s="18"/>
    </row>
    <row r="76" spans="1:75" ht="18" customHeight="1" x14ac:dyDescent="0.3">
      <c r="A76" s="313"/>
      <c r="B76" s="34" t="s">
        <v>2037</v>
      </c>
      <c r="C76" s="24">
        <v>300</v>
      </c>
      <c r="D76" s="119">
        <f t="shared" si="12"/>
        <v>300</v>
      </c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08">
        <f t="shared" si="8"/>
        <v>0</v>
      </c>
      <c r="BR76" s="108">
        <f t="shared" si="9"/>
        <v>0</v>
      </c>
      <c r="BS76" s="11">
        <v>1.44</v>
      </c>
      <c r="BT76" s="24">
        <f t="shared" si="10"/>
        <v>432</v>
      </c>
      <c r="BU76" s="24">
        <v>77000</v>
      </c>
      <c r="BV76" s="18">
        <f t="shared" si="11"/>
        <v>33264000</v>
      </c>
      <c r="BW76" s="18"/>
    </row>
    <row r="77" spans="1:75" ht="15.75" customHeight="1" x14ac:dyDescent="0.3">
      <c r="A77" s="313"/>
      <c r="B77" s="34" t="s">
        <v>555</v>
      </c>
      <c r="C77" s="24">
        <v>0</v>
      </c>
      <c r="D77" s="119">
        <f t="shared" si="12"/>
        <v>0</v>
      </c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  <c r="BM77" s="116"/>
      <c r="BN77" s="116"/>
      <c r="BO77" s="116"/>
      <c r="BP77" s="116"/>
      <c r="BQ77" s="108">
        <f t="shared" si="8"/>
        <v>0</v>
      </c>
      <c r="BR77" s="108">
        <f t="shared" si="9"/>
        <v>0</v>
      </c>
      <c r="BS77" s="11">
        <v>1.44</v>
      </c>
      <c r="BT77" s="24">
        <f t="shared" si="10"/>
        <v>0</v>
      </c>
      <c r="BU77" s="24">
        <v>89000</v>
      </c>
      <c r="BV77" s="18">
        <f t="shared" si="11"/>
        <v>0</v>
      </c>
      <c r="BW77" s="18"/>
    </row>
    <row r="78" spans="1:75" x14ac:dyDescent="0.3">
      <c r="A78" s="313"/>
      <c r="B78" s="176" t="s">
        <v>556</v>
      </c>
      <c r="C78" s="177">
        <v>33</v>
      </c>
      <c r="D78" s="178">
        <f t="shared" si="12"/>
        <v>33</v>
      </c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08">
        <f t="shared" si="8"/>
        <v>0</v>
      </c>
      <c r="BR78" s="108">
        <f t="shared" si="9"/>
        <v>0</v>
      </c>
      <c r="BS78" s="11">
        <v>1.44</v>
      </c>
      <c r="BT78" s="24">
        <f t="shared" si="10"/>
        <v>47.519999999999996</v>
      </c>
      <c r="BU78" s="24">
        <v>89000</v>
      </c>
      <c r="BV78" s="18">
        <f t="shared" si="11"/>
        <v>4229280</v>
      </c>
      <c r="BW78" s="18"/>
    </row>
    <row r="79" spans="1:75" x14ac:dyDescent="0.3">
      <c r="A79" s="313"/>
      <c r="B79" s="176" t="s">
        <v>558</v>
      </c>
      <c r="C79" s="177">
        <v>36</v>
      </c>
      <c r="D79" s="178">
        <f t="shared" si="12"/>
        <v>36</v>
      </c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08">
        <f t="shared" si="8"/>
        <v>0</v>
      </c>
      <c r="BR79" s="108">
        <f t="shared" si="9"/>
        <v>0</v>
      </c>
      <c r="BS79" s="11">
        <v>1.44</v>
      </c>
      <c r="BT79" s="24">
        <f t="shared" si="10"/>
        <v>51.839999999999996</v>
      </c>
      <c r="BU79" s="24">
        <v>90000</v>
      </c>
      <c r="BV79" s="18">
        <f t="shared" si="11"/>
        <v>4665600</v>
      </c>
      <c r="BW79" s="18"/>
    </row>
    <row r="80" spans="1:75" x14ac:dyDescent="0.3">
      <c r="A80" s="313"/>
      <c r="B80" s="176" t="s">
        <v>557</v>
      </c>
      <c r="C80" s="179">
        <v>65.5</v>
      </c>
      <c r="D80" s="178">
        <f t="shared" si="12"/>
        <v>65.5</v>
      </c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  <c r="BO80" s="116"/>
      <c r="BP80" s="116"/>
      <c r="BQ80" s="108">
        <f t="shared" si="8"/>
        <v>0</v>
      </c>
      <c r="BR80" s="108">
        <f t="shared" si="9"/>
        <v>0</v>
      </c>
      <c r="BS80" s="11">
        <v>1.44</v>
      </c>
      <c r="BT80" s="24">
        <f t="shared" si="10"/>
        <v>94.32</v>
      </c>
      <c r="BU80" s="24">
        <v>89000</v>
      </c>
      <c r="BV80" s="18">
        <f t="shared" si="11"/>
        <v>8394480</v>
      </c>
      <c r="BW80" s="18"/>
    </row>
    <row r="81" spans="1:75" x14ac:dyDescent="0.3">
      <c r="A81" s="313"/>
      <c r="B81" s="176" t="s">
        <v>559</v>
      </c>
      <c r="C81" s="179">
        <v>40</v>
      </c>
      <c r="D81" s="178">
        <f t="shared" si="12"/>
        <v>40</v>
      </c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08">
        <f t="shared" si="8"/>
        <v>0</v>
      </c>
      <c r="BR81" s="108">
        <f t="shared" si="9"/>
        <v>0</v>
      </c>
      <c r="BS81" s="11">
        <v>1.44</v>
      </c>
      <c r="BT81" s="24">
        <f t="shared" si="10"/>
        <v>57.599999999999994</v>
      </c>
      <c r="BU81" s="24">
        <v>90000</v>
      </c>
      <c r="BV81" s="18">
        <f t="shared" si="11"/>
        <v>5183999.9999999991</v>
      </c>
      <c r="BW81" s="18"/>
    </row>
    <row r="82" spans="1:75" x14ac:dyDescent="0.3">
      <c r="A82" s="313"/>
      <c r="B82" s="34" t="s">
        <v>560</v>
      </c>
      <c r="C82" s="24">
        <v>243.5</v>
      </c>
      <c r="D82" s="119">
        <f t="shared" si="12"/>
        <v>114.5</v>
      </c>
      <c r="E82" s="116"/>
      <c r="F82" s="116"/>
      <c r="G82" s="116"/>
      <c r="H82" s="116"/>
      <c r="I82" s="116"/>
      <c r="J82" s="116">
        <v>59</v>
      </c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>
        <v>14</v>
      </c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116"/>
      <c r="AV82" s="116"/>
      <c r="AW82" s="116"/>
      <c r="AX82" s="116">
        <f>50+6</f>
        <v>56</v>
      </c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08">
        <f t="shared" si="8"/>
        <v>0</v>
      </c>
      <c r="BR82" s="108">
        <f t="shared" si="9"/>
        <v>129</v>
      </c>
      <c r="BS82" s="11">
        <v>1.44</v>
      </c>
      <c r="BT82" s="24">
        <f t="shared" si="10"/>
        <v>164.88</v>
      </c>
      <c r="BU82" s="24">
        <v>89000</v>
      </c>
      <c r="BV82" s="18">
        <f t="shared" si="11"/>
        <v>14674320</v>
      </c>
      <c r="BW82" s="18"/>
    </row>
    <row r="83" spans="1:75" x14ac:dyDescent="0.3">
      <c r="A83" s="313"/>
      <c r="B83" s="34" t="s">
        <v>561</v>
      </c>
      <c r="C83" s="24">
        <v>21.25</v>
      </c>
      <c r="D83" s="119">
        <f t="shared" si="12"/>
        <v>21.25</v>
      </c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  <c r="BO83" s="116"/>
      <c r="BP83" s="116"/>
      <c r="BQ83" s="108">
        <f t="shared" si="8"/>
        <v>0</v>
      </c>
      <c r="BR83" s="108">
        <f t="shared" si="9"/>
        <v>0</v>
      </c>
      <c r="BS83" s="11">
        <v>1.44</v>
      </c>
      <c r="BT83" s="24">
        <f t="shared" si="10"/>
        <v>30.599999999999998</v>
      </c>
      <c r="BU83" s="24">
        <v>94000</v>
      </c>
      <c r="BV83" s="18">
        <f t="shared" si="11"/>
        <v>2876400</v>
      </c>
      <c r="BW83" s="18"/>
    </row>
    <row r="84" spans="1:75" x14ac:dyDescent="0.3">
      <c r="A84" s="313"/>
      <c r="B84" s="34" t="s">
        <v>12159</v>
      </c>
      <c r="C84" s="24">
        <v>161</v>
      </c>
      <c r="D84" s="119">
        <f t="shared" si="12"/>
        <v>151</v>
      </c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6"/>
      <c r="AU84" s="116"/>
      <c r="AV84" s="116"/>
      <c r="AW84" s="116"/>
      <c r="AX84" s="116"/>
      <c r="AY84" s="116"/>
      <c r="AZ84" s="116"/>
      <c r="BA84" s="116"/>
      <c r="BB84" s="116"/>
      <c r="BC84" s="116"/>
      <c r="BD84" s="116"/>
      <c r="BE84" s="116"/>
      <c r="BF84" s="116">
        <v>10</v>
      </c>
      <c r="BG84" s="116"/>
      <c r="BH84" s="116"/>
      <c r="BI84" s="116"/>
      <c r="BJ84" s="116"/>
      <c r="BK84" s="116"/>
      <c r="BL84" s="116"/>
      <c r="BM84" s="116"/>
      <c r="BN84" s="116"/>
      <c r="BO84" s="116"/>
      <c r="BP84" s="116"/>
      <c r="BQ84" s="108">
        <f t="shared" si="8"/>
        <v>0</v>
      </c>
      <c r="BR84" s="108">
        <f t="shared" si="9"/>
        <v>10</v>
      </c>
      <c r="BS84" s="11">
        <v>1.44</v>
      </c>
      <c r="BT84" s="24">
        <f t="shared" si="10"/>
        <v>217.44</v>
      </c>
      <c r="BU84" s="24">
        <v>89000</v>
      </c>
      <c r="BV84" s="18">
        <f t="shared" si="11"/>
        <v>19352160</v>
      </c>
      <c r="BW84" s="18"/>
    </row>
    <row r="85" spans="1:75" hidden="1" x14ac:dyDescent="0.3">
      <c r="A85" s="313"/>
      <c r="B85" s="34" t="s">
        <v>562</v>
      </c>
      <c r="C85" s="24">
        <v>0</v>
      </c>
      <c r="D85" s="119">
        <f t="shared" si="12"/>
        <v>0</v>
      </c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  <c r="BO85" s="116"/>
      <c r="BP85" s="116"/>
      <c r="BQ85" s="108">
        <f t="shared" si="8"/>
        <v>0</v>
      </c>
      <c r="BR85" s="108">
        <f t="shared" si="9"/>
        <v>0</v>
      </c>
      <c r="BS85" s="11">
        <v>1.44</v>
      </c>
      <c r="BT85" s="24">
        <f t="shared" si="10"/>
        <v>0</v>
      </c>
      <c r="BU85" s="24">
        <v>89000</v>
      </c>
      <c r="BV85" s="18">
        <f t="shared" si="11"/>
        <v>0</v>
      </c>
      <c r="BW85" s="18"/>
    </row>
    <row r="86" spans="1:75" x14ac:dyDescent="0.3">
      <c r="A86" s="313"/>
      <c r="B86" s="34" t="s">
        <v>563</v>
      </c>
      <c r="C86" s="24">
        <v>347.25</v>
      </c>
      <c r="D86" s="119">
        <f t="shared" si="12"/>
        <v>298.75</v>
      </c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116"/>
      <c r="AV86" s="116"/>
      <c r="AW86" s="116"/>
      <c r="AX86" s="116"/>
      <c r="AY86" s="116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>
        <v>48.5</v>
      </c>
      <c r="BK86" s="116"/>
      <c r="BL86" s="116"/>
      <c r="BM86" s="116"/>
      <c r="BN86" s="116"/>
      <c r="BO86" s="116"/>
      <c r="BP86" s="116"/>
      <c r="BQ86" s="108">
        <f t="shared" si="8"/>
        <v>0</v>
      </c>
      <c r="BR86" s="108">
        <f t="shared" si="9"/>
        <v>48.5</v>
      </c>
      <c r="BS86" s="11">
        <v>1.44</v>
      </c>
      <c r="BT86" s="24">
        <f t="shared" si="10"/>
        <v>430.2</v>
      </c>
      <c r="BU86" s="24">
        <v>94000</v>
      </c>
      <c r="BV86" s="18">
        <f t="shared" si="11"/>
        <v>40438800</v>
      </c>
      <c r="BW86" s="18"/>
    </row>
    <row r="87" spans="1:75" x14ac:dyDescent="0.3">
      <c r="A87" s="313"/>
      <c r="B87" s="34" t="s">
        <v>565</v>
      </c>
      <c r="C87" s="24">
        <v>23</v>
      </c>
      <c r="D87" s="119">
        <f t="shared" si="12"/>
        <v>18</v>
      </c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6"/>
      <c r="BD87" s="116"/>
      <c r="BE87" s="116"/>
      <c r="BF87" s="116"/>
      <c r="BG87" s="116"/>
      <c r="BH87" s="116"/>
      <c r="BI87" s="116"/>
      <c r="BJ87" s="116">
        <v>5</v>
      </c>
      <c r="BK87" s="116"/>
      <c r="BL87" s="116"/>
      <c r="BM87" s="116"/>
      <c r="BN87" s="116"/>
      <c r="BO87" s="116"/>
      <c r="BP87" s="116"/>
      <c r="BQ87" s="108">
        <f t="shared" si="8"/>
        <v>0</v>
      </c>
      <c r="BR87" s="108">
        <f t="shared" si="9"/>
        <v>5</v>
      </c>
      <c r="BS87" s="11">
        <v>1.44</v>
      </c>
      <c r="BT87" s="24">
        <f t="shared" si="10"/>
        <v>25.919999999999998</v>
      </c>
      <c r="BU87" s="24">
        <v>79000</v>
      </c>
      <c r="BV87" s="18">
        <f t="shared" si="11"/>
        <v>2047679.9999999998</v>
      </c>
      <c r="BW87" s="18"/>
    </row>
    <row r="88" spans="1:75" x14ac:dyDescent="0.3">
      <c r="A88" s="313"/>
      <c r="B88" s="34" t="s">
        <v>12160</v>
      </c>
      <c r="C88" s="24">
        <v>190</v>
      </c>
      <c r="D88" s="119">
        <f t="shared" si="12"/>
        <v>190</v>
      </c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16"/>
      <c r="BD88" s="116"/>
      <c r="BE88" s="116"/>
      <c r="BF88" s="116"/>
      <c r="BG88" s="116"/>
      <c r="BH88" s="116"/>
      <c r="BI88" s="116"/>
      <c r="BJ88" s="116"/>
      <c r="BK88" s="116"/>
      <c r="BL88" s="116"/>
      <c r="BM88" s="116"/>
      <c r="BN88" s="116"/>
      <c r="BO88" s="116"/>
      <c r="BP88" s="116"/>
      <c r="BQ88" s="108">
        <f t="shared" si="8"/>
        <v>0</v>
      </c>
      <c r="BR88" s="108">
        <f t="shared" si="9"/>
        <v>0</v>
      </c>
      <c r="BS88" s="11">
        <v>1.44</v>
      </c>
      <c r="BT88" s="24">
        <f t="shared" si="10"/>
        <v>273.59999999999997</v>
      </c>
      <c r="BU88" s="24">
        <v>94000</v>
      </c>
      <c r="BV88" s="18">
        <f t="shared" si="11"/>
        <v>25718399.999999996</v>
      </c>
      <c r="BW88" s="18"/>
    </row>
    <row r="89" spans="1:75" x14ac:dyDescent="0.3">
      <c r="A89" s="313"/>
      <c r="B89" s="34" t="s">
        <v>564</v>
      </c>
      <c r="C89" s="24">
        <v>228</v>
      </c>
      <c r="D89" s="119">
        <f t="shared" si="12"/>
        <v>228</v>
      </c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  <c r="AU89" s="116"/>
      <c r="AV89" s="116"/>
      <c r="AW89" s="116"/>
      <c r="AX89" s="116"/>
      <c r="AY89" s="116"/>
      <c r="AZ89" s="116"/>
      <c r="BA89" s="116"/>
      <c r="BB89" s="116"/>
      <c r="BC89" s="116"/>
      <c r="BD89" s="116"/>
      <c r="BE89" s="116"/>
      <c r="BF89" s="116"/>
      <c r="BG89" s="116"/>
      <c r="BH89" s="116"/>
      <c r="BI89" s="116"/>
      <c r="BJ89" s="116"/>
      <c r="BK89" s="116"/>
      <c r="BL89" s="116"/>
      <c r="BM89" s="116"/>
      <c r="BN89" s="116"/>
      <c r="BO89" s="116"/>
      <c r="BP89" s="116"/>
      <c r="BQ89" s="108">
        <f t="shared" si="8"/>
        <v>0</v>
      </c>
      <c r="BR89" s="108">
        <f t="shared" si="9"/>
        <v>0</v>
      </c>
      <c r="BS89" s="11">
        <v>1.44</v>
      </c>
      <c r="BT89" s="24">
        <f t="shared" si="10"/>
        <v>328.32</v>
      </c>
      <c r="BU89" s="24">
        <v>94000</v>
      </c>
      <c r="BV89" s="18">
        <f t="shared" si="11"/>
        <v>30862080</v>
      </c>
      <c r="BW89" s="18"/>
    </row>
    <row r="90" spans="1:75" x14ac:dyDescent="0.3">
      <c r="A90" s="313"/>
      <c r="B90" s="34" t="s">
        <v>567</v>
      </c>
      <c r="C90" s="24">
        <v>65</v>
      </c>
      <c r="D90" s="119">
        <f t="shared" si="12"/>
        <v>65</v>
      </c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  <c r="AU90" s="116"/>
      <c r="AV90" s="116"/>
      <c r="AW90" s="116"/>
      <c r="AX90" s="116"/>
      <c r="AY90" s="116"/>
      <c r="AZ90" s="116"/>
      <c r="BA90" s="116"/>
      <c r="BB90" s="116"/>
      <c r="BC90" s="116"/>
      <c r="BD90" s="116"/>
      <c r="BE90" s="116"/>
      <c r="BF90" s="116"/>
      <c r="BG90" s="116"/>
      <c r="BH90" s="116"/>
      <c r="BI90" s="116"/>
      <c r="BJ90" s="116"/>
      <c r="BK90" s="116"/>
      <c r="BL90" s="116"/>
      <c r="BM90" s="116"/>
      <c r="BN90" s="116"/>
      <c r="BO90" s="116"/>
      <c r="BP90" s="116"/>
      <c r="BQ90" s="108">
        <f t="shared" si="8"/>
        <v>0</v>
      </c>
      <c r="BR90" s="108">
        <f t="shared" si="9"/>
        <v>0</v>
      </c>
      <c r="BS90" s="11">
        <v>1.44</v>
      </c>
      <c r="BT90" s="24">
        <f t="shared" si="10"/>
        <v>93.6</v>
      </c>
      <c r="BU90" s="24">
        <v>79000</v>
      </c>
      <c r="BV90" s="18">
        <f t="shared" si="11"/>
        <v>7394400</v>
      </c>
      <c r="BW90" s="18"/>
    </row>
    <row r="91" spans="1:75" x14ac:dyDescent="0.3">
      <c r="A91" s="313"/>
      <c r="B91" s="34" t="s">
        <v>566</v>
      </c>
      <c r="C91" s="24">
        <v>82</v>
      </c>
      <c r="D91" s="119">
        <f t="shared" si="12"/>
        <v>82</v>
      </c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  <c r="AU91" s="116"/>
      <c r="AV91" s="116"/>
      <c r="AW91" s="116"/>
      <c r="AX91" s="116"/>
      <c r="AY91" s="116"/>
      <c r="AZ91" s="116"/>
      <c r="BA91" s="116"/>
      <c r="BB91" s="116"/>
      <c r="BC91" s="116"/>
      <c r="BD91" s="116"/>
      <c r="BE91" s="116"/>
      <c r="BF91" s="116"/>
      <c r="BG91" s="116"/>
      <c r="BH91" s="116"/>
      <c r="BI91" s="116"/>
      <c r="BJ91" s="116"/>
      <c r="BK91" s="116"/>
      <c r="BL91" s="116"/>
      <c r="BM91" s="116"/>
      <c r="BN91" s="116"/>
      <c r="BO91" s="116"/>
      <c r="BP91" s="116"/>
      <c r="BQ91" s="108">
        <f t="shared" si="8"/>
        <v>0</v>
      </c>
      <c r="BR91" s="108">
        <f t="shared" si="9"/>
        <v>0</v>
      </c>
      <c r="BS91" s="11">
        <v>1.44</v>
      </c>
      <c r="BT91" s="24">
        <f t="shared" si="10"/>
        <v>118.08</v>
      </c>
      <c r="BU91" s="24">
        <v>94000</v>
      </c>
      <c r="BV91" s="18">
        <f t="shared" si="11"/>
        <v>11099520</v>
      </c>
      <c r="BW91" s="18"/>
    </row>
    <row r="92" spans="1:75" x14ac:dyDescent="0.3">
      <c r="A92" s="313"/>
      <c r="B92" s="34" t="s">
        <v>568</v>
      </c>
      <c r="C92" s="24">
        <v>110</v>
      </c>
      <c r="D92" s="119">
        <f t="shared" si="12"/>
        <v>110</v>
      </c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  <c r="AU92" s="116"/>
      <c r="AV92" s="116"/>
      <c r="AW92" s="116"/>
      <c r="AX92" s="116"/>
      <c r="AY92" s="116"/>
      <c r="AZ92" s="116"/>
      <c r="BA92" s="116"/>
      <c r="BB92" s="116"/>
      <c r="BC92" s="116"/>
      <c r="BD92" s="116"/>
      <c r="BE92" s="116"/>
      <c r="BF92" s="116"/>
      <c r="BG92" s="116"/>
      <c r="BH92" s="116"/>
      <c r="BI92" s="116"/>
      <c r="BJ92" s="116"/>
      <c r="BK92" s="116"/>
      <c r="BL92" s="116"/>
      <c r="BM92" s="116"/>
      <c r="BN92" s="116"/>
      <c r="BO92" s="116"/>
      <c r="BP92" s="116"/>
      <c r="BQ92" s="108">
        <f t="shared" si="8"/>
        <v>0</v>
      </c>
      <c r="BR92" s="108">
        <f t="shared" si="9"/>
        <v>0</v>
      </c>
      <c r="BS92" s="11">
        <v>1.44</v>
      </c>
      <c r="BT92" s="24">
        <f t="shared" si="10"/>
        <v>158.4</v>
      </c>
      <c r="BU92" s="24">
        <v>79000</v>
      </c>
      <c r="BV92" s="18">
        <f t="shared" si="11"/>
        <v>12513600</v>
      </c>
      <c r="BW92" s="18"/>
    </row>
    <row r="93" spans="1:75" ht="17.25" customHeight="1" x14ac:dyDescent="0.3">
      <c r="A93" s="313"/>
      <c r="B93" s="34" t="s">
        <v>569</v>
      </c>
      <c r="C93" s="24">
        <v>166.75</v>
      </c>
      <c r="D93" s="119">
        <f t="shared" si="12"/>
        <v>116.75</v>
      </c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>
        <v>29</v>
      </c>
      <c r="AI93" s="116"/>
      <c r="AJ93" s="116"/>
      <c r="AK93" s="116"/>
      <c r="AL93" s="116"/>
      <c r="AM93" s="116"/>
      <c r="AN93" s="116">
        <v>24</v>
      </c>
      <c r="AO93" s="116"/>
      <c r="AP93" s="116"/>
      <c r="AQ93" s="116"/>
      <c r="AR93" s="116"/>
      <c r="AS93" s="116">
        <v>3</v>
      </c>
      <c r="AT93" s="116"/>
      <c r="AU93" s="116"/>
      <c r="AV93" s="116"/>
      <c r="AW93" s="116"/>
      <c r="AX93" s="116"/>
      <c r="AY93" s="116"/>
      <c r="AZ93" s="116"/>
      <c r="BA93" s="116"/>
      <c r="BB93" s="116"/>
      <c r="BC93" s="116"/>
      <c r="BD93" s="116"/>
      <c r="BE93" s="116"/>
      <c r="BF93" s="116"/>
      <c r="BG93" s="116"/>
      <c r="BH93" s="116"/>
      <c r="BI93" s="116"/>
      <c r="BJ93" s="116"/>
      <c r="BK93" s="116"/>
      <c r="BL93" s="116"/>
      <c r="BM93" s="116"/>
      <c r="BN93" s="116"/>
      <c r="BO93" s="116"/>
      <c r="BP93" s="116"/>
      <c r="BQ93" s="108">
        <f t="shared" si="8"/>
        <v>3</v>
      </c>
      <c r="BR93" s="108">
        <f t="shared" si="9"/>
        <v>53</v>
      </c>
      <c r="BS93" s="11">
        <v>1.44</v>
      </c>
      <c r="BT93" s="24">
        <f t="shared" si="10"/>
        <v>168.12</v>
      </c>
      <c r="BU93" s="24">
        <v>89000</v>
      </c>
      <c r="BV93" s="18">
        <f t="shared" si="11"/>
        <v>14962680</v>
      </c>
      <c r="BW93" s="18"/>
    </row>
    <row r="94" spans="1:75" ht="18" hidden="1" customHeight="1" x14ac:dyDescent="0.3">
      <c r="A94" s="313"/>
      <c r="B94" s="34" t="s">
        <v>12193</v>
      </c>
      <c r="C94" s="24">
        <v>0</v>
      </c>
      <c r="D94" s="119">
        <f t="shared" si="12"/>
        <v>0</v>
      </c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6"/>
      <c r="BL94" s="116"/>
      <c r="BM94" s="116"/>
      <c r="BN94" s="116"/>
      <c r="BO94" s="116"/>
      <c r="BP94" s="116"/>
      <c r="BQ94" s="108">
        <f t="shared" si="8"/>
        <v>0</v>
      </c>
      <c r="BR94" s="108">
        <f t="shared" si="9"/>
        <v>0</v>
      </c>
      <c r="BS94" s="11"/>
      <c r="BT94" s="24">
        <f t="shared" si="10"/>
        <v>0</v>
      </c>
      <c r="BU94" s="144"/>
      <c r="BV94" s="18">
        <f t="shared" si="11"/>
        <v>0</v>
      </c>
      <c r="BW94" s="18"/>
    </row>
    <row r="95" spans="1:75" x14ac:dyDescent="0.3">
      <c r="A95" s="313"/>
      <c r="B95" s="34" t="s">
        <v>570</v>
      </c>
      <c r="C95" s="24">
        <v>141</v>
      </c>
      <c r="D95" s="119">
        <f t="shared" si="12"/>
        <v>133</v>
      </c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>
        <v>2</v>
      </c>
      <c r="U95" s="116"/>
      <c r="V95" s="116">
        <v>1</v>
      </c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>
        <v>2</v>
      </c>
      <c r="AU95" s="116"/>
      <c r="AV95" s="116"/>
      <c r="AW95" s="116"/>
      <c r="AX95" s="116"/>
      <c r="AY95" s="116"/>
      <c r="AZ95" s="116"/>
      <c r="BA95" s="116"/>
      <c r="BB95" s="116"/>
      <c r="BC95" s="116"/>
      <c r="BD95" s="116"/>
      <c r="BE95" s="116"/>
      <c r="BF95" s="116"/>
      <c r="BG95" s="116"/>
      <c r="BH95" s="116">
        <v>2</v>
      </c>
      <c r="BI95" s="116"/>
      <c r="BJ95" s="116"/>
      <c r="BK95" s="116"/>
      <c r="BL95" s="116"/>
      <c r="BM95" s="116"/>
      <c r="BN95" s="116">
        <v>1</v>
      </c>
      <c r="BO95" s="116"/>
      <c r="BP95" s="116"/>
      <c r="BQ95" s="108">
        <f t="shared" si="8"/>
        <v>0</v>
      </c>
      <c r="BR95" s="108">
        <f t="shared" si="9"/>
        <v>8</v>
      </c>
      <c r="BS95" s="11">
        <v>1.44</v>
      </c>
      <c r="BT95" s="24">
        <f t="shared" si="10"/>
        <v>191.51999999999998</v>
      </c>
      <c r="BU95" s="24">
        <v>126000</v>
      </c>
      <c r="BV95" s="18">
        <f t="shared" si="11"/>
        <v>24131519.999999996</v>
      </c>
      <c r="BW95" s="18"/>
    </row>
    <row r="96" spans="1:75" ht="21" hidden="1" customHeight="1" x14ac:dyDescent="0.3">
      <c r="A96" s="313"/>
      <c r="B96" s="34" t="s">
        <v>571</v>
      </c>
      <c r="C96" s="24">
        <v>0</v>
      </c>
      <c r="D96" s="119">
        <f t="shared" si="12"/>
        <v>0</v>
      </c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  <c r="AU96" s="116"/>
      <c r="AV96" s="116"/>
      <c r="AW96" s="116"/>
      <c r="AX96" s="116"/>
      <c r="AY96" s="116"/>
      <c r="AZ96" s="116"/>
      <c r="BA96" s="116"/>
      <c r="BB96" s="116"/>
      <c r="BC96" s="116"/>
      <c r="BD96" s="116"/>
      <c r="BE96" s="116"/>
      <c r="BF96" s="116"/>
      <c r="BG96" s="116"/>
      <c r="BH96" s="116"/>
      <c r="BI96" s="116"/>
      <c r="BJ96" s="116"/>
      <c r="BK96" s="116"/>
      <c r="BL96" s="116"/>
      <c r="BM96" s="116"/>
      <c r="BN96" s="116"/>
      <c r="BO96" s="116"/>
      <c r="BP96" s="116"/>
      <c r="BQ96" s="108">
        <f t="shared" si="8"/>
        <v>0</v>
      </c>
      <c r="BR96" s="108">
        <f t="shared" si="9"/>
        <v>0</v>
      </c>
      <c r="BS96" s="11">
        <v>1.44</v>
      </c>
      <c r="BT96" s="24">
        <f t="shared" si="10"/>
        <v>0</v>
      </c>
      <c r="BU96" s="24">
        <v>126000</v>
      </c>
      <c r="BV96" s="18">
        <f t="shared" si="11"/>
        <v>0</v>
      </c>
      <c r="BW96" s="18"/>
    </row>
    <row r="97" spans="1:16296" x14ac:dyDescent="0.3">
      <c r="A97" s="313"/>
      <c r="B97" s="34" t="s">
        <v>572</v>
      </c>
      <c r="C97" s="24">
        <v>43</v>
      </c>
      <c r="D97" s="119">
        <f t="shared" si="12"/>
        <v>6</v>
      </c>
      <c r="E97" s="116"/>
      <c r="F97" s="116"/>
      <c r="G97" s="116"/>
      <c r="H97" s="116">
        <f>2+5</f>
        <v>7</v>
      </c>
      <c r="I97" s="116"/>
      <c r="J97" s="116">
        <v>4</v>
      </c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>
        <v>9</v>
      </c>
      <c r="AS97" s="116"/>
      <c r="AT97" s="116"/>
      <c r="AU97" s="116"/>
      <c r="AV97" s="116"/>
      <c r="AW97" s="116"/>
      <c r="AX97" s="116">
        <v>10</v>
      </c>
      <c r="AY97" s="116"/>
      <c r="AZ97" s="116"/>
      <c r="BA97" s="116"/>
      <c r="BB97" s="116"/>
      <c r="BC97" s="116"/>
      <c r="BD97" s="116"/>
      <c r="BE97" s="116"/>
      <c r="BF97" s="116">
        <v>7</v>
      </c>
      <c r="BG97" s="116"/>
      <c r="BH97" s="116"/>
      <c r="BI97" s="116"/>
      <c r="BJ97" s="116"/>
      <c r="BK97" s="116"/>
      <c r="BL97" s="116"/>
      <c r="BM97" s="116"/>
      <c r="BN97" s="116"/>
      <c r="BO97" s="116"/>
      <c r="BP97" s="116"/>
      <c r="BQ97" s="108">
        <f t="shared" si="8"/>
        <v>0</v>
      </c>
      <c r="BR97" s="108">
        <f t="shared" si="9"/>
        <v>37</v>
      </c>
      <c r="BS97" s="11">
        <v>1.44</v>
      </c>
      <c r="BT97" s="24">
        <f t="shared" si="10"/>
        <v>8.64</v>
      </c>
      <c r="BU97" s="24">
        <v>126000</v>
      </c>
      <c r="BV97" s="18">
        <f t="shared" si="11"/>
        <v>1088640</v>
      </c>
      <c r="BW97" s="18"/>
    </row>
    <row r="98" spans="1:16296" x14ac:dyDescent="0.3">
      <c r="A98" s="313"/>
      <c r="B98" s="34" t="s">
        <v>573</v>
      </c>
      <c r="C98" s="24">
        <v>15</v>
      </c>
      <c r="D98" s="119">
        <f t="shared" si="12"/>
        <v>14</v>
      </c>
      <c r="E98" s="116"/>
      <c r="F98" s="116"/>
      <c r="G98" s="116"/>
      <c r="H98" s="116">
        <v>1</v>
      </c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6"/>
      <c r="AT98" s="116"/>
      <c r="AU98" s="116"/>
      <c r="AV98" s="116"/>
      <c r="AW98" s="116"/>
      <c r="AX98" s="116"/>
      <c r="AY98" s="116"/>
      <c r="AZ98" s="116"/>
      <c r="BA98" s="116"/>
      <c r="BB98" s="116"/>
      <c r="BC98" s="116"/>
      <c r="BD98" s="116"/>
      <c r="BE98" s="116"/>
      <c r="BF98" s="116"/>
      <c r="BG98" s="116"/>
      <c r="BH98" s="116"/>
      <c r="BI98" s="116"/>
      <c r="BJ98" s="116"/>
      <c r="BK98" s="116"/>
      <c r="BL98" s="116"/>
      <c r="BM98" s="116"/>
      <c r="BN98" s="116"/>
      <c r="BO98" s="116"/>
      <c r="BP98" s="116"/>
      <c r="BQ98" s="108">
        <f t="shared" si="8"/>
        <v>0</v>
      </c>
      <c r="BR98" s="108">
        <f t="shared" si="9"/>
        <v>1</v>
      </c>
      <c r="BS98" s="11">
        <v>1.44</v>
      </c>
      <c r="BT98" s="24">
        <f t="shared" si="10"/>
        <v>20.16</v>
      </c>
      <c r="BU98" s="24">
        <v>126000</v>
      </c>
      <c r="BV98" s="18">
        <f t="shared" si="11"/>
        <v>2540160</v>
      </c>
      <c r="BW98" s="18"/>
    </row>
    <row r="99" spans="1:16296" ht="18.75" customHeight="1" x14ac:dyDescent="0.3">
      <c r="A99" s="313"/>
      <c r="B99" s="34" t="s">
        <v>574</v>
      </c>
      <c r="C99" s="24">
        <v>29</v>
      </c>
      <c r="D99" s="29">
        <f t="shared" si="12"/>
        <v>27</v>
      </c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>
        <v>2</v>
      </c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16"/>
      <c r="BD99" s="116"/>
      <c r="BE99" s="116"/>
      <c r="BF99" s="116"/>
      <c r="BG99" s="116"/>
      <c r="BH99" s="116"/>
      <c r="BI99" s="116"/>
      <c r="BJ99" s="116"/>
      <c r="BK99" s="116"/>
      <c r="BL99" s="116"/>
      <c r="BM99" s="116"/>
      <c r="BN99" s="116"/>
      <c r="BO99" s="116"/>
      <c r="BP99" s="116"/>
      <c r="BQ99" s="108">
        <f t="shared" si="8"/>
        <v>0</v>
      </c>
      <c r="BR99" s="108">
        <f t="shared" si="9"/>
        <v>2</v>
      </c>
      <c r="BS99" s="11">
        <v>1.44</v>
      </c>
      <c r="BT99" s="24">
        <f t="shared" si="10"/>
        <v>38.879999999999995</v>
      </c>
      <c r="BU99" s="24">
        <v>108000</v>
      </c>
      <c r="BV99" s="18">
        <f t="shared" si="11"/>
        <v>4199039.9999999991</v>
      </c>
      <c r="BW99" s="18"/>
    </row>
    <row r="100" spans="1:16296" x14ac:dyDescent="0.3">
      <c r="A100" s="13"/>
      <c r="B100" s="34" t="s">
        <v>12192</v>
      </c>
      <c r="C100" s="24">
        <v>171</v>
      </c>
      <c r="D100" s="119">
        <f t="shared" si="12"/>
        <v>171</v>
      </c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16"/>
      <c r="BD100" s="116"/>
      <c r="BE100" s="116"/>
      <c r="BF100" s="116"/>
      <c r="BG100" s="116"/>
      <c r="BH100" s="116"/>
      <c r="BI100" s="116"/>
      <c r="BJ100" s="116"/>
      <c r="BK100" s="116"/>
      <c r="BL100" s="116"/>
      <c r="BM100" s="116"/>
      <c r="BN100" s="116"/>
      <c r="BO100" s="116"/>
      <c r="BP100" s="116"/>
      <c r="BQ100" s="108">
        <f t="shared" si="8"/>
        <v>0</v>
      </c>
      <c r="BR100" s="108">
        <f t="shared" si="9"/>
        <v>0</v>
      </c>
      <c r="BS100" s="11"/>
      <c r="BT100" s="24">
        <f t="shared" si="10"/>
        <v>0</v>
      </c>
      <c r="BU100" s="144"/>
      <c r="BV100" s="18">
        <f t="shared" si="11"/>
        <v>0</v>
      </c>
      <c r="BW100" s="18"/>
    </row>
    <row r="101" spans="1:16296" x14ac:dyDescent="0.3">
      <c r="A101" s="313" t="s">
        <v>230</v>
      </c>
      <c r="B101" s="34" t="s">
        <v>575</v>
      </c>
      <c r="C101" s="24">
        <v>10</v>
      </c>
      <c r="D101" s="119">
        <f t="shared" si="12"/>
        <v>10</v>
      </c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  <c r="AT101" s="116"/>
      <c r="AU101" s="116"/>
      <c r="AV101" s="116"/>
      <c r="AW101" s="116"/>
      <c r="AX101" s="116"/>
      <c r="AY101" s="116"/>
      <c r="AZ101" s="116"/>
      <c r="BA101" s="116"/>
      <c r="BB101" s="116"/>
      <c r="BC101" s="116"/>
      <c r="BD101" s="116"/>
      <c r="BE101" s="116"/>
      <c r="BF101" s="116"/>
      <c r="BG101" s="116"/>
      <c r="BH101" s="116"/>
      <c r="BI101" s="116"/>
      <c r="BJ101" s="116"/>
      <c r="BK101" s="116"/>
      <c r="BL101" s="116"/>
      <c r="BM101" s="116"/>
      <c r="BN101" s="116"/>
      <c r="BO101" s="116"/>
      <c r="BP101" s="116"/>
      <c r="BQ101" s="108">
        <f t="shared" si="8"/>
        <v>0</v>
      </c>
      <c r="BR101" s="108">
        <f t="shared" si="9"/>
        <v>0</v>
      </c>
      <c r="BS101" s="11">
        <v>1.92</v>
      </c>
      <c r="BT101" s="24">
        <f t="shared" si="10"/>
        <v>19.2</v>
      </c>
      <c r="BU101" s="24">
        <v>90000</v>
      </c>
      <c r="BV101" s="18">
        <f t="shared" si="11"/>
        <v>1728000</v>
      </c>
      <c r="BW101" s="18"/>
    </row>
    <row r="102" spans="1:16296" x14ac:dyDescent="0.3">
      <c r="A102" s="313"/>
      <c r="B102" s="34" t="s">
        <v>12152</v>
      </c>
      <c r="C102" s="24">
        <v>97</v>
      </c>
      <c r="D102" s="119">
        <f t="shared" si="12"/>
        <v>36</v>
      </c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>
        <v>63</v>
      </c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  <c r="AU102" s="116"/>
      <c r="AV102" s="116"/>
      <c r="AW102" s="116"/>
      <c r="AX102" s="116"/>
      <c r="AY102" s="116"/>
      <c r="AZ102" s="116"/>
      <c r="BA102" s="116"/>
      <c r="BB102" s="116"/>
      <c r="BC102" s="116"/>
      <c r="BD102" s="116"/>
      <c r="BE102" s="116"/>
      <c r="BF102" s="116"/>
      <c r="BG102" s="116"/>
      <c r="BH102" s="116"/>
      <c r="BI102" s="116">
        <v>2</v>
      </c>
      <c r="BJ102" s="116"/>
      <c r="BK102" s="116"/>
      <c r="BL102" s="116"/>
      <c r="BM102" s="116"/>
      <c r="BN102" s="116"/>
      <c r="BO102" s="116"/>
      <c r="BP102" s="116"/>
      <c r="BQ102" s="108">
        <f t="shared" si="8"/>
        <v>2</v>
      </c>
      <c r="BR102" s="108">
        <f t="shared" si="9"/>
        <v>63</v>
      </c>
      <c r="BS102" s="11">
        <v>1.92</v>
      </c>
      <c r="BT102" s="24">
        <f t="shared" si="10"/>
        <v>69.12</v>
      </c>
      <c r="BU102" s="24">
        <v>103000</v>
      </c>
      <c r="BV102" s="18">
        <f t="shared" si="11"/>
        <v>7119360.0000000009</v>
      </c>
      <c r="BW102" s="18"/>
    </row>
    <row r="103" spans="1:16296" x14ac:dyDescent="0.3">
      <c r="A103" s="313"/>
      <c r="B103" s="34" t="s">
        <v>2059</v>
      </c>
      <c r="C103" s="24">
        <v>12</v>
      </c>
      <c r="D103" s="119">
        <f t="shared" si="12"/>
        <v>12</v>
      </c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116"/>
      <c r="AV103" s="116"/>
      <c r="AW103" s="116"/>
      <c r="AX103" s="116"/>
      <c r="AY103" s="116"/>
      <c r="AZ103" s="116"/>
      <c r="BA103" s="116"/>
      <c r="BB103" s="116"/>
      <c r="BC103" s="116"/>
      <c r="BD103" s="116"/>
      <c r="BE103" s="116"/>
      <c r="BF103" s="116"/>
      <c r="BG103" s="116"/>
      <c r="BH103" s="116"/>
      <c r="BI103" s="116"/>
      <c r="BJ103" s="116"/>
      <c r="BK103" s="116"/>
      <c r="BL103" s="116"/>
      <c r="BM103" s="116"/>
      <c r="BN103" s="116"/>
      <c r="BO103" s="116"/>
      <c r="BP103" s="116"/>
      <c r="BQ103" s="108">
        <f t="shared" si="8"/>
        <v>0</v>
      </c>
      <c r="BR103" s="108">
        <f t="shared" si="9"/>
        <v>0</v>
      </c>
      <c r="BS103" s="11">
        <v>1.92</v>
      </c>
      <c r="BT103" s="24">
        <f t="shared" si="10"/>
        <v>23.04</v>
      </c>
      <c r="BU103" s="24">
        <v>108000</v>
      </c>
      <c r="BV103" s="18">
        <f t="shared" si="11"/>
        <v>2488320</v>
      </c>
      <c r="BW103" s="18"/>
    </row>
    <row r="104" spans="1:16296" x14ac:dyDescent="0.3">
      <c r="A104" s="313"/>
      <c r="B104" s="34" t="s">
        <v>577</v>
      </c>
      <c r="C104" s="24">
        <v>8</v>
      </c>
      <c r="D104" s="119">
        <f t="shared" si="12"/>
        <v>8</v>
      </c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6"/>
      <c r="AU104" s="116"/>
      <c r="AV104" s="116"/>
      <c r="AW104" s="116"/>
      <c r="AX104" s="116"/>
      <c r="AY104" s="116"/>
      <c r="AZ104" s="116"/>
      <c r="BA104" s="116"/>
      <c r="BB104" s="116"/>
      <c r="BC104" s="116"/>
      <c r="BD104" s="116"/>
      <c r="BE104" s="116"/>
      <c r="BF104" s="116"/>
      <c r="BG104" s="116"/>
      <c r="BH104" s="116"/>
      <c r="BI104" s="116"/>
      <c r="BJ104" s="116"/>
      <c r="BK104" s="116"/>
      <c r="BL104" s="116"/>
      <c r="BM104" s="116"/>
      <c r="BN104" s="116"/>
      <c r="BO104" s="116"/>
      <c r="BP104" s="116"/>
      <c r="BQ104" s="108">
        <f t="shared" si="8"/>
        <v>0</v>
      </c>
      <c r="BR104" s="108">
        <f t="shared" si="9"/>
        <v>0</v>
      </c>
      <c r="BS104" s="11">
        <v>1.92</v>
      </c>
      <c r="BT104" s="24">
        <f t="shared" si="10"/>
        <v>15.36</v>
      </c>
      <c r="BU104" s="24">
        <v>113000</v>
      </c>
      <c r="BV104" s="18">
        <f t="shared" si="11"/>
        <v>1735680</v>
      </c>
      <c r="BW104" s="1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/>
      <c r="AHA104" s="1"/>
      <c r="AHB104" s="1"/>
      <c r="AHC104" s="1"/>
      <c r="AHD104" s="1"/>
      <c r="AHE104" s="1"/>
      <c r="AHF104" s="1"/>
      <c r="AHG104" s="1"/>
      <c r="AHH104" s="1"/>
      <c r="AHI104" s="1"/>
      <c r="AHJ104" s="1"/>
      <c r="AHK104" s="1"/>
      <c r="AHL104" s="1"/>
      <c r="AHM104" s="1"/>
      <c r="AHN104" s="1"/>
      <c r="AHO104" s="1"/>
      <c r="AHP104" s="1"/>
      <c r="AHQ104" s="1"/>
      <c r="AHR104" s="1"/>
      <c r="AHS104" s="1"/>
      <c r="AHT104" s="1"/>
      <c r="AHU104" s="1"/>
      <c r="AHV104" s="1"/>
      <c r="AHW104" s="1"/>
      <c r="AHX104" s="1"/>
      <c r="AHY104" s="1"/>
      <c r="AHZ104" s="1"/>
      <c r="AIA104" s="1"/>
      <c r="AIB104" s="1"/>
      <c r="AIC104" s="1"/>
      <c r="AID104" s="1"/>
      <c r="AIE104" s="1"/>
      <c r="AIF104" s="1"/>
      <c r="AIG104" s="1"/>
      <c r="AIH104" s="1"/>
      <c r="AII104" s="1"/>
      <c r="AIJ104" s="1"/>
      <c r="AIK104" s="1"/>
      <c r="AIL104" s="1"/>
      <c r="AIM104" s="1"/>
      <c r="AIN104" s="1"/>
      <c r="AIO104" s="1"/>
      <c r="AIP104" s="1"/>
      <c r="AIQ104" s="1"/>
      <c r="AIR104" s="1"/>
      <c r="AIS104" s="1"/>
      <c r="AIT104" s="1"/>
      <c r="AIU104" s="1"/>
      <c r="AIV104" s="1"/>
      <c r="AIW104" s="1"/>
      <c r="AIX104" s="1"/>
      <c r="AIY104" s="1"/>
      <c r="AIZ104" s="1"/>
      <c r="AJA104" s="1"/>
      <c r="AJB104" s="1"/>
      <c r="AJC104" s="1"/>
      <c r="AJD104" s="1"/>
      <c r="AJE104" s="1"/>
      <c r="AJF104" s="1"/>
      <c r="AJG104" s="1"/>
      <c r="AJH104" s="1"/>
      <c r="AJI104" s="1"/>
      <c r="AJJ104" s="1"/>
      <c r="AJK104" s="1"/>
      <c r="AJL104" s="1"/>
      <c r="AJM104" s="1"/>
      <c r="AJN104" s="1"/>
      <c r="AJO104" s="1"/>
      <c r="AJP104" s="1"/>
      <c r="AJQ104" s="1"/>
      <c r="AJR104" s="1"/>
      <c r="AJS104" s="1"/>
      <c r="AJT104" s="1"/>
      <c r="AJU104" s="1"/>
      <c r="AJV104" s="1"/>
      <c r="AJW104" s="1"/>
      <c r="AJX104" s="1"/>
      <c r="AJY104" s="1"/>
      <c r="AJZ104" s="1"/>
      <c r="AKA104" s="1"/>
      <c r="AKB104" s="1"/>
      <c r="AKC104" s="1"/>
      <c r="AKD104" s="1"/>
      <c r="AKE104" s="1"/>
      <c r="AKF104" s="1"/>
      <c r="AKG104" s="1"/>
      <c r="AKH104" s="1"/>
      <c r="AKI104" s="1"/>
      <c r="AKJ104" s="1"/>
      <c r="AKK104" s="1"/>
      <c r="AKL104" s="1"/>
      <c r="AKM104" s="1"/>
      <c r="AKN104" s="1"/>
      <c r="AKO104" s="1"/>
      <c r="AKP104" s="1"/>
      <c r="AKQ104" s="1"/>
      <c r="AKR104" s="1"/>
      <c r="AKS104" s="1"/>
      <c r="AKT104" s="1"/>
      <c r="AKU104" s="1"/>
      <c r="AKV104" s="1"/>
      <c r="AKW104" s="1"/>
      <c r="AKX104" s="1"/>
      <c r="AKY104" s="1"/>
      <c r="AKZ104" s="1"/>
      <c r="ALA104" s="1"/>
      <c r="ALB104" s="1"/>
      <c r="ALC104" s="1"/>
      <c r="ALD104" s="1"/>
      <c r="ALE104" s="1"/>
      <c r="ALF104" s="1"/>
      <c r="ALG104" s="1"/>
      <c r="ALH104" s="1"/>
      <c r="ALI104" s="1"/>
      <c r="ALJ104" s="1"/>
      <c r="ALK104" s="1"/>
      <c r="ALL104" s="1"/>
      <c r="ALM104" s="1"/>
      <c r="ALN104" s="1"/>
      <c r="ALO104" s="1"/>
      <c r="ALP104" s="1"/>
      <c r="ALQ104" s="1"/>
      <c r="ALR104" s="1"/>
      <c r="ALS104" s="1"/>
      <c r="ALT104" s="1"/>
      <c r="ALU104" s="1"/>
      <c r="ALV104" s="1"/>
      <c r="ALW104" s="1"/>
      <c r="ALX104" s="1"/>
      <c r="ALY104" s="1"/>
      <c r="ALZ104" s="1"/>
      <c r="AMA104" s="1"/>
      <c r="AMB104" s="1"/>
      <c r="AMC104" s="1"/>
      <c r="AMD104" s="1"/>
      <c r="AME104" s="1"/>
      <c r="AMF104" s="1"/>
      <c r="AMG104" s="1"/>
      <c r="AMH104" s="1"/>
      <c r="AMI104" s="1"/>
      <c r="AMJ104" s="1"/>
      <c r="AMK104" s="1"/>
      <c r="AML104" s="1"/>
      <c r="AMM104" s="1"/>
      <c r="AMN104" s="1"/>
      <c r="AMO104" s="1"/>
      <c r="AMP104" s="1"/>
      <c r="AMQ104" s="1"/>
      <c r="AMR104" s="1"/>
      <c r="AMS104" s="1"/>
      <c r="AMT104" s="1"/>
      <c r="AMU104" s="1"/>
      <c r="AMV104" s="1"/>
      <c r="AMW104" s="1"/>
      <c r="AMX104" s="1"/>
      <c r="AMY104" s="1"/>
      <c r="AMZ104" s="1"/>
      <c r="ANA104" s="1"/>
      <c r="ANB104" s="1"/>
      <c r="ANC104" s="1"/>
      <c r="AND104" s="1"/>
      <c r="ANE104" s="1"/>
      <c r="ANF104" s="1"/>
      <c r="ANG104" s="1"/>
      <c r="ANH104" s="1"/>
      <c r="ANI104" s="1"/>
      <c r="ANJ104" s="1"/>
      <c r="ANK104" s="1"/>
      <c r="ANL104" s="1"/>
      <c r="ANM104" s="1"/>
      <c r="ANN104" s="1"/>
      <c r="ANO104" s="1"/>
      <c r="ANP104" s="1"/>
      <c r="ANQ104" s="1"/>
      <c r="ANR104" s="1"/>
      <c r="ANS104" s="1"/>
      <c r="ANT104" s="1"/>
      <c r="ANU104" s="1"/>
      <c r="ANV104" s="1"/>
      <c r="ANW104" s="1"/>
      <c r="ANX104" s="1"/>
      <c r="ANY104" s="1"/>
      <c r="ANZ104" s="1"/>
      <c r="AOA104" s="1"/>
      <c r="AOB104" s="1"/>
      <c r="AOC104" s="1"/>
      <c r="AOD104" s="1"/>
      <c r="AOE104" s="1"/>
      <c r="AOF104" s="1"/>
      <c r="AOG104" s="1"/>
      <c r="AOH104" s="1"/>
      <c r="AOI104" s="1"/>
      <c r="AOJ104" s="1"/>
      <c r="AOK104" s="1"/>
      <c r="AOL104" s="1"/>
      <c r="AOM104" s="1"/>
      <c r="AON104" s="1"/>
      <c r="AOO104" s="1"/>
      <c r="AOP104" s="1"/>
      <c r="AOQ104" s="1"/>
      <c r="AOR104" s="1"/>
      <c r="AOS104" s="1"/>
      <c r="AOT104" s="1"/>
      <c r="AOU104" s="1"/>
      <c r="AOV104" s="1"/>
      <c r="AOW104" s="1"/>
      <c r="AOX104" s="1"/>
      <c r="AOY104" s="1"/>
      <c r="AOZ104" s="1"/>
      <c r="APA104" s="1"/>
      <c r="APB104" s="1"/>
      <c r="APC104" s="1"/>
      <c r="APD104" s="1"/>
      <c r="APE104" s="1"/>
      <c r="APF104" s="1"/>
      <c r="APG104" s="1"/>
      <c r="APH104" s="1"/>
      <c r="API104" s="1"/>
      <c r="APJ104" s="1"/>
      <c r="APK104" s="1"/>
      <c r="APL104" s="1"/>
      <c r="APM104" s="1"/>
      <c r="APN104" s="1"/>
      <c r="APO104" s="1"/>
      <c r="APP104" s="1"/>
      <c r="APQ104" s="1"/>
      <c r="APR104" s="1"/>
      <c r="APS104" s="1"/>
      <c r="APT104" s="1"/>
      <c r="APU104" s="1"/>
      <c r="APV104" s="1"/>
      <c r="APW104" s="1"/>
      <c r="APX104" s="1"/>
      <c r="APY104" s="1"/>
      <c r="APZ104" s="1"/>
      <c r="AQA104" s="1"/>
      <c r="AQB104" s="1"/>
      <c r="AQC104" s="1"/>
      <c r="AQD104" s="1"/>
      <c r="AQE104" s="1"/>
      <c r="AQF104" s="1"/>
      <c r="AQG104" s="1"/>
      <c r="AQH104" s="1"/>
      <c r="AQI104" s="1"/>
      <c r="AQJ104" s="1"/>
      <c r="AQK104" s="1"/>
      <c r="AQL104" s="1"/>
      <c r="AQM104" s="1"/>
      <c r="AQN104" s="1"/>
      <c r="AQO104" s="1"/>
      <c r="AQP104" s="1"/>
      <c r="AQQ104" s="1"/>
      <c r="AQR104" s="1"/>
      <c r="AQS104" s="1"/>
      <c r="AQT104" s="1"/>
      <c r="AQU104" s="1"/>
      <c r="AQV104" s="1"/>
      <c r="AQW104" s="1"/>
      <c r="AQX104" s="1"/>
      <c r="AQY104" s="1"/>
      <c r="AQZ104" s="1"/>
      <c r="ARA104" s="1"/>
      <c r="ARB104" s="1"/>
      <c r="ARC104" s="1"/>
      <c r="ARD104" s="1"/>
      <c r="ARE104" s="1"/>
      <c r="ARF104" s="1"/>
      <c r="ARG104" s="1"/>
      <c r="ARH104" s="1"/>
      <c r="ARI104" s="1"/>
      <c r="ARJ104" s="1"/>
      <c r="ARK104" s="1"/>
      <c r="ARL104" s="1"/>
      <c r="ARM104" s="1"/>
      <c r="ARN104" s="1"/>
      <c r="ARO104" s="1"/>
      <c r="ARP104" s="1"/>
      <c r="ARQ104" s="1"/>
      <c r="ARR104" s="1"/>
      <c r="ARS104" s="1"/>
      <c r="ART104" s="1"/>
      <c r="ARU104" s="1"/>
      <c r="ARV104" s="1"/>
      <c r="ARW104" s="1"/>
      <c r="ARX104" s="1"/>
      <c r="ARY104" s="1"/>
      <c r="ARZ104" s="1"/>
      <c r="ASA104" s="1"/>
      <c r="ASB104" s="1"/>
      <c r="ASC104" s="1"/>
      <c r="ASD104" s="1"/>
      <c r="ASE104" s="1"/>
      <c r="ASF104" s="1"/>
      <c r="ASG104" s="1"/>
      <c r="ASH104" s="1"/>
      <c r="ASI104" s="1"/>
      <c r="ASJ104" s="1"/>
      <c r="ASK104" s="1"/>
      <c r="ASL104" s="1"/>
      <c r="ASM104" s="1"/>
      <c r="ASN104" s="1"/>
      <c r="ASO104" s="1"/>
      <c r="ASP104" s="1"/>
      <c r="ASQ104" s="1"/>
      <c r="ASR104" s="1"/>
      <c r="ASS104" s="1"/>
      <c r="AST104" s="1"/>
      <c r="ASU104" s="1"/>
      <c r="ASV104" s="1"/>
      <c r="ASW104" s="1"/>
      <c r="ASX104" s="1"/>
      <c r="ASY104" s="1"/>
      <c r="ASZ104" s="1"/>
      <c r="ATA104" s="1"/>
      <c r="ATB104" s="1"/>
      <c r="ATC104" s="1"/>
      <c r="ATD104" s="1"/>
      <c r="ATE104" s="1"/>
      <c r="ATF104" s="1"/>
      <c r="ATG104" s="1"/>
      <c r="ATH104" s="1"/>
      <c r="ATI104" s="1"/>
      <c r="ATJ104" s="1"/>
      <c r="ATK104" s="1"/>
      <c r="ATL104" s="1"/>
      <c r="ATM104" s="1"/>
      <c r="ATN104" s="1"/>
      <c r="ATO104" s="1"/>
      <c r="ATP104" s="1"/>
      <c r="ATQ104" s="1"/>
      <c r="ATR104" s="1"/>
      <c r="ATS104" s="1"/>
      <c r="ATT104" s="1"/>
      <c r="ATU104" s="1"/>
      <c r="ATV104" s="1"/>
      <c r="ATW104" s="1"/>
      <c r="ATX104" s="1"/>
      <c r="ATY104" s="1"/>
      <c r="ATZ104" s="1"/>
      <c r="AUA104" s="1"/>
      <c r="AUB104" s="1"/>
      <c r="AUC104" s="1"/>
      <c r="AUD104" s="1"/>
      <c r="AUE104" s="1"/>
      <c r="AUF104" s="1"/>
      <c r="AUG104" s="1"/>
      <c r="AUH104" s="1"/>
      <c r="AUI104" s="1"/>
      <c r="AUJ104" s="1"/>
      <c r="AUK104" s="1"/>
      <c r="AUL104" s="1"/>
      <c r="AUM104" s="1"/>
      <c r="AUN104" s="1"/>
      <c r="AUO104" s="1"/>
      <c r="AUP104" s="1"/>
      <c r="AUQ104" s="1"/>
      <c r="AUR104" s="1"/>
      <c r="AUS104" s="1"/>
      <c r="AUT104" s="1"/>
      <c r="AUU104" s="1"/>
      <c r="AUV104" s="1"/>
      <c r="AUW104" s="1"/>
      <c r="AUX104" s="1"/>
      <c r="AUY104" s="1"/>
      <c r="AUZ104" s="1"/>
      <c r="AVA104" s="1"/>
      <c r="AVB104" s="1"/>
      <c r="AVC104" s="1"/>
      <c r="AVD104" s="1"/>
      <c r="AVE104" s="1"/>
      <c r="AVF104" s="1"/>
      <c r="AVG104" s="1"/>
      <c r="AVH104" s="1"/>
      <c r="AVI104" s="1"/>
      <c r="AVJ104" s="1"/>
      <c r="AVK104" s="1"/>
      <c r="AVL104" s="1"/>
      <c r="AVM104" s="1"/>
      <c r="AVN104" s="1"/>
      <c r="AVO104" s="1"/>
      <c r="AVP104" s="1"/>
      <c r="AVQ104" s="1"/>
      <c r="AVR104" s="1"/>
      <c r="AVS104" s="1"/>
      <c r="AVT104" s="1"/>
      <c r="AVU104" s="1"/>
      <c r="AVV104" s="1"/>
      <c r="AVW104" s="1"/>
      <c r="AVX104" s="1"/>
      <c r="AVY104" s="1"/>
      <c r="AVZ104" s="1"/>
      <c r="AWA104" s="1"/>
      <c r="AWB104" s="1"/>
      <c r="AWC104" s="1"/>
      <c r="AWD104" s="1"/>
      <c r="AWE104" s="1"/>
      <c r="AWF104" s="1"/>
      <c r="AWG104" s="1"/>
      <c r="AWH104" s="1"/>
      <c r="AWI104" s="1"/>
      <c r="AWJ104" s="1"/>
      <c r="AWK104" s="1"/>
      <c r="AWL104" s="1"/>
      <c r="AWM104" s="1"/>
      <c r="AWN104" s="1"/>
      <c r="AWO104" s="1"/>
      <c r="AWP104" s="1"/>
      <c r="AWQ104" s="1"/>
      <c r="AWR104" s="1"/>
      <c r="AWS104" s="1"/>
      <c r="AWT104" s="1"/>
      <c r="AWU104" s="1"/>
      <c r="AWV104" s="1"/>
      <c r="AWW104" s="1"/>
      <c r="AWX104" s="1"/>
      <c r="AWY104" s="1"/>
      <c r="AWZ104" s="1"/>
      <c r="AXA104" s="1"/>
      <c r="AXB104" s="1"/>
      <c r="AXC104" s="1"/>
      <c r="AXD104" s="1"/>
      <c r="AXE104" s="1"/>
      <c r="AXF104" s="1"/>
      <c r="AXG104" s="1"/>
      <c r="AXH104" s="1"/>
      <c r="AXI104" s="1"/>
      <c r="AXJ104" s="1"/>
      <c r="AXK104" s="1"/>
      <c r="AXL104" s="1"/>
      <c r="AXM104" s="1"/>
      <c r="AXN104" s="1"/>
      <c r="AXO104" s="1"/>
      <c r="AXP104" s="1"/>
      <c r="AXQ104" s="1"/>
      <c r="AXR104" s="1"/>
      <c r="AXS104" s="1"/>
      <c r="AXT104" s="1"/>
      <c r="AXU104" s="1"/>
      <c r="AXV104" s="1"/>
      <c r="AXW104" s="1"/>
      <c r="AXX104" s="1"/>
      <c r="AXY104" s="1"/>
      <c r="AXZ104" s="1"/>
      <c r="AYA104" s="1"/>
      <c r="AYB104" s="1"/>
      <c r="AYC104" s="1"/>
      <c r="AYD104" s="1"/>
      <c r="AYE104" s="1"/>
      <c r="AYF104" s="1"/>
      <c r="AYG104" s="1"/>
      <c r="AYH104" s="1"/>
      <c r="AYI104" s="1"/>
      <c r="AYJ104" s="1"/>
      <c r="AYK104" s="1"/>
      <c r="AYL104" s="1"/>
      <c r="AYM104" s="1"/>
      <c r="AYN104" s="1"/>
      <c r="AYO104" s="1"/>
      <c r="AYP104" s="1"/>
      <c r="AYQ104" s="1"/>
      <c r="AYR104" s="1"/>
      <c r="AYS104" s="1"/>
      <c r="AYT104" s="1"/>
      <c r="AYU104" s="1"/>
      <c r="AYV104" s="1"/>
      <c r="AYW104" s="1"/>
      <c r="AYX104" s="1"/>
      <c r="AYY104" s="1"/>
      <c r="AYZ104" s="1"/>
      <c r="AZA104" s="1"/>
      <c r="AZB104" s="1"/>
      <c r="AZC104" s="1"/>
      <c r="AZD104" s="1"/>
      <c r="AZE104" s="1"/>
      <c r="AZF104" s="1"/>
      <c r="AZG104" s="1"/>
      <c r="AZH104" s="1"/>
      <c r="AZI104" s="1"/>
      <c r="AZJ104" s="1"/>
      <c r="AZK104" s="1"/>
      <c r="AZL104" s="1"/>
      <c r="AZM104" s="1"/>
      <c r="AZN104" s="1"/>
      <c r="AZO104" s="1"/>
      <c r="AZP104" s="1"/>
      <c r="AZQ104" s="1"/>
      <c r="AZR104" s="1"/>
      <c r="AZS104" s="1"/>
      <c r="AZT104" s="1"/>
      <c r="AZU104" s="1"/>
      <c r="AZV104" s="1"/>
      <c r="AZW104" s="1"/>
      <c r="AZX104" s="1"/>
      <c r="AZY104" s="1"/>
      <c r="AZZ104" s="1"/>
      <c r="BAA104" s="1"/>
      <c r="BAB104" s="1"/>
      <c r="BAC104" s="1"/>
      <c r="BAD104" s="1"/>
      <c r="BAE104" s="1"/>
      <c r="BAF104" s="1"/>
      <c r="BAG104" s="1"/>
      <c r="BAH104" s="1"/>
      <c r="BAI104" s="1"/>
      <c r="BAJ104" s="1"/>
      <c r="BAK104" s="1"/>
      <c r="BAL104" s="1"/>
      <c r="BAM104" s="1"/>
      <c r="BAN104" s="1"/>
      <c r="BAO104" s="1"/>
      <c r="BAP104" s="1"/>
      <c r="BAQ104" s="1"/>
      <c r="BAR104" s="1"/>
      <c r="BAS104" s="1"/>
      <c r="BAT104" s="1"/>
      <c r="BAU104" s="1"/>
      <c r="BAV104" s="1"/>
      <c r="BAW104" s="1"/>
      <c r="BAX104" s="1"/>
      <c r="BAY104" s="1"/>
      <c r="BAZ104" s="1"/>
      <c r="BBA104" s="1"/>
      <c r="BBB104" s="1"/>
      <c r="BBC104" s="1"/>
      <c r="BBD104" s="1"/>
      <c r="BBE104" s="1"/>
      <c r="BBF104" s="1"/>
      <c r="BBG104" s="1"/>
      <c r="BBH104" s="1"/>
      <c r="BBI104" s="1"/>
      <c r="BBJ104" s="1"/>
      <c r="BBK104" s="1"/>
      <c r="BBL104" s="1"/>
      <c r="BBM104" s="1"/>
      <c r="BBN104" s="1"/>
      <c r="BBO104" s="1"/>
      <c r="BBP104" s="1"/>
      <c r="BBQ104" s="1"/>
      <c r="BBR104" s="1"/>
      <c r="BBS104" s="1"/>
      <c r="BBT104" s="1"/>
      <c r="BBU104" s="1"/>
      <c r="BBV104" s="1"/>
      <c r="BBW104" s="1"/>
      <c r="BBX104" s="1"/>
      <c r="BBY104" s="1"/>
      <c r="BBZ104" s="1"/>
      <c r="BCA104" s="1"/>
      <c r="BCB104" s="1"/>
      <c r="BCC104" s="1"/>
      <c r="BCD104" s="1"/>
      <c r="BCE104" s="1"/>
      <c r="BCF104" s="1"/>
      <c r="BCG104" s="1"/>
      <c r="BCH104" s="1"/>
      <c r="BCI104" s="1"/>
      <c r="BCJ104" s="1"/>
      <c r="BCK104" s="1"/>
      <c r="BCL104" s="1"/>
      <c r="BCM104" s="1"/>
      <c r="BCN104" s="1"/>
      <c r="BCO104" s="1"/>
      <c r="BCP104" s="1"/>
      <c r="BCQ104" s="1"/>
      <c r="BCR104" s="1"/>
      <c r="BCS104" s="1"/>
      <c r="BCT104" s="1"/>
      <c r="BCU104" s="1"/>
      <c r="BCV104" s="1"/>
      <c r="BCW104" s="1"/>
      <c r="BCX104" s="1"/>
      <c r="BCY104" s="1"/>
      <c r="BCZ104" s="1"/>
      <c r="BDA104" s="1"/>
      <c r="BDB104" s="1"/>
      <c r="BDC104" s="1"/>
      <c r="BDD104" s="1"/>
      <c r="BDE104" s="1"/>
      <c r="BDF104" s="1"/>
      <c r="BDG104" s="1"/>
      <c r="BDH104" s="1"/>
      <c r="BDI104" s="1"/>
      <c r="BDJ104" s="1"/>
      <c r="BDK104" s="1"/>
      <c r="BDL104" s="1"/>
      <c r="BDM104" s="1"/>
      <c r="BDN104" s="1"/>
      <c r="BDO104" s="1"/>
      <c r="BDP104" s="1"/>
      <c r="BDQ104" s="1"/>
      <c r="BDR104" s="1"/>
      <c r="BDS104" s="1"/>
      <c r="BDT104" s="1"/>
      <c r="BDU104" s="1"/>
      <c r="BDV104" s="1"/>
      <c r="BDW104" s="1"/>
      <c r="BDX104" s="1"/>
      <c r="BDY104" s="1"/>
      <c r="BDZ104" s="1"/>
      <c r="BEA104" s="1"/>
      <c r="BEB104" s="1"/>
      <c r="BEC104" s="1"/>
      <c r="BED104" s="1"/>
      <c r="BEE104" s="1"/>
      <c r="BEF104" s="1"/>
      <c r="BEG104" s="1"/>
      <c r="BEH104" s="1"/>
      <c r="BEI104" s="1"/>
      <c r="BEJ104" s="1"/>
      <c r="BEK104" s="1"/>
      <c r="BEL104" s="1"/>
      <c r="BEM104" s="1"/>
      <c r="BEN104" s="1"/>
      <c r="BEO104" s="1"/>
      <c r="BEP104" s="1"/>
      <c r="BEQ104" s="1"/>
      <c r="BER104" s="1"/>
      <c r="BES104" s="1"/>
      <c r="BET104" s="1"/>
      <c r="BEU104" s="1"/>
      <c r="BEV104" s="1"/>
      <c r="BEW104" s="1"/>
      <c r="BEX104" s="1"/>
      <c r="BEY104" s="1"/>
      <c r="BEZ104" s="1"/>
      <c r="BFA104" s="1"/>
      <c r="BFB104" s="1"/>
      <c r="BFC104" s="1"/>
      <c r="BFD104" s="1"/>
      <c r="BFE104" s="1"/>
      <c r="BFF104" s="1"/>
      <c r="BFG104" s="1"/>
      <c r="BFH104" s="1"/>
      <c r="BFI104" s="1"/>
      <c r="BFJ104" s="1"/>
      <c r="BFK104" s="1"/>
      <c r="BFL104" s="1"/>
      <c r="BFM104" s="1"/>
      <c r="BFN104" s="1"/>
      <c r="BFO104" s="1"/>
      <c r="BFP104" s="1"/>
      <c r="BFQ104" s="1"/>
      <c r="BFR104" s="1"/>
      <c r="BFS104" s="1"/>
      <c r="BFT104" s="1"/>
      <c r="BFU104" s="1"/>
      <c r="BFV104" s="1"/>
      <c r="BFW104" s="1"/>
      <c r="BFX104" s="1"/>
      <c r="BFY104" s="1"/>
      <c r="BFZ104" s="1"/>
      <c r="BGA104" s="1"/>
      <c r="BGB104" s="1"/>
      <c r="BGC104" s="1"/>
      <c r="BGD104" s="1"/>
      <c r="BGE104" s="1"/>
      <c r="BGF104" s="1"/>
      <c r="BGG104" s="1"/>
      <c r="BGH104" s="1"/>
      <c r="BGI104" s="1"/>
      <c r="BGJ104" s="1"/>
      <c r="BGK104" s="1"/>
      <c r="BGL104" s="1"/>
      <c r="BGM104" s="1"/>
      <c r="BGN104" s="1"/>
      <c r="BGO104" s="1"/>
      <c r="BGP104" s="1"/>
      <c r="BGQ104" s="1"/>
      <c r="BGR104" s="1"/>
      <c r="BGS104" s="1"/>
      <c r="BGT104" s="1"/>
      <c r="BGU104" s="1"/>
      <c r="BGV104" s="1"/>
      <c r="BGW104" s="1"/>
      <c r="BGX104" s="1"/>
      <c r="BGY104" s="1"/>
      <c r="BGZ104" s="1"/>
      <c r="BHA104" s="1"/>
      <c r="BHB104" s="1"/>
      <c r="BHC104" s="1"/>
      <c r="BHD104" s="1"/>
      <c r="BHE104" s="1"/>
      <c r="BHF104" s="1"/>
      <c r="BHG104" s="1"/>
      <c r="BHH104" s="1"/>
      <c r="BHI104" s="1"/>
      <c r="BHJ104" s="1"/>
      <c r="BHK104" s="1"/>
      <c r="BHL104" s="1"/>
      <c r="BHM104" s="1"/>
      <c r="BHN104" s="1"/>
      <c r="BHO104" s="1"/>
      <c r="BHP104" s="1"/>
      <c r="BHQ104" s="1"/>
      <c r="BHR104" s="1"/>
      <c r="BHS104" s="1"/>
      <c r="BHT104" s="1"/>
      <c r="BHU104" s="1"/>
      <c r="BHV104" s="1"/>
      <c r="BHW104" s="1"/>
      <c r="BHX104" s="1"/>
      <c r="BHY104" s="1"/>
      <c r="BHZ104" s="1"/>
      <c r="BIA104" s="1"/>
      <c r="BIB104" s="1"/>
      <c r="BIC104" s="1"/>
      <c r="BID104" s="1"/>
      <c r="BIE104" s="1"/>
      <c r="BIF104" s="1"/>
      <c r="BIG104" s="1"/>
      <c r="BIH104" s="1"/>
      <c r="BII104" s="1"/>
      <c r="BIJ104" s="1"/>
      <c r="BIK104" s="1"/>
      <c r="BIL104" s="1"/>
      <c r="BIM104" s="1"/>
      <c r="BIN104" s="1"/>
      <c r="BIO104" s="1"/>
      <c r="BIP104" s="1"/>
      <c r="BIQ104" s="1"/>
      <c r="BIR104" s="1"/>
      <c r="BIS104" s="1"/>
      <c r="BIT104" s="1"/>
      <c r="BIU104" s="1"/>
      <c r="BIV104" s="1"/>
      <c r="BIW104" s="1"/>
      <c r="BIX104" s="1"/>
      <c r="BIY104" s="1"/>
      <c r="BIZ104" s="1"/>
      <c r="BJA104" s="1"/>
      <c r="BJB104" s="1"/>
      <c r="BJC104" s="1"/>
      <c r="BJD104" s="1"/>
      <c r="BJE104" s="1"/>
      <c r="BJF104" s="1"/>
      <c r="BJG104" s="1"/>
      <c r="BJH104" s="1"/>
      <c r="BJI104" s="1"/>
      <c r="BJJ104" s="1"/>
      <c r="BJK104" s="1"/>
      <c r="BJL104" s="1"/>
      <c r="BJM104" s="1"/>
      <c r="BJN104" s="1"/>
      <c r="BJO104" s="1"/>
      <c r="BJP104" s="1"/>
      <c r="BJQ104" s="1"/>
      <c r="BJR104" s="1"/>
      <c r="BJS104" s="1"/>
      <c r="BJT104" s="1"/>
      <c r="BJU104" s="1"/>
      <c r="BJV104" s="1"/>
      <c r="BJW104" s="1"/>
      <c r="BJX104" s="1"/>
      <c r="BJY104" s="1"/>
      <c r="BJZ104" s="1"/>
      <c r="BKA104" s="1"/>
      <c r="BKB104" s="1"/>
      <c r="BKC104" s="1"/>
      <c r="BKD104" s="1"/>
      <c r="BKE104" s="1"/>
      <c r="BKF104" s="1"/>
      <c r="BKG104" s="1"/>
      <c r="BKH104" s="1"/>
      <c r="BKI104" s="1"/>
      <c r="BKJ104" s="1"/>
      <c r="BKK104" s="1"/>
      <c r="BKL104" s="1"/>
      <c r="BKM104" s="1"/>
      <c r="BKN104" s="1"/>
      <c r="BKO104" s="1"/>
      <c r="BKP104" s="1"/>
      <c r="BKQ104" s="1"/>
      <c r="BKR104" s="1"/>
      <c r="BKS104" s="1"/>
      <c r="BKT104" s="1"/>
      <c r="BKU104" s="1"/>
      <c r="BKV104" s="1"/>
      <c r="BKW104" s="1"/>
      <c r="BKX104" s="1"/>
      <c r="BKY104" s="1"/>
      <c r="BKZ104" s="1"/>
      <c r="BLA104" s="1"/>
      <c r="BLB104" s="1"/>
      <c r="BLC104" s="1"/>
      <c r="BLD104" s="1"/>
      <c r="BLE104" s="1"/>
      <c r="BLF104" s="1"/>
      <c r="BLG104" s="1"/>
      <c r="BLH104" s="1"/>
      <c r="BLI104" s="1"/>
      <c r="BLJ104" s="1"/>
      <c r="BLK104" s="1"/>
      <c r="BLL104" s="1"/>
      <c r="BLM104" s="1"/>
      <c r="BLN104" s="1"/>
      <c r="BLO104" s="1"/>
      <c r="BLP104" s="1"/>
      <c r="BLQ104" s="1"/>
      <c r="BLR104" s="1"/>
      <c r="BLS104" s="1"/>
      <c r="BLT104" s="1"/>
      <c r="BLU104" s="1"/>
      <c r="BLV104" s="1"/>
      <c r="BLW104" s="1"/>
      <c r="BLX104" s="1"/>
      <c r="BLY104" s="1"/>
      <c r="BLZ104" s="1"/>
      <c r="BMA104" s="1"/>
      <c r="BMB104" s="1"/>
      <c r="BMC104" s="1"/>
      <c r="BMD104" s="1"/>
      <c r="BME104" s="1"/>
      <c r="BMF104" s="1"/>
      <c r="BMG104" s="1"/>
      <c r="BMH104" s="1"/>
      <c r="BMI104" s="1"/>
      <c r="BMJ104" s="1"/>
      <c r="BMK104" s="1"/>
      <c r="BML104" s="1"/>
      <c r="BMM104" s="1"/>
      <c r="BMN104" s="1"/>
      <c r="BMO104" s="1"/>
      <c r="BMP104" s="1"/>
      <c r="BMQ104" s="1"/>
      <c r="BMR104" s="1"/>
      <c r="BMS104" s="1"/>
      <c r="BMT104" s="1"/>
      <c r="BMU104" s="1"/>
      <c r="BMV104" s="1"/>
      <c r="BMW104" s="1"/>
      <c r="BMX104" s="1"/>
      <c r="BMY104" s="1"/>
      <c r="BMZ104" s="1"/>
      <c r="BNA104" s="1"/>
      <c r="BNB104" s="1"/>
      <c r="BNC104" s="1"/>
      <c r="BND104" s="1"/>
      <c r="BNE104" s="1"/>
      <c r="BNF104" s="1"/>
      <c r="BNG104" s="1"/>
      <c r="BNH104" s="1"/>
      <c r="BNI104" s="1"/>
      <c r="BNJ104" s="1"/>
      <c r="BNK104" s="1"/>
      <c r="BNL104" s="1"/>
      <c r="BNM104" s="1"/>
      <c r="BNN104" s="1"/>
      <c r="BNO104" s="1"/>
      <c r="BNP104" s="1"/>
      <c r="BNQ104" s="1"/>
      <c r="BNR104" s="1"/>
      <c r="BNS104" s="1"/>
      <c r="BNT104" s="1"/>
      <c r="BNU104" s="1"/>
      <c r="BNV104" s="1"/>
      <c r="BNW104" s="1"/>
      <c r="BNX104" s="1"/>
      <c r="BNY104" s="1"/>
      <c r="BNZ104" s="1"/>
      <c r="BOA104" s="1"/>
      <c r="BOB104" s="1"/>
      <c r="BOC104" s="1"/>
      <c r="BOD104" s="1"/>
      <c r="BOE104" s="1"/>
      <c r="BOF104" s="1"/>
      <c r="BOG104" s="1"/>
      <c r="BOH104" s="1"/>
      <c r="BOI104" s="1"/>
      <c r="BOJ104" s="1"/>
      <c r="BOK104" s="1"/>
      <c r="BOL104" s="1"/>
      <c r="BOM104" s="1"/>
      <c r="BON104" s="1"/>
      <c r="BOO104" s="1"/>
      <c r="BOP104" s="1"/>
      <c r="BOQ104" s="1"/>
      <c r="BOR104" s="1"/>
      <c r="BOS104" s="1"/>
      <c r="BOT104" s="1"/>
      <c r="BOU104" s="1"/>
      <c r="BOV104" s="1"/>
      <c r="BOW104" s="1"/>
      <c r="BOX104" s="1"/>
      <c r="BOY104" s="1"/>
      <c r="BOZ104" s="1"/>
      <c r="BPA104" s="1"/>
      <c r="BPB104" s="1"/>
      <c r="BPC104" s="1"/>
      <c r="BPD104" s="1"/>
      <c r="BPE104" s="1"/>
      <c r="BPF104" s="1"/>
      <c r="BPG104" s="1"/>
      <c r="BPH104" s="1"/>
      <c r="BPI104" s="1"/>
      <c r="BPJ104" s="1"/>
      <c r="BPK104" s="1"/>
      <c r="BPL104" s="1"/>
      <c r="BPM104" s="1"/>
      <c r="BPN104" s="1"/>
      <c r="BPO104" s="1"/>
      <c r="BPP104" s="1"/>
      <c r="BPQ104" s="1"/>
      <c r="BPR104" s="1"/>
      <c r="BPS104" s="1"/>
      <c r="BPT104" s="1"/>
      <c r="BPU104" s="1"/>
      <c r="BPV104" s="1"/>
      <c r="BPW104" s="1"/>
      <c r="BPX104" s="1"/>
      <c r="BPY104" s="1"/>
      <c r="BPZ104" s="1"/>
      <c r="BQA104" s="1"/>
      <c r="BQB104" s="1"/>
      <c r="BQC104" s="1"/>
      <c r="BQD104" s="1"/>
      <c r="BQE104" s="1"/>
      <c r="BQF104" s="1"/>
      <c r="BQG104" s="1"/>
      <c r="BQH104" s="1"/>
      <c r="BQI104" s="1"/>
      <c r="BQJ104" s="1"/>
      <c r="BQK104" s="1"/>
      <c r="BQL104" s="1"/>
      <c r="BQM104" s="1"/>
      <c r="BQN104" s="1"/>
      <c r="BQO104" s="1"/>
      <c r="BQP104" s="1"/>
      <c r="BQQ104" s="1"/>
      <c r="BQR104" s="1"/>
      <c r="BQS104" s="1"/>
      <c r="BQT104" s="1"/>
      <c r="BQU104" s="1"/>
      <c r="BQV104" s="1"/>
      <c r="BQW104" s="1"/>
      <c r="BQX104" s="1"/>
      <c r="BQY104" s="1"/>
      <c r="BQZ104" s="1"/>
      <c r="BRA104" s="1"/>
      <c r="BRB104" s="1"/>
      <c r="BRC104" s="1"/>
      <c r="BRD104" s="1"/>
      <c r="BRE104" s="1"/>
      <c r="BRF104" s="1"/>
      <c r="BRG104" s="1"/>
      <c r="BRH104" s="1"/>
      <c r="BRI104" s="1"/>
      <c r="BRJ104" s="1"/>
      <c r="BRK104" s="1"/>
      <c r="BRL104" s="1"/>
      <c r="BRM104" s="1"/>
      <c r="BRN104" s="1"/>
      <c r="BRO104" s="1"/>
      <c r="BRP104" s="1"/>
      <c r="BRQ104" s="1"/>
      <c r="BRR104" s="1"/>
      <c r="BRS104" s="1"/>
      <c r="BRT104" s="1"/>
      <c r="BRU104" s="1"/>
      <c r="BRV104" s="1"/>
      <c r="BRW104" s="1"/>
      <c r="BRX104" s="1"/>
      <c r="BRY104" s="1"/>
      <c r="BRZ104" s="1"/>
      <c r="BSA104" s="1"/>
      <c r="BSB104" s="1"/>
      <c r="BSC104" s="1"/>
      <c r="BSD104" s="1"/>
      <c r="BSE104" s="1"/>
      <c r="BSF104" s="1"/>
      <c r="BSG104" s="1"/>
      <c r="BSH104" s="1"/>
      <c r="BSI104" s="1"/>
      <c r="BSJ104" s="1"/>
      <c r="BSK104" s="1"/>
      <c r="BSL104" s="1"/>
      <c r="BSM104" s="1"/>
      <c r="BSN104" s="1"/>
      <c r="BSO104" s="1"/>
      <c r="BSP104" s="1"/>
      <c r="BSQ104" s="1"/>
      <c r="BSR104" s="1"/>
      <c r="BSS104" s="1"/>
      <c r="BST104" s="1"/>
      <c r="BSU104" s="1"/>
      <c r="BSV104" s="1"/>
      <c r="BSW104" s="1"/>
      <c r="BSX104" s="1"/>
      <c r="BSY104" s="1"/>
      <c r="BSZ104" s="1"/>
      <c r="BTA104" s="1"/>
      <c r="BTB104" s="1"/>
      <c r="BTC104" s="1"/>
      <c r="BTD104" s="1"/>
      <c r="BTE104" s="1"/>
      <c r="BTF104" s="1"/>
      <c r="BTG104" s="1"/>
      <c r="BTH104" s="1"/>
      <c r="BTI104" s="1"/>
      <c r="BTJ104" s="1"/>
      <c r="BTK104" s="1"/>
      <c r="BTL104" s="1"/>
      <c r="BTM104" s="1"/>
      <c r="BTN104" s="1"/>
      <c r="BTO104" s="1"/>
      <c r="BTP104" s="1"/>
      <c r="BTQ104" s="1"/>
      <c r="BTR104" s="1"/>
      <c r="BTS104" s="1"/>
      <c r="BTT104" s="1"/>
      <c r="BTU104" s="1"/>
      <c r="BTV104" s="1"/>
      <c r="BTW104" s="1"/>
      <c r="BTX104" s="1"/>
      <c r="BTY104" s="1"/>
      <c r="BTZ104" s="1"/>
      <c r="BUA104" s="1"/>
      <c r="BUB104" s="1"/>
      <c r="BUC104" s="1"/>
      <c r="BUD104" s="1"/>
      <c r="BUE104" s="1"/>
      <c r="BUF104" s="1"/>
      <c r="BUG104" s="1"/>
      <c r="BUH104" s="1"/>
      <c r="BUI104" s="1"/>
      <c r="BUJ104" s="1"/>
      <c r="BUK104" s="1"/>
      <c r="BUL104" s="1"/>
      <c r="BUM104" s="1"/>
      <c r="BUN104" s="1"/>
      <c r="BUO104" s="1"/>
      <c r="BUP104" s="1"/>
      <c r="BUQ104" s="1"/>
      <c r="BUR104" s="1"/>
      <c r="BUS104" s="1"/>
      <c r="BUT104" s="1"/>
      <c r="BUU104" s="1"/>
      <c r="BUV104" s="1"/>
      <c r="BUW104" s="1"/>
      <c r="BUX104" s="1"/>
      <c r="BUY104" s="1"/>
      <c r="BUZ104" s="1"/>
      <c r="BVA104" s="1"/>
      <c r="BVB104" s="1"/>
      <c r="BVC104" s="1"/>
      <c r="BVD104" s="1"/>
      <c r="BVE104" s="1"/>
      <c r="BVF104" s="1"/>
      <c r="BVG104" s="1"/>
      <c r="BVH104" s="1"/>
      <c r="BVI104" s="1"/>
      <c r="BVJ104" s="1"/>
      <c r="BVK104" s="1"/>
      <c r="BVL104" s="1"/>
      <c r="BVM104" s="1"/>
      <c r="BVN104" s="1"/>
      <c r="BVO104" s="1"/>
      <c r="BVP104" s="1"/>
      <c r="BVQ104" s="1"/>
      <c r="BVR104" s="1"/>
      <c r="BVS104" s="1"/>
      <c r="BVT104" s="1"/>
      <c r="BVU104" s="1"/>
      <c r="BVV104" s="1"/>
      <c r="BVW104" s="1"/>
      <c r="BVX104" s="1"/>
      <c r="BVY104" s="1"/>
      <c r="BVZ104" s="1"/>
      <c r="BWA104" s="1"/>
      <c r="BWB104" s="1"/>
      <c r="BWC104" s="1"/>
      <c r="BWD104" s="1"/>
      <c r="BWE104" s="1"/>
      <c r="BWF104" s="1"/>
      <c r="BWG104" s="1"/>
      <c r="BWH104" s="1"/>
      <c r="BWI104" s="1"/>
      <c r="BWJ104" s="1"/>
      <c r="BWK104" s="1"/>
      <c r="BWL104" s="1"/>
      <c r="BWM104" s="1"/>
      <c r="BWN104" s="1"/>
      <c r="BWO104" s="1"/>
      <c r="BWP104" s="1"/>
      <c r="BWQ104" s="1"/>
      <c r="BWR104" s="1"/>
      <c r="BWS104" s="1"/>
      <c r="BWT104" s="1"/>
      <c r="BWU104" s="1"/>
      <c r="BWV104" s="1"/>
      <c r="BWW104" s="1"/>
      <c r="BWX104" s="1"/>
      <c r="BWY104" s="1"/>
      <c r="BWZ104" s="1"/>
      <c r="BXA104" s="1"/>
      <c r="BXB104" s="1"/>
      <c r="BXC104" s="1"/>
      <c r="BXD104" s="1"/>
      <c r="BXE104" s="1"/>
      <c r="BXF104" s="1"/>
      <c r="BXG104" s="1"/>
      <c r="BXH104" s="1"/>
      <c r="BXI104" s="1"/>
      <c r="BXJ104" s="1"/>
      <c r="BXK104" s="1"/>
      <c r="BXL104" s="1"/>
      <c r="BXM104" s="1"/>
      <c r="BXN104" s="1"/>
      <c r="BXO104" s="1"/>
      <c r="BXP104" s="1"/>
      <c r="BXQ104" s="1"/>
      <c r="BXR104" s="1"/>
      <c r="BXS104" s="1"/>
      <c r="BXT104" s="1"/>
      <c r="BXU104" s="1"/>
      <c r="BXV104" s="1"/>
      <c r="BXW104" s="1"/>
      <c r="BXX104" s="1"/>
      <c r="BXY104" s="1"/>
      <c r="BXZ104" s="1"/>
      <c r="BYA104" s="1"/>
      <c r="BYB104" s="1"/>
      <c r="BYC104" s="1"/>
      <c r="BYD104" s="1"/>
      <c r="BYE104" s="1"/>
      <c r="BYF104" s="1"/>
      <c r="BYG104" s="1"/>
      <c r="BYH104" s="1"/>
      <c r="BYI104" s="1"/>
      <c r="BYJ104" s="1"/>
      <c r="BYK104" s="1"/>
      <c r="BYL104" s="1"/>
      <c r="BYM104" s="1"/>
      <c r="BYN104" s="1"/>
      <c r="BYO104" s="1"/>
      <c r="BYP104" s="1"/>
      <c r="BYQ104" s="1"/>
      <c r="BYR104" s="1"/>
      <c r="BYS104" s="1"/>
      <c r="BYT104" s="1"/>
      <c r="BYU104" s="1"/>
      <c r="BYV104" s="1"/>
      <c r="BYW104" s="1"/>
      <c r="BYX104" s="1"/>
      <c r="BYY104" s="1"/>
      <c r="BYZ104" s="1"/>
      <c r="BZA104" s="1"/>
      <c r="BZB104" s="1"/>
      <c r="BZC104" s="1"/>
      <c r="BZD104" s="1"/>
      <c r="BZE104" s="1"/>
      <c r="BZF104" s="1"/>
      <c r="BZG104" s="1"/>
      <c r="BZH104" s="1"/>
      <c r="BZI104" s="1"/>
      <c r="BZJ104" s="1"/>
      <c r="BZK104" s="1"/>
      <c r="BZL104" s="1"/>
      <c r="BZM104" s="1"/>
      <c r="BZN104" s="1"/>
      <c r="BZO104" s="1"/>
      <c r="BZP104" s="1"/>
      <c r="BZQ104" s="1"/>
      <c r="BZR104" s="1"/>
      <c r="BZS104" s="1"/>
      <c r="BZT104" s="1"/>
      <c r="BZU104" s="1"/>
      <c r="BZV104" s="1"/>
      <c r="BZW104" s="1"/>
      <c r="BZX104" s="1"/>
      <c r="BZY104" s="1"/>
      <c r="BZZ104" s="1"/>
      <c r="CAA104" s="1"/>
      <c r="CAB104" s="1"/>
      <c r="CAC104" s="1"/>
      <c r="CAD104" s="1"/>
      <c r="CAE104" s="1"/>
      <c r="CAF104" s="1"/>
      <c r="CAG104" s="1"/>
      <c r="CAH104" s="1"/>
      <c r="CAI104" s="1"/>
      <c r="CAJ104" s="1"/>
      <c r="CAK104" s="1"/>
      <c r="CAL104" s="1"/>
      <c r="CAM104" s="1"/>
      <c r="CAN104" s="1"/>
      <c r="CAO104" s="1"/>
      <c r="CAP104" s="1"/>
      <c r="CAQ104" s="1"/>
      <c r="CAR104" s="1"/>
      <c r="CAS104" s="1"/>
      <c r="CAT104" s="1"/>
      <c r="CAU104" s="1"/>
      <c r="CAV104" s="1"/>
      <c r="CAW104" s="1"/>
      <c r="CAX104" s="1"/>
      <c r="CAY104" s="1"/>
      <c r="CAZ104" s="1"/>
      <c r="CBA104" s="1"/>
      <c r="CBB104" s="1"/>
      <c r="CBC104" s="1"/>
      <c r="CBD104" s="1"/>
      <c r="CBE104" s="1"/>
      <c r="CBF104" s="1"/>
      <c r="CBG104" s="1"/>
      <c r="CBH104" s="1"/>
      <c r="CBI104" s="1"/>
      <c r="CBJ104" s="1"/>
      <c r="CBK104" s="1"/>
      <c r="CBL104" s="1"/>
      <c r="CBM104" s="1"/>
      <c r="CBN104" s="1"/>
      <c r="CBO104" s="1"/>
      <c r="CBP104" s="1"/>
      <c r="CBQ104" s="1"/>
      <c r="CBR104" s="1"/>
      <c r="CBS104" s="1"/>
      <c r="CBT104" s="1"/>
      <c r="CBU104" s="1"/>
      <c r="CBV104" s="1"/>
      <c r="CBW104" s="1"/>
      <c r="CBX104" s="1"/>
      <c r="CBY104" s="1"/>
      <c r="CBZ104" s="1"/>
      <c r="CCA104" s="1"/>
      <c r="CCB104" s="1"/>
      <c r="CCC104" s="1"/>
      <c r="CCD104" s="1"/>
      <c r="CCE104" s="1"/>
      <c r="CCF104" s="1"/>
      <c r="CCG104" s="1"/>
      <c r="CCH104" s="1"/>
      <c r="CCI104" s="1"/>
      <c r="CCJ104" s="1"/>
      <c r="CCK104" s="1"/>
      <c r="CCL104" s="1"/>
      <c r="CCM104" s="1"/>
      <c r="CCN104" s="1"/>
      <c r="CCO104" s="1"/>
      <c r="CCP104" s="1"/>
      <c r="CCQ104" s="1"/>
      <c r="CCR104" s="1"/>
      <c r="CCS104" s="1"/>
      <c r="CCT104" s="1"/>
      <c r="CCU104" s="1"/>
      <c r="CCV104" s="1"/>
      <c r="CCW104" s="1"/>
      <c r="CCX104" s="1"/>
      <c r="CCY104" s="1"/>
      <c r="CCZ104" s="1"/>
      <c r="CDA104" s="1"/>
      <c r="CDB104" s="1"/>
      <c r="CDC104" s="1"/>
      <c r="CDD104" s="1"/>
      <c r="CDE104" s="1"/>
      <c r="CDF104" s="1"/>
      <c r="CDG104" s="1"/>
      <c r="CDH104" s="1"/>
      <c r="CDI104" s="1"/>
      <c r="CDJ104" s="1"/>
      <c r="CDK104" s="1"/>
      <c r="CDL104" s="1"/>
      <c r="CDM104" s="1"/>
      <c r="CDN104" s="1"/>
      <c r="CDO104" s="1"/>
      <c r="CDP104" s="1"/>
      <c r="CDQ104" s="1"/>
      <c r="CDR104" s="1"/>
      <c r="CDS104" s="1"/>
      <c r="CDT104" s="1"/>
      <c r="CDU104" s="1"/>
      <c r="CDV104" s="1"/>
      <c r="CDW104" s="1"/>
      <c r="CDX104" s="1"/>
      <c r="CDY104" s="1"/>
      <c r="CDZ104" s="1"/>
      <c r="CEA104" s="1"/>
      <c r="CEB104" s="1"/>
      <c r="CEC104" s="1"/>
      <c r="CED104" s="1"/>
      <c r="CEE104" s="1"/>
      <c r="CEF104" s="1"/>
      <c r="CEG104" s="1"/>
      <c r="CEH104" s="1"/>
      <c r="CEI104" s="1"/>
      <c r="CEJ104" s="1"/>
      <c r="CEK104" s="1"/>
      <c r="CEL104" s="1"/>
      <c r="CEM104" s="1"/>
      <c r="CEN104" s="1"/>
      <c r="CEO104" s="1"/>
      <c r="CEP104" s="1"/>
      <c r="CEQ104" s="1"/>
      <c r="CER104" s="1"/>
      <c r="CES104" s="1"/>
      <c r="CET104" s="1"/>
      <c r="CEU104" s="1"/>
      <c r="CEV104" s="1"/>
      <c r="CEW104" s="1"/>
      <c r="CEX104" s="1"/>
      <c r="CEY104" s="1"/>
      <c r="CEZ104" s="1"/>
      <c r="CFA104" s="1"/>
      <c r="CFB104" s="1"/>
      <c r="CFC104" s="1"/>
      <c r="CFD104" s="1"/>
      <c r="CFE104" s="1"/>
      <c r="CFF104" s="1"/>
      <c r="CFG104" s="1"/>
      <c r="CFH104" s="1"/>
      <c r="CFI104" s="1"/>
      <c r="CFJ104" s="1"/>
      <c r="CFK104" s="1"/>
      <c r="CFL104" s="1"/>
      <c r="CFM104" s="1"/>
      <c r="CFN104" s="1"/>
      <c r="CFO104" s="1"/>
      <c r="CFP104" s="1"/>
      <c r="CFQ104" s="1"/>
      <c r="CFR104" s="1"/>
      <c r="CFS104" s="1"/>
      <c r="CFT104" s="1"/>
      <c r="CFU104" s="1"/>
      <c r="CFV104" s="1"/>
      <c r="CFW104" s="1"/>
      <c r="CFX104" s="1"/>
      <c r="CFY104" s="1"/>
      <c r="CFZ104" s="1"/>
      <c r="CGA104" s="1"/>
      <c r="CGB104" s="1"/>
      <c r="CGC104" s="1"/>
      <c r="CGD104" s="1"/>
      <c r="CGE104" s="1"/>
      <c r="CGF104" s="1"/>
      <c r="CGG104" s="1"/>
      <c r="CGH104" s="1"/>
      <c r="CGI104" s="1"/>
      <c r="CGJ104" s="1"/>
      <c r="CGK104" s="1"/>
      <c r="CGL104" s="1"/>
      <c r="CGM104" s="1"/>
      <c r="CGN104" s="1"/>
      <c r="CGO104" s="1"/>
      <c r="CGP104" s="1"/>
      <c r="CGQ104" s="1"/>
      <c r="CGR104" s="1"/>
      <c r="CGS104" s="1"/>
      <c r="CGT104" s="1"/>
      <c r="CGU104" s="1"/>
      <c r="CGV104" s="1"/>
      <c r="CGW104" s="1"/>
      <c r="CGX104" s="1"/>
      <c r="CGY104" s="1"/>
      <c r="CGZ104" s="1"/>
      <c r="CHA104" s="1"/>
      <c r="CHB104" s="1"/>
      <c r="CHC104" s="1"/>
      <c r="CHD104" s="1"/>
      <c r="CHE104" s="1"/>
      <c r="CHF104" s="1"/>
      <c r="CHG104" s="1"/>
      <c r="CHH104" s="1"/>
      <c r="CHI104" s="1"/>
      <c r="CHJ104" s="1"/>
      <c r="CHK104" s="1"/>
      <c r="CHL104" s="1"/>
      <c r="CHM104" s="1"/>
      <c r="CHN104" s="1"/>
      <c r="CHO104" s="1"/>
      <c r="CHP104" s="1"/>
      <c r="CHQ104" s="1"/>
      <c r="CHR104" s="1"/>
      <c r="CHS104" s="1"/>
      <c r="CHT104" s="1"/>
      <c r="CHU104" s="1"/>
      <c r="CHV104" s="1"/>
      <c r="CHW104" s="1"/>
      <c r="CHX104" s="1"/>
      <c r="CHY104" s="1"/>
      <c r="CHZ104" s="1"/>
      <c r="CIA104" s="1"/>
      <c r="CIB104" s="1"/>
      <c r="CIC104" s="1"/>
      <c r="CID104" s="1"/>
      <c r="CIE104" s="1"/>
      <c r="CIF104" s="1"/>
      <c r="CIG104" s="1"/>
      <c r="CIH104" s="1"/>
      <c r="CII104" s="1"/>
      <c r="CIJ104" s="1"/>
      <c r="CIK104" s="1"/>
      <c r="CIL104" s="1"/>
      <c r="CIM104" s="1"/>
      <c r="CIN104" s="1"/>
      <c r="CIO104" s="1"/>
      <c r="CIP104" s="1"/>
      <c r="CIQ104" s="1"/>
      <c r="CIR104" s="1"/>
      <c r="CIS104" s="1"/>
      <c r="CIT104" s="1"/>
      <c r="CIU104" s="1"/>
      <c r="CIV104" s="1"/>
      <c r="CIW104" s="1"/>
      <c r="CIX104" s="1"/>
      <c r="CIY104" s="1"/>
      <c r="CIZ104" s="1"/>
      <c r="CJA104" s="1"/>
      <c r="CJB104" s="1"/>
      <c r="CJC104" s="1"/>
      <c r="CJD104" s="1"/>
      <c r="CJE104" s="1"/>
      <c r="CJF104" s="1"/>
      <c r="CJG104" s="1"/>
      <c r="CJH104" s="1"/>
      <c r="CJI104" s="1"/>
      <c r="CJJ104" s="1"/>
      <c r="CJK104" s="1"/>
      <c r="CJL104" s="1"/>
      <c r="CJM104" s="1"/>
      <c r="CJN104" s="1"/>
      <c r="CJO104" s="1"/>
      <c r="CJP104" s="1"/>
      <c r="CJQ104" s="1"/>
      <c r="CJR104" s="1"/>
      <c r="CJS104" s="1"/>
      <c r="CJT104" s="1"/>
      <c r="CJU104" s="1"/>
      <c r="CJV104" s="1"/>
      <c r="CJW104" s="1"/>
      <c r="CJX104" s="1"/>
      <c r="CJY104" s="1"/>
      <c r="CJZ104" s="1"/>
      <c r="CKA104" s="1"/>
      <c r="CKB104" s="1"/>
      <c r="CKC104" s="1"/>
      <c r="CKD104" s="1"/>
      <c r="CKE104" s="1"/>
      <c r="CKF104" s="1"/>
      <c r="CKG104" s="1"/>
      <c r="CKH104" s="1"/>
      <c r="CKI104" s="1"/>
      <c r="CKJ104" s="1"/>
      <c r="CKK104" s="1"/>
      <c r="CKL104" s="1"/>
      <c r="CKM104" s="1"/>
      <c r="CKN104" s="1"/>
      <c r="CKO104" s="1"/>
      <c r="CKP104" s="1"/>
      <c r="CKQ104" s="1"/>
      <c r="CKR104" s="1"/>
      <c r="CKS104" s="1"/>
      <c r="CKT104" s="1"/>
      <c r="CKU104" s="1"/>
      <c r="CKV104" s="1"/>
      <c r="CKW104" s="1"/>
      <c r="CKX104" s="1"/>
      <c r="CKY104" s="1"/>
      <c r="CKZ104" s="1"/>
      <c r="CLA104" s="1"/>
      <c r="CLB104" s="1"/>
      <c r="CLC104" s="1"/>
      <c r="CLD104" s="1"/>
      <c r="CLE104" s="1"/>
      <c r="CLF104" s="1"/>
      <c r="CLG104" s="1"/>
      <c r="CLH104" s="1"/>
      <c r="CLI104" s="1"/>
      <c r="CLJ104" s="1"/>
      <c r="CLK104" s="1"/>
      <c r="CLL104" s="1"/>
      <c r="CLM104" s="1"/>
      <c r="CLN104" s="1"/>
      <c r="CLO104" s="1"/>
      <c r="CLP104" s="1"/>
      <c r="CLQ104" s="1"/>
      <c r="CLR104" s="1"/>
      <c r="CLS104" s="1"/>
      <c r="CLT104" s="1"/>
      <c r="CLU104" s="1"/>
      <c r="CLV104" s="1"/>
      <c r="CLW104" s="1"/>
      <c r="CLX104" s="1"/>
      <c r="CLY104" s="1"/>
      <c r="CLZ104" s="1"/>
      <c r="CMA104" s="1"/>
      <c r="CMB104" s="1"/>
      <c r="CMC104" s="1"/>
      <c r="CMD104" s="1"/>
      <c r="CME104" s="1"/>
      <c r="CMF104" s="1"/>
      <c r="CMG104" s="1"/>
      <c r="CMH104" s="1"/>
      <c r="CMI104" s="1"/>
      <c r="CMJ104" s="1"/>
      <c r="CMK104" s="1"/>
      <c r="CML104" s="1"/>
      <c r="CMM104" s="1"/>
      <c r="CMN104" s="1"/>
      <c r="CMO104" s="1"/>
      <c r="CMP104" s="1"/>
      <c r="CMQ104" s="1"/>
      <c r="CMR104" s="1"/>
      <c r="CMS104" s="1"/>
      <c r="CMT104" s="1"/>
      <c r="CMU104" s="1"/>
      <c r="CMV104" s="1"/>
      <c r="CMW104" s="1"/>
      <c r="CMX104" s="1"/>
      <c r="CMY104" s="1"/>
      <c r="CMZ104" s="1"/>
      <c r="CNA104" s="1"/>
      <c r="CNB104" s="1"/>
      <c r="CNC104" s="1"/>
      <c r="CND104" s="1"/>
      <c r="CNE104" s="1"/>
      <c r="CNF104" s="1"/>
      <c r="CNG104" s="1"/>
      <c r="CNH104" s="1"/>
      <c r="CNI104" s="1"/>
      <c r="CNJ104" s="1"/>
      <c r="CNK104" s="1"/>
      <c r="CNL104" s="1"/>
      <c r="CNM104" s="1"/>
      <c r="CNN104" s="1"/>
      <c r="CNO104" s="1"/>
      <c r="CNP104" s="1"/>
      <c r="CNQ104" s="1"/>
      <c r="CNR104" s="1"/>
      <c r="CNS104" s="1"/>
      <c r="CNT104" s="1"/>
      <c r="CNU104" s="1"/>
      <c r="CNV104" s="1"/>
      <c r="CNW104" s="1"/>
      <c r="CNX104" s="1"/>
      <c r="CNY104" s="1"/>
      <c r="CNZ104" s="1"/>
      <c r="COA104" s="1"/>
      <c r="COB104" s="1"/>
      <c r="COC104" s="1"/>
      <c r="COD104" s="1"/>
      <c r="COE104" s="1"/>
      <c r="COF104" s="1"/>
      <c r="COG104" s="1"/>
      <c r="COH104" s="1"/>
      <c r="COI104" s="1"/>
      <c r="COJ104" s="1"/>
      <c r="COK104" s="1"/>
      <c r="COL104" s="1"/>
      <c r="COM104" s="1"/>
      <c r="CON104" s="1"/>
      <c r="COO104" s="1"/>
      <c r="COP104" s="1"/>
      <c r="COQ104" s="1"/>
      <c r="COR104" s="1"/>
      <c r="COS104" s="1"/>
      <c r="COT104" s="1"/>
      <c r="COU104" s="1"/>
      <c r="COV104" s="1"/>
      <c r="COW104" s="1"/>
      <c r="COX104" s="1"/>
      <c r="COY104" s="1"/>
      <c r="COZ104" s="1"/>
      <c r="CPA104" s="1"/>
      <c r="CPB104" s="1"/>
      <c r="CPC104" s="1"/>
      <c r="CPD104" s="1"/>
      <c r="CPE104" s="1"/>
      <c r="CPF104" s="1"/>
      <c r="CPG104" s="1"/>
      <c r="CPH104" s="1"/>
      <c r="CPI104" s="1"/>
      <c r="CPJ104" s="1"/>
      <c r="CPK104" s="1"/>
      <c r="CPL104" s="1"/>
      <c r="CPM104" s="1"/>
      <c r="CPN104" s="1"/>
      <c r="CPO104" s="1"/>
      <c r="CPP104" s="1"/>
      <c r="CPQ104" s="1"/>
      <c r="CPR104" s="1"/>
      <c r="CPS104" s="1"/>
      <c r="CPT104" s="1"/>
      <c r="CPU104" s="1"/>
      <c r="CPV104" s="1"/>
      <c r="CPW104" s="1"/>
      <c r="CPX104" s="1"/>
      <c r="CPY104" s="1"/>
      <c r="CPZ104" s="1"/>
      <c r="CQA104" s="1"/>
      <c r="CQB104" s="1"/>
      <c r="CQC104" s="1"/>
      <c r="CQD104" s="1"/>
      <c r="CQE104" s="1"/>
      <c r="CQF104" s="1"/>
      <c r="CQG104" s="1"/>
      <c r="CQH104" s="1"/>
      <c r="CQI104" s="1"/>
      <c r="CQJ104" s="1"/>
      <c r="CQK104" s="1"/>
      <c r="CQL104" s="1"/>
      <c r="CQM104" s="1"/>
      <c r="CQN104" s="1"/>
      <c r="CQO104" s="1"/>
      <c r="CQP104" s="1"/>
      <c r="CQQ104" s="1"/>
      <c r="CQR104" s="1"/>
      <c r="CQS104" s="1"/>
      <c r="CQT104" s="1"/>
      <c r="CQU104" s="1"/>
      <c r="CQV104" s="1"/>
      <c r="CQW104" s="1"/>
      <c r="CQX104" s="1"/>
      <c r="CQY104" s="1"/>
      <c r="CQZ104" s="1"/>
      <c r="CRA104" s="1"/>
      <c r="CRB104" s="1"/>
      <c r="CRC104" s="1"/>
      <c r="CRD104" s="1"/>
      <c r="CRE104" s="1"/>
      <c r="CRF104" s="1"/>
      <c r="CRG104" s="1"/>
      <c r="CRH104" s="1"/>
      <c r="CRI104" s="1"/>
      <c r="CRJ104" s="1"/>
      <c r="CRK104" s="1"/>
      <c r="CRL104" s="1"/>
      <c r="CRM104" s="1"/>
      <c r="CRN104" s="1"/>
      <c r="CRO104" s="1"/>
      <c r="CRP104" s="1"/>
      <c r="CRQ104" s="1"/>
      <c r="CRR104" s="1"/>
      <c r="CRS104" s="1"/>
      <c r="CRT104" s="1"/>
      <c r="CRU104" s="1"/>
      <c r="CRV104" s="1"/>
      <c r="CRW104" s="1"/>
      <c r="CRX104" s="1"/>
      <c r="CRY104" s="1"/>
      <c r="CRZ104" s="1"/>
      <c r="CSA104" s="1"/>
      <c r="CSB104" s="1"/>
      <c r="CSC104" s="1"/>
      <c r="CSD104" s="1"/>
      <c r="CSE104" s="1"/>
      <c r="CSF104" s="1"/>
      <c r="CSG104" s="1"/>
      <c r="CSH104" s="1"/>
      <c r="CSI104" s="1"/>
      <c r="CSJ104" s="1"/>
      <c r="CSK104" s="1"/>
      <c r="CSL104" s="1"/>
      <c r="CSM104" s="1"/>
      <c r="CSN104" s="1"/>
      <c r="CSO104" s="1"/>
      <c r="CSP104" s="1"/>
      <c r="CSQ104" s="1"/>
      <c r="CSR104" s="1"/>
      <c r="CSS104" s="1"/>
      <c r="CST104" s="1"/>
      <c r="CSU104" s="1"/>
      <c r="CSV104" s="1"/>
      <c r="CSW104" s="1"/>
      <c r="CSX104" s="1"/>
      <c r="CSY104" s="1"/>
      <c r="CSZ104" s="1"/>
      <c r="CTA104" s="1"/>
      <c r="CTB104" s="1"/>
      <c r="CTC104" s="1"/>
      <c r="CTD104" s="1"/>
      <c r="CTE104" s="1"/>
      <c r="CTF104" s="1"/>
      <c r="CTG104" s="1"/>
      <c r="CTH104" s="1"/>
      <c r="CTI104" s="1"/>
      <c r="CTJ104" s="1"/>
      <c r="CTK104" s="1"/>
      <c r="CTL104" s="1"/>
      <c r="CTM104" s="1"/>
      <c r="CTN104" s="1"/>
      <c r="CTO104" s="1"/>
      <c r="CTP104" s="1"/>
      <c r="CTQ104" s="1"/>
      <c r="CTR104" s="1"/>
      <c r="CTS104" s="1"/>
      <c r="CTT104" s="1"/>
      <c r="CTU104" s="1"/>
      <c r="CTV104" s="1"/>
      <c r="CTW104" s="1"/>
      <c r="CTX104" s="1"/>
      <c r="CTY104" s="1"/>
      <c r="CTZ104" s="1"/>
      <c r="CUA104" s="1"/>
      <c r="CUB104" s="1"/>
      <c r="CUC104" s="1"/>
      <c r="CUD104" s="1"/>
      <c r="CUE104" s="1"/>
      <c r="CUF104" s="1"/>
      <c r="CUG104" s="1"/>
      <c r="CUH104" s="1"/>
      <c r="CUI104" s="1"/>
      <c r="CUJ104" s="1"/>
      <c r="CUK104" s="1"/>
      <c r="CUL104" s="1"/>
      <c r="CUM104" s="1"/>
      <c r="CUN104" s="1"/>
      <c r="CUO104" s="1"/>
      <c r="CUP104" s="1"/>
      <c r="CUQ104" s="1"/>
      <c r="CUR104" s="1"/>
      <c r="CUS104" s="1"/>
      <c r="CUT104" s="1"/>
      <c r="CUU104" s="1"/>
      <c r="CUV104" s="1"/>
      <c r="CUW104" s="1"/>
      <c r="CUX104" s="1"/>
      <c r="CUY104" s="1"/>
      <c r="CUZ104" s="1"/>
      <c r="CVA104" s="1"/>
      <c r="CVB104" s="1"/>
      <c r="CVC104" s="1"/>
      <c r="CVD104" s="1"/>
      <c r="CVE104" s="1"/>
      <c r="CVF104" s="1"/>
      <c r="CVG104" s="1"/>
      <c r="CVH104" s="1"/>
      <c r="CVI104" s="1"/>
      <c r="CVJ104" s="1"/>
      <c r="CVK104" s="1"/>
      <c r="CVL104" s="1"/>
      <c r="CVM104" s="1"/>
      <c r="CVN104" s="1"/>
      <c r="CVO104" s="1"/>
      <c r="CVP104" s="1"/>
      <c r="CVQ104" s="1"/>
      <c r="CVR104" s="1"/>
      <c r="CVS104" s="1"/>
      <c r="CVT104" s="1"/>
      <c r="CVU104" s="1"/>
      <c r="CVV104" s="1"/>
      <c r="CVW104" s="1"/>
      <c r="CVX104" s="1"/>
      <c r="CVY104" s="1"/>
      <c r="CVZ104" s="1"/>
      <c r="CWA104" s="1"/>
      <c r="CWB104" s="1"/>
      <c r="CWC104" s="1"/>
      <c r="CWD104" s="1"/>
      <c r="CWE104" s="1"/>
      <c r="CWF104" s="1"/>
      <c r="CWG104" s="1"/>
      <c r="CWH104" s="1"/>
      <c r="CWI104" s="1"/>
      <c r="CWJ104" s="1"/>
      <c r="CWK104" s="1"/>
      <c r="CWL104" s="1"/>
      <c r="CWM104" s="1"/>
      <c r="CWN104" s="1"/>
      <c r="CWO104" s="1"/>
      <c r="CWP104" s="1"/>
      <c r="CWQ104" s="1"/>
      <c r="CWR104" s="1"/>
      <c r="CWS104" s="1"/>
      <c r="CWT104" s="1"/>
      <c r="CWU104" s="1"/>
      <c r="CWV104" s="1"/>
      <c r="CWW104" s="1"/>
      <c r="CWX104" s="1"/>
      <c r="CWY104" s="1"/>
      <c r="CWZ104" s="1"/>
      <c r="CXA104" s="1"/>
      <c r="CXB104" s="1"/>
      <c r="CXC104" s="1"/>
      <c r="CXD104" s="1"/>
      <c r="CXE104" s="1"/>
      <c r="CXF104" s="1"/>
      <c r="CXG104" s="1"/>
      <c r="CXH104" s="1"/>
      <c r="CXI104" s="1"/>
      <c r="CXJ104" s="1"/>
      <c r="CXK104" s="1"/>
      <c r="CXL104" s="1"/>
      <c r="CXM104" s="1"/>
      <c r="CXN104" s="1"/>
      <c r="CXO104" s="1"/>
      <c r="CXP104" s="1"/>
      <c r="CXQ104" s="1"/>
      <c r="CXR104" s="1"/>
      <c r="CXS104" s="1"/>
      <c r="CXT104" s="1"/>
      <c r="CXU104" s="1"/>
      <c r="CXV104" s="1"/>
      <c r="CXW104" s="1"/>
      <c r="CXX104" s="1"/>
      <c r="CXY104" s="1"/>
      <c r="CXZ104" s="1"/>
      <c r="CYA104" s="1"/>
      <c r="CYB104" s="1"/>
      <c r="CYC104" s="1"/>
      <c r="CYD104" s="1"/>
      <c r="CYE104" s="1"/>
      <c r="CYF104" s="1"/>
      <c r="CYG104" s="1"/>
      <c r="CYH104" s="1"/>
      <c r="CYI104" s="1"/>
      <c r="CYJ104" s="1"/>
      <c r="CYK104" s="1"/>
      <c r="CYL104" s="1"/>
      <c r="CYM104" s="1"/>
      <c r="CYN104" s="1"/>
      <c r="CYO104" s="1"/>
      <c r="CYP104" s="1"/>
      <c r="CYQ104" s="1"/>
      <c r="CYR104" s="1"/>
      <c r="CYS104" s="1"/>
      <c r="CYT104" s="1"/>
      <c r="CYU104" s="1"/>
      <c r="CYV104" s="1"/>
      <c r="CYW104" s="1"/>
      <c r="CYX104" s="1"/>
      <c r="CYY104" s="1"/>
      <c r="CYZ104" s="1"/>
      <c r="CZA104" s="1"/>
      <c r="CZB104" s="1"/>
      <c r="CZC104" s="1"/>
      <c r="CZD104" s="1"/>
      <c r="CZE104" s="1"/>
      <c r="CZF104" s="1"/>
      <c r="CZG104" s="1"/>
      <c r="CZH104" s="1"/>
      <c r="CZI104" s="1"/>
      <c r="CZJ104" s="1"/>
      <c r="CZK104" s="1"/>
      <c r="CZL104" s="1"/>
      <c r="CZM104" s="1"/>
      <c r="CZN104" s="1"/>
      <c r="CZO104" s="1"/>
      <c r="CZP104" s="1"/>
      <c r="CZQ104" s="1"/>
      <c r="CZR104" s="1"/>
      <c r="CZS104" s="1"/>
      <c r="CZT104" s="1"/>
      <c r="CZU104" s="1"/>
      <c r="CZV104" s="1"/>
      <c r="CZW104" s="1"/>
      <c r="CZX104" s="1"/>
      <c r="CZY104" s="1"/>
      <c r="CZZ104" s="1"/>
      <c r="DAA104" s="1"/>
      <c r="DAB104" s="1"/>
      <c r="DAC104" s="1"/>
      <c r="DAD104" s="1"/>
      <c r="DAE104" s="1"/>
      <c r="DAF104" s="1"/>
      <c r="DAG104" s="1"/>
      <c r="DAH104" s="1"/>
      <c r="DAI104" s="1"/>
      <c r="DAJ104" s="1"/>
      <c r="DAK104" s="1"/>
      <c r="DAL104" s="1"/>
      <c r="DAM104" s="1"/>
      <c r="DAN104" s="1"/>
      <c r="DAO104" s="1"/>
      <c r="DAP104" s="1"/>
      <c r="DAQ104" s="1"/>
      <c r="DAR104" s="1"/>
      <c r="DAS104" s="1"/>
      <c r="DAT104" s="1"/>
      <c r="DAU104" s="1"/>
      <c r="DAV104" s="1"/>
      <c r="DAW104" s="1"/>
      <c r="DAX104" s="1"/>
      <c r="DAY104" s="1"/>
      <c r="DAZ104" s="1"/>
      <c r="DBA104" s="1"/>
      <c r="DBB104" s="1"/>
      <c r="DBC104" s="1"/>
      <c r="DBD104" s="1"/>
      <c r="DBE104" s="1"/>
      <c r="DBF104" s="1"/>
      <c r="DBG104" s="1"/>
      <c r="DBH104" s="1"/>
      <c r="DBI104" s="1"/>
      <c r="DBJ104" s="1"/>
      <c r="DBK104" s="1"/>
      <c r="DBL104" s="1"/>
      <c r="DBM104" s="1"/>
      <c r="DBN104" s="1"/>
      <c r="DBO104" s="1"/>
      <c r="DBP104" s="1"/>
      <c r="DBQ104" s="1"/>
      <c r="DBR104" s="1"/>
      <c r="DBS104" s="1"/>
      <c r="DBT104" s="1"/>
      <c r="DBU104" s="1"/>
      <c r="DBV104" s="1"/>
      <c r="DBW104" s="1"/>
      <c r="DBX104" s="1"/>
      <c r="DBY104" s="1"/>
      <c r="DBZ104" s="1"/>
      <c r="DCA104" s="1"/>
      <c r="DCB104" s="1"/>
      <c r="DCC104" s="1"/>
      <c r="DCD104" s="1"/>
      <c r="DCE104" s="1"/>
      <c r="DCF104" s="1"/>
      <c r="DCG104" s="1"/>
      <c r="DCH104" s="1"/>
      <c r="DCI104" s="1"/>
      <c r="DCJ104" s="1"/>
      <c r="DCK104" s="1"/>
      <c r="DCL104" s="1"/>
      <c r="DCM104" s="1"/>
      <c r="DCN104" s="1"/>
      <c r="DCO104" s="1"/>
      <c r="DCP104" s="1"/>
      <c r="DCQ104" s="1"/>
      <c r="DCR104" s="1"/>
      <c r="DCS104" s="1"/>
      <c r="DCT104" s="1"/>
      <c r="DCU104" s="1"/>
      <c r="DCV104" s="1"/>
      <c r="DCW104" s="1"/>
      <c r="DCX104" s="1"/>
      <c r="DCY104" s="1"/>
      <c r="DCZ104" s="1"/>
      <c r="DDA104" s="1"/>
      <c r="DDB104" s="1"/>
      <c r="DDC104" s="1"/>
      <c r="DDD104" s="1"/>
      <c r="DDE104" s="1"/>
      <c r="DDF104" s="1"/>
      <c r="DDG104" s="1"/>
      <c r="DDH104" s="1"/>
      <c r="DDI104" s="1"/>
      <c r="DDJ104" s="1"/>
      <c r="DDK104" s="1"/>
      <c r="DDL104" s="1"/>
      <c r="DDM104" s="1"/>
      <c r="DDN104" s="1"/>
      <c r="DDO104" s="1"/>
      <c r="DDP104" s="1"/>
      <c r="DDQ104" s="1"/>
      <c r="DDR104" s="1"/>
      <c r="DDS104" s="1"/>
      <c r="DDT104" s="1"/>
      <c r="DDU104" s="1"/>
      <c r="DDV104" s="1"/>
      <c r="DDW104" s="1"/>
      <c r="DDX104" s="1"/>
      <c r="DDY104" s="1"/>
      <c r="DDZ104" s="1"/>
      <c r="DEA104" s="1"/>
      <c r="DEB104" s="1"/>
      <c r="DEC104" s="1"/>
      <c r="DED104" s="1"/>
      <c r="DEE104" s="1"/>
      <c r="DEF104" s="1"/>
      <c r="DEG104" s="1"/>
      <c r="DEH104" s="1"/>
      <c r="DEI104" s="1"/>
      <c r="DEJ104" s="1"/>
      <c r="DEK104" s="1"/>
      <c r="DEL104" s="1"/>
      <c r="DEM104" s="1"/>
      <c r="DEN104" s="1"/>
      <c r="DEO104" s="1"/>
      <c r="DEP104" s="1"/>
      <c r="DEQ104" s="1"/>
      <c r="DER104" s="1"/>
      <c r="DES104" s="1"/>
      <c r="DET104" s="1"/>
      <c r="DEU104" s="1"/>
      <c r="DEV104" s="1"/>
      <c r="DEW104" s="1"/>
      <c r="DEX104" s="1"/>
      <c r="DEY104" s="1"/>
      <c r="DEZ104" s="1"/>
      <c r="DFA104" s="1"/>
      <c r="DFB104" s="1"/>
      <c r="DFC104" s="1"/>
      <c r="DFD104" s="1"/>
      <c r="DFE104" s="1"/>
      <c r="DFF104" s="1"/>
      <c r="DFG104" s="1"/>
      <c r="DFH104" s="1"/>
      <c r="DFI104" s="1"/>
      <c r="DFJ104" s="1"/>
      <c r="DFK104" s="1"/>
      <c r="DFL104" s="1"/>
      <c r="DFM104" s="1"/>
      <c r="DFN104" s="1"/>
      <c r="DFO104" s="1"/>
      <c r="DFP104" s="1"/>
      <c r="DFQ104" s="1"/>
      <c r="DFR104" s="1"/>
      <c r="DFS104" s="1"/>
      <c r="DFT104" s="1"/>
      <c r="DFU104" s="1"/>
      <c r="DFV104" s="1"/>
      <c r="DFW104" s="1"/>
      <c r="DFX104" s="1"/>
      <c r="DFY104" s="1"/>
      <c r="DFZ104" s="1"/>
      <c r="DGA104" s="1"/>
      <c r="DGB104" s="1"/>
      <c r="DGC104" s="1"/>
      <c r="DGD104" s="1"/>
      <c r="DGE104" s="1"/>
      <c r="DGF104" s="1"/>
      <c r="DGG104" s="1"/>
      <c r="DGH104" s="1"/>
      <c r="DGI104" s="1"/>
      <c r="DGJ104" s="1"/>
      <c r="DGK104" s="1"/>
      <c r="DGL104" s="1"/>
      <c r="DGM104" s="1"/>
      <c r="DGN104" s="1"/>
      <c r="DGO104" s="1"/>
      <c r="DGP104" s="1"/>
      <c r="DGQ104" s="1"/>
      <c r="DGR104" s="1"/>
      <c r="DGS104" s="1"/>
      <c r="DGT104" s="1"/>
      <c r="DGU104" s="1"/>
      <c r="DGV104" s="1"/>
      <c r="DGW104" s="1"/>
      <c r="DGX104" s="1"/>
      <c r="DGY104" s="1"/>
      <c r="DGZ104" s="1"/>
      <c r="DHA104" s="1"/>
      <c r="DHB104" s="1"/>
      <c r="DHC104" s="1"/>
      <c r="DHD104" s="1"/>
      <c r="DHE104" s="1"/>
      <c r="DHF104" s="1"/>
      <c r="DHG104" s="1"/>
      <c r="DHH104" s="1"/>
      <c r="DHI104" s="1"/>
      <c r="DHJ104" s="1"/>
      <c r="DHK104" s="1"/>
      <c r="DHL104" s="1"/>
      <c r="DHM104" s="1"/>
      <c r="DHN104" s="1"/>
      <c r="DHO104" s="1"/>
      <c r="DHP104" s="1"/>
      <c r="DHQ104" s="1"/>
      <c r="DHR104" s="1"/>
      <c r="DHS104" s="1"/>
      <c r="DHT104" s="1"/>
      <c r="DHU104" s="1"/>
      <c r="DHV104" s="1"/>
      <c r="DHW104" s="1"/>
      <c r="DHX104" s="1"/>
      <c r="DHY104" s="1"/>
      <c r="DHZ104" s="1"/>
      <c r="DIA104" s="1"/>
      <c r="DIB104" s="1"/>
      <c r="DIC104" s="1"/>
      <c r="DID104" s="1"/>
      <c r="DIE104" s="1"/>
      <c r="DIF104" s="1"/>
      <c r="DIG104" s="1"/>
      <c r="DIH104" s="1"/>
      <c r="DII104" s="1"/>
      <c r="DIJ104" s="1"/>
      <c r="DIK104" s="1"/>
      <c r="DIL104" s="1"/>
      <c r="DIM104" s="1"/>
      <c r="DIN104" s="1"/>
      <c r="DIO104" s="1"/>
      <c r="DIP104" s="1"/>
      <c r="DIQ104" s="1"/>
      <c r="DIR104" s="1"/>
      <c r="DIS104" s="1"/>
      <c r="DIT104" s="1"/>
      <c r="DIU104" s="1"/>
      <c r="DIV104" s="1"/>
      <c r="DIW104" s="1"/>
      <c r="DIX104" s="1"/>
      <c r="DIY104" s="1"/>
      <c r="DIZ104" s="1"/>
      <c r="DJA104" s="1"/>
      <c r="DJB104" s="1"/>
      <c r="DJC104" s="1"/>
      <c r="DJD104" s="1"/>
      <c r="DJE104" s="1"/>
      <c r="DJF104" s="1"/>
      <c r="DJG104" s="1"/>
      <c r="DJH104" s="1"/>
      <c r="DJI104" s="1"/>
      <c r="DJJ104" s="1"/>
      <c r="DJK104" s="1"/>
      <c r="DJL104" s="1"/>
      <c r="DJM104" s="1"/>
      <c r="DJN104" s="1"/>
      <c r="DJO104" s="1"/>
      <c r="DJP104" s="1"/>
      <c r="DJQ104" s="1"/>
      <c r="DJR104" s="1"/>
      <c r="DJS104" s="1"/>
      <c r="DJT104" s="1"/>
      <c r="DJU104" s="1"/>
      <c r="DJV104" s="1"/>
      <c r="DJW104" s="1"/>
      <c r="DJX104" s="1"/>
      <c r="DJY104" s="1"/>
      <c r="DJZ104" s="1"/>
      <c r="DKA104" s="1"/>
      <c r="DKB104" s="1"/>
      <c r="DKC104" s="1"/>
      <c r="DKD104" s="1"/>
      <c r="DKE104" s="1"/>
      <c r="DKF104" s="1"/>
      <c r="DKG104" s="1"/>
      <c r="DKH104" s="1"/>
      <c r="DKI104" s="1"/>
      <c r="DKJ104" s="1"/>
      <c r="DKK104" s="1"/>
      <c r="DKL104" s="1"/>
      <c r="DKM104" s="1"/>
      <c r="DKN104" s="1"/>
      <c r="DKO104" s="1"/>
      <c r="DKP104" s="1"/>
      <c r="DKQ104" s="1"/>
      <c r="DKR104" s="1"/>
      <c r="DKS104" s="1"/>
      <c r="DKT104" s="1"/>
      <c r="DKU104" s="1"/>
      <c r="DKV104" s="1"/>
      <c r="DKW104" s="1"/>
      <c r="DKX104" s="1"/>
      <c r="DKY104" s="1"/>
      <c r="DKZ104" s="1"/>
      <c r="DLA104" s="1"/>
      <c r="DLB104" s="1"/>
      <c r="DLC104" s="1"/>
      <c r="DLD104" s="1"/>
      <c r="DLE104" s="1"/>
      <c r="DLF104" s="1"/>
      <c r="DLG104" s="1"/>
      <c r="DLH104" s="1"/>
      <c r="DLI104" s="1"/>
      <c r="DLJ104" s="1"/>
      <c r="DLK104" s="1"/>
      <c r="DLL104" s="1"/>
      <c r="DLM104" s="1"/>
      <c r="DLN104" s="1"/>
      <c r="DLO104" s="1"/>
      <c r="DLP104" s="1"/>
      <c r="DLQ104" s="1"/>
      <c r="DLR104" s="1"/>
      <c r="DLS104" s="1"/>
      <c r="DLT104" s="1"/>
      <c r="DLU104" s="1"/>
      <c r="DLV104" s="1"/>
      <c r="DLW104" s="1"/>
      <c r="DLX104" s="1"/>
      <c r="DLY104" s="1"/>
      <c r="DLZ104" s="1"/>
      <c r="DMA104" s="1"/>
      <c r="DMB104" s="1"/>
      <c r="DMC104" s="1"/>
      <c r="DMD104" s="1"/>
      <c r="DME104" s="1"/>
      <c r="DMF104" s="1"/>
      <c r="DMG104" s="1"/>
      <c r="DMH104" s="1"/>
      <c r="DMI104" s="1"/>
      <c r="DMJ104" s="1"/>
      <c r="DMK104" s="1"/>
      <c r="DML104" s="1"/>
      <c r="DMM104" s="1"/>
      <c r="DMN104" s="1"/>
      <c r="DMO104" s="1"/>
      <c r="DMP104" s="1"/>
      <c r="DMQ104" s="1"/>
      <c r="DMR104" s="1"/>
      <c r="DMS104" s="1"/>
      <c r="DMT104" s="1"/>
      <c r="DMU104" s="1"/>
      <c r="DMV104" s="1"/>
      <c r="DMW104" s="1"/>
      <c r="DMX104" s="1"/>
      <c r="DMY104" s="1"/>
      <c r="DMZ104" s="1"/>
      <c r="DNA104" s="1"/>
      <c r="DNB104" s="1"/>
      <c r="DNC104" s="1"/>
      <c r="DND104" s="1"/>
      <c r="DNE104" s="1"/>
      <c r="DNF104" s="1"/>
      <c r="DNG104" s="1"/>
      <c r="DNH104" s="1"/>
      <c r="DNI104" s="1"/>
      <c r="DNJ104" s="1"/>
      <c r="DNK104" s="1"/>
      <c r="DNL104" s="1"/>
      <c r="DNM104" s="1"/>
      <c r="DNN104" s="1"/>
      <c r="DNO104" s="1"/>
      <c r="DNP104" s="1"/>
      <c r="DNQ104" s="1"/>
      <c r="DNR104" s="1"/>
      <c r="DNS104" s="1"/>
      <c r="DNT104" s="1"/>
      <c r="DNU104" s="1"/>
      <c r="DNV104" s="1"/>
      <c r="DNW104" s="1"/>
      <c r="DNX104" s="1"/>
      <c r="DNY104" s="1"/>
      <c r="DNZ104" s="1"/>
      <c r="DOA104" s="1"/>
      <c r="DOB104" s="1"/>
      <c r="DOC104" s="1"/>
      <c r="DOD104" s="1"/>
      <c r="DOE104" s="1"/>
      <c r="DOF104" s="1"/>
      <c r="DOG104" s="1"/>
      <c r="DOH104" s="1"/>
      <c r="DOI104" s="1"/>
      <c r="DOJ104" s="1"/>
      <c r="DOK104" s="1"/>
      <c r="DOL104" s="1"/>
      <c r="DOM104" s="1"/>
      <c r="DON104" s="1"/>
      <c r="DOO104" s="1"/>
      <c r="DOP104" s="1"/>
      <c r="DOQ104" s="1"/>
      <c r="DOR104" s="1"/>
      <c r="DOS104" s="1"/>
      <c r="DOT104" s="1"/>
      <c r="DOU104" s="1"/>
      <c r="DOV104" s="1"/>
      <c r="DOW104" s="1"/>
      <c r="DOX104" s="1"/>
      <c r="DOY104" s="1"/>
      <c r="DOZ104" s="1"/>
      <c r="DPA104" s="1"/>
      <c r="DPB104" s="1"/>
      <c r="DPC104" s="1"/>
      <c r="DPD104" s="1"/>
      <c r="DPE104" s="1"/>
      <c r="DPF104" s="1"/>
      <c r="DPG104" s="1"/>
      <c r="DPH104" s="1"/>
      <c r="DPI104" s="1"/>
      <c r="DPJ104" s="1"/>
      <c r="DPK104" s="1"/>
      <c r="DPL104" s="1"/>
      <c r="DPM104" s="1"/>
      <c r="DPN104" s="1"/>
      <c r="DPO104" s="1"/>
      <c r="DPP104" s="1"/>
      <c r="DPQ104" s="1"/>
      <c r="DPR104" s="1"/>
      <c r="DPS104" s="1"/>
      <c r="DPT104" s="1"/>
      <c r="DPU104" s="1"/>
      <c r="DPV104" s="1"/>
      <c r="DPW104" s="1"/>
      <c r="DPX104" s="1"/>
      <c r="DPY104" s="1"/>
      <c r="DPZ104" s="1"/>
      <c r="DQA104" s="1"/>
      <c r="DQB104" s="1"/>
      <c r="DQC104" s="1"/>
      <c r="DQD104" s="1"/>
      <c r="DQE104" s="1"/>
      <c r="DQF104" s="1"/>
      <c r="DQG104" s="1"/>
      <c r="DQH104" s="1"/>
      <c r="DQI104" s="1"/>
      <c r="DQJ104" s="1"/>
      <c r="DQK104" s="1"/>
      <c r="DQL104" s="1"/>
      <c r="DQM104" s="1"/>
      <c r="DQN104" s="1"/>
      <c r="DQO104" s="1"/>
      <c r="DQP104" s="1"/>
      <c r="DQQ104" s="1"/>
      <c r="DQR104" s="1"/>
      <c r="DQS104" s="1"/>
      <c r="DQT104" s="1"/>
      <c r="DQU104" s="1"/>
      <c r="DQV104" s="1"/>
      <c r="DQW104" s="1"/>
      <c r="DQX104" s="1"/>
      <c r="DQY104" s="1"/>
      <c r="DQZ104" s="1"/>
      <c r="DRA104" s="1"/>
      <c r="DRB104" s="1"/>
      <c r="DRC104" s="1"/>
      <c r="DRD104" s="1"/>
      <c r="DRE104" s="1"/>
      <c r="DRF104" s="1"/>
      <c r="DRG104" s="1"/>
      <c r="DRH104" s="1"/>
      <c r="DRI104" s="1"/>
      <c r="DRJ104" s="1"/>
      <c r="DRK104" s="1"/>
      <c r="DRL104" s="1"/>
      <c r="DRM104" s="1"/>
      <c r="DRN104" s="1"/>
      <c r="DRO104" s="1"/>
      <c r="DRP104" s="1"/>
      <c r="DRQ104" s="1"/>
      <c r="DRR104" s="1"/>
      <c r="DRS104" s="1"/>
      <c r="DRT104" s="1"/>
      <c r="DRU104" s="1"/>
      <c r="DRV104" s="1"/>
      <c r="DRW104" s="1"/>
      <c r="DRX104" s="1"/>
      <c r="DRY104" s="1"/>
      <c r="DRZ104" s="1"/>
      <c r="DSA104" s="1"/>
      <c r="DSB104" s="1"/>
      <c r="DSC104" s="1"/>
      <c r="DSD104" s="1"/>
      <c r="DSE104" s="1"/>
      <c r="DSF104" s="1"/>
      <c r="DSG104" s="1"/>
      <c r="DSH104" s="1"/>
      <c r="DSI104" s="1"/>
      <c r="DSJ104" s="1"/>
      <c r="DSK104" s="1"/>
      <c r="DSL104" s="1"/>
      <c r="DSM104" s="1"/>
      <c r="DSN104" s="1"/>
      <c r="DSO104" s="1"/>
      <c r="DSP104" s="1"/>
      <c r="DSQ104" s="1"/>
      <c r="DSR104" s="1"/>
      <c r="DSS104" s="1"/>
      <c r="DST104" s="1"/>
      <c r="DSU104" s="1"/>
      <c r="DSV104" s="1"/>
      <c r="DSW104" s="1"/>
      <c r="DSX104" s="1"/>
      <c r="DSY104" s="1"/>
      <c r="DSZ104" s="1"/>
      <c r="DTA104" s="1"/>
      <c r="DTB104" s="1"/>
      <c r="DTC104" s="1"/>
      <c r="DTD104" s="1"/>
      <c r="DTE104" s="1"/>
      <c r="DTF104" s="1"/>
      <c r="DTG104" s="1"/>
      <c r="DTH104" s="1"/>
      <c r="DTI104" s="1"/>
      <c r="DTJ104" s="1"/>
      <c r="DTK104" s="1"/>
      <c r="DTL104" s="1"/>
      <c r="DTM104" s="1"/>
      <c r="DTN104" s="1"/>
      <c r="DTO104" s="1"/>
      <c r="DTP104" s="1"/>
      <c r="DTQ104" s="1"/>
      <c r="DTR104" s="1"/>
      <c r="DTS104" s="1"/>
      <c r="DTT104" s="1"/>
      <c r="DTU104" s="1"/>
      <c r="DTV104" s="1"/>
      <c r="DTW104" s="1"/>
      <c r="DTX104" s="1"/>
      <c r="DTY104" s="1"/>
      <c r="DTZ104" s="1"/>
      <c r="DUA104" s="1"/>
      <c r="DUB104" s="1"/>
      <c r="DUC104" s="1"/>
      <c r="DUD104" s="1"/>
      <c r="DUE104" s="1"/>
      <c r="DUF104" s="1"/>
      <c r="DUG104" s="1"/>
      <c r="DUH104" s="1"/>
      <c r="DUI104" s="1"/>
      <c r="DUJ104" s="1"/>
      <c r="DUK104" s="1"/>
      <c r="DUL104" s="1"/>
      <c r="DUM104" s="1"/>
      <c r="DUN104" s="1"/>
      <c r="DUO104" s="1"/>
      <c r="DUP104" s="1"/>
      <c r="DUQ104" s="1"/>
      <c r="DUR104" s="1"/>
      <c r="DUS104" s="1"/>
      <c r="DUT104" s="1"/>
      <c r="DUU104" s="1"/>
      <c r="DUV104" s="1"/>
      <c r="DUW104" s="1"/>
      <c r="DUX104" s="1"/>
      <c r="DUY104" s="1"/>
      <c r="DUZ104" s="1"/>
      <c r="DVA104" s="1"/>
      <c r="DVB104" s="1"/>
      <c r="DVC104" s="1"/>
      <c r="DVD104" s="1"/>
      <c r="DVE104" s="1"/>
      <c r="DVF104" s="1"/>
      <c r="DVG104" s="1"/>
      <c r="DVH104" s="1"/>
      <c r="DVI104" s="1"/>
      <c r="DVJ104" s="1"/>
      <c r="DVK104" s="1"/>
      <c r="DVL104" s="1"/>
      <c r="DVM104" s="1"/>
      <c r="DVN104" s="1"/>
      <c r="DVO104" s="1"/>
      <c r="DVP104" s="1"/>
      <c r="DVQ104" s="1"/>
      <c r="DVR104" s="1"/>
      <c r="DVS104" s="1"/>
      <c r="DVT104" s="1"/>
      <c r="DVU104" s="1"/>
      <c r="DVV104" s="1"/>
      <c r="DVW104" s="1"/>
      <c r="DVX104" s="1"/>
      <c r="DVY104" s="1"/>
      <c r="DVZ104" s="1"/>
      <c r="DWA104" s="1"/>
      <c r="DWB104" s="1"/>
      <c r="DWC104" s="1"/>
      <c r="DWD104" s="1"/>
      <c r="DWE104" s="1"/>
      <c r="DWF104" s="1"/>
      <c r="DWG104" s="1"/>
      <c r="DWH104" s="1"/>
      <c r="DWI104" s="1"/>
      <c r="DWJ104" s="1"/>
      <c r="DWK104" s="1"/>
      <c r="DWL104" s="1"/>
      <c r="DWM104" s="1"/>
      <c r="DWN104" s="1"/>
      <c r="DWO104" s="1"/>
      <c r="DWP104" s="1"/>
      <c r="DWQ104" s="1"/>
      <c r="DWR104" s="1"/>
      <c r="DWS104" s="1"/>
      <c r="DWT104" s="1"/>
      <c r="DWU104" s="1"/>
      <c r="DWV104" s="1"/>
      <c r="DWW104" s="1"/>
      <c r="DWX104" s="1"/>
      <c r="DWY104" s="1"/>
      <c r="DWZ104" s="1"/>
      <c r="DXA104" s="1"/>
      <c r="DXB104" s="1"/>
      <c r="DXC104" s="1"/>
      <c r="DXD104" s="1"/>
      <c r="DXE104" s="1"/>
      <c r="DXF104" s="1"/>
      <c r="DXG104" s="1"/>
      <c r="DXH104" s="1"/>
      <c r="DXI104" s="1"/>
      <c r="DXJ104" s="1"/>
      <c r="DXK104" s="1"/>
      <c r="DXL104" s="1"/>
      <c r="DXM104" s="1"/>
      <c r="DXN104" s="1"/>
      <c r="DXO104" s="1"/>
      <c r="DXP104" s="1"/>
      <c r="DXQ104" s="1"/>
      <c r="DXR104" s="1"/>
      <c r="DXS104" s="1"/>
      <c r="DXT104" s="1"/>
      <c r="DXU104" s="1"/>
      <c r="DXV104" s="1"/>
      <c r="DXW104" s="1"/>
      <c r="DXX104" s="1"/>
      <c r="DXY104" s="1"/>
      <c r="DXZ104" s="1"/>
      <c r="DYA104" s="1"/>
      <c r="DYB104" s="1"/>
      <c r="DYC104" s="1"/>
      <c r="DYD104" s="1"/>
      <c r="DYE104" s="1"/>
      <c r="DYF104" s="1"/>
      <c r="DYG104" s="1"/>
      <c r="DYH104" s="1"/>
      <c r="DYI104" s="1"/>
      <c r="DYJ104" s="1"/>
      <c r="DYK104" s="1"/>
      <c r="DYL104" s="1"/>
      <c r="DYM104" s="1"/>
      <c r="DYN104" s="1"/>
      <c r="DYO104" s="1"/>
      <c r="DYP104" s="1"/>
      <c r="DYQ104" s="1"/>
      <c r="DYR104" s="1"/>
      <c r="DYS104" s="1"/>
      <c r="DYT104" s="1"/>
      <c r="DYU104" s="1"/>
      <c r="DYV104" s="1"/>
      <c r="DYW104" s="1"/>
      <c r="DYX104" s="1"/>
      <c r="DYY104" s="1"/>
      <c r="DYZ104" s="1"/>
      <c r="DZA104" s="1"/>
      <c r="DZB104" s="1"/>
      <c r="DZC104" s="1"/>
      <c r="DZD104" s="1"/>
      <c r="DZE104" s="1"/>
      <c r="DZF104" s="1"/>
      <c r="DZG104" s="1"/>
      <c r="DZH104" s="1"/>
      <c r="DZI104" s="1"/>
      <c r="DZJ104" s="1"/>
      <c r="DZK104" s="1"/>
      <c r="DZL104" s="1"/>
      <c r="DZM104" s="1"/>
      <c r="DZN104" s="1"/>
      <c r="DZO104" s="1"/>
      <c r="DZP104" s="1"/>
      <c r="DZQ104" s="1"/>
      <c r="DZR104" s="1"/>
      <c r="DZS104" s="1"/>
      <c r="DZT104" s="1"/>
      <c r="DZU104" s="1"/>
      <c r="DZV104" s="1"/>
      <c r="DZW104" s="1"/>
      <c r="DZX104" s="1"/>
      <c r="DZY104" s="1"/>
      <c r="DZZ104" s="1"/>
      <c r="EAA104" s="1"/>
      <c r="EAB104" s="1"/>
      <c r="EAC104" s="1"/>
      <c r="EAD104" s="1"/>
      <c r="EAE104" s="1"/>
      <c r="EAF104" s="1"/>
      <c r="EAG104" s="1"/>
      <c r="EAH104" s="1"/>
      <c r="EAI104" s="1"/>
      <c r="EAJ104" s="1"/>
      <c r="EAK104" s="1"/>
      <c r="EAL104" s="1"/>
      <c r="EAM104" s="1"/>
      <c r="EAN104" s="1"/>
      <c r="EAO104" s="1"/>
      <c r="EAP104" s="1"/>
      <c r="EAQ104" s="1"/>
      <c r="EAR104" s="1"/>
      <c r="EAS104" s="1"/>
      <c r="EAT104" s="1"/>
      <c r="EAU104" s="1"/>
      <c r="EAV104" s="1"/>
      <c r="EAW104" s="1"/>
      <c r="EAX104" s="1"/>
      <c r="EAY104" s="1"/>
      <c r="EAZ104" s="1"/>
      <c r="EBA104" s="1"/>
      <c r="EBB104" s="1"/>
      <c r="EBC104" s="1"/>
      <c r="EBD104" s="1"/>
      <c r="EBE104" s="1"/>
      <c r="EBF104" s="1"/>
      <c r="EBG104" s="1"/>
      <c r="EBH104" s="1"/>
      <c r="EBI104" s="1"/>
      <c r="EBJ104" s="1"/>
      <c r="EBK104" s="1"/>
      <c r="EBL104" s="1"/>
      <c r="EBM104" s="1"/>
      <c r="EBN104" s="1"/>
      <c r="EBO104" s="1"/>
      <c r="EBP104" s="1"/>
      <c r="EBQ104" s="1"/>
      <c r="EBR104" s="1"/>
      <c r="EBS104" s="1"/>
      <c r="EBT104" s="1"/>
      <c r="EBU104" s="1"/>
      <c r="EBV104" s="1"/>
      <c r="EBW104" s="1"/>
      <c r="EBX104" s="1"/>
      <c r="EBY104" s="1"/>
      <c r="EBZ104" s="1"/>
      <c r="ECA104" s="1"/>
      <c r="ECB104" s="1"/>
      <c r="ECC104" s="1"/>
      <c r="ECD104" s="1"/>
      <c r="ECE104" s="1"/>
      <c r="ECF104" s="1"/>
      <c r="ECG104" s="1"/>
      <c r="ECH104" s="1"/>
      <c r="ECI104" s="1"/>
      <c r="ECJ104" s="1"/>
      <c r="ECK104" s="1"/>
      <c r="ECL104" s="1"/>
      <c r="ECM104" s="1"/>
      <c r="ECN104" s="1"/>
      <c r="ECO104" s="1"/>
      <c r="ECP104" s="1"/>
      <c r="ECQ104" s="1"/>
      <c r="ECR104" s="1"/>
      <c r="ECS104" s="1"/>
      <c r="ECT104" s="1"/>
      <c r="ECU104" s="1"/>
      <c r="ECV104" s="1"/>
      <c r="ECW104" s="1"/>
      <c r="ECX104" s="1"/>
      <c r="ECY104" s="1"/>
      <c r="ECZ104" s="1"/>
      <c r="EDA104" s="1"/>
      <c r="EDB104" s="1"/>
      <c r="EDC104" s="1"/>
      <c r="EDD104" s="1"/>
      <c r="EDE104" s="1"/>
      <c r="EDF104" s="1"/>
      <c r="EDG104" s="1"/>
      <c r="EDH104" s="1"/>
      <c r="EDI104" s="1"/>
      <c r="EDJ104" s="1"/>
      <c r="EDK104" s="1"/>
      <c r="EDL104" s="1"/>
      <c r="EDM104" s="1"/>
      <c r="EDN104" s="1"/>
      <c r="EDO104" s="1"/>
      <c r="EDP104" s="1"/>
      <c r="EDQ104" s="1"/>
      <c r="EDR104" s="1"/>
      <c r="EDS104" s="1"/>
      <c r="EDT104" s="1"/>
      <c r="EDU104" s="1"/>
      <c r="EDV104" s="1"/>
      <c r="EDW104" s="1"/>
      <c r="EDX104" s="1"/>
      <c r="EDY104" s="1"/>
      <c r="EDZ104" s="1"/>
      <c r="EEA104" s="1"/>
      <c r="EEB104" s="1"/>
      <c r="EEC104" s="1"/>
      <c r="EED104" s="1"/>
      <c r="EEE104" s="1"/>
      <c r="EEF104" s="1"/>
      <c r="EEG104" s="1"/>
      <c r="EEH104" s="1"/>
      <c r="EEI104" s="1"/>
      <c r="EEJ104" s="1"/>
      <c r="EEK104" s="1"/>
      <c r="EEL104" s="1"/>
      <c r="EEM104" s="1"/>
      <c r="EEN104" s="1"/>
      <c r="EEO104" s="1"/>
      <c r="EEP104" s="1"/>
      <c r="EEQ104" s="1"/>
      <c r="EER104" s="1"/>
      <c r="EES104" s="1"/>
      <c r="EET104" s="1"/>
      <c r="EEU104" s="1"/>
      <c r="EEV104" s="1"/>
      <c r="EEW104" s="1"/>
      <c r="EEX104" s="1"/>
      <c r="EEY104" s="1"/>
      <c r="EEZ104" s="1"/>
      <c r="EFA104" s="1"/>
      <c r="EFB104" s="1"/>
      <c r="EFC104" s="1"/>
      <c r="EFD104" s="1"/>
      <c r="EFE104" s="1"/>
      <c r="EFF104" s="1"/>
      <c r="EFG104" s="1"/>
      <c r="EFH104" s="1"/>
      <c r="EFI104" s="1"/>
      <c r="EFJ104" s="1"/>
      <c r="EFK104" s="1"/>
      <c r="EFL104" s="1"/>
      <c r="EFM104" s="1"/>
      <c r="EFN104" s="1"/>
      <c r="EFO104" s="1"/>
      <c r="EFP104" s="1"/>
      <c r="EFQ104" s="1"/>
      <c r="EFR104" s="1"/>
      <c r="EFS104" s="1"/>
      <c r="EFT104" s="1"/>
      <c r="EFU104" s="1"/>
      <c r="EFV104" s="1"/>
      <c r="EFW104" s="1"/>
      <c r="EFX104" s="1"/>
      <c r="EFY104" s="1"/>
      <c r="EFZ104" s="1"/>
      <c r="EGA104" s="1"/>
      <c r="EGB104" s="1"/>
      <c r="EGC104" s="1"/>
      <c r="EGD104" s="1"/>
      <c r="EGE104" s="1"/>
      <c r="EGF104" s="1"/>
      <c r="EGG104" s="1"/>
      <c r="EGH104" s="1"/>
      <c r="EGI104" s="1"/>
      <c r="EGJ104" s="1"/>
      <c r="EGK104" s="1"/>
      <c r="EGL104" s="1"/>
      <c r="EGM104" s="1"/>
      <c r="EGN104" s="1"/>
      <c r="EGO104" s="1"/>
      <c r="EGP104" s="1"/>
      <c r="EGQ104" s="1"/>
      <c r="EGR104" s="1"/>
      <c r="EGS104" s="1"/>
      <c r="EGT104" s="1"/>
      <c r="EGU104" s="1"/>
      <c r="EGV104" s="1"/>
      <c r="EGW104" s="1"/>
      <c r="EGX104" s="1"/>
      <c r="EGY104" s="1"/>
      <c r="EGZ104" s="1"/>
      <c r="EHA104" s="1"/>
      <c r="EHB104" s="1"/>
      <c r="EHC104" s="1"/>
      <c r="EHD104" s="1"/>
      <c r="EHE104" s="1"/>
      <c r="EHF104" s="1"/>
      <c r="EHG104" s="1"/>
      <c r="EHH104" s="1"/>
      <c r="EHI104" s="1"/>
      <c r="EHJ104" s="1"/>
      <c r="EHK104" s="1"/>
      <c r="EHL104" s="1"/>
      <c r="EHM104" s="1"/>
      <c r="EHN104" s="1"/>
      <c r="EHO104" s="1"/>
      <c r="EHP104" s="1"/>
      <c r="EHQ104" s="1"/>
      <c r="EHR104" s="1"/>
      <c r="EHS104" s="1"/>
      <c r="EHT104" s="1"/>
      <c r="EHU104" s="1"/>
      <c r="EHV104" s="1"/>
      <c r="EHW104" s="1"/>
      <c r="EHX104" s="1"/>
      <c r="EHY104" s="1"/>
      <c r="EHZ104" s="1"/>
      <c r="EIA104" s="1"/>
      <c r="EIB104" s="1"/>
      <c r="EIC104" s="1"/>
      <c r="EID104" s="1"/>
      <c r="EIE104" s="1"/>
      <c r="EIF104" s="1"/>
      <c r="EIG104" s="1"/>
      <c r="EIH104" s="1"/>
      <c r="EII104" s="1"/>
      <c r="EIJ104" s="1"/>
      <c r="EIK104" s="1"/>
      <c r="EIL104" s="1"/>
      <c r="EIM104" s="1"/>
      <c r="EIN104" s="1"/>
      <c r="EIO104" s="1"/>
      <c r="EIP104" s="1"/>
      <c r="EIQ104" s="1"/>
      <c r="EIR104" s="1"/>
      <c r="EIS104" s="1"/>
      <c r="EIT104" s="1"/>
      <c r="EIU104" s="1"/>
      <c r="EIV104" s="1"/>
      <c r="EIW104" s="1"/>
      <c r="EIX104" s="1"/>
      <c r="EIY104" s="1"/>
      <c r="EIZ104" s="1"/>
      <c r="EJA104" s="1"/>
      <c r="EJB104" s="1"/>
      <c r="EJC104" s="1"/>
      <c r="EJD104" s="1"/>
      <c r="EJE104" s="1"/>
      <c r="EJF104" s="1"/>
      <c r="EJG104" s="1"/>
      <c r="EJH104" s="1"/>
      <c r="EJI104" s="1"/>
      <c r="EJJ104" s="1"/>
      <c r="EJK104" s="1"/>
      <c r="EJL104" s="1"/>
      <c r="EJM104" s="1"/>
      <c r="EJN104" s="1"/>
      <c r="EJO104" s="1"/>
      <c r="EJP104" s="1"/>
      <c r="EJQ104" s="1"/>
      <c r="EJR104" s="1"/>
      <c r="EJS104" s="1"/>
      <c r="EJT104" s="1"/>
      <c r="EJU104" s="1"/>
      <c r="EJV104" s="1"/>
      <c r="EJW104" s="1"/>
      <c r="EJX104" s="1"/>
      <c r="EJY104" s="1"/>
      <c r="EJZ104" s="1"/>
      <c r="EKA104" s="1"/>
      <c r="EKB104" s="1"/>
      <c r="EKC104" s="1"/>
      <c r="EKD104" s="1"/>
      <c r="EKE104" s="1"/>
      <c r="EKF104" s="1"/>
      <c r="EKG104" s="1"/>
      <c r="EKH104" s="1"/>
      <c r="EKI104" s="1"/>
      <c r="EKJ104" s="1"/>
      <c r="EKK104" s="1"/>
      <c r="EKL104" s="1"/>
      <c r="EKM104" s="1"/>
      <c r="EKN104" s="1"/>
      <c r="EKO104" s="1"/>
      <c r="EKP104" s="1"/>
      <c r="EKQ104" s="1"/>
      <c r="EKR104" s="1"/>
      <c r="EKS104" s="1"/>
      <c r="EKT104" s="1"/>
      <c r="EKU104" s="1"/>
      <c r="EKV104" s="1"/>
      <c r="EKW104" s="1"/>
      <c r="EKX104" s="1"/>
      <c r="EKY104" s="1"/>
      <c r="EKZ104" s="1"/>
      <c r="ELA104" s="1"/>
      <c r="ELB104" s="1"/>
      <c r="ELC104" s="1"/>
      <c r="ELD104" s="1"/>
      <c r="ELE104" s="1"/>
      <c r="ELF104" s="1"/>
      <c r="ELG104" s="1"/>
      <c r="ELH104" s="1"/>
      <c r="ELI104" s="1"/>
      <c r="ELJ104" s="1"/>
      <c r="ELK104" s="1"/>
      <c r="ELL104" s="1"/>
      <c r="ELM104" s="1"/>
      <c r="ELN104" s="1"/>
      <c r="ELO104" s="1"/>
      <c r="ELP104" s="1"/>
      <c r="ELQ104" s="1"/>
      <c r="ELR104" s="1"/>
      <c r="ELS104" s="1"/>
      <c r="ELT104" s="1"/>
      <c r="ELU104" s="1"/>
      <c r="ELV104" s="1"/>
      <c r="ELW104" s="1"/>
      <c r="ELX104" s="1"/>
      <c r="ELY104" s="1"/>
      <c r="ELZ104" s="1"/>
      <c r="EMA104" s="1"/>
      <c r="EMB104" s="1"/>
      <c r="EMC104" s="1"/>
      <c r="EMD104" s="1"/>
      <c r="EME104" s="1"/>
      <c r="EMF104" s="1"/>
      <c r="EMG104" s="1"/>
      <c r="EMH104" s="1"/>
      <c r="EMI104" s="1"/>
      <c r="EMJ104" s="1"/>
      <c r="EMK104" s="1"/>
      <c r="EML104" s="1"/>
      <c r="EMM104" s="1"/>
      <c r="EMN104" s="1"/>
      <c r="EMO104" s="1"/>
      <c r="EMP104" s="1"/>
      <c r="EMQ104" s="1"/>
      <c r="EMR104" s="1"/>
      <c r="EMS104" s="1"/>
      <c r="EMT104" s="1"/>
      <c r="EMU104" s="1"/>
      <c r="EMV104" s="1"/>
      <c r="EMW104" s="1"/>
      <c r="EMX104" s="1"/>
      <c r="EMY104" s="1"/>
      <c r="EMZ104" s="1"/>
      <c r="ENA104" s="1"/>
      <c r="ENB104" s="1"/>
      <c r="ENC104" s="1"/>
      <c r="END104" s="1"/>
      <c r="ENE104" s="1"/>
      <c r="ENF104" s="1"/>
      <c r="ENG104" s="1"/>
      <c r="ENH104" s="1"/>
      <c r="ENI104" s="1"/>
      <c r="ENJ104" s="1"/>
      <c r="ENK104" s="1"/>
      <c r="ENL104" s="1"/>
      <c r="ENM104" s="1"/>
      <c r="ENN104" s="1"/>
      <c r="ENO104" s="1"/>
      <c r="ENP104" s="1"/>
      <c r="ENQ104" s="1"/>
      <c r="ENR104" s="1"/>
      <c r="ENS104" s="1"/>
      <c r="ENT104" s="1"/>
      <c r="ENU104" s="1"/>
      <c r="ENV104" s="1"/>
      <c r="ENW104" s="1"/>
      <c r="ENX104" s="1"/>
      <c r="ENY104" s="1"/>
      <c r="ENZ104" s="1"/>
      <c r="EOA104" s="1"/>
      <c r="EOB104" s="1"/>
      <c r="EOC104" s="1"/>
      <c r="EOD104" s="1"/>
      <c r="EOE104" s="1"/>
      <c r="EOF104" s="1"/>
      <c r="EOG104" s="1"/>
      <c r="EOH104" s="1"/>
      <c r="EOI104" s="1"/>
      <c r="EOJ104" s="1"/>
      <c r="EOK104" s="1"/>
      <c r="EOL104" s="1"/>
      <c r="EOM104" s="1"/>
      <c r="EON104" s="1"/>
      <c r="EOO104" s="1"/>
      <c r="EOP104" s="1"/>
      <c r="EOQ104" s="1"/>
      <c r="EOR104" s="1"/>
      <c r="EOS104" s="1"/>
      <c r="EOT104" s="1"/>
      <c r="EOU104" s="1"/>
      <c r="EOV104" s="1"/>
      <c r="EOW104" s="1"/>
      <c r="EOX104" s="1"/>
      <c r="EOY104" s="1"/>
      <c r="EOZ104" s="1"/>
      <c r="EPA104" s="1"/>
      <c r="EPB104" s="1"/>
      <c r="EPC104" s="1"/>
      <c r="EPD104" s="1"/>
      <c r="EPE104" s="1"/>
      <c r="EPF104" s="1"/>
      <c r="EPG104" s="1"/>
      <c r="EPH104" s="1"/>
      <c r="EPI104" s="1"/>
      <c r="EPJ104" s="1"/>
      <c r="EPK104" s="1"/>
      <c r="EPL104" s="1"/>
      <c r="EPM104" s="1"/>
      <c r="EPN104" s="1"/>
      <c r="EPO104" s="1"/>
      <c r="EPP104" s="1"/>
      <c r="EPQ104" s="1"/>
      <c r="EPR104" s="1"/>
      <c r="EPS104" s="1"/>
      <c r="EPT104" s="1"/>
      <c r="EPU104" s="1"/>
      <c r="EPV104" s="1"/>
      <c r="EPW104" s="1"/>
      <c r="EPX104" s="1"/>
      <c r="EPY104" s="1"/>
      <c r="EPZ104" s="1"/>
      <c r="EQA104" s="1"/>
      <c r="EQB104" s="1"/>
      <c r="EQC104" s="1"/>
      <c r="EQD104" s="1"/>
      <c r="EQE104" s="1"/>
      <c r="EQF104" s="1"/>
      <c r="EQG104" s="1"/>
      <c r="EQH104" s="1"/>
      <c r="EQI104" s="1"/>
      <c r="EQJ104" s="1"/>
      <c r="EQK104" s="1"/>
      <c r="EQL104" s="1"/>
      <c r="EQM104" s="1"/>
      <c r="EQN104" s="1"/>
      <c r="EQO104" s="1"/>
      <c r="EQP104" s="1"/>
      <c r="EQQ104" s="1"/>
      <c r="EQR104" s="1"/>
      <c r="EQS104" s="1"/>
      <c r="EQT104" s="1"/>
      <c r="EQU104" s="1"/>
      <c r="EQV104" s="1"/>
      <c r="EQW104" s="1"/>
      <c r="EQX104" s="1"/>
      <c r="EQY104" s="1"/>
      <c r="EQZ104" s="1"/>
      <c r="ERA104" s="1"/>
      <c r="ERB104" s="1"/>
      <c r="ERC104" s="1"/>
      <c r="ERD104" s="1"/>
      <c r="ERE104" s="1"/>
      <c r="ERF104" s="1"/>
      <c r="ERG104" s="1"/>
      <c r="ERH104" s="1"/>
      <c r="ERI104" s="1"/>
      <c r="ERJ104" s="1"/>
      <c r="ERK104" s="1"/>
      <c r="ERL104" s="1"/>
      <c r="ERM104" s="1"/>
      <c r="ERN104" s="1"/>
      <c r="ERO104" s="1"/>
      <c r="ERP104" s="1"/>
      <c r="ERQ104" s="1"/>
      <c r="ERR104" s="1"/>
      <c r="ERS104" s="1"/>
      <c r="ERT104" s="1"/>
      <c r="ERU104" s="1"/>
      <c r="ERV104" s="1"/>
      <c r="ERW104" s="1"/>
      <c r="ERX104" s="1"/>
      <c r="ERY104" s="1"/>
      <c r="ERZ104" s="1"/>
      <c r="ESA104" s="1"/>
      <c r="ESB104" s="1"/>
      <c r="ESC104" s="1"/>
      <c r="ESD104" s="1"/>
      <c r="ESE104" s="1"/>
      <c r="ESF104" s="1"/>
      <c r="ESG104" s="1"/>
      <c r="ESH104" s="1"/>
      <c r="ESI104" s="1"/>
      <c r="ESJ104" s="1"/>
      <c r="ESK104" s="1"/>
      <c r="ESL104" s="1"/>
      <c r="ESM104" s="1"/>
      <c r="ESN104" s="1"/>
      <c r="ESO104" s="1"/>
      <c r="ESP104" s="1"/>
      <c r="ESQ104" s="1"/>
      <c r="ESR104" s="1"/>
      <c r="ESS104" s="1"/>
      <c r="EST104" s="1"/>
      <c r="ESU104" s="1"/>
      <c r="ESV104" s="1"/>
      <c r="ESW104" s="1"/>
      <c r="ESX104" s="1"/>
      <c r="ESY104" s="1"/>
      <c r="ESZ104" s="1"/>
      <c r="ETA104" s="1"/>
      <c r="ETB104" s="1"/>
      <c r="ETC104" s="1"/>
      <c r="ETD104" s="1"/>
      <c r="ETE104" s="1"/>
      <c r="ETF104" s="1"/>
      <c r="ETG104" s="1"/>
      <c r="ETH104" s="1"/>
      <c r="ETI104" s="1"/>
      <c r="ETJ104" s="1"/>
      <c r="ETK104" s="1"/>
      <c r="ETL104" s="1"/>
      <c r="ETM104" s="1"/>
      <c r="ETN104" s="1"/>
      <c r="ETO104" s="1"/>
      <c r="ETP104" s="1"/>
      <c r="ETQ104" s="1"/>
      <c r="ETR104" s="1"/>
      <c r="ETS104" s="1"/>
      <c r="ETT104" s="1"/>
      <c r="ETU104" s="1"/>
      <c r="ETV104" s="1"/>
      <c r="ETW104" s="1"/>
      <c r="ETX104" s="1"/>
      <c r="ETY104" s="1"/>
      <c r="ETZ104" s="1"/>
      <c r="EUA104" s="1"/>
      <c r="EUB104" s="1"/>
      <c r="EUC104" s="1"/>
      <c r="EUD104" s="1"/>
      <c r="EUE104" s="1"/>
      <c r="EUF104" s="1"/>
      <c r="EUG104" s="1"/>
      <c r="EUH104" s="1"/>
      <c r="EUI104" s="1"/>
      <c r="EUJ104" s="1"/>
      <c r="EUK104" s="1"/>
      <c r="EUL104" s="1"/>
      <c r="EUM104" s="1"/>
      <c r="EUN104" s="1"/>
      <c r="EUO104" s="1"/>
      <c r="EUP104" s="1"/>
      <c r="EUQ104" s="1"/>
      <c r="EUR104" s="1"/>
      <c r="EUS104" s="1"/>
      <c r="EUT104" s="1"/>
      <c r="EUU104" s="1"/>
      <c r="EUV104" s="1"/>
      <c r="EUW104" s="1"/>
      <c r="EUX104" s="1"/>
      <c r="EUY104" s="1"/>
      <c r="EUZ104" s="1"/>
      <c r="EVA104" s="1"/>
      <c r="EVB104" s="1"/>
      <c r="EVC104" s="1"/>
      <c r="EVD104" s="1"/>
      <c r="EVE104" s="1"/>
      <c r="EVF104" s="1"/>
      <c r="EVG104" s="1"/>
      <c r="EVH104" s="1"/>
      <c r="EVI104" s="1"/>
      <c r="EVJ104" s="1"/>
      <c r="EVK104" s="1"/>
      <c r="EVL104" s="1"/>
      <c r="EVM104" s="1"/>
      <c r="EVN104" s="1"/>
      <c r="EVO104" s="1"/>
      <c r="EVP104" s="1"/>
      <c r="EVQ104" s="1"/>
      <c r="EVR104" s="1"/>
      <c r="EVS104" s="1"/>
      <c r="EVT104" s="1"/>
      <c r="EVU104" s="1"/>
      <c r="EVV104" s="1"/>
      <c r="EVW104" s="1"/>
      <c r="EVX104" s="1"/>
      <c r="EVY104" s="1"/>
      <c r="EVZ104" s="1"/>
      <c r="EWA104" s="1"/>
      <c r="EWB104" s="1"/>
      <c r="EWC104" s="1"/>
      <c r="EWD104" s="1"/>
      <c r="EWE104" s="1"/>
      <c r="EWF104" s="1"/>
      <c r="EWG104" s="1"/>
      <c r="EWH104" s="1"/>
      <c r="EWI104" s="1"/>
      <c r="EWJ104" s="1"/>
      <c r="EWK104" s="1"/>
      <c r="EWL104" s="1"/>
      <c r="EWM104" s="1"/>
      <c r="EWN104" s="1"/>
      <c r="EWO104" s="1"/>
      <c r="EWP104" s="1"/>
      <c r="EWQ104" s="1"/>
      <c r="EWR104" s="1"/>
      <c r="EWS104" s="1"/>
      <c r="EWT104" s="1"/>
      <c r="EWU104" s="1"/>
      <c r="EWV104" s="1"/>
      <c r="EWW104" s="1"/>
      <c r="EWX104" s="1"/>
      <c r="EWY104" s="1"/>
      <c r="EWZ104" s="1"/>
      <c r="EXA104" s="1"/>
      <c r="EXB104" s="1"/>
      <c r="EXC104" s="1"/>
      <c r="EXD104" s="1"/>
      <c r="EXE104" s="1"/>
      <c r="EXF104" s="1"/>
      <c r="EXG104" s="1"/>
      <c r="EXH104" s="1"/>
      <c r="EXI104" s="1"/>
      <c r="EXJ104" s="1"/>
      <c r="EXK104" s="1"/>
      <c r="EXL104" s="1"/>
      <c r="EXM104" s="1"/>
      <c r="EXN104" s="1"/>
      <c r="EXO104" s="1"/>
      <c r="EXP104" s="1"/>
      <c r="EXQ104" s="1"/>
      <c r="EXR104" s="1"/>
      <c r="EXS104" s="1"/>
      <c r="EXT104" s="1"/>
      <c r="EXU104" s="1"/>
      <c r="EXV104" s="1"/>
      <c r="EXW104" s="1"/>
      <c r="EXX104" s="1"/>
      <c r="EXY104" s="1"/>
      <c r="EXZ104" s="1"/>
      <c r="EYA104" s="1"/>
      <c r="EYB104" s="1"/>
      <c r="EYC104" s="1"/>
      <c r="EYD104" s="1"/>
      <c r="EYE104" s="1"/>
      <c r="EYF104" s="1"/>
      <c r="EYG104" s="1"/>
      <c r="EYH104" s="1"/>
      <c r="EYI104" s="1"/>
      <c r="EYJ104" s="1"/>
      <c r="EYK104" s="1"/>
      <c r="EYL104" s="1"/>
      <c r="EYM104" s="1"/>
      <c r="EYN104" s="1"/>
      <c r="EYO104" s="1"/>
      <c r="EYP104" s="1"/>
      <c r="EYQ104" s="1"/>
      <c r="EYR104" s="1"/>
      <c r="EYS104" s="1"/>
      <c r="EYT104" s="1"/>
      <c r="EYU104" s="1"/>
      <c r="EYV104" s="1"/>
      <c r="EYW104" s="1"/>
      <c r="EYX104" s="1"/>
      <c r="EYY104" s="1"/>
      <c r="EYZ104" s="1"/>
      <c r="EZA104" s="1"/>
      <c r="EZB104" s="1"/>
      <c r="EZC104" s="1"/>
      <c r="EZD104" s="1"/>
      <c r="EZE104" s="1"/>
      <c r="EZF104" s="1"/>
      <c r="EZG104" s="1"/>
      <c r="EZH104" s="1"/>
      <c r="EZI104" s="1"/>
      <c r="EZJ104" s="1"/>
      <c r="EZK104" s="1"/>
      <c r="EZL104" s="1"/>
      <c r="EZM104" s="1"/>
      <c r="EZN104" s="1"/>
      <c r="EZO104" s="1"/>
      <c r="EZP104" s="1"/>
      <c r="EZQ104" s="1"/>
      <c r="EZR104" s="1"/>
      <c r="EZS104" s="1"/>
      <c r="EZT104" s="1"/>
      <c r="EZU104" s="1"/>
      <c r="EZV104" s="1"/>
      <c r="EZW104" s="1"/>
      <c r="EZX104" s="1"/>
      <c r="EZY104" s="1"/>
      <c r="EZZ104" s="1"/>
      <c r="FAA104" s="1"/>
      <c r="FAB104" s="1"/>
      <c r="FAC104" s="1"/>
      <c r="FAD104" s="1"/>
      <c r="FAE104" s="1"/>
      <c r="FAF104" s="1"/>
      <c r="FAG104" s="1"/>
      <c r="FAH104" s="1"/>
      <c r="FAI104" s="1"/>
      <c r="FAJ104" s="1"/>
      <c r="FAK104" s="1"/>
      <c r="FAL104" s="1"/>
      <c r="FAM104" s="1"/>
      <c r="FAN104" s="1"/>
      <c r="FAO104" s="1"/>
      <c r="FAP104" s="1"/>
      <c r="FAQ104" s="1"/>
      <c r="FAR104" s="1"/>
      <c r="FAS104" s="1"/>
      <c r="FAT104" s="1"/>
      <c r="FAU104" s="1"/>
      <c r="FAV104" s="1"/>
      <c r="FAW104" s="1"/>
      <c r="FAX104" s="1"/>
      <c r="FAY104" s="1"/>
      <c r="FAZ104" s="1"/>
      <c r="FBA104" s="1"/>
      <c r="FBB104" s="1"/>
      <c r="FBC104" s="1"/>
      <c r="FBD104" s="1"/>
      <c r="FBE104" s="1"/>
      <c r="FBF104" s="1"/>
      <c r="FBG104" s="1"/>
      <c r="FBH104" s="1"/>
      <c r="FBI104" s="1"/>
      <c r="FBJ104" s="1"/>
      <c r="FBK104" s="1"/>
      <c r="FBL104" s="1"/>
      <c r="FBM104" s="1"/>
      <c r="FBN104" s="1"/>
      <c r="FBO104" s="1"/>
      <c r="FBP104" s="1"/>
      <c r="FBQ104" s="1"/>
      <c r="FBR104" s="1"/>
      <c r="FBS104" s="1"/>
      <c r="FBT104" s="1"/>
      <c r="FBU104" s="1"/>
      <c r="FBV104" s="1"/>
      <c r="FBW104" s="1"/>
      <c r="FBX104" s="1"/>
      <c r="FBY104" s="1"/>
      <c r="FBZ104" s="1"/>
      <c r="FCA104" s="1"/>
      <c r="FCB104" s="1"/>
      <c r="FCC104" s="1"/>
      <c r="FCD104" s="1"/>
      <c r="FCE104" s="1"/>
      <c r="FCF104" s="1"/>
      <c r="FCG104" s="1"/>
      <c r="FCH104" s="1"/>
      <c r="FCI104" s="1"/>
      <c r="FCJ104" s="1"/>
      <c r="FCK104" s="1"/>
      <c r="FCL104" s="1"/>
      <c r="FCM104" s="1"/>
      <c r="FCN104" s="1"/>
      <c r="FCO104" s="1"/>
      <c r="FCP104" s="1"/>
      <c r="FCQ104" s="1"/>
      <c r="FCR104" s="1"/>
      <c r="FCS104" s="1"/>
      <c r="FCT104" s="1"/>
      <c r="FCU104" s="1"/>
      <c r="FCV104" s="1"/>
      <c r="FCW104" s="1"/>
      <c r="FCX104" s="1"/>
      <c r="FCY104" s="1"/>
      <c r="FCZ104" s="1"/>
      <c r="FDA104" s="1"/>
      <c r="FDB104" s="1"/>
      <c r="FDC104" s="1"/>
      <c r="FDD104" s="1"/>
      <c r="FDE104" s="1"/>
      <c r="FDF104" s="1"/>
      <c r="FDG104" s="1"/>
      <c r="FDH104" s="1"/>
      <c r="FDI104" s="1"/>
      <c r="FDJ104" s="1"/>
      <c r="FDK104" s="1"/>
      <c r="FDL104" s="1"/>
      <c r="FDM104" s="1"/>
      <c r="FDN104" s="1"/>
      <c r="FDO104" s="1"/>
      <c r="FDP104" s="1"/>
      <c r="FDQ104" s="1"/>
      <c r="FDR104" s="1"/>
      <c r="FDS104" s="1"/>
      <c r="FDT104" s="1"/>
      <c r="FDU104" s="1"/>
      <c r="FDV104" s="1"/>
      <c r="FDW104" s="1"/>
      <c r="FDX104" s="1"/>
      <c r="FDY104" s="1"/>
      <c r="FDZ104" s="1"/>
      <c r="FEA104" s="1"/>
      <c r="FEB104" s="1"/>
      <c r="FEC104" s="1"/>
      <c r="FED104" s="1"/>
      <c r="FEE104" s="1"/>
      <c r="FEF104" s="1"/>
      <c r="FEG104" s="1"/>
      <c r="FEH104" s="1"/>
      <c r="FEI104" s="1"/>
      <c r="FEJ104" s="1"/>
      <c r="FEK104" s="1"/>
      <c r="FEL104" s="1"/>
      <c r="FEM104" s="1"/>
      <c r="FEN104" s="1"/>
      <c r="FEO104" s="1"/>
      <c r="FEP104" s="1"/>
      <c r="FEQ104" s="1"/>
      <c r="FER104" s="1"/>
      <c r="FES104" s="1"/>
      <c r="FET104" s="1"/>
      <c r="FEU104" s="1"/>
      <c r="FEV104" s="1"/>
      <c r="FEW104" s="1"/>
      <c r="FEX104" s="1"/>
      <c r="FEY104" s="1"/>
      <c r="FEZ104" s="1"/>
      <c r="FFA104" s="1"/>
      <c r="FFB104" s="1"/>
      <c r="FFC104" s="1"/>
      <c r="FFD104" s="1"/>
      <c r="FFE104" s="1"/>
      <c r="FFF104" s="1"/>
      <c r="FFG104" s="1"/>
      <c r="FFH104" s="1"/>
      <c r="FFI104" s="1"/>
      <c r="FFJ104" s="1"/>
      <c r="FFK104" s="1"/>
      <c r="FFL104" s="1"/>
      <c r="FFM104" s="1"/>
      <c r="FFN104" s="1"/>
      <c r="FFO104" s="1"/>
      <c r="FFP104" s="1"/>
      <c r="FFQ104" s="1"/>
      <c r="FFR104" s="1"/>
      <c r="FFS104" s="1"/>
      <c r="FFT104" s="1"/>
      <c r="FFU104" s="1"/>
      <c r="FFV104" s="1"/>
      <c r="FFW104" s="1"/>
      <c r="FFX104" s="1"/>
      <c r="FFY104" s="1"/>
      <c r="FFZ104" s="1"/>
      <c r="FGA104" s="1"/>
      <c r="FGB104" s="1"/>
      <c r="FGC104" s="1"/>
      <c r="FGD104" s="1"/>
      <c r="FGE104" s="1"/>
      <c r="FGF104" s="1"/>
      <c r="FGG104" s="1"/>
      <c r="FGH104" s="1"/>
      <c r="FGI104" s="1"/>
      <c r="FGJ104" s="1"/>
      <c r="FGK104" s="1"/>
      <c r="FGL104" s="1"/>
      <c r="FGM104" s="1"/>
      <c r="FGN104" s="1"/>
      <c r="FGO104" s="1"/>
      <c r="FGP104" s="1"/>
      <c r="FGQ104" s="1"/>
      <c r="FGR104" s="1"/>
      <c r="FGS104" s="1"/>
      <c r="FGT104" s="1"/>
      <c r="FGU104" s="1"/>
      <c r="FGV104" s="1"/>
      <c r="FGW104" s="1"/>
      <c r="FGX104" s="1"/>
      <c r="FGY104" s="1"/>
      <c r="FGZ104" s="1"/>
      <c r="FHA104" s="1"/>
      <c r="FHB104" s="1"/>
      <c r="FHC104" s="1"/>
      <c r="FHD104" s="1"/>
      <c r="FHE104" s="1"/>
      <c r="FHF104" s="1"/>
      <c r="FHG104" s="1"/>
      <c r="FHH104" s="1"/>
      <c r="FHI104" s="1"/>
      <c r="FHJ104" s="1"/>
      <c r="FHK104" s="1"/>
      <c r="FHL104" s="1"/>
      <c r="FHM104" s="1"/>
      <c r="FHN104" s="1"/>
      <c r="FHO104" s="1"/>
      <c r="FHP104" s="1"/>
      <c r="FHQ104" s="1"/>
      <c r="FHR104" s="1"/>
      <c r="FHS104" s="1"/>
      <c r="FHT104" s="1"/>
      <c r="FHU104" s="1"/>
      <c r="FHV104" s="1"/>
      <c r="FHW104" s="1"/>
      <c r="FHX104" s="1"/>
      <c r="FHY104" s="1"/>
      <c r="FHZ104" s="1"/>
      <c r="FIA104" s="1"/>
      <c r="FIB104" s="1"/>
      <c r="FIC104" s="1"/>
      <c r="FID104" s="1"/>
      <c r="FIE104" s="1"/>
      <c r="FIF104" s="1"/>
      <c r="FIG104" s="1"/>
      <c r="FIH104" s="1"/>
      <c r="FII104" s="1"/>
      <c r="FIJ104" s="1"/>
      <c r="FIK104" s="1"/>
      <c r="FIL104" s="1"/>
      <c r="FIM104" s="1"/>
      <c r="FIN104" s="1"/>
      <c r="FIO104" s="1"/>
      <c r="FIP104" s="1"/>
      <c r="FIQ104" s="1"/>
      <c r="FIR104" s="1"/>
      <c r="FIS104" s="1"/>
      <c r="FIT104" s="1"/>
      <c r="FIU104" s="1"/>
      <c r="FIV104" s="1"/>
      <c r="FIW104" s="1"/>
      <c r="FIX104" s="1"/>
      <c r="FIY104" s="1"/>
      <c r="FIZ104" s="1"/>
      <c r="FJA104" s="1"/>
      <c r="FJB104" s="1"/>
      <c r="FJC104" s="1"/>
      <c r="FJD104" s="1"/>
      <c r="FJE104" s="1"/>
      <c r="FJF104" s="1"/>
      <c r="FJG104" s="1"/>
      <c r="FJH104" s="1"/>
      <c r="FJI104" s="1"/>
      <c r="FJJ104" s="1"/>
      <c r="FJK104" s="1"/>
      <c r="FJL104" s="1"/>
      <c r="FJM104" s="1"/>
      <c r="FJN104" s="1"/>
      <c r="FJO104" s="1"/>
      <c r="FJP104" s="1"/>
      <c r="FJQ104" s="1"/>
      <c r="FJR104" s="1"/>
      <c r="FJS104" s="1"/>
      <c r="FJT104" s="1"/>
      <c r="FJU104" s="1"/>
      <c r="FJV104" s="1"/>
      <c r="FJW104" s="1"/>
      <c r="FJX104" s="1"/>
      <c r="FJY104" s="1"/>
      <c r="FJZ104" s="1"/>
      <c r="FKA104" s="1"/>
      <c r="FKB104" s="1"/>
      <c r="FKC104" s="1"/>
      <c r="FKD104" s="1"/>
      <c r="FKE104" s="1"/>
      <c r="FKF104" s="1"/>
      <c r="FKG104" s="1"/>
      <c r="FKH104" s="1"/>
      <c r="FKI104" s="1"/>
      <c r="FKJ104" s="1"/>
      <c r="FKK104" s="1"/>
      <c r="FKL104" s="1"/>
      <c r="FKM104" s="1"/>
      <c r="FKN104" s="1"/>
      <c r="FKO104" s="1"/>
      <c r="FKP104" s="1"/>
      <c r="FKQ104" s="1"/>
      <c r="FKR104" s="1"/>
      <c r="FKS104" s="1"/>
      <c r="FKT104" s="1"/>
      <c r="FKU104" s="1"/>
      <c r="FKV104" s="1"/>
      <c r="FKW104" s="1"/>
      <c r="FKX104" s="1"/>
      <c r="FKY104" s="1"/>
      <c r="FKZ104" s="1"/>
      <c r="FLA104" s="1"/>
      <c r="FLB104" s="1"/>
      <c r="FLC104" s="1"/>
      <c r="FLD104" s="1"/>
      <c r="FLE104" s="1"/>
      <c r="FLF104" s="1"/>
      <c r="FLG104" s="1"/>
      <c r="FLH104" s="1"/>
      <c r="FLI104" s="1"/>
      <c r="FLJ104" s="1"/>
      <c r="FLK104" s="1"/>
      <c r="FLL104" s="1"/>
      <c r="FLM104" s="1"/>
      <c r="FLN104" s="1"/>
      <c r="FLO104" s="1"/>
      <c r="FLP104" s="1"/>
      <c r="FLQ104" s="1"/>
      <c r="FLR104" s="1"/>
      <c r="FLS104" s="1"/>
      <c r="FLT104" s="1"/>
      <c r="FLU104" s="1"/>
      <c r="FLV104" s="1"/>
      <c r="FLW104" s="1"/>
      <c r="FLX104" s="1"/>
      <c r="FLY104" s="1"/>
      <c r="FLZ104" s="1"/>
      <c r="FMA104" s="1"/>
      <c r="FMB104" s="1"/>
      <c r="FMC104" s="1"/>
      <c r="FMD104" s="1"/>
      <c r="FME104" s="1"/>
      <c r="FMF104" s="1"/>
      <c r="FMG104" s="1"/>
      <c r="FMH104" s="1"/>
      <c r="FMI104" s="1"/>
      <c r="FMJ104" s="1"/>
      <c r="FMK104" s="1"/>
      <c r="FML104" s="1"/>
      <c r="FMM104" s="1"/>
      <c r="FMN104" s="1"/>
      <c r="FMO104" s="1"/>
      <c r="FMP104" s="1"/>
      <c r="FMQ104" s="1"/>
      <c r="FMR104" s="1"/>
      <c r="FMS104" s="1"/>
      <c r="FMT104" s="1"/>
      <c r="FMU104" s="1"/>
      <c r="FMV104" s="1"/>
      <c r="FMW104" s="1"/>
      <c r="FMX104" s="1"/>
      <c r="FMY104" s="1"/>
      <c r="FMZ104" s="1"/>
      <c r="FNA104" s="1"/>
      <c r="FNB104" s="1"/>
      <c r="FNC104" s="1"/>
      <c r="FND104" s="1"/>
      <c r="FNE104" s="1"/>
      <c r="FNF104" s="1"/>
      <c r="FNG104" s="1"/>
      <c r="FNH104" s="1"/>
      <c r="FNI104" s="1"/>
      <c r="FNJ104" s="1"/>
      <c r="FNK104" s="1"/>
      <c r="FNL104" s="1"/>
      <c r="FNM104" s="1"/>
      <c r="FNN104" s="1"/>
      <c r="FNO104" s="1"/>
      <c r="FNP104" s="1"/>
      <c r="FNQ104" s="1"/>
      <c r="FNR104" s="1"/>
      <c r="FNS104" s="1"/>
      <c r="FNT104" s="1"/>
      <c r="FNU104" s="1"/>
      <c r="FNV104" s="1"/>
      <c r="FNW104" s="1"/>
      <c r="FNX104" s="1"/>
      <c r="FNY104" s="1"/>
      <c r="FNZ104" s="1"/>
      <c r="FOA104" s="1"/>
      <c r="FOB104" s="1"/>
      <c r="FOC104" s="1"/>
      <c r="FOD104" s="1"/>
      <c r="FOE104" s="1"/>
      <c r="FOF104" s="1"/>
      <c r="FOG104" s="1"/>
      <c r="FOH104" s="1"/>
      <c r="FOI104" s="1"/>
      <c r="FOJ104" s="1"/>
      <c r="FOK104" s="1"/>
      <c r="FOL104" s="1"/>
      <c r="FOM104" s="1"/>
      <c r="FON104" s="1"/>
      <c r="FOO104" s="1"/>
      <c r="FOP104" s="1"/>
      <c r="FOQ104" s="1"/>
      <c r="FOR104" s="1"/>
      <c r="FOS104" s="1"/>
      <c r="FOT104" s="1"/>
      <c r="FOU104" s="1"/>
      <c r="FOV104" s="1"/>
      <c r="FOW104" s="1"/>
      <c r="FOX104" s="1"/>
      <c r="FOY104" s="1"/>
      <c r="FOZ104" s="1"/>
      <c r="FPA104" s="1"/>
      <c r="FPB104" s="1"/>
      <c r="FPC104" s="1"/>
      <c r="FPD104" s="1"/>
      <c r="FPE104" s="1"/>
      <c r="FPF104" s="1"/>
      <c r="FPG104" s="1"/>
      <c r="FPH104" s="1"/>
      <c r="FPI104" s="1"/>
      <c r="FPJ104" s="1"/>
      <c r="FPK104" s="1"/>
      <c r="FPL104" s="1"/>
      <c r="FPM104" s="1"/>
      <c r="FPN104" s="1"/>
      <c r="FPO104" s="1"/>
      <c r="FPP104" s="1"/>
      <c r="FPQ104" s="1"/>
      <c r="FPR104" s="1"/>
      <c r="FPS104" s="1"/>
      <c r="FPT104" s="1"/>
      <c r="FPU104" s="1"/>
      <c r="FPV104" s="1"/>
      <c r="FPW104" s="1"/>
      <c r="FPX104" s="1"/>
      <c r="FPY104" s="1"/>
      <c r="FPZ104" s="1"/>
      <c r="FQA104" s="1"/>
      <c r="FQB104" s="1"/>
      <c r="FQC104" s="1"/>
      <c r="FQD104" s="1"/>
      <c r="FQE104" s="1"/>
      <c r="FQF104" s="1"/>
      <c r="FQG104" s="1"/>
      <c r="FQH104" s="1"/>
      <c r="FQI104" s="1"/>
      <c r="FQJ104" s="1"/>
      <c r="FQK104" s="1"/>
      <c r="FQL104" s="1"/>
      <c r="FQM104" s="1"/>
      <c r="FQN104" s="1"/>
      <c r="FQO104" s="1"/>
      <c r="FQP104" s="1"/>
      <c r="FQQ104" s="1"/>
      <c r="FQR104" s="1"/>
      <c r="FQS104" s="1"/>
      <c r="FQT104" s="1"/>
      <c r="FQU104" s="1"/>
      <c r="FQV104" s="1"/>
      <c r="FQW104" s="1"/>
      <c r="FQX104" s="1"/>
      <c r="FQY104" s="1"/>
      <c r="FQZ104" s="1"/>
      <c r="FRA104" s="1"/>
      <c r="FRB104" s="1"/>
      <c r="FRC104" s="1"/>
      <c r="FRD104" s="1"/>
      <c r="FRE104" s="1"/>
      <c r="FRF104" s="1"/>
      <c r="FRG104" s="1"/>
      <c r="FRH104" s="1"/>
      <c r="FRI104" s="1"/>
      <c r="FRJ104" s="1"/>
      <c r="FRK104" s="1"/>
      <c r="FRL104" s="1"/>
      <c r="FRM104" s="1"/>
      <c r="FRN104" s="1"/>
      <c r="FRO104" s="1"/>
      <c r="FRP104" s="1"/>
      <c r="FRQ104" s="1"/>
      <c r="FRR104" s="1"/>
      <c r="FRS104" s="1"/>
      <c r="FRT104" s="1"/>
      <c r="FRU104" s="1"/>
      <c r="FRV104" s="1"/>
      <c r="FRW104" s="1"/>
      <c r="FRX104" s="1"/>
      <c r="FRY104" s="1"/>
      <c r="FRZ104" s="1"/>
      <c r="FSA104" s="1"/>
      <c r="FSB104" s="1"/>
      <c r="FSC104" s="1"/>
      <c r="FSD104" s="1"/>
      <c r="FSE104" s="1"/>
      <c r="FSF104" s="1"/>
      <c r="FSG104" s="1"/>
      <c r="FSH104" s="1"/>
      <c r="FSI104" s="1"/>
      <c r="FSJ104" s="1"/>
      <c r="FSK104" s="1"/>
      <c r="FSL104" s="1"/>
      <c r="FSM104" s="1"/>
      <c r="FSN104" s="1"/>
      <c r="FSO104" s="1"/>
      <c r="FSP104" s="1"/>
      <c r="FSQ104" s="1"/>
      <c r="FSR104" s="1"/>
      <c r="FSS104" s="1"/>
      <c r="FST104" s="1"/>
      <c r="FSU104" s="1"/>
      <c r="FSV104" s="1"/>
      <c r="FSW104" s="1"/>
      <c r="FSX104" s="1"/>
      <c r="FSY104" s="1"/>
      <c r="FSZ104" s="1"/>
      <c r="FTA104" s="1"/>
      <c r="FTB104" s="1"/>
      <c r="FTC104" s="1"/>
      <c r="FTD104" s="1"/>
      <c r="FTE104" s="1"/>
      <c r="FTF104" s="1"/>
      <c r="FTG104" s="1"/>
      <c r="FTH104" s="1"/>
      <c r="FTI104" s="1"/>
      <c r="FTJ104" s="1"/>
      <c r="FTK104" s="1"/>
      <c r="FTL104" s="1"/>
      <c r="FTM104" s="1"/>
      <c r="FTN104" s="1"/>
      <c r="FTO104" s="1"/>
      <c r="FTP104" s="1"/>
      <c r="FTQ104" s="1"/>
      <c r="FTR104" s="1"/>
      <c r="FTS104" s="1"/>
      <c r="FTT104" s="1"/>
      <c r="FTU104" s="1"/>
      <c r="FTV104" s="1"/>
      <c r="FTW104" s="1"/>
      <c r="FTX104" s="1"/>
      <c r="FTY104" s="1"/>
      <c r="FTZ104" s="1"/>
      <c r="FUA104" s="1"/>
      <c r="FUB104" s="1"/>
      <c r="FUC104" s="1"/>
      <c r="FUD104" s="1"/>
      <c r="FUE104" s="1"/>
      <c r="FUF104" s="1"/>
      <c r="FUG104" s="1"/>
      <c r="FUH104" s="1"/>
      <c r="FUI104" s="1"/>
      <c r="FUJ104" s="1"/>
      <c r="FUK104" s="1"/>
      <c r="FUL104" s="1"/>
      <c r="FUM104" s="1"/>
      <c r="FUN104" s="1"/>
      <c r="FUO104" s="1"/>
      <c r="FUP104" s="1"/>
      <c r="FUQ104" s="1"/>
      <c r="FUR104" s="1"/>
      <c r="FUS104" s="1"/>
      <c r="FUT104" s="1"/>
      <c r="FUU104" s="1"/>
      <c r="FUV104" s="1"/>
      <c r="FUW104" s="1"/>
      <c r="FUX104" s="1"/>
      <c r="FUY104" s="1"/>
      <c r="FUZ104" s="1"/>
      <c r="FVA104" s="1"/>
      <c r="FVB104" s="1"/>
      <c r="FVC104" s="1"/>
      <c r="FVD104" s="1"/>
      <c r="FVE104" s="1"/>
      <c r="FVF104" s="1"/>
      <c r="FVG104" s="1"/>
      <c r="FVH104" s="1"/>
      <c r="FVI104" s="1"/>
      <c r="FVJ104" s="1"/>
      <c r="FVK104" s="1"/>
      <c r="FVL104" s="1"/>
      <c r="FVM104" s="1"/>
      <c r="FVN104" s="1"/>
      <c r="FVO104" s="1"/>
      <c r="FVP104" s="1"/>
      <c r="FVQ104" s="1"/>
      <c r="FVR104" s="1"/>
      <c r="FVS104" s="1"/>
      <c r="FVT104" s="1"/>
      <c r="FVU104" s="1"/>
      <c r="FVV104" s="1"/>
      <c r="FVW104" s="1"/>
      <c r="FVX104" s="1"/>
      <c r="FVY104" s="1"/>
      <c r="FVZ104" s="1"/>
      <c r="FWA104" s="1"/>
      <c r="FWB104" s="1"/>
      <c r="FWC104" s="1"/>
      <c r="FWD104" s="1"/>
      <c r="FWE104" s="1"/>
      <c r="FWF104" s="1"/>
      <c r="FWG104" s="1"/>
      <c r="FWH104" s="1"/>
      <c r="FWI104" s="1"/>
      <c r="FWJ104" s="1"/>
      <c r="FWK104" s="1"/>
      <c r="FWL104" s="1"/>
      <c r="FWM104" s="1"/>
      <c r="FWN104" s="1"/>
      <c r="FWO104" s="1"/>
      <c r="FWP104" s="1"/>
      <c r="FWQ104" s="1"/>
      <c r="FWR104" s="1"/>
      <c r="FWS104" s="1"/>
      <c r="FWT104" s="1"/>
      <c r="FWU104" s="1"/>
      <c r="FWV104" s="1"/>
      <c r="FWW104" s="1"/>
      <c r="FWX104" s="1"/>
      <c r="FWY104" s="1"/>
      <c r="FWZ104" s="1"/>
      <c r="FXA104" s="1"/>
      <c r="FXB104" s="1"/>
      <c r="FXC104" s="1"/>
      <c r="FXD104" s="1"/>
      <c r="FXE104" s="1"/>
      <c r="FXF104" s="1"/>
      <c r="FXG104" s="1"/>
      <c r="FXH104" s="1"/>
      <c r="FXI104" s="1"/>
      <c r="FXJ104" s="1"/>
      <c r="FXK104" s="1"/>
      <c r="FXL104" s="1"/>
      <c r="FXM104" s="1"/>
      <c r="FXN104" s="1"/>
      <c r="FXO104" s="1"/>
      <c r="FXP104" s="1"/>
      <c r="FXQ104" s="1"/>
      <c r="FXR104" s="1"/>
      <c r="FXS104" s="1"/>
      <c r="FXT104" s="1"/>
      <c r="FXU104" s="1"/>
      <c r="FXV104" s="1"/>
      <c r="FXW104" s="1"/>
      <c r="FXX104" s="1"/>
      <c r="FXY104" s="1"/>
      <c r="FXZ104" s="1"/>
      <c r="FYA104" s="1"/>
      <c r="FYB104" s="1"/>
      <c r="FYC104" s="1"/>
      <c r="FYD104" s="1"/>
      <c r="FYE104" s="1"/>
      <c r="FYF104" s="1"/>
      <c r="FYG104" s="1"/>
      <c r="FYH104" s="1"/>
      <c r="FYI104" s="1"/>
      <c r="FYJ104" s="1"/>
      <c r="FYK104" s="1"/>
      <c r="FYL104" s="1"/>
      <c r="FYM104" s="1"/>
      <c r="FYN104" s="1"/>
      <c r="FYO104" s="1"/>
      <c r="FYP104" s="1"/>
      <c r="FYQ104" s="1"/>
      <c r="FYR104" s="1"/>
      <c r="FYS104" s="1"/>
      <c r="FYT104" s="1"/>
      <c r="FYU104" s="1"/>
      <c r="FYV104" s="1"/>
      <c r="FYW104" s="1"/>
      <c r="FYX104" s="1"/>
      <c r="FYY104" s="1"/>
      <c r="FYZ104" s="1"/>
      <c r="FZA104" s="1"/>
      <c r="FZB104" s="1"/>
      <c r="FZC104" s="1"/>
      <c r="FZD104" s="1"/>
      <c r="FZE104" s="1"/>
      <c r="FZF104" s="1"/>
      <c r="FZG104" s="1"/>
      <c r="FZH104" s="1"/>
      <c r="FZI104" s="1"/>
      <c r="FZJ104" s="1"/>
      <c r="FZK104" s="1"/>
      <c r="FZL104" s="1"/>
      <c r="FZM104" s="1"/>
      <c r="FZN104" s="1"/>
      <c r="FZO104" s="1"/>
      <c r="FZP104" s="1"/>
      <c r="FZQ104" s="1"/>
      <c r="FZR104" s="1"/>
      <c r="FZS104" s="1"/>
      <c r="FZT104" s="1"/>
      <c r="FZU104" s="1"/>
      <c r="FZV104" s="1"/>
      <c r="FZW104" s="1"/>
      <c r="FZX104" s="1"/>
      <c r="FZY104" s="1"/>
      <c r="FZZ104" s="1"/>
      <c r="GAA104" s="1"/>
      <c r="GAB104" s="1"/>
      <c r="GAC104" s="1"/>
      <c r="GAD104" s="1"/>
      <c r="GAE104" s="1"/>
      <c r="GAF104" s="1"/>
      <c r="GAG104" s="1"/>
      <c r="GAH104" s="1"/>
      <c r="GAI104" s="1"/>
      <c r="GAJ104" s="1"/>
      <c r="GAK104" s="1"/>
      <c r="GAL104" s="1"/>
      <c r="GAM104" s="1"/>
      <c r="GAN104" s="1"/>
      <c r="GAO104" s="1"/>
      <c r="GAP104" s="1"/>
      <c r="GAQ104" s="1"/>
      <c r="GAR104" s="1"/>
      <c r="GAS104" s="1"/>
      <c r="GAT104" s="1"/>
      <c r="GAU104" s="1"/>
      <c r="GAV104" s="1"/>
      <c r="GAW104" s="1"/>
      <c r="GAX104" s="1"/>
      <c r="GAY104" s="1"/>
      <c r="GAZ104" s="1"/>
      <c r="GBA104" s="1"/>
      <c r="GBB104" s="1"/>
      <c r="GBC104" s="1"/>
      <c r="GBD104" s="1"/>
      <c r="GBE104" s="1"/>
      <c r="GBF104" s="1"/>
      <c r="GBG104" s="1"/>
      <c r="GBH104" s="1"/>
      <c r="GBI104" s="1"/>
      <c r="GBJ104" s="1"/>
      <c r="GBK104" s="1"/>
      <c r="GBL104" s="1"/>
      <c r="GBM104" s="1"/>
      <c r="GBN104" s="1"/>
      <c r="GBO104" s="1"/>
      <c r="GBP104" s="1"/>
      <c r="GBQ104" s="1"/>
      <c r="GBR104" s="1"/>
      <c r="GBS104" s="1"/>
      <c r="GBT104" s="1"/>
      <c r="GBU104" s="1"/>
      <c r="GBV104" s="1"/>
      <c r="GBW104" s="1"/>
      <c r="GBX104" s="1"/>
      <c r="GBY104" s="1"/>
      <c r="GBZ104" s="1"/>
      <c r="GCA104" s="1"/>
      <c r="GCB104" s="1"/>
      <c r="GCC104" s="1"/>
      <c r="GCD104" s="1"/>
      <c r="GCE104" s="1"/>
      <c r="GCF104" s="1"/>
      <c r="GCG104" s="1"/>
      <c r="GCH104" s="1"/>
      <c r="GCI104" s="1"/>
      <c r="GCJ104" s="1"/>
      <c r="GCK104" s="1"/>
      <c r="GCL104" s="1"/>
      <c r="GCM104" s="1"/>
      <c r="GCN104" s="1"/>
      <c r="GCO104" s="1"/>
      <c r="GCP104" s="1"/>
      <c r="GCQ104" s="1"/>
      <c r="GCR104" s="1"/>
      <c r="GCS104" s="1"/>
      <c r="GCT104" s="1"/>
      <c r="GCU104" s="1"/>
      <c r="GCV104" s="1"/>
      <c r="GCW104" s="1"/>
      <c r="GCX104" s="1"/>
      <c r="GCY104" s="1"/>
      <c r="GCZ104" s="1"/>
      <c r="GDA104" s="1"/>
      <c r="GDB104" s="1"/>
      <c r="GDC104" s="1"/>
      <c r="GDD104" s="1"/>
      <c r="GDE104" s="1"/>
      <c r="GDF104" s="1"/>
      <c r="GDG104" s="1"/>
      <c r="GDH104" s="1"/>
      <c r="GDI104" s="1"/>
      <c r="GDJ104" s="1"/>
      <c r="GDK104" s="1"/>
      <c r="GDL104" s="1"/>
      <c r="GDM104" s="1"/>
      <c r="GDN104" s="1"/>
      <c r="GDO104" s="1"/>
      <c r="GDP104" s="1"/>
      <c r="GDQ104" s="1"/>
      <c r="GDR104" s="1"/>
      <c r="GDS104" s="1"/>
      <c r="GDT104" s="1"/>
      <c r="GDU104" s="1"/>
      <c r="GDV104" s="1"/>
      <c r="GDW104" s="1"/>
      <c r="GDX104" s="1"/>
      <c r="GDY104" s="1"/>
      <c r="GDZ104" s="1"/>
      <c r="GEA104" s="1"/>
      <c r="GEB104" s="1"/>
      <c r="GEC104" s="1"/>
      <c r="GED104" s="1"/>
      <c r="GEE104" s="1"/>
      <c r="GEF104" s="1"/>
      <c r="GEG104" s="1"/>
      <c r="GEH104" s="1"/>
      <c r="GEI104" s="1"/>
      <c r="GEJ104" s="1"/>
      <c r="GEK104" s="1"/>
      <c r="GEL104" s="1"/>
      <c r="GEM104" s="1"/>
      <c r="GEN104" s="1"/>
      <c r="GEO104" s="1"/>
      <c r="GEP104" s="1"/>
      <c r="GEQ104" s="1"/>
      <c r="GER104" s="1"/>
      <c r="GES104" s="1"/>
      <c r="GET104" s="1"/>
      <c r="GEU104" s="1"/>
      <c r="GEV104" s="1"/>
      <c r="GEW104" s="1"/>
      <c r="GEX104" s="1"/>
      <c r="GEY104" s="1"/>
      <c r="GEZ104" s="1"/>
      <c r="GFA104" s="1"/>
      <c r="GFB104" s="1"/>
      <c r="GFC104" s="1"/>
      <c r="GFD104" s="1"/>
      <c r="GFE104" s="1"/>
      <c r="GFF104" s="1"/>
      <c r="GFG104" s="1"/>
      <c r="GFH104" s="1"/>
      <c r="GFI104" s="1"/>
      <c r="GFJ104" s="1"/>
      <c r="GFK104" s="1"/>
      <c r="GFL104" s="1"/>
      <c r="GFM104" s="1"/>
      <c r="GFN104" s="1"/>
      <c r="GFO104" s="1"/>
      <c r="GFP104" s="1"/>
      <c r="GFQ104" s="1"/>
      <c r="GFR104" s="1"/>
      <c r="GFS104" s="1"/>
      <c r="GFT104" s="1"/>
      <c r="GFU104" s="1"/>
      <c r="GFV104" s="1"/>
      <c r="GFW104" s="1"/>
      <c r="GFX104" s="1"/>
      <c r="GFY104" s="1"/>
      <c r="GFZ104" s="1"/>
      <c r="GGA104" s="1"/>
      <c r="GGB104" s="1"/>
      <c r="GGC104" s="1"/>
      <c r="GGD104" s="1"/>
      <c r="GGE104" s="1"/>
      <c r="GGF104" s="1"/>
      <c r="GGG104" s="1"/>
      <c r="GGH104" s="1"/>
      <c r="GGI104" s="1"/>
      <c r="GGJ104" s="1"/>
      <c r="GGK104" s="1"/>
      <c r="GGL104" s="1"/>
      <c r="GGM104" s="1"/>
      <c r="GGN104" s="1"/>
      <c r="GGO104" s="1"/>
      <c r="GGP104" s="1"/>
      <c r="GGQ104" s="1"/>
      <c r="GGR104" s="1"/>
      <c r="GGS104" s="1"/>
      <c r="GGT104" s="1"/>
      <c r="GGU104" s="1"/>
      <c r="GGV104" s="1"/>
      <c r="GGW104" s="1"/>
      <c r="GGX104" s="1"/>
      <c r="GGY104" s="1"/>
      <c r="GGZ104" s="1"/>
      <c r="GHA104" s="1"/>
      <c r="GHB104" s="1"/>
      <c r="GHC104" s="1"/>
      <c r="GHD104" s="1"/>
      <c r="GHE104" s="1"/>
      <c r="GHF104" s="1"/>
      <c r="GHG104" s="1"/>
      <c r="GHH104" s="1"/>
      <c r="GHI104" s="1"/>
      <c r="GHJ104" s="1"/>
      <c r="GHK104" s="1"/>
      <c r="GHL104" s="1"/>
      <c r="GHM104" s="1"/>
      <c r="GHN104" s="1"/>
      <c r="GHO104" s="1"/>
      <c r="GHP104" s="1"/>
      <c r="GHQ104" s="1"/>
      <c r="GHR104" s="1"/>
      <c r="GHS104" s="1"/>
      <c r="GHT104" s="1"/>
      <c r="GHU104" s="1"/>
      <c r="GHV104" s="1"/>
      <c r="GHW104" s="1"/>
      <c r="GHX104" s="1"/>
      <c r="GHY104" s="1"/>
      <c r="GHZ104" s="1"/>
      <c r="GIA104" s="1"/>
      <c r="GIB104" s="1"/>
      <c r="GIC104" s="1"/>
      <c r="GID104" s="1"/>
      <c r="GIE104" s="1"/>
      <c r="GIF104" s="1"/>
      <c r="GIG104" s="1"/>
      <c r="GIH104" s="1"/>
      <c r="GII104" s="1"/>
      <c r="GIJ104" s="1"/>
      <c r="GIK104" s="1"/>
      <c r="GIL104" s="1"/>
      <c r="GIM104" s="1"/>
      <c r="GIN104" s="1"/>
      <c r="GIO104" s="1"/>
      <c r="GIP104" s="1"/>
      <c r="GIQ104" s="1"/>
      <c r="GIR104" s="1"/>
      <c r="GIS104" s="1"/>
      <c r="GIT104" s="1"/>
      <c r="GIU104" s="1"/>
      <c r="GIV104" s="1"/>
      <c r="GIW104" s="1"/>
      <c r="GIX104" s="1"/>
      <c r="GIY104" s="1"/>
      <c r="GIZ104" s="1"/>
      <c r="GJA104" s="1"/>
      <c r="GJB104" s="1"/>
      <c r="GJC104" s="1"/>
      <c r="GJD104" s="1"/>
      <c r="GJE104" s="1"/>
      <c r="GJF104" s="1"/>
      <c r="GJG104" s="1"/>
      <c r="GJH104" s="1"/>
      <c r="GJI104" s="1"/>
      <c r="GJJ104" s="1"/>
      <c r="GJK104" s="1"/>
      <c r="GJL104" s="1"/>
      <c r="GJM104" s="1"/>
      <c r="GJN104" s="1"/>
      <c r="GJO104" s="1"/>
      <c r="GJP104" s="1"/>
      <c r="GJQ104" s="1"/>
      <c r="GJR104" s="1"/>
      <c r="GJS104" s="1"/>
      <c r="GJT104" s="1"/>
      <c r="GJU104" s="1"/>
      <c r="GJV104" s="1"/>
      <c r="GJW104" s="1"/>
      <c r="GJX104" s="1"/>
      <c r="GJY104" s="1"/>
      <c r="GJZ104" s="1"/>
      <c r="GKA104" s="1"/>
      <c r="GKB104" s="1"/>
      <c r="GKC104" s="1"/>
      <c r="GKD104" s="1"/>
      <c r="GKE104" s="1"/>
      <c r="GKF104" s="1"/>
      <c r="GKG104" s="1"/>
      <c r="GKH104" s="1"/>
      <c r="GKI104" s="1"/>
      <c r="GKJ104" s="1"/>
      <c r="GKK104" s="1"/>
      <c r="GKL104" s="1"/>
      <c r="GKM104" s="1"/>
      <c r="GKN104" s="1"/>
      <c r="GKO104" s="1"/>
      <c r="GKP104" s="1"/>
      <c r="GKQ104" s="1"/>
      <c r="GKR104" s="1"/>
      <c r="GKS104" s="1"/>
      <c r="GKT104" s="1"/>
      <c r="GKU104" s="1"/>
      <c r="GKV104" s="1"/>
      <c r="GKW104" s="1"/>
      <c r="GKX104" s="1"/>
      <c r="GKY104" s="1"/>
      <c r="GKZ104" s="1"/>
      <c r="GLA104" s="1"/>
      <c r="GLB104" s="1"/>
      <c r="GLC104" s="1"/>
      <c r="GLD104" s="1"/>
      <c r="GLE104" s="1"/>
      <c r="GLF104" s="1"/>
      <c r="GLG104" s="1"/>
      <c r="GLH104" s="1"/>
      <c r="GLI104" s="1"/>
      <c r="GLJ104" s="1"/>
      <c r="GLK104" s="1"/>
      <c r="GLL104" s="1"/>
      <c r="GLM104" s="1"/>
      <c r="GLN104" s="1"/>
      <c r="GLO104" s="1"/>
      <c r="GLP104" s="1"/>
      <c r="GLQ104" s="1"/>
      <c r="GLR104" s="1"/>
      <c r="GLS104" s="1"/>
      <c r="GLT104" s="1"/>
      <c r="GLU104" s="1"/>
      <c r="GLV104" s="1"/>
      <c r="GLW104" s="1"/>
      <c r="GLX104" s="1"/>
      <c r="GLY104" s="1"/>
      <c r="GLZ104" s="1"/>
      <c r="GMA104" s="1"/>
      <c r="GMB104" s="1"/>
      <c r="GMC104" s="1"/>
      <c r="GMD104" s="1"/>
      <c r="GME104" s="1"/>
      <c r="GMF104" s="1"/>
      <c r="GMG104" s="1"/>
      <c r="GMH104" s="1"/>
      <c r="GMI104" s="1"/>
      <c r="GMJ104" s="1"/>
      <c r="GMK104" s="1"/>
      <c r="GML104" s="1"/>
      <c r="GMM104" s="1"/>
      <c r="GMN104" s="1"/>
      <c r="GMO104" s="1"/>
      <c r="GMP104" s="1"/>
      <c r="GMQ104" s="1"/>
      <c r="GMR104" s="1"/>
      <c r="GMS104" s="1"/>
      <c r="GMT104" s="1"/>
      <c r="GMU104" s="1"/>
      <c r="GMV104" s="1"/>
      <c r="GMW104" s="1"/>
      <c r="GMX104" s="1"/>
      <c r="GMY104" s="1"/>
      <c r="GMZ104" s="1"/>
      <c r="GNA104" s="1"/>
      <c r="GNB104" s="1"/>
      <c r="GNC104" s="1"/>
      <c r="GND104" s="1"/>
      <c r="GNE104" s="1"/>
      <c r="GNF104" s="1"/>
      <c r="GNG104" s="1"/>
      <c r="GNH104" s="1"/>
      <c r="GNI104" s="1"/>
      <c r="GNJ104" s="1"/>
      <c r="GNK104" s="1"/>
      <c r="GNL104" s="1"/>
      <c r="GNM104" s="1"/>
      <c r="GNN104" s="1"/>
      <c r="GNO104" s="1"/>
      <c r="GNP104" s="1"/>
      <c r="GNQ104" s="1"/>
      <c r="GNR104" s="1"/>
      <c r="GNS104" s="1"/>
      <c r="GNT104" s="1"/>
      <c r="GNU104" s="1"/>
      <c r="GNV104" s="1"/>
      <c r="GNW104" s="1"/>
      <c r="GNX104" s="1"/>
      <c r="GNY104" s="1"/>
      <c r="GNZ104" s="1"/>
      <c r="GOA104" s="1"/>
      <c r="GOB104" s="1"/>
      <c r="GOC104" s="1"/>
      <c r="GOD104" s="1"/>
      <c r="GOE104" s="1"/>
      <c r="GOF104" s="1"/>
      <c r="GOG104" s="1"/>
      <c r="GOH104" s="1"/>
      <c r="GOI104" s="1"/>
      <c r="GOJ104" s="1"/>
      <c r="GOK104" s="1"/>
      <c r="GOL104" s="1"/>
      <c r="GOM104" s="1"/>
      <c r="GON104" s="1"/>
      <c r="GOO104" s="1"/>
      <c r="GOP104" s="1"/>
      <c r="GOQ104" s="1"/>
      <c r="GOR104" s="1"/>
      <c r="GOS104" s="1"/>
      <c r="GOT104" s="1"/>
      <c r="GOU104" s="1"/>
      <c r="GOV104" s="1"/>
      <c r="GOW104" s="1"/>
      <c r="GOX104" s="1"/>
      <c r="GOY104" s="1"/>
      <c r="GOZ104" s="1"/>
      <c r="GPA104" s="1"/>
      <c r="GPB104" s="1"/>
      <c r="GPC104" s="1"/>
      <c r="GPD104" s="1"/>
      <c r="GPE104" s="1"/>
      <c r="GPF104" s="1"/>
      <c r="GPG104" s="1"/>
      <c r="GPH104" s="1"/>
      <c r="GPI104" s="1"/>
      <c r="GPJ104" s="1"/>
      <c r="GPK104" s="1"/>
      <c r="GPL104" s="1"/>
      <c r="GPM104" s="1"/>
      <c r="GPN104" s="1"/>
      <c r="GPO104" s="1"/>
      <c r="GPP104" s="1"/>
      <c r="GPQ104" s="1"/>
      <c r="GPR104" s="1"/>
      <c r="GPS104" s="1"/>
      <c r="GPT104" s="1"/>
      <c r="GPU104" s="1"/>
      <c r="GPV104" s="1"/>
      <c r="GPW104" s="1"/>
      <c r="GPX104" s="1"/>
      <c r="GPY104" s="1"/>
      <c r="GPZ104" s="1"/>
      <c r="GQA104" s="1"/>
      <c r="GQB104" s="1"/>
      <c r="GQC104" s="1"/>
      <c r="GQD104" s="1"/>
      <c r="GQE104" s="1"/>
      <c r="GQF104" s="1"/>
      <c r="GQG104" s="1"/>
      <c r="GQH104" s="1"/>
      <c r="GQI104" s="1"/>
      <c r="GQJ104" s="1"/>
      <c r="GQK104" s="1"/>
      <c r="GQL104" s="1"/>
      <c r="GQM104" s="1"/>
      <c r="GQN104" s="1"/>
      <c r="GQO104" s="1"/>
      <c r="GQP104" s="1"/>
      <c r="GQQ104" s="1"/>
      <c r="GQR104" s="1"/>
      <c r="GQS104" s="1"/>
      <c r="GQT104" s="1"/>
      <c r="GQU104" s="1"/>
      <c r="GQV104" s="1"/>
      <c r="GQW104" s="1"/>
      <c r="GQX104" s="1"/>
      <c r="GQY104" s="1"/>
      <c r="GQZ104" s="1"/>
      <c r="GRA104" s="1"/>
      <c r="GRB104" s="1"/>
      <c r="GRC104" s="1"/>
      <c r="GRD104" s="1"/>
      <c r="GRE104" s="1"/>
      <c r="GRF104" s="1"/>
      <c r="GRG104" s="1"/>
      <c r="GRH104" s="1"/>
      <c r="GRI104" s="1"/>
      <c r="GRJ104" s="1"/>
      <c r="GRK104" s="1"/>
      <c r="GRL104" s="1"/>
      <c r="GRM104" s="1"/>
      <c r="GRN104" s="1"/>
      <c r="GRO104" s="1"/>
      <c r="GRP104" s="1"/>
      <c r="GRQ104" s="1"/>
      <c r="GRR104" s="1"/>
      <c r="GRS104" s="1"/>
      <c r="GRT104" s="1"/>
      <c r="GRU104" s="1"/>
      <c r="GRV104" s="1"/>
      <c r="GRW104" s="1"/>
      <c r="GRX104" s="1"/>
      <c r="GRY104" s="1"/>
      <c r="GRZ104" s="1"/>
      <c r="GSA104" s="1"/>
      <c r="GSB104" s="1"/>
      <c r="GSC104" s="1"/>
      <c r="GSD104" s="1"/>
      <c r="GSE104" s="1"/>
      <c r="GSF104" s="1"/>
      <c r="GSG104" s="1"/>
      <c r="GSH104" s="1"/>
      <c r="GSI104" s="1"/>
      <c r="GSJ104" s="1"/>
      <c r="GSK104" s="1"/>
      <c r="GSL104" s="1"/>
      <c r="GSM104" s="1"/>
      <c r="GSN104" s="1"/>
      <c r="GSO104" s="1"/>
      <c r="GSP104" s="1"/>
      <c r="GSQ104" s="1"/>
      <c r="GSR104" s="1"/>
      <c r="GSS104" s="1"/>
      <c r="GST104" s="1"/>
      <c r="GSU104" s="1"/>
      <c r="GSV104" s="1"/>
      <c r="GSW104" s="1"/>
      <c r="GSX104" s="1"/>
      <c r="GSY104" s="1"/>
      <c r="GSZ104" s="1"/>
      <c r="GTA104" s="1"/>
      <c r="GTB104" s="1"/>
      <c r="GTC104" s="1"/>
      <c r="GTD104" s="1"/>
      <c r="GTE104" s="1"/>
      <c r="GTF104" s="1"/>
      <c r="GTG104" s="1"/>
      <c r="GTH104" s="1"/>
      <c r="GTI104" s="1"/>
      <c r="GTJ104" s="1"/>
      <c r="GTK104" s="1"/>
      <c r="GTL104" s="1"/>
      <c r="GTM104" s="1"/>
      <c r="GTN104" s="1"/>
      <c r="GTO104" s="1"/>
      <c r="GTP104" s="1"/>
      <c r="GTQ104" s="1"/>
      <c r="GTR104" s="1"/>
      <c r="GTS104" s="1"/>
      <c r="GTT104" s="1"/>
      <c r="GTU104" s="1"/>
      <c r="GTV104" s="1"/>
      <c r="GTW104" s="1"/>
      <c r="GTX104" s="1"/>
      <c r="GTY104" s="1"/>
      <c r="GTZ104" s="1"/>
      <c r="GUA104" s="1"/>
      <c r="GUB104" s="1"/>
      <c r="GUC104" s="1"/>
      <c r="GUD104" s="1"/>
      <c r="GUE104" s="1"/>
      <c r="GUF104" s="1"/>
      <c r="GUG104" s="1"/>
      <c r="GUH104" s="1"/>
      <c r="GUI104" s="1"/>
      <c r="GUJ104" s="1"/>
      <c r="GUK104" s="1"/>
      <c r="GUL104" s="1"/>
      <c r="GUM104" s="1"/>
      <c r="GUN104" s="1"/>
      <c r="GUO104" s="1"/>
      <c r="GUP104" s="1"/>
      <c r="GUQ104" s="1"/>
      <c r="GUR104" s="1"/>
      <c r="GUS104" s="1"/>
      <c r="GUT104" s="1"/>
      <c r="GUU104" s="1"/>
      <c r="GUV104" s="1"/>
      <c r="GUW104" s="1"/>
      <c r="GUX104" s="1"/>
      <c r="GUY104" s="1"/>
      <c r="GUZ104" s="1"/>
      <c r="GVA104" s="1"/>
      <c r="GVB104" s="1"/>
      <c r="GVC104" s="1"/>
      <c r="GVD104" s="1"/>
      <c r="GVE104" s="1"/>
      <c r="GVF104" s="1"/>
      <c r="GVG104" s="1"/>
      <c r="GVH104" s="1"/>
      <c r="GVI104" s="1"/>
      <c r="GVJ104" s="1"/>
      <c r="GVK104" s="1"/>
      <c r="GVL104" s="1"/>
      <c r="GVM104" s="1"/>
      <c r="GVN104" s="1"/>
      <c r="GVO104" s="1"/>
      <c r="GVP104" s="1"/>
      <c r="GVQ104" s="1"/>
      <c r="GVR104" s="1"/>
      <c r="GVS104" s="1"/>
      <c r="GVT104" s="1"/>
      <c r="GVU104" s="1"/>
      <c r="GVV104" s="1"/>
      <c r="GVW104" s="1"/>
      <c r="GVX104" s="1"/>
      <c r="GVY104" s="1"/>
      <c r="GVZ104" s="1"/>
      <c r="GWA104" s="1"/>
      <c r="GWB104" s="1"/>
      <c r="GWC104" s="1"/>
      <c r="GWD104" s="1"/>
      <c r="GWE104" s="1"/>
      <c r="GWF104" s="1"/>
      <c r="GWG104" s="1"/>
      <c r="GWH104" s="1"/>
      <c r="GWI104" s="1"/>
      <c r="GWJ104" s="1"/>
      <c r="GWK104" s="1"/>
      <c r="GWL104" s="1"/>
      <c r="GWM104" s="1"/>
      <c r="GWN104" s="1"/>
      <c r="GWO104" s="1"/>
      <c r="GWP104" s="1"/>
      <c r="GWQ104" s="1"/>
      <c r="GWR104" s="1"/>
      <c r="GWS104" s="1"/>
      <c r="GWT104" s="1"/>
      <c r="GWU104" s="1"/>
      <c r="GWV104" s="1"/>
      <c r="GWW104" s="1"/>
      <c r="GWX104" s="1"/>
      <c r="GWY104" s="1"/>
      <c r="GWZ104" s="1"/>
      <c r="GXA104" s="1"/>
      <c r="GXB104" s="1"/>
      <c r="GXC104" s="1"/>
      <c r="GXD104" s="1"/>
      <c r="GXE104" s="1"/>
      <c r="GXF104" s="1"/>
      <c r="GXG104" s="1"/>
      <c r="GXH104" s="1"/>
      <c r="GXI104" s="1"/>
      <c r="GXJ104" s="1"/>
      <c r="GXK104" s="1"/>
      <c r="GXL104" s="1"/>
      <c r="GXM104" s="1"/>
      <c r="GXN104" s="1"/>
      <c r="GXO104" s="1"/>
      <c r="GXP104" s="1"/>
      <c r="GXQ104" s="1"/>
      <c r="GXR104" s="1"/>
      <c r="GXS104" s="1"/>
      <c r="GXT104" s="1"/>
      <c r="GXU104" s="1"/>
      <c r="GXV104" s="1"/>
      <c r="GXW104" s="1"/>
      <c r="GXX104" s="1"/>
      <c r="GXY104" s="1"/>
      <c r="GXZ104" s="1"/>
      <c r="GYA104" s="1"/>
      <c r="GYB104" s="1"/>
      <c r="GYC104" s="1"/>
      <c r="GYD104" s="1"/>
      <c r="GYE104" s="1"/>
      <c r="GYF104" s="1"/>
      <c r="GYG104" s="1"/>
      <c r="GYH104" s="1"/>
      <c r="GYI104" s="1"/>
      <c r="GYJ104" s="1"/>
      <c r="GYK104" s="1"/>
      <c r="GYL104" s="1"/>
      <c r="GYM104" s="1"/>
      <c r="GYN104" s="1"/>
      <c r="GYO104" s="1"/>
      <c r="GYP104" s="1"/>
      <c r="GYQ104" s="1"/>
      <c r="GYR104" s="1"/>
      <c r="GYS104" s="1"/>
      <c r="GYT104" s="1"/>
      <c r="GYU104" s="1"/>
      <c r="GYV104" s="1"/>
      <c r="GYW104" s="1"/>
      <c r="GYX104" s="1"/>
      <c r="GYY104" s="1"/>
      <c r="GYZ104" s="1"/>
      <c r="GZA104" s="1"/>
      <c r="GZB104" s="1"/>
      <c r="GZC104" s="1"/>
      <c r="GZD104" s="1"/>
      <c r="GZE104" s="1"/>
      <c r="GZF104" s="1"/>
      <c r="GZG104" s="1"/>
      <c r="GZH104" s="1"/>
      <c r="GZI104" s="1"/>
      <c r="GZJ104" s="1"/>
      <c r="GZK104" s="1"/>
      <c r="GZL104" s="1"/>
      <c r="GZM104" s="1"/>
      <c r="GZN104" s="1"/>
      <c r="GZO104" s="1"/>
      <c r="GZP104" s="1"/>
      <c r="GZQ104" s="1"/>
      <c r="GZR104" s="1"/>
      <c r="GZS104" s="1"/>
      <c r="GZT104" s="1"/>
      <c r="GZU104" s="1"/>
      <c r="GZV104" s="1"/>
      <c r="GZW104" s="1"/>
      <c r="GZX104" s="1"/>
      <c r="GZY104" s="1"/>
      <c r="GZZ104" s="1"/>
      <c r="HAA104" s="1"/>
      <c r="HAB104" s="1"/>
      <c r="HAC104" s="1"/>
      <c r="HAD104" s="1"/>
      <c r="HAE104" s="1"/>
      <c r="HAF104" s="1"/>
      <c r="HAG104" s="1"/>
      <c r="HAH104" s="1"/>
      <c r="HAI104" s="1"/>
      <c r="HAJ104" s="1"/>
      <c r="HAK104" s="1"/>
      <c r="HAL104" s="1"/>
      <c r="HAM104" s="1"/>
      <c r="HAN104" s="1"/>
      <c r="HAO104" s="1"/>
      <c r="HAP104" s="1"/>
      <c r="HAQ104" s="1"/>
      <c r="HAR104" s="1"/>
      <c r="HAS104" s="1"/>
      <c r="HAT104" s="1"/>
      <c r="HAU104" s="1"/>
      <c r="HAV104" s="1"/>
      <c r="HAW104" s="1"/>
      <c r="HAX104" s="1"/>
      <c r="HAY104" s="1"/>
      <c r="HAZ104" s="1"/>
      <c r="HBA104" s="1"/>
      <c r="HBB104" s="1"/>
      <c r="HBC104" s="1"/>
      <c r="HBD104" s="1"/>
      <c r="HBE104" s="1"/>
      <c r="HBF104" s="1"/>
      <c r="HBG104" s="1"/>
      <c r="HBH104" s="1"/>
      <c r="HBI104" s="1"/>
      <c r="HBJ104" s="1"/>
      <c r="HBK104" s="1"/>
      <c r="HBL104" s="1"/>
      <c r="HBM104" s="1"/>
      <c r="HBN104" s="1"/>
      <c r="HBO104" s="1"/>
      <c r="HBP104" s="1"/>
      <c r="HBQ104" s="1"/>
      <c r="HBR104" s="1"/>
      <c r="HBS104" s="1"/>
      <c r="HBT104" s="1"/>
      <c r="HBU104" s="1"/>
      <c r="HBV104" s="1"/>
      <c r="HBW104" s="1"/>
      <c r="HBX104" s="1"/>
      <c r="HBY104" s="1"/>
      <c r="HBZ104" s="1"/>
      <c r="HCA104" s="1"/>
      <c r="HCB104" s="1"/>
      <c r="HCC104" s="1"/>
      <c r="HCD104" s="1"/>
      <c r="HCE104" s="1"/>
      <c r="HCF104" s="1"/>
      <c r="HCG104" s="1"/>
      <c r="HCH104" s="1"/>
      <c r="HCI104" s="1"/>
      <c r="HCJ104" s="1"/>
      <c r="HCK104" s="1"/>
      <c r="HCL104" s="1"/>
      <c r="HCM104" s="1"/>
      <c r="HCN104" s="1"/>
      <c r="HCO104" s="1"/>
      <c r="HCP104" s="1"/>
      <c r="HCQ104" s="1"/>
      <c r="HCR104" s="1"/>
      <c r="HCS104" s="1"/>
      <c r="HCT104" s="1"/>
      <c r="HCU104" s="1"/>
      <c r="HCV104" s="1"/>
      <c r="HCW104" s="1"/>
      <c r="HCX104" s="1"/>
      <c r="HCY104" s="1"/>
      <c r="HCZ104" s="1"/>
      <c r="HDA104" s="1"/>
      <c r="HDB104" s="1"/>
      <c r="HDC104" s="1"/>
      <c r="HDD104" s="1"/>
      <c r="HDE104" s="1"/>
      <c r="HDF104" s="1"/>
      <c r="HDG104" s="1"/>
      <c r="HDH104" s="1"/>
      <c r="HDI104" s="1"/>
      <c r="HDJ104" s="1"/>
      <c r="HDK104" s="1"/>
      <c r="HDL104" s="1"/>
      <c r="HDM104" s="1"/>
      <c r="HDN104" s="1"/>
      <c r="HDO104" s="1"/>
      <c r="HDP104" s="1"/>
      <c r="HDQ104" s="1"/>
      <c r="HDR104" s="1"/>
      <c r="HDS104" s="1"/>
      <c r="HDT104" s="1"/>
      <c r="HDU104" s="1"/>
      <c r="HDV104" s="1"/>
      <c r="HDW104" s="1"/>
      <c r="HDX104" s="1"/>
      <c r="HDY104" s="1"/>
      <c r="HDZ104" s="1"/>
      <c r="HEA104" s="1"/>
      <c r="HEB104" s="1"/>
      <c r="HEC104" s="1"/>
      <c r="HED104" s="1"/>
      <c r="HEE104" s="1"/>
      <c r="HEF104" s="1"/>
      <c r="HEG104" s="1"/>
      <c r="HEH104" s="1"/>
      <c r="HEI104" s="1"/>
      <c r="HEJ104" s="1"/>
      <c r="HEK104" s="1"/>
      <c r="HEL104" s="1"/>
      <c r="HEM104" s="1"/>
      <c r="HEN104" s="1"/>
      <c r="HEO104" s="1"/>
      <c r="HEP104" s="1"/>
      <c r="HEQ104" s="1"/>
      <c r="HER104" s="1"/>
      <c r="HES104" s="1"/>
      <c r="HET104" s="1"/>
      <c r="HEU104" s="1"/>
      <c r="HEV104" s="1"/>
      <c r="HEW104" s="1"/>
      <c r="HEX104" s="1"/>
      <c r="HEY104" s="1"/>
      <c r="HEZ104" s="1"/>
      <c r="HFA104" s="1"/>
      <c r="HFB104" s="1"/>
      <c r="HFC104" s="1"/>
      <c r="HFD104" s="1"/>
      <c r="HFE104" s="1"/>
      <c r="HFF104" s="1"/>
      <c r="HFG104" s="1"/>
      <c r="HFH104" s="1"/>
      <c r="HFI104" s="1"/>
      <c r="HFJ104" s="1"/>
      <c r="HFK104" s="1"/>
      <c r="HFL104" s="1"/>
      <c r="HFM104" s="1"/>
      <c r="HFN104" s="1"/>
      <c r="HFO104" s="1"/>
      <c r="HFP104" s="1"/>
      <c r="HFQ104" s="1"/>
      <c r="HFR104" s="1"/>
      <c r="HFS104" s="1"/>
      <c r="HFT104" s="1"/>
      <c r="HFU104" s="1"/>
      <c r="HFV104" s="1"/>
      <c r="HFW104" s="1"/>
      <c r="HFX104" s="1"/>
      <c r="HFY104" s="1"/>
      <c r="HFZ104" s="1"/>
      <c r="HGA104" s="1"/>
      <c r="HGB104" s="1"/>
      <c r="HGC104" s="1"/>
      <c r="HGD104" s="1"/>
      <c r="HGE104" s="1"/>
      <c r="HGF104" s="1"/>
      <c r="HGG104" s="1"/>
      <c r="HGH104" s="1"/>
      <c r="HGI104" s="1"/>
      <c r="HGJ104" s="1"/>
      <c r="HGK104" s="1"/>
      <c r="HGL104" s="1"/>
      <c r="HGM104" s="1"/>
      <c r="HGN104" s="1"/>
      <c r="HGO104" s="1"/>
      <c r="HGP104" s="1"/>
      <c r="HGQ104" s="1"/>
      <c r="HGR104" s="1"/>
      <c r="HGS104" s="1"/>
      <c r="HGT104" s="1"/>
      <c r="HGU104" s="1"/>
      <c r="HGV104" s="1"/>
      <c r="HGW104" s="1"/>
      <c r="HGX104" s="1"/>
      <c r="HGY104" s="1"/>
      <c r="HGZ104" s="1"/>
      <c r="HHA104" s="1"/>
      <c r="HHB104" s="1"/>
      <c r="HHC104" s="1"/>
      <c r="HHD104" s="1"/>
      <c r="HHE104" s="1"/>
      <c r="HHF104" s="1"/>
      <c r="HHG104" s="1"/>
      <c r="HHH104" s="1"/>
      <c r="HHI104" s="1"/>
      <c r="HHJ104" s="1"/>
      <c r="HHK104" s="1"/>
      <c r="HHL104" s="1"/>
      <c r="HHM104" s="1"/>
      <c r="HHN104" s="1"/>
      <c r="HHO104" s="1"/>
      <c r="HHP104" s="1"/>
      <c r="HHQ104" s="1"/>
      <c r="HHR104" s="1"/>
      <c r="HHS104" s="1"/>
      <c r="HHT104" s="1"/>
      <c r="HHU104" s="1"/>
      <c r="HHV104" s="1"/>
      <c r="HHW104" s="1"/>
      <c r="HHX104" s="1"/>
      <c r="HHY104" s="1"/>
      <c r="HHZ104" s="1"/>
      <c r="HIA104" s="1"/>
      <c r="HIB104" s="1"/>
      <c r="HIC104" s="1"/>
      <c r="HID104" s="1"/>
      <c r="HIE104" s="1"/>
      <c r="HIF104" s="1"/>
      <c r="HIG104" s="1"/>
      <c r="HIH104" s="1"/>
      <c r="HII104" s="1"/>
      <c r="HIJ104" s="1"/>
      <c r="HIK104" s="1"/>
      <c r="HIL104" s="1"/>
      <c r="HIM104" s="1"/>
      <c r="HIN104" s="1"/>
      <c r="HIO104" s="1"/>
      <c r="HIP104" s="1"/>
      <c r="HIQ104" s="1"/>
      <c r="HIR104" s="1"/>
      <c r="HIS104" s="1"/>
      <c r="HIT104" s="1"/>
      <c r="HIU104" s="1"/>
      <c r="HIV104" s="1"/>
      <c r="HIW104" s="1"/>
      <c r="HIX104" s="1"/>
      <c r="HIY104" s="1"/>
      <c r="HIZ104" s="1"/>
      <c r="HJA104" s="1"/>
      <c r="HJB104" s="1"/>
      <c r="HJC104" s="1"/>
      <c r="HJD104" s="1"/>
      <c r="HJE104" s="1"/>
      <c r="HJF104" s="1"/>
      <c r="HJG104" s="1"/>
      <c r="HJH104" s="1"/>
      <c r="HJI104" s="1"/>
      <c r="HJJ104" s="1"/>
      <c r="HJK104" s="1"/>
      <c r="HJL104" s="1"/>
      <c r="HJM104" s="1"/>
      <c r="HJN104" s="1"/>
      <c r="HJO104" s="1"/>
      <c r="HJP104" s="1"/>
      <c r="HJQ104" s="1"/>
      <c r="HJR104" s="1"/>
      <c r="HJS104" s="1"/>
      <c r="HJT104" s="1"/>
      <c r="HJU104" s="1"/>
      <c r="HJV104" s="1"/>
      <c r="HJW104" s="1"/>
      <c r="HJX104" s="1"/>
      <c r="HJY104" s="1"/>
      <c r="HJZ104" s="1"/>
      <c r="HKA104" s="1"/>
      <c r="HKB104" s="1"/>
      <c r="HKC104" s="1"/>
      <c r="HKD104" s="1"/>
      <c r="HKE104" s="1"/>
      <c r="HKF104" s="1"/>
      <c r="HKG104" s="1"/>
      <c r="HKH104" s="1"/>
      <c r="HKI104" s="1"/>
      <c r="HKJ104" s="1"/>
      <c r="HKK104" s="1"/>
      <c r="HKL104" s="1"/>
      <c r="HKM104" s="1"/>
      <c r="HKN104" s="1"/>
      <c r="HKO104" s="1"/>
      <c r="HKP104" s="1"/>
      <c r="HKQ104" s="1"/>
      <c r="HKR104" s="1"/>
      <c r="HKS104" s="1"/>
      <c r="HKT104" s="1"/>
      <c r="HKU104" s="1"/>
      <c r="HKV104" s="1"/>
      <c r="HKW104" s="1"/>
      <c r="HKX104" s="1"/>
      <c r="HKY104" s="1"/>
      <c r="HKZ104" s="1"/>
      <c r="HLA104" s="1"/>
      <c r="HLB104" s="1"/>
      <c r="HLC104" s="1"/>
      <c r="HLD104" s="1"/>
      <c r="HLE104" s="1"/>
      <c r="HLF104" s="1"/>
      <c r="HLG104" s="1"/>
      <c r="HLH104" s="1"/>
      <c r="HLI104" s="1"/>
      <c r="HLJ104" s="1"/>
      <c r="HLK104" s="1"/>
      <c r="HLL104" s="1"/>
      <c r="HLM104" s="1"/>
      <c r="HLN104" s="1"/>
      <c r="HLO104" s="1"/>
      <c r="HLP104" s="1"/>
      <c r="HLQ104" s="1"/>
      <c r="HLR104" s="1"/>
      <c r="HLS104" s="1"/>
      <c r="HLT104" s="1"/>
      <c r="HLU104" s="1"/>
      <c r="HLV104" s="1"/>
      <c r="HLW104" s="1"/>
      <c r="HLX104" s="1"/>
      <c r="HLY104" s="1"/>
      <c r="HLZ104" s="1"/>
      <c r="HMA104" s="1"/>
      <c r="HMB104" s="1"/>
      <c r="HMC104" s="1"/>
      <c r="HMD104" s="1"/>
      <c r="HME104" s="1"/>
      <c r="HMF104" s="1"/>
      <c r="HMG104" s="1"/>
      <c r="HMH104" s="1"/>
      <c r="HMI104" s="1"/>
      <c r="HMJ104" s="1"/>
      <c r="HMK104" s="1"/>
      <c r="HML104" s="1"/>
      <c r="HMM104" s="1"/>
      <c r="HMN104" s="1"/>
      <c r="HMO104" s="1"/>
      <c r="HMP104" s="1"/>
      <c r="HMQ104" s="1"/>
      <c r="HMR104" s="1"/>
      <c r="HMS104" s="1"/>
      <c r="HMT104" s="1"/>
      <c r="HMU104" s="1"/>
      <c r="HMV104" s="1"/>
      <c r="HMW104" s="1"/>
      <c r="HMX104" s="1"/>
      <c r="HMY104" s="1"/>
      <c r="HMZ104" s="1"/>
      <c r="HNA104" s="1"/>
      <c r="HNB104" s="1"/>
      <c r="HNC104" s="1"/>
      <c r="HND104" s="1"/>
      <c r="HNE104" s="1"/>
      <c r="HNF104" s="1"/>
      <c r="HNG104" s="1"/>
      <c r="HNH104" s="1"/>
      <c r="HNI104" s="1"/>
      <c r="HNJ104" s="1"/>
      <c r="HNK104" s="1"/>
      <c r="HNL104" s="1"/>
      <c r="HNM104" s="1"/>
      <c r="HNN104" s="1"/>
      <c r="HNO104" s="1"/>
      <c r="HNP104" s="1"/>
      <c r="HNQ104" s="1"/>
      <c r="HNR104" s="1"/>
      <c r="HNS104" s="1"/>
      <c r="HNT104" s="1"/>
      <c r="HNU104" s="1"/>
      <c r="HNV104" s="1"/>
      <c r="HNW104" s="1"/>
      <c r="HNX104" s="1"/>
      <c r="HNY104" s="1"/>
      <c r="HNZ104" s="1"/>
      <c r="HOA104" s="1"/>
      <c r="HOB104" s="1"/>
      <c r="HOC104" s="1"/>
      <c r="HOD104" s="1"/>
      <c r="HOE104" s="1"/>
      <c r="HOF104" s="1"/>
      <c r="HOG104" s="1"/>
      <c r="HOH104" s="1"/>
      <c r="HOI104" s="1"/>
      <c r="HOJ104" s="1"/>
      <c r="HOK104" s="1"/>
      <c r="HOL104" s="1"/>
      <c r="HOM104" s="1"/>
      <c r="HON104" s="1"/>
      <c r="HOO104" s="1"/>
      <c r="HOP104" s="1"/>
      <c r="HOQ104" s="1"/>
      <c r="HOR104" s="1"/>
      <c r="HOS104" s="1"/>
      <c r="HOT104" s="1"/>
      <c r="HOU104" s="1"/>
      <c r="HOV104" s="1"/>
      <c r="HOW104" s="1"/>
      <c r="HOX104" s="1"/>
      <c r="HOY104" s="1"/>
      <c r="HOZ104" s="1"/>
      <c r="HPA104" s="1"/>
      <c r="HPB104" s="1"/>
      <c r="HPC104" s="1"/>
      <c r="HPD104" s="1"/>
      <c r="HPE104" s="1"/>
      <c r="HPF104" s="1"/>
      <c r="HPG104" s="1"/>
      <c r="HPH104" s="1"/>
      <c r="HPI104" s="1"/>
      <c r="HPJ104" s="1"/>
      <c r="HPK104" s="1"/>
      <c r="HPL104" s="1"/>
      <c r="HPM104" s="1"/>
      <c r="HPN104" s="1"/>
      <c r="HPO104" s="1"/>
      <c r="HPP104" s="1"/>
      <c r="HPQ104" s="1"/>
      <c r="HPR104" s="1"/>
      <c r="HPS104" s="1"/>
      <c r="HPT104" s="1"/>
      <c r="HPU104" s="1"/>
      <c r="HPV104" s="1"/>
      <c r="HPW104" s="1"/>
      <c r="HPX104" s="1"/>
      <c r="HPY104" s="1"/>
      <c r="HPZ104" s="1"/>
      <c r="HQA104" s="1"/>
      <c r="HQB104" s="1"/>
      <c r="HQC104" s="1"/>
      <c r="HQD104" s="1"/>
      <c r="HQE104" s="1"/>
      <c r="HQF104" s="1"/>
      <c r="HQG104" s="1"/>
      <c r="HQH104" s="1"/>
      <c r="HQI104" s="1"/>
      <c r="HQJ104" s="1"/>
      <c r="HQK104" s="1"/>
      <c r="HQL104" s="1"/>
      <c r="HQM104" s="1"/>
      <c r="HQN104" s="1"/>
      <c r="HQO104" s="1"/>
      <c r="HQP104" s="1"/>
      <c r="HQQ104" s="1"/>
      <c r="HQR104" s="1"/>
      <c r="HQS104" s="1"/>
      <c r="HQT104" s="1"/>
      <c r="HQU104" s="1"/>
      <c r="HQV104" s="1"/>
      <c r="HQW104" s="1"/>
      <c r="HQX104" s="1"/>
      <c r="HQY104" s="1"/>
      <c r="HQZ104" s="1"/>
      <c r="HRA104" s="1"/>
      <c r="HRB104" s="1"/>
      <c r="HRC104" s="1"/>
      <c r="HRD104" s="1"/>
      <c r="HRE104" s="1"/>
      <c r="HRF104" s="1"/>
      <c r="HRG104" s="1"/>
      <c r="HRH104" s="1"/>
      <c r="HRI104" s="1"/>
      <c r="HRJ104" s="1"/>
      <c r="HRK104" s="1"/>
      <c r="HRL104" s="1"/>
      <c r="HRM104" s="1"/>
      <c r="HRN104" s="1"/>
      <c r="HRO104" s="1"/>
      <c r="HRP104" s="1"/>
      <c r="HRQ104" s="1"/>
      <c r="HRR104" s="1"/>
      <c r="HRS104" s="1"/>
      <c r="HRT104" s="1"/>
      <c r="HRU104" s="1"/>
      <c r="HRV104" s="1"/>
      <c r="HRW104" s="1"/>
      <c r="HRX104" s="1"/>
      <c r="HRY104" s="1"/>
      <c r="HRZ104" s="1"/>
      <c r="HSA104" s="1"/>
      <c r="HSB104" s="1"/>
      <c r="HSC104" s="1"/>
      <c r="HSD104" s="1"/>
      <c r="HSE104" s="1"/>
      <c r="HSF104" s="1"/>
      <c r="HSG104" s="1"/>
      <c r="HSH104" s="1"/>
      <c r="HSI104" s="1"/>
      <c r="HSJ104" s="1"/>
      <c r="HSK104" s="1"/>
      <c r="HSL104" s="1"/>
      <c r="HSM104" s="1"/>
      <c r="HSN104" s="1"/>
      <c r="HSO104" s="1"/>
      <c r="HSP104" s="1"/>
      <c r="HSQ104" s="1"/>
      <c r="HSR104" s="1"/>
      <c r="HSS104" s="1"/>
      <c r="HST104" s="1"/>
      <c r="HSU104" s="1"/>
      <c r="HSV104" s="1"/>
      <c r="HSW104" s="1"/>
      <c r="HSX104" s="1"/>
      <c r="HSY104" s="1"/>
      <c r="HSZ104" s="1"/>
      <c r="HTA104" s="1"/>
      <c r="HTB104" s="1"/>
      <c r="HTC104" s="1"/>
      <c r="HTD104" s="1"/>
      <c r="HTE104" s="1"/>
      <c r="HTF104" s="1"/>
      <c r="HTG104" s="1"/>
      <c r="HTH104" s="1"/>
      <c r="HTI104" s="1"/>
      <c r="HTJ104" s="1"/>
      <c r="HTK104" s="1"/>
      <c r="HTL104" s="1"/>
      <c r="HTM104" s="1"/>
      <c r="HTN104" s="1"/>
      <c r="HTO104" s="1"/>
      <c r="HTP104" s="1"/>
      <c r="HTQ104" s="1"/>
      <c r="HTR104" s="1"/>
      <c r="HTS104" s="1"/>
      <c r="HTT104" s="1"/>
      <c r="HTU104" s="1"/>
      <c r="HTV104" s="1"/>
      <c r="HTW104" s="1"/>
      <c r="HTX104" s="1"/>
      <c r="HTY104" s="1"/>
      <c r="HTZ104" s="1"/>
      <c r="HUA104" s="1"/>
      <c r="HUB104" s="1"/>
      <c r="HUC104" s="1"/>
      <c r="HUD104" s="1"/>
      <c r="HUE104" s="1"/>
      <c r="HUF104" s="1"/>
      <c r="HUG104" s="1"/>
      <c r="HUH104" s="1"/>
      <c r="HUI104" s="1"/>
      <c r="HUJ104" s="1"/>
      <c r="HUK104" s="1"/>
      <c r="HUL104" s="1"/>
      <c r="HUM104" s="1"/>
      <c r="HUN104" s="1"/>
      <c r="HUO104" s="1"/>
      <c r="HUP104" s="1"/>
      <c r="HUQ104" s="1"/>
      <c r="HUR104" s="1"/>
      <c r="HUS104" s="1"/>
      <c r="HUT104" s="1"/>
      <c r="HUU104" s="1"/>
      <c r="HUV104" s="1"/>
      <c r="HUW104" s="1"/>
      <c r="HUX104" s="1"/>
      <c r="HUY104" s="1"/>
      <c r="HUZ104" s="1"/>
      <c r="HVA104" s="1"/>
      <c r="HVB104" s="1"/>
      <c r="HVC104" s="1"/>
      <c r="HVD104" s="1"/>
      <c r="HVE104" s="1"/>
      <c r="HVF104" s="1"/>
      <c r="HVG104" s="1"/>
      <c r="HVH104" s="1"/>
      <c r="HVI104" s="1"/>
      <c r="HVJ104" s="1"/>
      <c r="HVK104" s="1"/>
      <c r="HVL104" s="1"/>
      <c r="HVM104" s="1"/>
      <c r="HVN104" s="1"/>
      <c r="HVO104" s="1"/>
      <c r="HVP104" s="1"/>
      <c r="HVQ104" s="1"/>
      <c r="HVR104" s="1"/>
      <c r="HVS104" s="1"/>
      <c r="HVT104" s="1"/>
      <c r="HVU104" s="1"/>
      <c r="HVV104" s="1"/>
      <c r="HVW104" s="1"/>
      <c r="HVX104" s="1"/>
      <c r="HVY104" s="1"/>
      <c r="HVZ104" s="1"/>
      <c r="HWA104" s="1"/>
      <c r="HWB104" s="1"/>
      <c r="HWC104" s="1"/>
      <c r="HWD104" s="1"/>
      <c r="HWE104" s="1"/>
      <c r="HWF104" s="1"/>
      <c r="HWG104" s="1"/>
      <c r="HWH104" s="1"/>
      <c r="HWI104" s="1"/>
      <c r="HWJ104" s="1"/>
      <c r="HWK104" s="1"/>
      <c r="HWL104" s="1"/>
      <c r="HWM104" s="1"/>
      <c r="HWN104" s="1"/>
      <c r="HWO104" s="1"/>
      <c r="HWP104" s="1"/>
      <c r="HWQ104" s="1"/>
      <c r="HWR104" s="1"/>
      <c r="HWS104" s="1"/>
      <c r="HWT104" s="1"/>
      <c r="HWU104" s="1"/>
      <c r="HWV104" s="1"/>
      <c r="HWW104" s="1"/>
      <c r="HWX104" s="1"/>
      <c r="HWY104" s="1"/>
      <c r="HWZ104" s="1"/>
      <c r="HXA104" s="1"/>
      <c r="HXB104" s="1"/>
      <c r="HXC104" s="1"/>
      <c r="HXD104" s="1"/>
      <c r="HXE104" s="1"/>
      <c r="HXF104" s="1"/>
      <c r="HXG104" s="1"/>
      <c r="HXH104" s="1"/>
      <c r="HXI104" s="1"/>
      <c r="HXJ104" s="1"/>
      <c r="HXK104" s="1"/>
      <c r="HXL104" s="1"/>
      <c r="HXM104" s="1"/>
      <c r="HXN104" s="1"/>
      <c r="HXO104" s="1"/>
      <c r="HXP104" s="1"/>
      <c r="HXQ104" s="1"/>
      <c r="HXR104" s="1"/>
      <c r="HXS104" s="1"/>
      <c r="HXT104" s="1"/>
      <c r="HXU104" s="1"/>
      <c r="HXV104" s="1"/>
      <c r="HXW104" s="1"/>
      <c r="HXX104" s="1"/>
      <c r="HXY104" s="1"/>
      <c r="HXZ104" s="1"/>
      <c r="HYA104" s="1"/>
      <c r="HYB104" s="1"/>
      <c r="HYC104" s="1"/>
      <c r="HYD104" s="1"/>
      <c r="HYE104" s="1"/>
      <c r="HYF104" s="1"/>
      <c r="HYG104" s="1"/>
      <c r="HYH104" s="1"/>
      <c r="HYI104" s="1"/>
      <c r="HYJ104" s="1"/>
      <c r="HYK104" s="1"/>
      <c r="HYL104" s="1"/>
      <c r="HYM104" s="1"/>
      <c r="HYN104" s="1"/>
      <c r="HYO104" s="1"/>
      <c r="HYP104" s="1"/>
      <c r="HYQ104" s="1"/>
      <c r="HYR104" s="1"/>
      <c r="HYS104" s="1"/>
      <c r="HYT104" s="1"/>
      <c r="HYU104" s="1"/>
      <c r="HYV104" s="1"/>
      <c r="HYW104" s="1"/>
      <c r="HYX104" s="1"/>
      <c r="HYY104" s="1"/>
      <c r="HYZ104" s="1"/>
      <c r="HZA104" s="1"/>
      <c r="HZB104" s="1"/>
      <c r="HZC104" s="1"/>
      <c r="HZD104" s="1"/>
      <c r="HZE104" s="1"/>
      <c r="HZF104" s="1"/>
      <c r="HZG104" s="1"/>
      <c r="HZH104" s="1"/>
      <c r="HZI104" s="1"/>
      <c r="HZJ104" s="1"/>
      <c r="HZK104" s="1"/>
      <c r="HZL104" s="1"/>
      <c r="HZM104" s="1"/>
      <c r="HZN104" s="1"/>
      <c r="HZO104" s="1"/>
      <c r="HZP104" s="1"/>
      <c r="HZQ104" s="1"/>
      <c r="HZR104" s="1"/>
      <c r="HZS104" s="1"/>
      <c r="HZT104" s="1"/>
      <c r="HZU104" s="1"/>
      <c r="HZV104" s="1"/>
      <c r="HZW104" s="1"/>
      <c r="HZX104" s="1"/>
      <c r="HZY104" s="1"/>
      <c r="HZZ104" s="1"/>
      <c r="IAA104" s="1"/>
      <c r="IAB104" s="1"/>
      <c r="IAC104" s="1"/>
      <c r="IAD104" s="1"/>
      <c r="IAE104" s="1"/>
      <c r="IAF104" s="1"/>
      <c r="IAG104" s="1"/>
      <c r="IAH104" s="1"/>
      <c r="IAI104" s="1"/>
      <c r="IAJ104" s="1"/>
      <c r="IAK104" s="1"/>
      <c r="IAL104" s="1"/>
      <c r="IAM104" s="1"/>
      <c r="IAN104" s="1"/>
      <c r="IAO104" s="1"/>
      <c r="IAP104" s="1"/>
      <c r="IAQ104" s="1"/>
      <c r="IAR104" s="1"/>
      <c r="IAS104" s="1"/>
      <c r="IAT104" s="1"/>
      <c r="IAU104" s="1"/>
      <c r="IAV104" s="1"/>
      <c r="IAW104" s="1"/>
      <c r="IAX104" s="1"/>
      <c r="IAY104" s="1"/>
      <c r="IAZ104" s="1"/>
      <c r="IBA104" s="1"/>
      <c r="IBB104" s="1"/>
      <c r="IBC104" s="1"/>
      <c r="IBD104" s="1"/>
      <c r="IBE104" s="1"/>
      <c r="IBF104" s="1"/>
      <c r="IBG104" s="1"/>
      <c r="IBH104" s="1"/>
      <c r="IBI104" s="1"/>
      <c r="IBJ104" s="1"/>
      <c r="IBK104" s="1"/>
      <c r="IBL104" s="1"/>
      <c r="IBM104" s="1"/>
      <c r="IBN104" s="1"/>
      <c r="IBO104" s="1"/>
      <c r="IBP104" s="1"/>
      <c r="IBQ104" s="1"/>
      <c r="IBR104" s="1"/>
      <c r="IBS104" s="1"/>
      <c r="IBT104" s="1"/>
      <c r="IBU104" s="1"/>
      <c r="IBV104" s="1"/>
      <c r="IBW104" s="1"/>
      <c r="IBX104" s="1"/>
      <c r="IBY104" s="1"/>
      <c r="IBZ104" s="1"/>
      <c r="ICA104" s="1"/>
      <c r="ICB104" s="1"/>
      <c r="ICC104" s="1"/>
      <c r="ICD104" s="1"/>
      <c r="ICE104" s="1"/>
      <c r="ICF104" s="1"/>
      <c r="ICG104" s="1"/>
      <c r="ICH104" s="1"/>
      <c r="ICI104" s="1"/>
      <c r="ICJ104" s="1"/>
      <c r="ICK104" s="1"/>
      <c r="ICL104" s="1"/>
      <c r="ICM104" s="1"/>
      <c r="ICN104" s="1"/>
      <c r="ICO104" s="1"/>
      <c r="ICP104" s="1"/>
      <c r="ICQ104" s="1"/>
      <c r="ICR104" s="1"/>
      <c r="ICS104" s="1"/>
      <c r="ICT104" s="1"/>
      <c r="ICU104" s="1"/>
      <c r="ICV104" s="1"/>
      <c r="ICW104" s="1"/>
      <c r="ICX104" s="1"/>
      <c r="ICY104" s="1"/>
      <c r="ICZ104" s="1"/>
      <c r="IDA104" s="1"/>
      <c r="IDB104" s="1"/>
      <c r="IDC104" s="1"/>
      <c r="IDD104" s="1"/>
      <c r="IDE104" s="1"/>
      <c r="IDF104" s="1"/>
      <c r="IDG104" s="1"/>
      <c r="IDH104" s="1"/>
      <c r="IDI104" s="1"/>
      <c r="IDJ104" s="1"/>
      <c r="IDK104" s="1"/>
      <c r="IDL104" s="1"/>
      <c r="IDM104" s="1"/>
      <c r="IDN104" s="1"/>
      <c r="IDO104" s="1"/>
      <c r="IDP104" s="1"/>
      <c r="IDQ104" s="1"/>
      <c r="IDR104" s="1"/>
      <c r="IDS104" s="1"/>
      <c r="IDT104" s="1"/>
      <c r="IDU104" s="1"/>
      <c r="IDV104" s="1"/>
      <c r="IDW104" s="1"/>
      <c r="IDX104" s="1"/>
      <c r="IDY104" s="1"/>
      <c r="IDZ104" s="1"/>
      <c r="IEA104" s="1"/>
      <c r="IEB104" s="1"/>
      <c r="IEC104" s="1"/>
      <c r="IED104" s="1"/>
      <c r="IEE104" s="1"/>
      <c r="IEF104" s="1"/>
      <c r="IEG104" s="1"/>
      <c r="IEH104" s="1"/>
      <c r="IEI104" s="1"/>
      <c r="IEJ104" s="1"/>
      <c r="IEK104" s="1"/>
      <c r="IEL104" s="1"/>
      <c r="IEM104" s="1"/>
      <c r="IEN104" s="1"/>
      <c r="IEO104" s="1"/>
      <c r="IEP104" s="1"/>
      <c r="IEQ104" s="1"/>
      <c r="IER104" s="1"/>
      <c r="IES104" s="1"/>
      <c r="IET104" s="1"/>
      <c r="IEU104" s="1"/>
      <c r="IEV104" s="1"/>
      <c r="IEW104" s="1"/>
      <c r="IEX104" s="1"/>
      <c r="IEY104" s="1"/>
      <c r="IEZ104" s="1"/>
      <c r="IFA104" s="1"/>
      <c r="IFB104" s="1"/>
      <c r="IFC104" s="1"/>
      <c r="IFD104" s="1"/>
      <c r="IFE104" s="1"/>
      <c r="IFF104" s="1"/>
      <c r="IFG104" s="1"/>
      <c r="IFH104" s="1"/>
      <c r="IFI104" s="1"/>
      <c r="IFJ104" s="1"/>
      <c r="IFK104" s="1"/>
      <c r="IFL104" s="1"/>
      <c r="IFM104" s="1"/>
      <c r="IFN104" s="1"/>
      <c r="IFO104" s="1"/>
      <c r="IFP104" s="1"/>
      <c r="IFQ104" s="1"/>
      <c r="IFR104" s="1"/>
      <c r="IFS104" s="1"/>
      <c r="IFT104" s="1"/>
      <c r="IFU104" s="1"/>
      <c r="IFV104" s="1"/>
      <c r="IFW104" s="1"/>
      <c r="IFX104" s="1"/>
      <c r="IFY104" s="1"/>
      <c r="IFZ104" s="1"/>
      <c r="IGA104" s="1"/>
      <c r="IGB104" s="1"/>
      <c r="IGC104" s="1"/>
      <c r="IGD104" s="1"/>
      <c r="IGE104" s="1"/>
      <c r="IGF104" s="1"/>
      <c r="IGG104" s="1"/>
      <c r="IGH104" s="1"/>
      <c r="IGI104" s="1"/>
      <c r="IGJ104" s="1"/>
      <c r="IGK104" s="1"/>
      <c r="IGL104" s="1"/>
      <c r="IGM104" s="1"/>
      <c r="IGN104" s="1"/>
      <c r="IGO104" s="1"/>
      <c r="IGP104" s="1"/>
      <c r="IGQ104" s="1"/>
      <c r="IGR104" s="1"/>
      <c r="IGS104" s="1"/>
      <c r="IGT104" s="1"/>
      <c r="IGU104" s="1"/>
      <c r="IGV104" s="1"/>
      <c r="IGW104" s="1"/>
      <c r="IGX104" s="1"/>
      <c r="IGY104" s="1"/>
      <c r="IGZ104" s="1"/>
      <c r="IHA104" s="1"/>
      <c r="IHB104" s="1"/>
      <c r="IHC104" s="1"/>
      <c r="IHD104" s="1"/>
      <c r="IHE104" s="1"/>
      <c r="IHF104" s="1"/>
      <c r="IHG104" s="1"/>
      <c r="IHH104" s="1"/>
      <c r="IHI104" s="1"/>
      <c r="IHJ104" s="1"/>
      <c r="IHK104" s="1"/>
      <c r="IHL104" s="1"/>
      <c r="IHM104" s="1"/>
      <c r="IHN104" s="1"/>
      <c r="IHO104" s="1"/>
      <c r="IHP104" s="1"/>
      <c r="IHQ104" s="1"/>
      <c r="IHR104" s="1"/>
      <c r="IHS104" s="1"/>
      <c r="IHT104" s="1"/>
      <c r="IHU104" s="1"/>
      <c r="IHV104" s="1"/>
      <c r="IHW104" s="1"/>
      <c r="IHX104" s="1"/>
      <c r="IHY104" s="1"/>
      <c r="IHZ104" s="1"/>
      <c r="IIA104" s="1"/>
      <c r="IIB104" s="1"/>
      <c r="IIC104" s="1"/>
      <c r="IID104" s="1"/>
      <c r="IIE104" s="1"/>
      <c r="IIF104" s="1"/>
      <c r="IIG104" s="1"/>
      <c r="IIH104" s="1"/>
      <c r="III104" s="1"/>
      <c r="IIJ104" s="1"/>
      <c r="IIK104" s="1"/>
      <c r="IIL104" s="1"/>
      <c r="IIM104" s="1"/>
      <c r="IIN104" s="1"/>
      <c r="IIO104" s="1"/>
      <c r="IIP104" s="1"/>
      <c r="IIQ104" s="1"/>
      <c r="IIR104" s="1"/>
      <c r="IIS104" s="1"/>
      <c r="IIT104" s="1"/>
      <c r="IIU104" s="1"/>
      <c r="IIV104" s="1"/>
      <c r="IIW104" s="1"/>
      <c r="IIX104" s="1"/>
      <c r="IIY104" s="1"/>
      <c r="IIZ104" s="1"/>
      <c r="IJA104" s="1"/>
      <c r="IJB104" s="1"/>
      <c r="IJC104" s="1"/>
      <c r="IJD104" s="1"/>
      <c r="IJE104" s="1"/>
      <c r="IJF104" s="1"/>
      <c r="IJG104" s="1"/>
      <c r="IJH104" s="1"/>
      <c r="IJI104" s="1"/>
      <c r="IJJ104" s="1"/>
      <c r="IJK104" s="1"/>
      <c r="IJL104" s="1"/>
      <c r="IJM104" s="1"/>
      <c r="IJN104" s="1"/>
      <c r="IJO104" s="1"/>
      <c r="IJP104" s="1"/>
      <c r="IJQ104" s="1"/>
      <c r="IJR104" s="1"/>
      <c r="IJS104" s="1"/>
      <c r="IJT104" s="1"/>
      <c r="IJU104" s="1"/>
      <c r="IJV104" s="1"/>
      <c r="IJW104" s="1"/>
      <c r="IJX104" s="1"/>
      <c r="IJY104" s="1"/>
      <c r="IJZ104" s="1"/>
      <c r="IKA104" s="1"/>
      <c r="IKB104" s="1"/>
      <c r="IKC104" s="1"/>
      <c r="IKD104" s="1"/>
      <c r="IKE104" s="1"/>
      <c r="IKF104" s="1"/>
      <c r="IKG104" s="1"/>
      <c r="IKH104" s="1"/>
      <c r="IKI104" s="1"/>
      <c r="IKJ104" s="1"/>
      <c r="IKK104" s="1"/>
      <c r="IKL104" s="1"/>
      <c r="IKM104" s="1"/>
      <c r="IKN104" s="1"/>
      <c r="IKO104" s="1"/>
      <c r="IKP104" s="1"/>
      <c r="IKQ104" s="1"/>
      <c r="IKR104" s="1"/>
      <c r="IKS104" s="1"/>
      <c r="IKT104" s="1"/>
      <c r="IKU104" s="1"/>
      <c r="IKV104" s="1"/>
      <c r="IKW104" s="1"/>
      <c r="IKX104" s="1"/>
      <c r="IKY104" s="1"/>
      <c r="IKZ104" s="1"/>
      <c r="ILA104" s="1"/>
      <c r="ILB104" s="1"/>
      <c r="ILC104" s="1"/>
      <c r="ILD104" s="1"/>
      <c r="ILE104" s="1"/>
      <c r="ILF104" s="1"/>
      <c r="ILG104" s="1"/>
      <c r="ILH104" s="1"/>
      <c r="ILI104" s="1"/>
      <c r="ILJ104" s="1"/>
      <c r="ILK104" s="1"/>
      <c r="ILL104" s="1"/>
      <c r="ILM104" s="1"/>
      <c r="ILN104" s="1"/>
      <c r="ILO104" s="1"/>
      <c r="ILP104" s="1"/>
      <c r="ILQ104" s="1"/>
      <c r="ILR104" s="1"/>
      <c r="ILS104" s="1"/>
      <c r="ILT104" s="1"/>
      <c r="ILU104" s="1"/>
      <c r="ILV104" s="1"/>
      <c r="ILW104" s="1"/>
      <c r="ILX104" s="1"/>
      <c r="ILY104" s="1"/>
      <c r="ILZ104" s="1"/>
      <c r="IMA104" s="1"/>
      <c r="IMB104" s="1"/>
      <c r="IMC104" s="1"/>
      <c r="IMD104" s="1"/>
      <c r="IME104" s="1"/>
      <c r="IMF104" s="1"/>
      <c r="IMG104" s="1"/>
      <c r="IMH104" s="1"/>
      <c r="IMI104" s="1"/>
      <c r="IMJ104" s="1"/>
      <c r="IMK104" s="1"/>
      <c r="IML104" s="1"/>
      <c r="IMM104" s="1"/>
      <c r="IMN104" s="1"/>
      <c r="IMO104" s="1"/>
      <c r="IMP104" s="1"/>
      <c r="IMQ104" s="1"/>
      <c r="IMR104" s="1"/>
      <c r="IMS104" s="1"/>
      <c r="IMT104" s="1"/>
      <c r="IMU104" s="1"/>
      <c r="IMV104" s="1"/>
      <c r="IMW104" s="1"/>
      <c r="IMX104" s="1"/>
      <c r="IMY104" s="1"/>
      <c r="IMZ104" s="1"/>
      <c r="INA104" s="1"/>
      <c r="INB104" s="1"/>
      <c r="INC104" s="1"/>
      <c r="IND104" s="1"/>
      <c r="INE104" s="1"/>
      <c r="INF104" s="1"/>
      <c r="ING104" s="1"/>
      <c r="INH104" s="1"/>
      <c r="INI104" s="1"/>
      <c r="INJ104" s="1"/>
      <c r="INK104" s="1"/>
      <c r="INL104" s="1"/>
      <c r="INM104" s="1"/>
      <c r="INN104" s="1"/>
      <c r="INO104" s="1"/>
      <c r="INP104" s="1"/>
      <c r="INQ104" s="1"/>
      <c r="INR104" s="1"/>
      <c r="INS104" s="1"/>
      <c r="INT104" s="1"/>
      <c r="INU104" s="1"/>
      <c r="INV104" s="1"/>
      <c r="INW104" s="1"/>
      <c r="INX104" s="1"/>
      <c r="INY104" s="1"/>
      <c r="INZ104" s="1"/>
      <c r="IOA104" s="1"/>
      <c r="IOB104" s="1"/>
      <c r="IOC104" s="1"/>
      <c r="IOD104" s="1"/>
      <c r="IOE104" s="1"/>
      <c r="IOF104" s="1"/>
      <c r="IOG104" s="1"/>
      <c r="IOH104" s="1"/>
      <c r="IOI104" s="1"/>
      <c r="IOJ104" s="1"/>
      <c r="IOK104" s="1"/>
      <c r="IOL104" s="1"/>
      <c r="IOM104" s="1"/>
      <c r="ION104" s="1"/>
      <c r="IOO104" s="1"/>
      <c r="IOP104" s="1"/>
      <c r="IOQ104" s="1"/>
      <c r="IOR104" s="1"/>
      <c r="IOS104" s="1"/>
      <c r="IOT104" s="1"/>
      <c r="IOU104" s="1"/>
      <c r="IOV104" s="1"/>
      <c r="IOW104" s="1"/>
      <c r="IOX104" s="1"/>
      <c r="IOY104" s="1"/>
      <c r="IOZ104" s="1"/>
      <c r="IPA104" s="1"/>
      <c r="IPB104" s="1"/>
      <c r="IPC104" s="1"/>
      <c r="IPD104" s="1"/>
      <c r="IPE104" s="1"/>
      <c r="IPF104" s="1"/>
      <c r="IPG104" s="1"/>
      <c r="IPH104" s="1"/>
      <c r="IPI104" s="1"/>
      <c r="IPJ104" s="1"/>
      <c r="IPK104" s="1"/>
      <c r="IPL104" s="1"/>
      <c r="IPM104" s="1"/>
      <c r="IPN104" s="1"/>
      <c r="IPO104" s="1"/>
      <c r="IPP104" s="1"/>
      <c r="IPQ104" s="1"/>
      <c r="IPR104" s="1"/>
      <c r="IPS104" s="1"/>
      <c r="IPT104" s="1"/>
      <c r="IPU104" s="1"/>
      <c r="IPV104" s="1"/>
      <c r="IPW104" s="1"/>
      <c r="IPX104" s="1"/>
      <c r="IPY104" s="1"/>
      <c r="IPZ104" s="1"/>
      <c r="IQA104" s="1"/>
      <c r="IQB104" s="1"/>
      <c r="IQC104" s="1"/>
      <c r="IQD104" s="1"/>
      <c r="IQE104" s="1"/>
      <c r="IQF104" s="1"/>
      <c r="IQG104" s="1"/>
      <c r="IQH104" s="1"/>
      <c r="IQI104" s="1"/>
      <c r="IQJ104" s="1"/>
      <c r="IQK104" s="1"/>
      <c r="IQL104" s="1"/>
      <c r="IQM104" s="1"/>
      <c r="IQN104" s="1"/>
      <c r="IQO104" s="1"/>
      <c r="IQP104" s="1"/>
      <c r="IQQ104" s="1"/>
      <c r="IQR104" s="1"/>
      <c r="IQS104" s="1"/>
      <c r="IQT104" s="1"/>
      <c r="IQU104" s="1"/>
      <c r="IQV104" s="1"/>
      <c r="IQW104" s="1"/>
      <c r="IQX104" s="1"/>
      <c r="IQY104" s="1"/>
      <c r="IQZ104" s="1"/>
      <c r="IRA104" s="1"/>
      <c r="IRB104" s="1"/>
      <c r="IRC104" s="1"/>
      <c r="IRD104" s="1"/>
      <c r="IRE104" s="1"/>
      <c r="IRF104" s="1"/>
      <c r="IRG104" s="1"/>
      <c r="IRH104" s="1"/>
      <c r="IRI104" s="1"/>
      <c r="IRJ104" s="1"/>
      <c r="IRK104" s="1"/>
      <c r="IRL104" s="1"/>
      <c r="IRM104" s="1"/>
      <c r="IRN104" s="1"/>
      <c r="IRO104" s="1"/>
      <c r="IRP104" s="1"/>
      <c r="IRQ104" s="1"/>
      <c r="IRR104" s="1"/>
      <c r="IRS104" s="1"/>
      <c r="IRT104" s="1"/>
      <c r="IRU104" s="1"/>
      <c r="IRV104" s="1"/>
      <c r="IRW104" s="1"/>
      <c r="IRX104" s="1"/>
      <c r="IRY104" s="1"/>
      <c r="IRZ104" s="1"/>
      <c r="ISA104" s="1"/>
      <c r="ISB104" s="1"/>
      <c r="ISC104" s="1"/>
      <c r="ISD104" s="1"/>
      <c r="ISE104" s="1"/>
      <c r="ISF104" s="1"/>
      <c r="ISG104" s="1"/>
      <c r="ISH104" s="1"/>
      <c r="ISI104" s="1"/>
      <c r="ISJ104" s="1"/>
      <c r="ISK104" s="1"/>
      <c r="ISL104" s="1"/>
      <c r="ISM104" s="1"/>
      <c r="ISN104" s="1"/>
      <c r="ISO104" s="1"/>
      <c r="ISP104" s="1"/>
      <c r="ISQ104" s="1"/>
      <c r="ISR104" s="1"/>
      <c r="ISS104" s="1"/>
      <c r="IST104" s="1"/>
      <c r="ISU104" s="1"/>
      <c r="ISV104" s="1"/>
      <c r="ISW104" s="1"/>
      <c r="ISX104" s="1"/>
      <c r="ISY104" s="1"/>
      <c r="ISZ104" s="1"/>
      <c r="ITA104" s="1"/>
      <c r="ITB104" s="1"/>
      <c r="ITC104" s="1"/>
      <c r="ITD104" s="1"/>
      <c r="ITE104" s="1"/>
      <c r="ITF104" s="1"/>
      <c r="ITG104" s="1"/>
      <c r="ITH104" s="1"/>
      <c r="ITI104" s="1"/>
      <c r="ITJ104" s="1"/>
      <c r="ITK104" s="1"/>
      <c r="ITL104" s="1"/>
      <c r="ITM104" s="1"/>
      <c r="ITN104" s="1"/>
      <c r="ITO104" s="1"/>
      <c r="ITP104" s="1"/>
      <c r="ITQ104" s="1"/>
      <c r="ITR104" s="1"/>
      <c r="ITS104" s="1"/>
      <c r="ITT104" s="1"/>
      <c r="ITU104" s="1"/>
      <c r="ITV104" s="1"/>
      <c r="ITW104" s="1"/>
      <c r="ITX104" s="1"/>
      <c r="ITY104" s="1"/>
      <c r="ITZ104" s="1"/>
      <c r="IUA104" s="1"/>
      <c r="IUB104" s="1"/>
      <c r="IUC104" s="1"/>
      <c r="IUD104" s="1"/>
      <c r="IUE104" s="1"/>
      <c r="IUF104" s="1"/>
      <c r="IUG104" s="1"/>
      <c r="IUH104" s="1"/>
      <c r="IUI104" s="1"/>
      <c r="IUJ104" s="1"/>
      <c r="IUK104" s="1"/>
      <c r="IUL104" s="1"/>
      <c r="IUM104" s="1"/>
      <c r="IUN104" s="1"/>
      <c r="IUO104" s="1"/>
      <c r="IUP104" s="1"/>
      <c r="IUQ104" s="1"/>
      <c r="IUR104" s="1"/>
      <c r="IUS104" s="1"/>
      <c r="IUT104" s="1"/>
      <c r="IUU104" s="1"/>
      <c r="IUV104" s="1"/>
      <c r="IUW104" s="1"/>
      <c r="IUX104" s="1"/>
      <c r="IUY104" s="1"/>
      <c r="IUZ104" s="1"/>
      <c r="IVA104" s="1"/>
      <c r="IVB104" s="1"/>
      <c r="IVC104" s="1"/>
      <c r="IVD104" s="1"/>
      <c r="IVE104" s="1"/>
      <c r="IVF104" s="1"/>
      <c r="IVG104" s="1"/>
      <c r="IVH104" s="1"/>
      <c r="IVI104" s="1"/>
      <c r="IVJ104" s="1"/>
      <c r="IVK104" s="1"/>
      <c r="IVL104" s="1"/>
      <c r="IVM104" s="1"/>
      <c r="IVN104" s="1"/>
      <c r="IVO104" s="1"/>
      <c r="IVP104" s="1"/>
      <c r="IVQ104" s="1"/>
      <c r="IVR104" s="1"/>
      <c r="IVS104" s="1"/>
      <c r="IVT104" s="1"/>
      <c r="IVU104" s="1"/>
      <c r="IVV104" s="1"/>
      <c r="IVW104" s="1"/>
      <c r="IVX104" s="1"/>
      <c r="IVY104" s="1"/>
      <c r="IVZ104" s="1"/>
      <c r="IWA104" s="1"/>
      <c r="IWB104" s="1"/>
      <c r="IWC104" s="1"/>
      <c r="IWD104" s="1"/>
      <c r="IWE104" s="1"/>
      <c r="IWF104" s="1"/>
      <c r="IWG104" s="1"/>
      <c r="IWH104" s="1"/>
      <c r="IWI104" s="1"/>
      <c r="IWJ104" s="1"/>
      <c r="IWK104" s="1"/>
      <c r="IWL104" s="1"/>
      <c r="IWM104" s="1"/>
      <c r="IWN104" s="1"/>
      <c r="IWO104" s="1"/>
      <c r="IWP104" s="1"/>
      <c r="IWQ104" s="1"/>
      <c r="IWR104" s="1"/>
      <c r="IWS104" s="1"/>
      <c r="IWT104" s="1"/>
      <c r="IWU104" s="1"/>
      <c r="IWV104" s="1"/>
      <c r="IWW104" s="1"/>
      <c r="IWX104" s="1"/>
      <c r="IWY104" s="1"/>
      <c r="IWZ104" s="1"/>
      <c r="IXA104" s="1"/>
      <c r="IXB104" s="1"/>
      <c r="IXC104" s="1"/>
      <c r="IXD104" s="1"/>
      <c r="IXE104" s="1"/>
      <c r="IXF104" s="1"/>
      <c r="IXG104" s="1"/>
      <c r="IXH104" s="1"/>
      <c r="IXI104" s="1"/>
      <c r="IXJ104" s="1"/>
      <c r="IXK104" s="1"/>
      <c r="IXL104" s="1"/>
      <c r="IXM104" s="1"/>
      <c r="IXN104" s="1"/>
      <c r="IXO104" s="1"/>
      <c r="IXP104" s="1"/>
      <c r="IXQ104" s="1"/>
      <c r="IXR104" s="1"/>
      <c r="IXS104" s="1"/>
      <c r="IXT104" s="1"/>
      <c r="IXU104" s="1"/>
      <c r="IXV104" s="1"/>
      <c r="IXW104" s="1"/>
      <c r="IXX104" s="1"/>
      <c r="IXY104" s="1"/>
      <c r="IXZ104" s="1"/>
      <c r="IYA104" s="1"/>
      <c r="IYB104" s="1"/>
      <c r="IYC104" s="1"/>
      <c r="IYD104" s="1"/>
      <c r="IYE104" s="1"/>
      <c r="IYF104" s="1"/>
      <c r="IYG104" s="1"/>
      <c r="IYH104" s="1"/>
      <c r="IYI104" s="1"/>
      <c r="IYJ104" s="1"/>
      <c r="IYK104" s="1"/>
      <c r="IYL104" s="1"/>
      <c r="IYM104" s="1"/>
      <c r="IYN104" s="1"/>
      <c r="IYO104" s="1"/>
      <c r="IYP104" s="1"/>
      <c r="IYQ104" s="1"/>
      <c r="IYR104" s="1"/>
      <c r="IYS104" s="1"/>
      <c r="IYT104" s="1"/>
      <c r="IYU104" s="1"/>
      <c r="IYV104" s="1"/>
      <c r="IYW104" s="1"/>
      <c r="IYX104" s="1"/>
      <c r="IYY104" s="1"/>
      <c r="IYZ104" s="1"/>
      <c r="IZA104" s="1"/>
      <c r="IZB104" s="1"/>
      <c r="IZC104" s="1"/>
      <c r="IZD104" s="1"/>
      <c r="IZE104" s="1"/>
      <c r="IZF104" s="1"/>
      <c r="IZG104" s="1"/>
      <c r="IZH104" s="1"/>
      <c r="IZI104" s="1"/>
      <c r="IZJ104" s="1"/>
      <c r="IZK104" s="1"/>
      <c r="IZL104" s="1"/>
      <c r="IZM104" s="1"/>
      <c r="IZN104" s="1"/>
      <c r="IZO104" s="1"/>
      <c r="IZP104" s="1"/>
      <c r="IZQ104" s="1"/>
      <c r="IZR104" s="1"/>
      <c r="IZS104" s="1"/>
      <c r="IZT104" s="1"/>
      <c r="IZU104" s="1"/>
      <c r="IZV104" s="1"/>
      <c r="IZW104" s="1"/>
      <c r="IZX104" s="1"/>
      <c r="IZY104" s="1"/>
      <c r="IZZ104" s="1"/>
      <c r="JAA104" s="1"/>
      <c r="JAB104" s="1"/>
      <c r="JAC104" s="1"/>
      <c r="JAD104" s="1"/>
      <c r="JAE104" s="1"/>
      <c r="JAF104" s="1"/>
      <c r="JAG104" s="1"/>
      <c r="JAH104" s="1"/>
      <c r="JAI104" s="1"/>
      <c r="JAJ104" s="1"/>
      <c r="JAK104" s="1"/>
      <c r="JAL104" s="1"/>
      <c r="JAM104" s="1"/>
      <c r="JAN104" s="1"/>
      <c r="JAO104" s="1"/>
      <c r="JAP104" s="1"/>
      <c r="JAQ104" s="1"/>
      <c r="JAR104" s="1"/>
      <c r="JAS104" s="1"/>
      <c r="JAT104" s="1"/>
      <c r="JAU104" s="1"/>
      <c r="JAV104" s="1"/>
      <c r="JAW104" s="1"/>
      <c r="JAX104" s="1"/>
      <c r="JAY104" s="1"/>
      <c r="JAZ104" s="1"/>
      <c r="JBA104" s="1"/>
      <c r="JBB104" s="1"/>
      <c r="JBC104" s="1"/>
      <c r="JBD104" s="1"/>
      <c r="JBE104" s="1"/>
      <c r="JBF104" s="1"/>
      <c r="JBG104" s="1"/>
      <c r="JBH104" s="1"/>
      <c r="JBI104" s="1"/>
      <c r="JBJ104" s="1"/>
      <c r="JBK104" s="1"/>
      <c r="JBL104" s="1"/>
      <c r="JBM104" s="1"/>
      <c r="JBN104" s="1"/>
      <c r="JBO104" s="1"/>
      <c r="JBP104" s="1"/>
      <c r="JBQ104" s="1"/>
      <c r="JBR104" s="1"/>
      <c r="JBS104" s="1"/>
      <c r="JBT104" s="1"/>
      <c r="JBU104" s="1"/>
      <c r="JBV104" s="1"/>
      <c r="JBW104" s="1"/>
      <c r="JBX104" s="1"/>
      <c r="JBY104" s="1"/>
      <c r="JBZ104" s="1"/>
      <c r="JCA104" s="1"/>
      <c r="JCB104" s="1"/>
      <c r="JCC104" s="1"/>
      <c r="JCD104" s="1"/>
      <c r="JCE104" s="1"/>
      <c r="JCF104" s="1"/>
      <c r="JCG104" s="1"/>
      <c r="JCH104" s="1"/>
      <c r="JCI104" s="1"/>
      <c r="JCJ104" s="1"/>
      <c r="JCK104" s="1"/>
      <c r="JCL104" s="1"/>
      <c r="JCM104" s="1"/>
      <c r="JCN104" s="1"/>
      <c r="JCO104" s="1"/>
      <c r="JCP104" s="1"/>
      <c r="JCQ104" s="1"/>
      <c r="JCR104" s="1"/>
      <c r="JCS104" s="1"/>
      <c r="JCT104" s="1"/>
      <c r="JCU104" s="1"/>
      <c r="JCV104" s="1"/>
      <c r="JCW104" s="1"/>
      <c r="JCX104" s="1"/>
      <c r="JCY104" s="1"/>
      <c r="JCZ104" s="1"/>
      <c r="JDA104" s="1"/>
      <c r="JDB104" s="1"/>
      <c r="JDC104" s="1"/>
      <c r="JDD104" s="1"/>
      <c r="JDE104" s="1"/>
      <c r="JDF104" s="1"/>
      <c r="JDG104" s="1"/>
      <c r="JDH104" s="1"/>
      <c r="JDI104" s="1"/>
      <c r="JDJ104" s="1"/>
      <c r="JDK104" s="1"/>
      <c r="JDL104" s="1"/>
      <c r="JDM104" s="1"/>
      <c r="JDN104" s="1"/>
      <c r="JDO104" s="1"/>
      <c r="JDP104" s="1"/>
      <c r="JDQ104" s="1"/>
      <c r="JDR104" s="1"/>
      <c r="JDS104" s="1"/>
      <c r="JDT104" s="1"/>
      <c r="JDU104" s="1"/>
      <c r="JDV104" s="1"/>
      <c r="JDW104" s="1"/>
      <c r="JDX104" s="1"/>
      <c r="JDY104" s="1"/>
      <c r="JDZ104" s="1"/>
      <c r="JEA104" s="1"/>
      <c r="JEB104" s="1"/>
      <c r="JEC104" s="1"/>
      <c r="JED104" s="1"/>
      <c r="JEE104" s="1"/>
      <c r="JEF104" s="1"/>
      <c r="JEG104" s="1"/>
      <c r="JEH104" s="1"/>
      <c r="JEI104" s="1"/>
      <c r="JEJ104" s="1"/>
      <c r="JEK104" s="1"/>
      <c r="JEL104" s="1"/>
      <c r="JEM104" s="1"/>
      <c r="JEN104" s="1"/>
      <c r="JEO104" s="1"/>
      <c r="JEP104" s="1"/>
      <c r="JEQ104" s="1"/>
      <c r="JER104" s="1"/>
      <c r="JES104" s="1"/>
      <c r="JET104" s="1"/>
      <c r="JEU104" s="1"/>
      <c r="JEV104" s="1"/>
      <c r="JEW104" s="1"/>
      <c r="JEX104" s="1"/>
      <c r="JEY104" s="1"/>
      <c r="JEZ104" s="1"/>
      <c r="JFA104" s="1"/>
      <c r="JFB104" s="1"/>
      <c r="JFC104" s="1"/>
      <c r="JFD104" s="1"/>
      <c r="JFE104" s="1"/>
      <c r="JFF104" s="1"/>
      <c r="JFG104" s="1"/>
      <c r="JFH104" s="1"/>
      <c r="JFI104" s="1"/>
      <c r="JFJ104" s="1"/>
      <c r="JFK104" s="1"/>
      <c r="JFL104" s="1"/>
      <c r="JFM104" s="1"/>
      <c r="JFN104" s="1"/>
      <c r="JFO104" s="1"/>
      <c r="JFP104" s="1"/>
      <c r="JFQ104" s="1"/>
      <c r="JFR104" s="1"/>
      <c r="JFS104" s="1"/>
      <c r="JFT104" s="1"/>
      <c r="JFU104" s="1"/>
      <c r="JFV104" s="1"/>
      <c r="JFW104" s="1"/>
      <c r="JFX104" s="1"/>
      <c r="JFY104" s="1"/>
      <c r="JFZ104" s="1"/>
      <c r="JGA104" s="1"/>
      <c r="JGB104" s="1"/>
      <c r="JGC104" s="1"/>
      <c r="JGD104" s="1"/>
      <c r="JGE104" s="1"/>
      <c r="JGF104" s="1"/>
      <c r="JGG104" s="1"/>
      <c r="JGH104" s="1"/>
      <c r="JGI104" s="1"/>
      <c r="JGJ104" s="1"/>
      <c r="JGK104" s="1"/>
      <c r="JGL104" s="1"/>
      <c r="JGM104" s="1"/>
      <c r="JGN104" s="1"/>
      <c r="JGO104" s="1"/>
      <c r="JGP104" s="1"/>
      <c r="JGQ104" s="1"/>
      <c r="JGR104" s="1"/>
      <c r="JGS104" s="1"/>
      <c r="JGT104" s="1"/>
      <c r="JGU104" s="1"/>
      <c r="JGV104" s="1"/>
      <c r="JGW104" s="1"/>
      <c r="JGX104" s="1"/>
      <c r="JGY104" s="1"/>
      <c r="JGZ104" s="1"/>
      <c r="JHA104" s="1"/>
      <c r="JHB104" s="1"/>
      <c r="JHC104" s="1"/>
      <c r="JHD104" s="1"/>
      <c r="JHE104" s="1"/>
      <c r="JHF104" s="1"/>
      <c r="JHG104" s="1"/>
      <c r="JHH104" s="1"/>
      <c r="JHI104" s="1"/>
      <c r="JHJ104" s="1"/>
      <c r="JHK104" s="1"/>
      <c r="JHL104" s="1"/>
      <c r="JHM104" s="1"/>
      <c r="JHN104" s="1"/>
      <c r="JHO104" s="1"/>
      <c r="JHP104" s="1"/>
      <c r="JHQ104" s="1"/>
      <c r="JHR104" s="1"/>
      <c r="JHS104" s="1"/>
      <c r="JHT104" s="1"/>
      <c r="JHU104" s="1"/>
      <c r="JHV104" s="1"/>
      <c r="JHW104" s="1"/>
      <c r="JHX104" s="1"/>
      <c r="JHY104" s="1"/>
      <c r="JHZ104" s="1"/>
      <c r="JIA104" s="1"/>
      <c r="JIB104" s="1"/>
      <c r="JIC104" s="1"/>
      <c r="JID104" s="1"/>
      <c r="JIE104" s="1"/>
      <c r="JIF104" s="1"/>
      <c r="JIG104" s="1"/>
      <c r="JIH104" s="1"/>
      <c r="JII104" s="1"/>
      <c r="JIJ104" s="1"/>
      <c r="JIK104" s="1"/>
      <c r="JIL104" s="1"/>
      <c r="JIM104" s="1"/>
      <c r="JIN104" s="1"/>
      <c r="JIO104" s="1"/>
      <c r="JIP104" s="1"/>
      <c r="JIQ104" s="1"/>
      <c r="JIR104" s="1"/>
      <c r="JIS104" s="1"/>
      <c r="JIT104" s="1"/>
      <c r="JIU104" s="1"/>
      <c r="JIV104" s="1"/>
      <c r="JIW104" s="1"/>
      <c r="JIX104" s="1"/>
      <c r="JIY104" s="1"/>
      <c r="JIZ104" s="1"/>
      <c r="JJA104" s="1"/>
      <c r="JJB104" s="1"/>
      <c r="JJC104" s="1"/>
      <c r="JJD104" s="1"/>
      <c r="JJE104" s="1"/>
      <c r="JJF104" s="1"/>
      <c r="JJG104" s="1"/>
      <c r="JJH104" s="1"/>
      <c r="JJI104" s="1"/>
      <c r="JJJ104" s="1"/>
      <c r="JJK104" s="1"/>
      <c r="JJL104" s="1"/>
      <c r="JJM104" s="1"/>
      <c r="JJN104" s="1"/>
      <c r="JJO104" s="1"/>
      <c r="JJP104" s="1"/>
      <c r="JJQ104" s="1"/>
      <c r="JJR104" s="1"/>
      <c r="JJS104" s="1"/>
      <c r="JJT104" s="1"/>
      <c r="JJU104" s="1"/>
      <c r="JJV104" s="1"/>
      <c r="JJW104" s="1"/>
      <c r="JJX104" s="1"/>
      <c r="JJY104" s="1"/>
      <c r="JJZ104" s="1"/>
      <c r="JKA104" s="1"/>
      <c r="JKB104" s="1"/>
      <c r="JKC104" s="1"/>
      <c r="JKD104" s="1"/>
      <c r="JKE104" s="1"/>
      <c r="JKF104" s="1"/>
      <c r="JKG104" s="1"/>
      <c r="JKH104" s="1"/>
      <c r="JKI104" s="1"/>
      <c r="JKJ104" s="1"/>
      <c r="JKK104" s="1"/>
      <c r="JKL104" s="1"/>
      <c r="JKM104" s="1"/>
      <c r="JKN104" s="1"/>
      <c r="JKO104" s="1"/>
      <c r="JKP104" s="1"/>
      <c r="JKQ104" s="1"/>
      <c r="JKR104" s="1"/>
      <c r="JKS104" s="1"/>
      <c r="JKT104" s="1"/>
      <c r="JKU104" s="1"/>
      <c r="JKV104" s="1"/>
      <c r="JKW104" s="1"/>
      <c r="JKX104" s="1"/>
      <c r="JKY104" s="1"/>
      <c r="JKZ104" s="1"/>
      <c r="JLA104" s="1"/>
      <c r="JLB104" s="1"/>
      <c r="JLC104" s="1"/>
      <c r="JLD104" s="1"/>
      <c r="JLE104" s="1"/>
      <c r="JLF104" s="1"/>
      <c r="JLG104" s="1"/>
      <c r="JLH104" s="1"/>
      <c r="JLI104" s="1"/>
      <c r="JLJ104" s="1"/>
      <c r="JLK104" s="1"/>
      <c r="JLL104" s="1"/>
      <c r="JLM104" s="1"/>
      <c r="JLN104" s="1"/>
      <c r="JLO104" s="1"/>
      <c r="JLP104" s="1"/>
      <c r="JLQ104" s="1"/>
      <c r="JLR104" s="1"/>
      <c r="JLS104" s="1"/>
      <c r="JLT104" s="1"/>
      <c r="JLU104" s="1"/>
      <c r="JLV104" s="1"/>
      <c r="JLW104" s="1"/>
      <c r="JLX104" s="1"/>
      <c r="JLY104" s="1"/>
      <c r="JLZ104" s="1"/>
      <c r="JMA104" s="1"/>
      <c r="JMB104" s="1"/>
      <c r="JMC104" s="1"/>
      <c r="JMD104" s="1"/>
      <c r="JME104" s="1"/>
      <c r="JMF104" s="1"/>
      <c r="JMG104" s="1"/>
      <c r="JMH104" s="1"/>
      <c r="JMI104" s="1"/>
      <c r="JMJ104" s="1"/>
      <c r="JMK104" s="1"/>
      <c r="JML104" s="1"/>
      <c r="JMM104" s="1"/>
      <c r="JMN104" s="1"/>
      <c r="JMO104" s="1"/>
      <c r="JMP104" s="1"/>
      <c r="JMQ104" s="1"/>
      <c r="JMR104" s="1"/>
      <c r="JMS104" s="1"/>
      <c r="JMT104" s="1"/>
      <c r="JMU104" s="1"/>
      <c r="JMV104" s="1"/>
      <c r="JMW104" s="1"/>
      <c r="JMX104" s="1"/>
      <c r="JMY104" s="1"/>
      <c r="JMZ104" s="1"/>
      <c r="JNA104" s="1"/>
      <c r="JNB104" s="1"/>
      <c r="JNC104" s="1"/>
      <c r="JND104" s="1"/>
      <c r="JNE104" s="1"/>
      <c r="JNF104" s="1"/>
      <c r="JNG104" s="1"/>
      <c r="JNH104" s="1"/>
      <c r="JNI104" s="1"/>
      <c r="JNJ104" s="1"/>
      <c r="JNK104" s="1"/>
      <c r="JNL104" s="1"/>
      <c r="JNM104" s="1"/>
      <c r="JNN104" s="1"/>
      <c r="JNO104" s="1"/>
      <c r="JNP104" s="1"/>
      <c r="JNQ104" s="1"/>
      <c r="JNR104" s="1"/>
      <c r="JNS104" s="1"/>
      <c r="JNT104" s="1"/>
      <c r="JNU104" s="1"/>
      <c r="JNV104" s="1"/>
      <c r="JNW104" s="1"/>
      <c r="JNX104" s="1"/>
      <c r="JNY104" s="1"/>
      <c r="JNZ104" s="1"/>
      <c r="JOA104" s="1"/>
      <c r="JOB104" s="1"/>
      <c r="JOC104" s="1"/>
      <c r="JOD104" s="1"/>
      <c r="JOE104" s="1"/>
      <c r="JOF104" s="1"/>
      <c r="JOG104" s="1"/>
      <c r="JOH104" s="1"/>
      <c r="JOI104" s="1"/>
      <c r="JOJ104" s="1"/>
      <c r="JOK104" s="1"/>
      <c r="JOL104" s="1"/>
      <c r="JOM104" s="1"/>
      <c r="JON104" s="1"/>
      <c r="JOO104" s="1"/>
      <c r="JOP104" s="1"/>
      <c r="JOQ104" s="1"/>
      <c r="JOR104" s="1"/>
      <c r="JOS104" s="1"/>
      <c r="JOT104" s="1"/>
      <c r="JOU104" s="1"/>
      <c r="JOV104" s="1"/>
      <c r="JOW104" s="1"/>
      <c r="JOX104" s="1"/>
      <c r="JOY104" s="1"/>
      <c r="JOZ104" s="1"/>
      <c r="JPA104" s="1"/>
      <c r="JPB104" s="1"/>
      <c r="JPC104" s="1"/>
      <c r="JPD104" s="1"/>
      <c r="JPE104" s="1"/>
      <c r="JPF104" s="1"/>
      <c r="JPG104" s="1"/>
      <c r="JPH104" s="1"/>
      <c r="JPI104" s="1"/>
      <c r="JPJ104" s="1"/>
      <c r="JPK104" s="1"/>
      <c r="JPL104" s="1"/>
      <c r="JPM104" s="1"/>
      <c r="JPN104" s="1"/>
      <c r="JPO104" s="1"/>
      <c r="JPP104" s="1"/>
      <c r="JPQ104" s="1"/>
      <c r="JPR104" s="1"/>
      <c r="JPS104" s="1"/>
      <c r="JPT104" s="1"/>
      <c r="JPU104" s="1"/>
      <c r="JPV104" s="1"/>
      <c r="JPW104" s="1"/>
      <c r="JPX104" s="1"/>
      <c r="JPY104" s="1"/>
      <c r="JPZ104" s="1"/>
      <c r="JQA104" s="1"/>
      <c r="JQB104" s="1"/>
      <c r="JQC104" s="1"/>
      <c r="JQD104" s="1"/>
      <c r="JQE104" s="1"/>
      <c r="JQF104" s="1"/>
      <c r="JQG104" s="1"/>
      <c r="JQH104" s="1"/>
      <c r="JQI104" s="1"/>
      <c r="JQJ104" s="1"/>
      <c r="JQK104" s="1"/>
      <c r="JQL104" s="1"/>
      <c r="JQM104" s="1"/>
      <c r="JQN104" s="1"/>
      <c r="JQO104" s="1"/>
      <c r="JQP104" s="1"/>
      <c r="JQQ104" s="1"/>
      <c r="JQR104" s="1"/>
      <c r="JQS104" s="1"/>
      <c r="JQT104" s="1"/>
      <c r="JQU104" s="1"/>
      <c r="JQV104" s="1"/>
      <c r="JQW104" s="1"/>
      <c r="JQX104" s="1"/>
      <c r="JQY104" s="1"/>
      <c r="JQZ104" s="1"/>
      <c r="JRA104" s="1"/>
      <c r="JRB104" s="1"/>
      <c r="JRC104" s="1"/>
      <c r="JRD104" s="1"/>
      <c r="JRE104" s="1"/>
      <c r="JRF104" s="1"/>
      <c r="JRG104" s="1"/>
      <c r="JRH104" s="1"/>
      <c r="JRI104" s="1"/>
      <c r="JRJ104" s="1"/>
      <c r="JRK104" s="1"/>
      <c r="JRL104" s="1"/>
      <c r="JRM104" s="1"/>
      <c r="JRN104" s="1"/>
      <c r="JRO104" s="1"/>
      <c r="JRP104" s="1"/>
      <c r="JRQ104" s="1"/>
      <c r="JRR104" s="1"/>
      <c r="JRS104" s="1"/>
      <c r="JRT104" s="1"/>
      <c r="JRU104" s="1"/>
      <c r="JRV104" s="1"/>
      <c r="JRW104" s="1"/>
      <c r="JRX104" s="1"/>
      <c r="JRY104" s="1"/>
      <c r="JRZ104" s="1"/>
      <c r="JSA104" s="1"/>
      <c r="JSB104" s="1"/>
      <c r="JSC104" s="1"/>
      <c r="JSD104" s="1"/>
      <c r="JSE104" s="1"/>
      <c r="JSF104" s="1"/>
      <c r="JSG104" s="1"/>
      <c r="JSH104" s="1"/>
      <c r="JSI104" s="1"/>
      <c r="JSJ104" s="1"/>
      <c r="JSK104" s="1"/>
      <c r="JSL104" s="1"/>
      <c r="JSM104" s="1"/>
      <c r="JSN104" s="1"/>
      <c r="JSO104" s="1"/>
      <c r="JSP104" s="1"/>
      <c r="JSQ104" s="1"/>
      <c r="JSR104" s="1"/>
      <c r="JSS104" s="1"/>
      <c r="JST104" s="1"/>
      <c r="JSU104" s="1"/>
      <c r="JSV104" s="1"/>
      <c r="JSW104" s="1"/>
      <c r="JSX104" s="1"/>
      <c r="JSY104" s="1"/>
      <c r="JSZ104" s="1"/>
      <c r="JTA104" s="1"/>
      <c r="JTB104" s="1"/>
      <c r="JTC104" s="1"/>
      <c r="JTD104" s="1"/>
      <c r="JTE104" s="1"/>
      <c r="JTF104" s="1"/>
      <c r="JTG104" s="1"/>
      <c r="JTH104" s="1"/>
      <c r="JTI104" s="1"/>
      <c r="JTJ104" s="1"/>
      <c r="JTK104" s="1"/>
      <c r="JTL104" s="1"/>
      <c r="JTM104" s="1"/>
      <c r="JTN104" s="1"/>
      <c r="JTO104" s="1"/>
      <c r="JTP104" s="1"/>
      <c r="JTQ104" s="1"/>
      <c r="JTR104" s="1"/>
      <c r="JTS104" s="1"/>
      <c r="JTT104" s="1"/>
      <c r="JTU104" s="1"/>
      <c r="JTV104" s="1"/>
      <c r="JTW104" s="1"/>
      <c r="JTX104" s="1"/>
      <c r="JTY104" s="1"/>
      <c r="JTZ104" s="1"/>
      <c r="JUA104" s="1"/>
      <c r="JUB104" s="1"/>
      <c r="JUC104" s="1"/>
      <c r="JUD104" s="1"/>
      <c r="JUE104" s="1"/>
      <c r="JUF104" s="1"/>
      <c r="JUG104" s="1"/>
      <c r="JUH104" s="1"/>
      <c r="JUI104" s="1"/>
      <c r="JUJ104" s="1"/>
      <c r="JUK104" s="1"/>
      <c r="JUL104" s="1"/>
      <c r="JUM104" s="1"/>
      <c r="JUN104" s="1"/>
      <c r="JUO104" s="1"/>
      <c r="JUP104" s="1"/>
      <c r="JUQ104" s="1"/>
      <c r="JUR104" s="1"/>
      <c r="JUS104" s="1"/>
      <c r="JUT104" s="1"/>
      <c r="JUU104" s="1"/>
      <c r="JUV104" s="1"/>
      <c r="JUW104" s="1"/>
      <c r="JUX104" s="1"/>
      <c r="JUY104" s="1"/>
      <c r="JUZ104" s="1"/>
      <c r="JVA104" s="1"/>
      <c r="JVB104" s="1"/>
      <c r="JVC104" s="1"/>
      <c r="JVD104" s="1"/>
      <c r="JVE104" s="1"/>
      <c r="JVF104" s="1"/>
      <c r="JVG104" s="1"/>
      <c r="JVH104" s="1"/>
      <c r="JVI104" s="1"/>
      <c r="JVJ104" s="1"/>
      <c r="JVK104" s="1"/>
      <c r="JVL104" s="1"/>
      <c r="JVM104" s="1"/>
      <c r="JVN104" s="1"/>
      <c r="JVO104" s="1"/>
      <c r="JVP104" s="1"/>
      <c r="JVQ104" s="1"/>
      <c r="JVR104" s="1"/>
      <c r="JVS104" s="1"/>
      <c r="JVT104" s="1"/>
      <c r="JVU104" s="1"/>
      <c r="JVV104" s="1"/>
      <c r="JVW104" s="1"/>
      <c r="JVX104" s="1"/>
      <c r="JVY104" s="1"/>
      <c r="JVZ104" s="1"/>
      <c r="JWA104" s="1"/>
      <c r="JWB104" s="1"/>
      <c r="JWC104" s="1"/>
      <c r="JWD104" s="1"/>
      <c r="JWE104" s="1"/>
      <c r="JWF104" s="1"/>
      <c r="JWG104" s="1"/>
      <c r="JWH104" s="1"/>
      <c r="JWI104" s="1"/>
      <c r="JWJ104" s="1"/>
      <c r="JWK104" s="1"/>
      <c r="JWL104" s="1"/>
      <c r="JWM104" s="1"/>
      <c r="JWN104" s="1"/>
      <c r="JWO104" s="1"/>
      <c r="JWP104" s="1"/>
      <c r="JWQ104" s="1"/>
      <c r="JWR104" s="1"/>
      <c r="JWS104" s="1"/>
      <c r="JWT104" s="1"/>
      <c r="JWU104" s="1"/>
      <c r="JWV104" s="1"/>
      <c r="JWW104" s="1"/>
      <c r="JWX104" s="1"/>
      <c r="JWY104" s="1"/>
      <c r="JWZ104" s="1"/>
      <c r="JXA104" s="1"/>
      <c r="JXB104" s="1"/>
      <c r="JXC104" s="1"/>
      <c r="JXD104" s="1"/>
      <c r="JXE104" s="1"/>
      <c r="JXF104" s="1"/>
      <c r="JXG104" s="1"/>
      <c r="JXH104" s="1"/>
      <c r="JXI104" s="1"/>
      <c r="JXJ104" s="1"/>
      <c r="JXK104" s="1"/>
      <c r="JXL104" s="1"/>
      <c r="JXM104" s="1"/>
      <c r="JXN104" s="1"/>
      <c r="JXO104" s="1"/>
      <c r="JXP104" s="1"/>
      <c r="JXQ104" s="1"/>
      <c r="JXR104" s="1"/>
      <c r="JXS104" s="1"/>
      <c r="JXT104" s="1"/>
      <c r="JXU104" s="1"/>
      <c r="JXV104" s="1"/>
      <c r="JXW104" s="1"/>
      <c r="JXX104" s="1"/>
      <c r="JXY104" s="1"/>
      <c r="JXZ104" s="1"/>
      <c r="JYA104" s="1"/>
      <c r="JYB104" s="1"/>
      <c r="JYC104" s="1"/>
      <c r="JYD104" s="1"/>
      <c r="JYE104" s="1"/>
      <c r="JYF104" s="1"/>
      <c r="JYG104" s="1"/>
      <c r="JYH104" s="1"/>
      <c r="JYI104" s="1"/>
      <c r="JYJ104" s="1"/>
      <c r="JYK104" s="1"/>
      <c r="JYL104" s="1"/>
      <c r="JYM104" s="1"/>
      <c r="JYN104" s="1"/>
      <c r="JYO104" s="1"/>
      <c r="JYP104" s="1"/>
      <c r="JYQ104" s="1"/>
      <c r="JYR104" s="1"/>
      <c r="JYS104" s="1"/>
      <c r="JYT104" s="1"/>
      <c r="JYU104" s="1"/>
      <c r="JYV104" s="1"/>
      <c r="JYW104" s="1"/>
      <c r="JYX104" s="1"/>
      <c r="JYY104" s="1"/>
      <c r="JYZ104" s="1"/>
      <c r="JZA104" s="1"/>
      <c r="JZB104" s="1"/>
      <c r="JZC104" s="1"/>
      <c r="JZD104" s="1"/>
      <c r="JZE104" s="1"/>
      <c r="JZF104" s="1"/>
      <c r="JZG104" s="1"/>
      <c r="JZH104" s="1"/>
      <c r="JZI104" s="1"/>
      <c r="JZJ104" s="1"/>
      <c r="JZK104" s="1"/>
      <c r="JZL104" s="1"/>
      <c r="JZM104" s="1"/>
      <c r="JZN104" s="1"/>
      <c r="JZO104" s="1"/>
      <c r="JZP104" s="1"/>
      <c r="JZQ104" s="1"/>
      <c r="JZR104" s="1"/>
      <c r="JZS104" s="1"/>
      <c r="JZT104" s="1"/>
      <c r="JZU104" s="1"/>
      <c r="JZV104" s="1"/>
      <c r="JZW104" s="1"/>
      <c r="JZX104" s="1"/>
      <c r="JZY104" s="1"/>
      <c r="JZZ104" s="1"/>
      <c r="KAA104" s="1"/>
      <c r="KAB104" s="1"/>
      <c r="KAC104" s="1"/>
      <c r="KAD104" s="1"/>
      <c r="KAE104" s="1"/>
      <c r="KAF104" s="1"/>
      <c r="KAG104" s="1"/>
      <c r="KAH104" s="1"/>
      <c r="KAI104" s="1"/>
      <c r="KAJ104" s="1"/>
      <c r="KAK104" s="1"/>
      <c r="KAL104" s="1"/>
      <c r="KAM104" s="1"/>
      <c r="KAN104" s="1"/>
      <c r="KAO104" s="1"/>
      <c r="KAP104" s="1"/>
      <c r="KAQ104" s="1"/>
      <c r="KAR104" s="1"/>
      <c r="KAS104" s="1"/>
      <c r="KAT104" s="1"/>
      <c r="KAU104" s="1"/>
      <c r="KAV104" s="1"/>
      <c r="KAW104" s="1"/>
      <c r="KAX104" s="1"/>
      <c r="KAY104" s="1"/>
      <c r="KAZ104" s="1"/>
      <c r="KBA104" s="1"/>
      <c r="KBB104" s="1"/>
      <c r="KBC104" s="1"/>
      <c r="KBD104" s="1"/>
      <c r="KBE104" s="1"/>
      <c r="KBF104" s="1"/>
      <c r="KBG104" s="1"/>
      <c r="KBH104" s="1"/>
      <c r="KBI104" s="1"/>
      <c r="KBJ104" s="1"/>
      <c r="KBK104" s="1"/>
      <c r="KBL104" s="1"/>
      <c r="KBM104" s="1"/>
      <c r="KBN104" s="1"/>
      <c r="KBO104" s="1"/>
      <c r="KBP104" s="1"/>
      <c r="KBQ104" s="1"/>
      <c r="KBR104" s="1"/>
      <c r="KBS104" s="1"/>
      <c r="KBT104" s="1"/>
      <c r="KBU104" s="1"/>
      <c r="KBV104" s="1"/>
      <c r="KBW104" s="1"/>
      <c r="KBX104" s="1"/>
      <c r="KBY104" s="1"/>
      <c r="KBZ104" s="1"/>
      <c r="KCA104" s="1"/>
      <c r="KCB104" s="1"/>
      <c r="KCC104" s="1"/>
      <c r="KCD104" s="1"/>
      <c r="KCE104" s="1"/>
      <c r="KCF104" s="1"/>
      <c r="KCG104" s="1"/>
      <c r="KCH104" s="1"/>
      <c r="KCI104" s="1"/>
      <c r="KCJ104" s="1"/>
      <c r="KCK104" s="1"/>
      <c r="KCL104" s="1"/>
      <c r="KCM104" s="1"/>
      <c r="KCN104" s="1"/>
      <c r="KCO104" s="1"/>
      <c r="KCP104" s="1"/>
      <c r="KCQ104" s="1"/>
      <c r="KCR104" s="1"/>
      <c r="KCS104" s="1"/>
      <c r="KCT104" s="1"/>
      <c r="KCU104" s="1"/>
      <c r="KCV104" s="1"/>
      <c r="KCW104" s="1"/>
      <c r="KCX104" s="1"/>
      <c r="KCY104" s="1"/>
      <c r="KCZ104" s="1"/>
      <c r="KDA104" s="1"/>
      <c r="KDB104" s="1"/>
      <c r="KDC104" s="1"/>
      <c r="KDD104" s="1"/>
      <c r="KDE104" s="1"/>
      <c r="KDF104" s="1"/>
      <c r="KDG104" s="1"/>
      <c r="KDH104" s="1"/>
      <c r="KDI104" s="1"/>
      <c r="KDJ104" s="1"/>
      <c r="KDK104" s="1"/>
      <c r="KDL104" s="1"/>
      <c r="KDM104" s="1"/>
      <c r="KDN104" s="1"/>
      <c r="KDO104" s="1"/>
      <c r="KDP104" s="1"/>
      <c r="KDQ104" s="1"/>
      <c r="KDR104" s="1"/>
      <c r="KDS104" s="1"/>
      <c r="KDT104" s="1"/>
      <c r="KDU104" s="1"/>
      <c r="KDV104" s="1"/>
      <c r="KDW104" s="1"/>
      <c r="KDX104" s="1"/>
      <c r="KDY104" s="1"/>
      <c r="KDZ104" s="1"/>
      <c r="KEA104" s="1"/>
      <c r="KEB104" s="1"/>
      <c r="KEC104" s="1"/>
      <c r="KED104" s="1"/>
      <c r="KEE104" s="1"/>
      <c r="KEF104" s="1"/>
      <c r="KEG104" s="1"/>
      <c r="KEH104" s="1"/>
      <c r="KEI104" s="1"/>
      <c r="KEJ104" s="1"/>
      <c r="KEK104" s="1"/>
      <c r="KEL104" s="1"/>
      <c r="KEM104" s="1"/>
      <c r="KEN104" s="1"/>
      <c r="KEO104" s="1"/>
      <c r="KEP104" s="1"/>
      <c r="KEQ104" s="1"/>
      <c r="KER104" s="1"/>
      <c r="KES104" s="1"/>
      <c r="KET104" s="1"/>
      <c r="KEU104" s="1"/>
      <c r="KEV104" s="1"/>
      <c r="KEW104" s="1"/>
      <c r="KEX104" s="1"/>
      <c r="KEY104" s="1"/>
      <c r="KEZ104" s="1"/>
      <c r="KFA104" s="1"/>
      <c r="KFB104" s="1"/>
      <c r="KFC104" s="1"/>
      <c r="KFD104" s="1"/>
      <c r="KFE104" s="1"/>
      <c r="KFF104" s="1"/>
      <c r="KFG104" s="1"/>
      <c r="KFH104" s="1"/>
      <c r="KFI104" s="1"/>
      <c r="KFJ104" s="1"/>
      <c r="KFK104" s="1"/>
      <c r="KFL104" s="1"/>
      <c r="KFM104" s="1"/>
      <c r="KFN104" s="1"/>
      <c r="KFO104" s="1"/>
      <c r="KFP104" s="1"/>
      <c r="KFQ104" s="1"/>
      <c r="KFR104" s="1"/>
      <c r="KFS104" s="1"/>
      <c r="KFT104" s="1"/>
      <c r="KFU104" s="1"/>
      <c r="KFV104" s="1"/>
      <c r="KFW104" s="1"/>
      <c r="KFX104" s="1"/>
      <c r="KFY104" s="1"/>
      <c r="KFZ104" s="1"/>
      <c r="KGA104" s="1"/>
      <c r="KGB104" s="1"/>
      <c r="KGC104" s="1"/>
      <c r="KGD104" s="1"/>
      <c r="KGE104" s="1"/>
      <c r="KGF104" s="1"/>
      <c r="KGG104" s="1"/>
      <c r="KGH104" s="1"/>
      <c r="KGI104" s="1"/>
      <c r="KGJ104" s="1"/>
      <c r="KGK104" s="1"/>
      <c r="KGL104" s="1"/>
      <c r="KGM104" s="1"/>
      <c r="KGN104" s="1"/>
      <c r="KGO104" s="1"/>
      <c r="KGP104" s="1"/>
      <c r="KGQ104" s="1"/>
      <c r="KGR104" s="1"/>
      <c r="KGS104" s="1"/>
      <c r="KGT104" s="1"/>
      <c r="KGU104" s="1"/>
      <c r="KGV104" s="1"/>
      <c r="KGW104" s="1"/>
      <c r="KGX104" s="1"/>
      <c r="KGY104" s="1"/>
      <c r="KGZ104" s="1"/>
      <c r="KHA104" s="1"/>
      <c r="KHB104" s="1"/>
      <c r="KHC104" s="1"/>
      <c r="KHD104" s="1"/>
      <c r="KHE104" s="1"/>
      <c r="KHF104" s="1"/>
      <c r="KHG104" s="1"/>
      <c r="KHH104" s="1"/>
      <c r="KHI104" s="1"/>
      <c r="KHJ104" s="1"/>
      <c r="KHK104" s="1"/>
      <c r="KHL104" s="1"/>
      <c r="KHM104" s="1"/>
      <c r="KHN104" s="1"/>
      <c r="KHO104" s="1"/>
      <c r="KHP104" s="1"/>
      <c r="KHQ104" s="1"/>
      <c r="KHR104" s="1"/>
      <c r="KHS104" s="1"/>
      <c r="KHT104" s="1"/>
      <c r="KHU104" s="1"/>
      <c r="KHV104" s="1"/>
      <c r="KHW104" s="1"/>
      <c r="KHX104" s="1"/>
      <c r="KHY104" s="1"/>
      <c r="KHZ104" s="1"/>
      <c r="KIA104" s="1"/>
      <c r="KIB104" s="1"/>
      <c r="KIC104" s="1"/>
      <c r="KID104" s="1"/>
      <c r="KIE104" s="1"/>
      <c r="KIF104" s="1"/>
      <c r="KIG104" s="1"/>
      <c r="KIH104" s="1"/>
      <c r="KII104" s="1"/>
      <c r="KIJ104" s="1"/>
      <c r="KIK104" s="1"/>
      <c r="KIL104" s="1"/>
      <c r="KIM104" s="1"/>
      <c r="KIN104" s="1"/>
      <c r="KIO104" s="1"/>
      <c r="KIP104" s="1"/>
      <c r="KIQ104" s="1"/>
      <c r="KIR104" s="1"/>
      <c r="KIS104" s="1"/>
      <c r="KIT104" s="1"/>
      <c r="KIU104" s="1"/>
      <c r="KIV104" s="1"/>
      <c r="KIW104" s="1"/>
      <c r="KIX104" s="1"/>
      <c r="KIY104" s="1"/>
      <c r="KIZ104" s="1"/>
      <c r="KJA104" s="1"/>
      <c r="KJB104" s="1"/>
      <c r="KJC104" s="1"/>
      <c r="KJD104" s="1"/>
      <c r="KJE104" s="1"/>
      <c r="KJF104" s="1"/>
      <c r="KJG104" s="1"/>
      <c r="KJH104" s="1"/>
      <c r="KJI104" s="1"/>
      <c r="KJJ104" s="1"/>
      <c r="KJK104" s="1"/>
      <c r="KJL104" s="1"/>
      <c r="KJM104" s="1"/>
      <c r="KJN104" s="1"/>
      <c r="KJO104" s="1"/>
      <c r="KJP104" s="1"/>
      <c r="KJQ104" s="1"/>
      <c r="KJR104" s="1"/>
      <c r="KJS104" s="1"/>
      <c r="KJT104" s="1"/>
      <c r="KJU104" s="1"/>
      <c r="KJV104" s="1"/>
      <c r="KJW104" s="1"/>
      <c r="KJX104" s="1"/>
      <c r="KJY104" s="1"/>
      <c r="KJZ104" s="1"/>
      <c r="KKA104" s="1"/>
      <c r="KKB104" s="1"/>
      <c r="KKC104" s="1"/>
      <c r="KKD104" s="1"/>
      <c r="KKE104" s="1"/>
      <c r="KKF104" s="1"/>
      <c r="KKG104" s="1"/>
      <c r="KKH104" s="1"/>
      <c r="KKI104" s="1"/>
      <c r="KKJ104" s="1"/>
      <c r="KKK104" s="1"/>
      <c r="KKL104" s="1"/>
      <c r="KKM104" s="1"/>
      <c r="KKN104" s="1"/>
      <c r="KKO104" s="1"/>
      <c r="KKP104" s="1"/>
      <c r="KKQ104" s="1"/>
      <c r="KKR104" s="1"/>
      <c r="KKS104" s="1"/>
      <c r="KKT104" s="1"/>
      <c r="KKU104" s="1"/>
      <c r="KKV104" s="1"/>
      <c r="KKW104" s="1"/>
      <c r="KKX104" s="1"/>
      <c r="KKY104" s="1"/>
      <c r="KKZ104" s="1"/>
      <c r="KLA104" s="1"/>
      <c r="KLB104" s="1"/>
      <c r="KLC104" s="1"/>
      <c r="KLD104" s="1"/>
      <c r="KLE104" s="1"/>
      <c r="KLF104" s="1"/>
      <c r="KLG104" s="1"/>
      <c r="KLH104" s="1"/>
      <c r="KLI104" s="1"/>
      <c r="KLJ104" s="1"/>
      <c r="KLK104" s="1"/>
      <c r="KLL104" s="1"/>
      <c r="KLM104" s="1"/>
      <c r="KLN104" s="1"/>
      <c r="KLO104" s="1"/>
      <c r="KLP104" s="1"/>
      <c r="KLQ104" s="1"/>
      <c r="KLR104" s="1"/>
      <c r="KLS104" s="1"/>
      <c r="KLT104" s="1"/>
      <c r="KLU104" s="1"/>
      <c r="KLV104" s="1"/>
      <c r="KLW104" s="1"/>
      <c r="KLX104" s="1"/>
      <c r="KLY104" s="1"/>
      <c r="KLZ104" s="1"/>
      <c r="KMA104" s="1"/>
      <c r="KMB104" s="1"/>
      <c r="KMC104" s="1"/>
      <c r="KMD104" s="1"/>
      <c r="KME104" s="1"/>
      <c r="KMF104" s="1"/>
      <c r="KMG104" s="1"/>
      <c r="KMH104" s="1"/>
      <c r="KMI104" s="1"/>
      <c r="KMJ104" s="1"/>
      <c r="KMK104" s="1"/>
      <c r="KML104" s="1"/>
      <c r="KMM104" s="1"/>
      <c r="KMN104" s="1"/>
      <c r="KMO104" s="1"/>
      <c r="KMP104" s="1"/>
      <c r="KMQ104" s="1"/>
      <c r="KMR104" s="1"/>
      <c r="KMS104" s="1"/>
      <c r="KMT104" s="1"/>
      <c r="KMU104" s="1"/>
      <c r="KMV104" s="1"/>
      <c r="KMW104" s="1"/>
      <c r="KMX104" s="1"/>
      <c r="KMY104" s="1"/>
      <c r="KMZ104" s="1"/>
      <c r="KNA104" s="1"/>
      <c r="KNB104" s="1"/>
      <c r="KNC104" s="1"/>
      <c r="KND104" s="1"/>
      <c r="KNE104" s="1"/>
      <c r="KNF104" s="1"/>
      <c r="KNG104" s="1"/>
      <c r="KNH104" s="1"/>
      <c r="KNI104" s="1"/>
      <c r="KNJ104" s="1"/>
      <c r="KNK104" s="1"/>
      <c r="KNL104" s="1"/>
      <c r="KNM104" s="1"/>
      <c r="KNN104" s="1"/>
      <c r="KNO104" s="1"/>
      <c r="KNP104" s="1"/>
      <c r="KNQ104" s="1"/>
      <c r="KNR104" s="1"/>
      <c r="KNS104" s="1"/>
      <c r="KNT104" s="1"/>
      <c r="KNU104" s="1"/>
      <c r="KNV104" s="1"/>
      <c r="KNW104" s="1"/>
      <c r="KNX104" s="1"/>
      <c r="KNY104" s="1"/>
      <c r="KNZ104" s="1"/>
      <c r="KOA104" s="1"/>
      <c r="KOB104" s="1"/>
      <c r="KOC104" s="1"/>
      <c r="KOD104" s="1"/>
      <c r="KOE104" s="1"/>
      <c r="KOF104" s="1"/>
      <c r="KOG104" s="1"/>
      <c r="KOH104" s="1"/>
      <c r="KOI104" s="1"/>
      <c r="KOJ104" s="1"/>
      <c r="KOK104" s="1"/>
      <c r="KOL104" s="1"/>
      <c r="KOM104" s="1"/>
      <c r="KON104" s="1"/>
      <c r="KOO104" s="1"/>
      <c r="KOP104" s="1"/>
      <c r="KOQ104" s="1"/>
      <c r="KOR104" s="1"/>
      <c r="KOS104" s="1"/>
      <c r="KOT104" s="1"/>
      <c r="KOU104" s="1"/>
      <c r="KOV104" s="1"/>
      <c r="KOW104" s="1"/>
      <c r="KOX104" s="1"/>
      <c r="KOY104" s="1"/>
      <c r="KOZ104" s="1"/>
      <c r="KPA104" s="1"/>
      <c r="KPB104" s="1"/>
      <c r="KPC104" s="1"/>
      <c r="KPD104" s="1"/>
      <c r="KPE104" s="1"/>
      <c r="KPF104" s="1"/>
      <c r="KPG104" s="1"/>
      <c r="KPH104" s="1"/>
      <c r="KPI104" s="1"/>
      <c r="KPJ104" s="1"/>
      <c r="KPK104" s="1"/>
      <c r="KPL104" s="1"/>
      <c r="KPM104" s="1"/>
      <c r="KPN104" s="1"/>
      <c r="KPO104" s="1"/>
      <c r="KPP104" s="1"/>
      <c r="KPQ104" s="1"/>
      <c r="KPR104" s="1"/>
      <c r="KPS104" s="1"/>
      <c r="KPT104" s="1"/>
      <c r="KPU104" s="1"/>
      <c r="KPV104" s="1"/>
      <c r="KPW104" s="1"/>
      <c r="KPX104" s="1"/>
      <c r="KPY104" s="1"/>
      <c r="KPZ104" s="1"/>
      <c r="KQA104" s="1"/>
      <c r="KQB104" s="1"/>
      <c r="KQC104" s="1"/>
      <c r="KQD104" s="1"/>
      <c r="KQE104" s="1"/>
      <c r="KQF104" s="1"/>
      <c r="KQG104" s="1"/>
      <c r="KQH104" s="1"/>
      <c r="KQI104" s="1"/>
      <c r="KQJ104" s="1"/>
      <c r="KQK104" s="1"/>
      <c r="KQL104" s="1"/>
      <c r="KQM104" s="1"/>
      <c r="KQN104" s="1"/>
      <c r="KQO104" s="1"/>
      <c r="KQP104" s="1"/>
      <c r="KQQ104" s="1"/>
      <c r="KQR104" s="1"/>
      <c r="KQS104" s="1"/>
      <c r="KQT104" s="1"/>
      <c r="KQU104" s="1"/>
      <c r="KQV104" s="1"/>
      <c r="KQW104" s="1"/>
      <c r="KQX104" s="1"/>
      <c r="KQY104" s="1"/>
      <c r="KQZ104" s="1"/>
      <c r="KRA104" s="1"/>
      <c r="KRB104" s="1"/>
      <c r="KRC104" s="1"/>
      <c r="KRD104" s="1"/>
      <c r="KRE104" s="1"/>
      <c r="KRF104" s="1"/>
      <c r="KRG104" s="1"/>
      <c r="KRH104" s="1"/>
      <c r="KRI104" s="1"/>
      <c r="KRJ104" s="1"/>
      <c r="KRK104" s="1"/>
      <c r="KRL104" s="1"/>
      <c r="KRM104" s="1"/>
      <c r="KRN104" s="1"/>
      <c r="KRO104" s="1"/>
      <c r="KRP104" s="1"/>
      <c r="KRQ104" s="1"/>
      <c r="KRR104" s="1"/>
      <c r="KRS104" s="1"/>
      <c r="KRT104" s="1"/>
      <c r="KRU104" s="1"/>
      <c r="KRV104" s="1"/>
      <c r="KRW104" s="1"/>
      <c r="KRX104" s="1"/>
      <c r="KRY104" s="1"/>
      <c r="KRZ104" s="1"/>
      <c r="KSA104" s="1"/>
      <c r="KSB104" s="1"/>
      <c r="KSC104" s="1"/>
      <c r="KSD104" s="1"/>
      <c r="KSE104" s="1"/>
      <c r="KSF104" s="1"/>
      <c r="KSG104" s="1"/>
      <c r="KSH104" s="1"/>
      <c r="KSI104" s="1"/>
      <c r="KSJ104" s="1"/>
      <c r="KSK104" s="1"/>
      <c r="KSL104" s="1"/>
      <c r="KSM104" s="1"/>
      <c r="KSN104" s="1"/>
      <c r="KSO104" s="1"/>
      <c r="KSP104" s="1"/>
      <c r="KSQ104" s="1"/>
      <c r="KSR104" s="1"/>
      <c r="KSS104" s="1"/>
      <c r="KST104" s="1"/>
      <c r="KSU104" s="1"/>
      <c r="KSV104" s="1"/>
      <c r="KSW104" s="1"/>
      <c r="KSX104" s="1"/>
      <c r="KSY104" s="1"/>
      <c r="KSZ104" s="1"/>
      <c r="KTA104" s="1"/>
      <c r="KTB104" s="1"/>
      <c r="KTC104" s="1"/>
      <c r="KTD104" s="1"/>
      <c r="KTE104" s="1"/>
      <c r="KTF104" s="1"/>
      <c r="KTG104" s="1"/>
      <c r="KTH104" s="1"/>
      <c r="KTI104" s="1"/>
      <c r="KTJ104" s="1"/>
      <c r="KTK104" s="1"/>
      <c r="KTL104" s="1"/>
      <c r="KTM104" s="1"/>
      <c r="KTN104" s="1"/>
      <c r="KTO104" s="1"/>
      <c r="KTP104" s="1"/>
      <c r="KTQ104" s="1"/>
      <c r="KTR104" s="1"/>
      <c r="KTS104" s="1"/>
      <c r="KTT104" s="1"/>
      <c r="KTU104" s="1"/>
      <c r="KTV104" s="1"/>
      <c r="KTW104" s="1"/>
      <c r="KTX104" s="1"/>
      <c r="KTY104" s="1"/>
      <c r="KTZ104" s="1"/>
      <c r="KUA104" s="1"/>
      <c r="KUB104" s="1"/>
      <c r="KUC104" s="1"/>
      <c r="KUD104" s="1"/>
      <c r="KUE104" s="1"/>
      <c r="KUF104" s="1"/>
      <c r="KUG104" s="1"/>
      <c r="KUH104" s="1"/>
      <c r="KUI104" s="1"/>
      <c r="KUJ104" s="1"/>
      <c r="KUK104" s="1"/>
      <c r="KUL104" s="1"/>
      <c r="KUM104" s="1"/>
      <c r="KUN104" s="1"/>
      <c r="KUO104" s="1"/>
      <c r="KUP104" s="1"/>
      <c r="KUQ104" s="1"/>
      <c r="KUR104" s="1"/>
      <c r="KUS104" s="1"/>
      <c r="KUT104" s="1"/>
      <c r="KUU104" s="1"/>
      <c r="KUV104" s="1"/>
      <c r="KUW104" s="1"/>
      <c r="KUX104" s="1"/>
      <c r="KUY104" s="1"/>
      <c r="KUZ104" s="1"/>
      <c r="KVA104" s="1"/>
      <c r="KVB104" s="1"/>
      <c r="KVC104" s="1"/>
      <c r="KVD104" s="1"/>
      <c r="KVE104" s="1"/>
      <c r="KVF104" s="1"/>
      <c r="KVG104" s="1"/>
      <c r="KVH104" s="1"/>
      <c r="KVI104" s="1"/>
      <c r="KVJ104" s="1"/>
      <c r="KVK104" s="1"/>
      <c r="KVL104" s="1"/>
      <c r="KVM104" s="1"/>
      <c r="KVN104" s="1"/>
      <c r="KVO104" s="1"/>
      <c r="KVP104" s="1"/>
      <c r="KVQ104" s="1"/>
      <c r="KVR104" s="1"/>
      <c r="KVS104" s="1"/>
      <c r="KVT104" s="1"/>
      <c r="KVU104" s="1"/>
      <c r="KVV104" s="1"/>
      <c r="KVW104" s="1"/>
      <c r="KVX104" s="1"/>
      <c r="KVY104" s="1"/>
      <c r="KVZ104" s="1"/>
      <c r="KWA104" s="1"/>
      <c r="KWB104" s="1"/>
      <c r="KWC104" s="1"/>
      <c r="KWD104" s="1"/>
      <c r="KWE104" s="1"/>
      <c r="KWF104" s="1"/>
      <c r="KWG104" s="1"/>
      <c r="KWH104" s="1"/>
      <c r="KWI104" s="1"/>
      <c r="KWJ104" s="1"/>
      <c r="KWK104" s="1"/>
      <c r="KWL104" s="1"/>
      <c r="KWM104" s="1"/>
      <c r="KWN104" s="1"/>
      <c r="KWO104" s="1"/>
      <c r="KWP104" s="1"/>
      <c r="KWQ104" s="1"/>
      <c r="KWR104" s="1"/>
      <c r="KWS104" s="1"/>
      <c r="KWT104" s="1"/>
      <c r="KWU104" s="1"/>
      <c r="KWV104" s="1"/>
      <c r="KWW104" s="1"/>
      <c r="KWX104" s="1"/>
      <c r="KWY104" s="1"/>
      <c r="KWZ104" s="1"/>
      <c r="KXA104" s="1"/>
      <c r="KXB104" s="1"/>
      <c r="KXC104" s="1"/>
      <c r="KXD104" s="1"/>
      <c r="KXE104" s="1"/>
      <c r="KXF104" s="1"/>
      <c r="KXG104" s="1"/>
      <c r="KXH104" s="1"/>
      <c r="KXI104" s="1"/>
      <c r="KXJ104" s="1"/>
      <c r="KXK104" s="1"/>
      <c r="KXL104" s="1"/>
      <c r="KXM104" s="1"/>
      <c r="KXN104" s="1"/>
      <c r="KXO104" s="1"/>
      <c r="KXP104" s="1"/>
      <c r="KXQ104" s="1"/>
      <c r="KXR104" s="1"/>
      <c r="KXS104" s="1"/>
      <c r="KXT104" s="1"/>
      <c r="KXU104" s="1"/>
      <c r="KXV104" s="1"/>
      <c r="KXW104" s="1"/>
      <c r="KXX104" s="1"/>
      <c r="KXY104" s="1"/>
      <c r="KXZ104" s="1"/>
      <c r="KYA104" s="1"/>
      <c r="KYB104" s="1"/>
      <c r="KYC104" s="1"/>
      <c r="KYD104" s="1"/>
      <c r="KYE104" s="1"/>
      <c r="KYF104" s="1"/>
      <c r="KYG104" s="1"/>
      <c r="KYH104" s="1"/>
      <c r="KYI104" s="1"/>
      <c r="KYJ104" s="1"/>
      <c r="KYK104" s="1"/>
      <c r="KYL104" s="1"/>
      <c r="KYM104" s="1"/>
      <c r="KYN104" s="1"/>
      <c r="KYO104" s="1"/>
      <c r="KYP104" s="1"/>
      <c r="KYQ104" s="1"/>
      <c r="KYR104" s="1"/>
      <c r="KYS104" s="1"/>
      <c r="KYT104" s="1"/>
      <c r="KYU104" s="1"/>
      <c r="KYV104" s="1"/>
      <c r="KYW104" s="1"/>
      <c r="KYX104" s="1"/>
      <c r="KYY104" s="1"/>
      <c r="KYZ104" s="1"/>
      <c r="KZA104" s="1"/>
      <c r="KZB104" s="1"/>
      <c r="KZC104" s="1"/>
      <c r="KZD104" s="1"/>
      <c r="KZE104" s="1"/>
      <c r="KZF104" s="1"/>
      <c r="KZG104" s="1"/>
      <c r="KZH104" s="1"/>
      <c r="KZI104" s="1"/>
      <c r="KZJ104" s="1"/>
      <c r="KZK104" s="1"/>
      <c r="KZL104" s="1"/>
      <c r="KZM104" s="1"/>
      <c r="KZN104" s="1"/>
      <c r="KZO104" s="1"/>
      <c r="KZP104" s="1"/>
      <c r="KZQ104" s="1"/>
      <c r="KZR104" s="1"/>
      <c r="KZS104" s="1"/>
      <c r="KZT104" s="1"/>
      <c r="KZU104" s="1"/>
      <c r="KZV104" s="1"/>
      <c r="KZW104" s="1"/>
      <c r="KZX104" s="1"/>
      <c r="KZY104" s="1"/>
      <c r="KZZ104" s="1"/>
      <c r="LAA104" s="1"/>
      <c r="LAB104" s="1"/>
      <c r="LAC104" s="1"/>
      <c r="LAD104" s="1"/>
      <c r="LAE104" s="1"/>
      <c r="LAF104" s="1"/>
      <c r="LAG104" s="1"/>
      <c r="LAH104" s="1"/>
      <c r="LAI104" s="1"/>
      <c r="LAJ104" s="1"/>
      <c r="LAK104" s="1"/>
      <c r="LAL104" s="1"/>
      <c r="LAM104" s="1"/>
      <c r="LAN104" s="1"/>
      <c r="LAO104" s="1"/>
      <c r="LAP104" s="1"/>
      <c r="LAQ104" s="1"/>
      <c r="LAR104" s="1"/>
      <c r="LAS104" s="1"/>
      <c r="LAT104" s="1"/>
      <c r="LAU104" s="1"/>
      <c r="LAV104" s="1"/>
      <c r="LAW104" s="1"/>
      <c r="LAX104" s="1"/>
      <c r="LAY104" s="1"/>
      <c r="LAZ104" s="1"/>
      <c r="LBA104" s="1"/>
      <c r="LBB104" s="1"/>
      <c r="LBC104" s="1"/>
      <c r="LBD104" s="1"/>
      <c r="LBE104" s="1"/>
      <c r="LBF104" s="1"/>
      <c r="LBG104" s="1"/>
      <c r="LBH104" s="1"/>
      <c r="LBI104" s="1"/>
      <c r="LBJ104" s="1"/>
      <c r="LBK104" s="1"/>
      <c r="LBL104" s="1"/>
      <c r="LBM104" s="1"/>
      <c r="LBN104" s="1"/>
      <c r="LBO104" s="1"/>
      <c r="LBP104" s="1"/>
      <c r="LBQ104" s="1"/>
      <c r="LBR104" s="1"/>
      <c r="LBS104" s="1"/>
      <c r="LBT104" s="1"/>
      <c r="LBU104" s="1"/>
      <c r="LBV104" s="1"/>
      <c r="LBW104" s="1"/>
      <c r="LBX104" s="1"/>
      <c r="LBY104" s="1"/>
      <c r="LBZ104" s="1"/>
      <c r="LCA104" s="1"/>
      <c r="LCB104" s="1"/>
      <c r="LCC104" s="1"/>
      <c r="LCD104" s="1"/>
      <c r="LCE104" s="1"/>
      <c r="LCF104" s="1"/>
      <c r="LCG104" s="1"/>
      <c r="LCH104" s="1"/>
      <c r="LCI104" s="1"/>
      <c r="LCJ104" s="1"/>
      <c r="LCK104" s="1"/>
      <c r="LCL104" s="1"/>
      <c r="LCM104" s="1"/>
      <c r="LCN104" s="1"/>
      <c r="LCO104" s="1"/>
      <c r="LCP104" s="1"/>
      <c r="LCQ104" s="1"/>
      <c r="LCR104" s="1"/>
      <c r="LCS104" s="1"/>
      <c r="LCT104" s="1"/>
      <c r="LCU104" s="1"/>
      <c r="LCV104" s="1"/>
      <c r="LCW104" s="1"/>
      <c r="LCX104" s="1"/>
      <c r="LCY104" s="1"/>
      <c r="LCZ104" s="1"/>
      <c r="LDA104" s="1"/>
      <c r="LDB104" s="1"/>
      <c r="LDC104" s="1"/>
      <c r="LDD104" s="1"/>
      <c r="LDE104" s="1"/>
      <c r="LDF104" s="1"/>
      <c r="LDG104" s="1"/>
      <c r="LDH104" s="1"/>
      <c r="LDI104" s="1"/>
      <c r="LDJ104" s="1"/>
      <c r="LDK104" s="1"/>
      <c r="LDL104" s="1"/>
      <c r="LDM104" s="1"/>
      <c r="LDN104" s="1"/>
      <c r="LDO104" s="1"/>
      <c r="LDP104" s="1"/>
      <c r="LDQ104" s="1"/>
      <c r="LDR104" s="1"/>
      <c r="LDS104" s="1"/>
      <c r="LDT104" s="1"/>
      <c r="LDU104" s="1"/>
      <c r="LDV104" s="1"/>
      <c r="LDW104" s="1"/>
      <c r="LDX104" s="1"/>
      <c r="LDY104" s="1"/>
      <c r="LDZ104" s="1"/>
      <c r="LEA104" s="1"/>
      <c r="LEB104" s="1"/>
      <c r="LEC104" s="1"/>
      <c r="LED104" s="1"/>
      <c r="LEE104" s="1"/>
      <c r="LEF104" s="1"/>
      <c r="LEG104" s="1"/>
      <c r="LEH104" s="1"/>
      <c r="LEI104" s="1"/>
      <c r="LEJ104" s="1"/>
      <c r="LEK104" s="1"/>
      <c r="LEL104" s="1"/>
      <c r="LEM104" s="1"/>
      <c r="LEN104" s="1"/>
      <c r="LEO104" s="1"/>
      <c r="LEP104" s="1"/>
      <c r="LEQ104" s="1"/>
      <c r="LER104" s="1"/>
      <c r="LES104" s="1"/>
      <c r="LET104" s="1"/>
      <c r="LEU104" s="1"/>
      <c r="LEV104" s="1"/>
      <c r="LEW104" s="1"/>
      <c r="LEX104" s="1"/>
      <c r="LEY104" s="1"/>
      <c r="LEZ104" s="1"/>
      <c r="LFA104" s="1"/>
      <c r="LFB104" s="1"/>
      <c r="LFC104" s="1"/>
      <c r="LFD104" s="1"/>
      <c r="LFE104" s="1"/>
      <c r="LFF104" s="1"/>
      <c r="LFG104" s="1"/>
      <c r="LFH104" s="1"/>
      <c r="LFI104" s="1"/>
      <c r="LFJ104" s="1"/>
      <c r="LFK104" s="1"/>
      <c r="LFL104" s="1"/>
      <c r="LFM104" s="1"/>
      <c r="LFN104" s="1"/>
      <c r="LFO104" s="1"/>
      <c r="LFP104" s="1"/>
      <c r="LFQ104" s="1"/>
      <c r="LFR104" s="1"/>
      <c r="LFS104" s="1"/>
      <c r="LFT104" s="1"/>
      <c r="LFU104" s="1"/>
      <c r="LFV104" s="1"/>
      <c r="LFW104" s="1"/>
      <c r="LFX104" s="1"/>
      <c r="LFY104" s="1"/>
      <c r="LFZ104" s="1"/>
      <c r="LGA104" s="1"/>
      <c r="LGB104" s="1"/>
      <c r="LGC104" s="1"/>
      <c r="LGD104" s="1"/>
      <c r="LGE104" s="1"/>
      <c r="LGF104" s="1"/>
      <c r="LGG104" s="1"/>
      <c r="LGH104" s="1"/>
      <c r="LGI104" s="1"/>
      <c r="LGJ104" s="1"/>
      <c r="LGK104" s="1"/>
      <c r="LGL104" s="1"/>
      <c r="LGM104" s="1"/>
      <c r="LGN104" s="1"/>
      <c r="LGO104" s="1"/>
      <c r="LGP104" s="1"/>
      <c r="LGQ104" s="1"/>
      <c r="LGR104" s="1"/>
      <c r="LGS104" s="1"/>
      <c r="LGT104" s="1"/>
      <c r="LGU104" s="1"/>
      <c r="LGV104" s="1"/>
      <c r="LGW104" s="1"/>
      <c r="LGX104" s="1"/>
      <c r="LGY104" s="1"/>
      <c r="LGZ104" s="1"/>
      <c r="LHA104" s="1"/>
      <c r="LHB104" s="1"/>
      <c r="LHC104" s="1"/>
      <c r="LHD104" s="1"/>
      <c r="LHE104" s="1"/>
      <c r="LHF104" s="1"/>
      <c r="LHG104" s="1"/>
      <c r="LHH104" s="1"/>
      <c r="LHI104" s="1"/>
      <c r="LHJ104" s="1"/>
      <c r="LHK104" s="1"/>
      <c r="LHL104" s="1"/>
      <c r="LHM104" s="1"/>
      <c r="LHN104" s="1"/>
      <c r="LHO104" s="1"/>
      <c r="LHP104" s="1"/>
      <c r="LHQ104" s="1"/>
      <c r="LHR104" s="1"/>
      <c r="LHS104" s="1"/>
      <c r="LHT104" s="1"/>
      <c r="LHU104" s="1"/>
      <c r="LHV104" s="1"/>
      <c r="LHW104" s="1"/>
      <c r="LHX104" s="1"/>
      <c r="LHY104" s="1"/>
      <c r="LHZ104" s="1"/>
      <c r="LIA104" s="1"/>
      <c r="LIB104" s="1"/>
      <c r="LIC104" s="1"/>
      <c r="LID104" s="1"/>
      <c r="LIE104" s="1"/>
      <c r="LIF104" s="1"/>
      <c r="LIG104" s="1"/>
      <c r="LIH104" s="1"/>
      <c r="LII104" s="1"/>
      <c r="LIJ104" s="1"/>
      <c r="LIK104" s="1"/>
      <c r="LIL104" s="1"/>
      <c r="LIM104" s="1"/>
      <c r="LIN104" s="1"/>
      <c r="LIO104" s="1"/>
      <c r="LIP104" s="1"/>
      <c r="LIQ104" s="1"/>
      <c r="LIR104" s="1"/>
      <c r="LIS104" s="1"/>
      <c r="LIT104" s="1"/>
      <c r="LIU104" s="1"/>
      <c r="LIV104" s="1"/>
      <c r="LIW104" s="1"/>
      <c r="LIX104" s="1"/>
      <c r="LIY104" s="1"/>
      <c r="LIZ104" s="1"/>
      <c r="LJA104" s="1"/>
      <c r="LJB104" s="1"/>
      <c r="LJC104" s="1"/>
      <c r="LJD104" s="1"/>
      <c r="LJE104" s="1"/>
      <c r="LJF104" s="1"/>
      <c r="LJG104" s="1"/>
      <c r="LJH104" s="1"/>
      <c r="LJI104" s="1"/>
      <c r="LJJ104" s="1"/>
      <c r="LJK104" s="1"/>
      <c r="LJL104" s="1"/>
      <c r="LJM104" s="1"/>
      <c r="LJN104" s="1"/>
      <c r="LJO104" s="1"/>
      <c r="LJP104" s="1"/>
      <c r="LJQ104" s="1"/>
      <c r="LJR104" s="1"/>
      <c r="LJS104" s="1"/>
      <c r="LJT104" s="1"/>
      <c r="LJU104" s="1"/>
      <c r="LJV104" s="1"/>
      <c r="LJW104" s="1"/>
      <c r="LJX104" s="1"/>
      <c r="LJY104" s="1"/>
      <c r="LJZ104" s="1"/>
      <c r="LKA104" s="1"/>
      <c r="LKB104" s="1"/>
      <c r="LKC104" s="1"/>
      <c r="LKD104" s="1"/>
      <c r="LKE104" s="1"/>
      <c r="LKF104" s="1"/>
      <c r="LKG104" s="1"/>
      <c r="LKH104" s="1"/>
      <c r="LKI104" s="1"/>
      <c r="LKJ104" s="1"/>
      <c r="LKK104" s="1"/>
      <c r="LKL104" s="1"/>
      <c r="LKM104" s="1"/>
      <c r="LKN104" s="1"/>
      <c r="LKO104" s="1"/>
      <c r="LKP104" s="1"/>
      <c r="LKQ104" s="1"/>
      <c r="LKR104" s="1"/>
      <c r="LKS104" s="1"/>
      <c r="LKT104" s="1"/>
      <c r="LKU104" s="1"/>
      <c r="LKV104" s="1"/>
      <c r="LKW104" s="1"/>
      <c r="LKX104" s="1"/>
      <c r="LKY104" s="1"/>
      <c r="LKZ104" s="1"/>
      <c r="LLA104" s="1"/>
      <c r="LLB104" s="1"/>
      <c r="LLC104" s="1"/>
      <c r="LLD104" s="1"/>
      <c r="LLE104" s="1"/>
      <c r="LLF104" s="1"/>
      <c r="LLG104" s="1"/>
      <c r="LLH104" s="1"/>
      <c r="LLI104" s="1"/>
      <c r="LLJ104" s="1"/>
      <c r="LLK104" s="1"/>
      <c r="LLL104" s="1"/>
      <c r="LLM104" s="1"/>
      <c r="LLN104" s="1"/>
      <c r="LLO104" s="1"/>
      <c r="LLP104" s="1"/>
      <c r="LLQ104" s="1"/>
      <c r="LLR104" s="1"/>
      <c r="LLS104" s="1"/>
      <c r="LLT104" s="1"/>
      <c r="LLU104" s="1"/>
      <c r="LLV104" s="1"/>
      <c r="LLW104" s="1"/>
      <c r="LLX104" s="1"/>
      <c r="LLY104" s="1"/>
      <c r="LLZ104" s="1"/>
      <c r="LMA104" s="1"/>
      <c r="LMB104" s="1"/>
      <c r="LMC104" s="1"/>
      <c r="LMD104" s="1"/>
      <c r="LME104" s="1"/>
      <c r="LMF104" s="1"/>
      <c r="LMG104" s="1"/>
      <c r="LMH104" s="1"/>
      <c r="LMI104" s="1"/>
      <c r="LMJ104" s="1"/>
      <c r="LMK104" s="1"/>
      <c r="LML104" s="1"/>
      <c r="LMM104" s="1"/>
      <c r="LMN104" s="1"/>
      <c r="LMO104" s="1"/>
      <c r="LMP104" s="1"/>
      <c r="LMQ104" s="1"/>
      <c r="LMR104" s="1"/>
      <c r="LMS104" s="1"/>
      <c r="LMT104" s="1"/>
      <c r="LMU104" s="1"/>
      <c r="LMV104" s="1"/>
      <c r="LMW104" s="1"/>
      <c r="LMX104" s="1"/>
      <c r="LMY104" s="1"/>
      <c r="LMZ104" s="1"/>
      <c r="LNA104" s="1"/>
      <c r="LNB104" s="1"/>
      <c r="LNC104" s="1"/>
      <c r="LND104" s="1"/>
      <c r="LNE104" s="1"/>
      <c r="LNF104" s="1"/>
      <c r="LNG104" s="1"/>
      <c r="LNH104" s="1"/>
      <c r="LNI104" s="1"/>
      <c r="LNJ104" s="1"/>
      <c r="LNK104" s="1"/>
      <c r="LNL104" s="1"/>
      <c r="LNM104" s="1"/>
      <c r="LNN104" s="1"/>
      <c r="LNO104" s="1"/>
      <c r="LNP104" s="1"/>
      <c r="LNQ104" s="1"/>
      <c r="LNR104" s="1"/>
      <c r="LNS104" s="1"/>
      <c r="LNT104" s="1"/>
      <c r="LNU104" s="1"/>
      <c r="LNV104" s="1"/>
      <c r="LNW104" s="1"/>
      <c r="LNX104" s="1"/>
      <c r="LNY104" s="1"/>
      <c r="LNZ104" s="1"/>
      <c r="LOA104" s="1"/>
      <c r="LOB104" s="1"/>
      <c r="LOC104" s="1"/>
      <c r="LOD104" s="1"/>
      <c r="LOE104" s="1"/>
      <c r="LOF104" s="1"/>
      <c r="LOG104" s="1"/>
      <c r="LOH104" s="1"/>
      <c r="LOI104" s="1"/>
      <c r="LOJ104" s="1"/>
      <c r="LOK104" s="1"/>
      <c r="LOL104" s="1"/>
      <c r="LOM104" s="1"/>
      <c r="LON104" s="1"/>
      <c r="LOO104" s="1"/>
      <c r="LOP104" s="1"/>
      <c r="LOQ104" s="1"/>
      <c r="LOR104" s="1"/>
      <c r="LOS104" s="1"/>
      <c r="LOT104" s="1"/>
      <c r="LOU104" s="1"/>
      <c r="LOV104" s="1"/>
      <c r="LOW104" s="1"/>
      <c r="LOX104" s="1"/>
      <c r="LOY104" s="1"/>
      <c r="LOZ104" s="1"/>
      <c r="LPA104" s="1"/>
      <c r="LPB104" s="1"/>
      <c r="LPC104" s="1"/>
      <c r="LPD104" s="1"/>
      <c r="LPE104" s="1"/>
      <c r="LPF104" s="1"/>
      <c r="LPG104" s="1"/>
      <c r="LPH104" s="1"/>
      <c r="LPI104" s="1"/>
      <c r="LPJ104" s="1"/>
      <c r="LPK104" s="1"/>
      <c r="LPL104" s="1"/>
      <c r="LPM104" s="1"/>
      <c r="LPN104" s="1"/>
      <c r="LPO104" s="1"/>
      <c r="LPP104" s="1"/>
      <c r="LPQ104" s="1"/>
      <c r="LPR104" s="1"/>
      <c r="LPS104" s="1"/>
      <c r="LPT104" s="1"/>
      <c r="LPU104" s="1"/>
      <c r="LPV104" s="1"/>
      <c r="LPW104" s="1"/>
      <c r="LPX104" s="1"/>
      <c r="LPY104" s="1"/>
      <c r="LPZ104" s="1"/>
      <c r="LQA104" s="1"/>
      <c r="LQB104" s="1"/>
      <c r="LQC104" s="1"/>
      <c r="LQD104" s="1"/>
      <c r="LQE104" s="1"/>
      <c r="LQF104" s="1"/>
      <c r="LQG104" s="1"/>
      <c r="LQH104" s="1"/>
      <c r="LQI104" s="1"/>
      <c r="LQJ104" s="1"/>
      <c r="LQK104" s="1"/>
      <c r="LQL104" s="1"/>
      <c r="LQM104" s="1"/>
      <c r="LQN104" s="1"/>
      <c r="LQO104" s="1"/>
      <c r="LQP104" s="1"/>
      <c r="LQQ104" s="1"/>
      <c r="LQR104" s="1"/>
      <c r="LQS104" s="1"/>
      <c r="LQT104" s="1"/>
      <c r="LQU104" s="1"/>
      <c r="LQV104" s="1"/>
      <c r="LQW104" s="1"/>
      <c r="LQX104" s="1"/>
      <c r="LQY104" s="1"/>
      <c r="LQZ104" s="1"/>
      <c r="LRA104" s="1"/>
      <c r="LRB104" s="1"/>
      <c r="LRC104" s="1"/>
      <c r="LRD104" s="1"/>
      <c r="LRE104" s="1"/>
      <c r="LRF104" s="1"/>
      <c r="LRG104" s="1"/>
      <c r="LRH104" s="1"/>
      <c r="LRI104" s="1"/>
      <c r="LRJ104" s="1"/>
      <c r="LRK104" s="1"/>
      <c r="LRL104" s="1"/>
      <c r="LRM104" s="1"/>
      <c r="LRN104" s="1"/>
      <c r="LRO104" s="1"/>
      <c r="LRP104" s="1"/>
      <c r="LRQ104" s="1"/>
      <c r="LRR104" s="1"/>
      <c r="LRS104" s="1"/>
      <c r="LRT104" s="1"/>
      <c r="LRU104" s="1"/>
      <c r="LRV104" s="1"/>
      <c r="LRW104" s="1"/>
      <c r="LRX104" s="1"/>
      <c r="LRY104" s="1"/>
      <c r="LRZ104" s="1"/>
      <c r="LSA104" s="1"/>
      <c r="LSB104" s="1"/>
      <c r="LSC104" s="1"/>
      <c r="LSD104" s="1"/>
      <c r="LSE104" s="1"/>
      <c r="LSF104" s="1"/>
      <c r="LSG104" s="1"/>
      <c r="LSH104" s="1"/>
      <c r="LSI104" s="1"/>
      <c r="LSJ104" s="1"/>
      <c r="LSK104" s="1"/>
      <c r="LSL104" s="1"/>
      <c r="LSM104" s="1"/>
      <c r="LSN104" s="1"/>
      <c r="LSO104" s="1"/>
      <c r="LSP104" s="1"/>
      <c r="LSQ104" s="1"/>
      <c r="LSR104" s="1"/>
      <c r="LSS104" s="1"/>
      <c r="LST104" s="1"/>
      <c r="LSU104" s="1"/>
      <c r="LSV104" s="1"/>
      <c r="LSW104" s="1"/>
      <c r="LSX104" s="1"/>
      <c r="LSY104" s="1"/>
      <c r="LSZ104" s="1"/>
      <c r="LTA104" s="1"/>
      <c r="LTB104" s="1"/>
      <c r="LTC104" s="1"/>
      <c r="LTD104" s="1"/>
      <c r="LTE104" s="1"/>
      <c r="LTF104" s="1"/>
      <c r="LTG104" s="1"/>
      <c r="LTH104" s="1"/>
      <c r="LTI104" s="1"/>
      <c r="LTJ104" s="1"/>
      <c r="LTK104" s="1"/>
      <c r="LTL104" s="1"/>
      <c r="LTM104" s="1"/>
      <c r="LTN104" s="1"/>
      <c r="LTO104" s="1"/>
      <c r="LTP104" s="1"/>
      <c r="LTQ104" s="1"/>
      <c r="LTR104" s="1"/>
      <c r="LTS104" s="1"/>
      <c r="LTT104" s="1"/>
      <c r="LTU104" s="1"/>
      <c r="LTV104" s="1"/>
      <c r="LTW104" s="1"/>
      <c r="LTX104" s="1"/>
      <c r="LTY104" s="1"/>
      <c r="LTZ104" s="1"/>
      <c r="LUA104" s="1"/>
      <c r="LUB104" s="1"/>
      <c r="LUC104" s="1"/>
      <c r="LUD104" s="1"/>
      <c r="LUE104" s="1"/>
      <c r="LUF104" s="1"/>
      <c r="LUG104" s="1"/>
      <c r="LUH104" s="1"/>
      <c r="LUI104" s="1"/>
      <c r="LUJ104" s="1"/>
      <c r="LUK104" s="1"/>
      <c r="LUL104" s="1"/>
      <c r="LUM104" s="1"/>
      <c r="LUN104" s="1"/>
      <c r="LUO104" s="1"/>
      <c r="LUP104" s="1"/>
      <c r="LUQ104" s="1"/>
      <c r="LUR104" s="1"/>
      <c r="LUS104" s="1"/>
      <c r="LUT104" s="1"/>
      <c r="LUU104" s="1"/>
      <c r="LUV104" s="1"/>
      <c r="LUW104" s="1"/>
      <c r="LUX104" s="1"/>
      <c r="LUY104" s="1"/>
      <c r="LUZ104" s="1"/>
      <c r="LVA104" s="1"/>
      <c r="LVB104" s="1"/>
      <c r="LVC104" s="1"/>
      <c r="LVD104" s="1"/>
      <c r="LVE104" s="1"/>
      <c r="LVF104" s="1"/>
      <c r="LVG104" s="1"/>
      <c r="LVH104" s="1"/>
      <c r="LVI104" s="1"/>
      <c r="LVJ104" s="1"/>
      <c r="LVK104" s="1"/>
      <c r="LVL104" s="1"/>
      <c r="LVM104" s="1"/>
      <c r="LVN104" s="1"/>
      <c r="LVO104" s="1"/>
      <c r="LVP104" s="1"/>
      <c r="LVQ104" s="1"/>
      <c r="LVR104" s="1"/>
      <c r="LVS104" s="1"/>
      <c r="LVT104" s="1"/>
      <c r="LVU104" s="1"/>
      <c r="LVV104" s="1"/>
      <c r="LVW104" s="1"/>
      <c r="LVX104" s="1"/>
      <c r="LVY104" s="1"/>
      <c r="LVZ104" s="1"/>
      <c r="LWA104" s="1"/>
      <c r="LWB104" s="1"/>
      <c r="LWC104" s="1"/>
      <c r="LWD104" s="1"/>
      <c r="LWE104" s="1"/>
      <c r="LWF104" s="1"/>
      <c r="LWG104" s="1"/>
      <c r="LWH104" s="1"/>
      <c r="LWI104" s="1"/>
      <c r="LWJ104" s="1"/>
      <c r="LWK104" s="1"/>
      <c r="LWL104" s="1"/>
      <c r="LWM104" s="1"/>
      <c r="LWN104" s="1"/>
      <c r="LWO104" s="1"/>
      <c r="LWP104" s="1"/>
      <c r="LWQ104" s="1"/>
      <c r="LWR104" s="1"/>
      <c r="LWS104" s="1"/>
      <c r="LWT104" s="1"/>
      <c r="LWU104" s="1"/>
      <c r="LWV104" s="1"/>
      <c r="LWW104" s="1"/>
      <c r="LWX104" s="1"/>
      <c r="LWY104" s="1"/>
      <c r="LWZ104" s="1"/>
      <c r="LXA104" s="1"/>
      <c r="LXB104" s="1"/>
      <c r="LXC104" s="1"/>
      <c r="LXD104" s="1"/>
      <c r="LXE104" s="1"/>
      <c r="LXF104" s="1"/>
      <c r="LXG104" s="1"/>
      <c r="LXH104" s="1"/>
      <c r="LXI104" s="1"/>
      <c r="LXJ104" s="1"/>
      <c r="LXK104" s="1"/>
      <c r="LXL104" s="1"/>
      <c r="LXM104" s="1"/>
      <c r="LXN104" s="1"/>
      <c r="LXO104" s="1"/>
      <c r="LXP104" s="1"/>
      <c r="LXQ104" s="1"/>
      <c r="LXR104" s="1"/>
      <c r="LXS104" s="1"/>
      <c r="LXT104" s="1"/>
      <c r="LXU104" s="1"/>
      <c r="LXV104" s="1"/>
      <c r="LXW104" s="1"/>
      <c r="LXX104" s="1"/>
      <c r="LXY104" s="1"/>
      <c r="LXZ104" s="1"/>
      <c r="LYA104" s="1"/>
      <c r="LYB104" s="1"/>
      <c r="LYC104" s="1"/>
      <c r="LYD104" s="1"/>
      <c r="LYE104" s="1"/>
      <c r="LYF104" s="1"/>
      <c r="LYG104" s="1"/>
      <c r="LYH104" s="1"/>
      <c r="LYI104" s="1"/>
      <c r="LYJ104" s="1"/>
      <c r="LYK104" s="1"/>
      <c r="LYL104" s="1"/>
      <c r="LYM104" s="1"/>
      <c r="LYN104" s="1"/>
      <c r="LYO104" s="1"/>
      <c r="LYP104" s="1"/>
      <c r="LYQ104" s="1"/>
      <c r="LYR104" s="1"/>
      <c r="LYS104" s="1"/>
      <c r="LYT104" s="1"/>
      <c r="LYU104" s="1"/>
      <c r="LYV104" s="1"/>
      <c r="LYW104" s="1"/>
      <c r="LYX104" s="1"/>
      <c r="LYY104" s="1"/>
      <c r="LYZ104" s="1"/>
      <c r="LZA104" s="1"/>
      <c r="LZB104" s="1"/>
      <c r="LZC104" s="1"/>
      <c r="LZD104" s="1"/>
      <c r="LZE104" s="1"/>
      <c r="LZF104" s="1"/>
      <c r="LZG104" s="1"/>
      <c r="LZH104" s="1"/>
      <c r="LZI104" s="1"/>
      <c r="LZJ104" s="1"/>
      <c r="LZK104" s="1"/>
      <c r="LZL104" s="1"/>
      <c r="LZM104" s="1"/>
      <c r="LZN104" s="1"/>
      <c r="LZO104" s="1"/>
      <c r="LZP104" s="1"/>
      <c r="LZQ104" s="1"/>
      <c r="LZR104" s="1"/>
      <c r="LZS104" s="1"/>
      <c r="LZT104" s="1"/>
      <c r="LZU104" s="1"/>
      <c r="LZV104" s="1"/>
      <c r="LZW104" s="1"/>
      <c r="LZX104" s="1"/>
      <c r="LZY104" s="1"/>
      <c r="LZZ104" s="1"/>
      <c r="MAA104" s="1"/>
      <c r="MAB104" s="1"/>
      <c r="MAC104" s="1"/>
      <c r="MAD104" s="1"/>
      <c r="MAE104" s="1"/>
      <c r="MAF104" s="1"/>
      <c r="MAG104" s="1"/>
      <c r="MAH104" s="1"/>
      <c r="MAI104" s="1"/>
      <c r="MAJ104" s="1"/>
      <c r="MAK104" s="1"/>
      <c r="MAL104" s="1"/>
      <c r="MAM104" s="1"/>
      <c r="MAN104" s="1"/>
      <c r="MAO104" s="1"/>
      <c r="MAP104" s="1"/>
      <c r="MAQ104" s="1"/>
      <c r="MAR104" s="1"/>
      <c r="MAS104" s="1"/>
      <c r="MAT104" s="1"/>
      <c r="MAU104" s="1"/>
      <c r="MAV104" s="1"/>
      <c r="MAW104" s="1"/>
      <c r="MAX104" s="1"/>
      <c r="MAY104" s="1"/>
      <c r="MAZ104" s="1"/>
      <c r="MBA104" s="1"/>
      <c r="MBB104" s="1"/>
      <c r="MBC104" s="1"/>
      <c r="MBD104" s="1"/>
      <c r="MBE104" s="1"/>
      <c r="MBF104" s="1"/>
      <c r="MBG104" s="1"/>
      <c r="MBH104" s="1"/>
      <c r="MBI104" s="1"/>
      <c r="MBJ104" s="1"/>
      <c r="MBK104" s="1"/>
      <c r="MBL104" s="1"/>
      <c r="MBM104" s="1"/>
      <c r="MBN104" s="1"/>
      <c r="MBO104" s="1"/>
      <c r="MBP104" s="1"/>
      <c r="MBQ104" s="1"/>
      <c r="MBR104" s="1"/>
      <c r="MBS104" s="1"/>
      <c r="MBT104" s="1"/>
      <c r="MBU104" s="1"/>
      <c r="MBV104" s="1"/>
      <c r="MBW104" s="1"/>
      <c r="MBX104" s="1"/>
      <c r="MBY104" s="1"/>
      <c r="MBZ104" s="1"/>
      <c r="MCA104" s="1"/>
      <c r="MCB104" s="1"/>
      <c r="MCC104" s="1"/>
      <c r="MCD104" s="1"/>
      <c r="MCE104" s="1"/>
      <c r="MCF104" s="1"/>
      <c r="MCG104" s="1"/>
      <c r="MCH104" s="1"/>
      <c r="MCI104" s="1"/>
      <c r="MCJ104" s="1"/>
      <c r="MCK104" s="1"/>
      <c r="MCL104" s="1"/>
      <c r="MCM104" s="1"/>
      <c r="MCN104" s="1"/>
      <c r="MCO104" s="1"/>
      <c r="MCP104" s="1"/>
      <c r="MCQ104" s="1"/>
      <c r="MCR104" s="1"/>
      <c r="MCS104" s="1"/>
      <c r="MCT104" s="1"/>
      <c r="MCU104" s="1"/>
      <c r="MCV104" s="1"/>
      <c r="MCW104" s="1"/>
      <c r="MCX104" s="1"/>
      <c r="MCY104" s="1"/>
      <c r="MCZ104" s="1"/>
      <c r="MDA104" s="1"/>
      <c r="MDB104" s="1"/>
      <c r="MDC104" s="1"/>
      <c r="MDD104" s="1"/>
      <c r="MDE104" s="1"/>
      <c r="MDF104" s="1"/>
      <c r="MDG104" s="1"/>
      <c r="MDH104" s="1"/>
      <c r="MDI104" s="1"/>
      <c r="MDJ104" s="1"/>
      <c r="MDK104" s="1"/>
      <c r="MDL104" s="1"/>
      <c r="MDM104" s="1"/>
      <c r="MDN104" s="1"/>
      <c r="MDO104" s="1"/>
      <c r="MDP104" s="1"/>
      <c r="MDQ104" s="1"/>
      <c r="MDR104" s="1"/>
      <c r="MDS104" s="1"/>
      <c r="MDT104" s="1"/>
      <c r="MDU104" s="1"/>
      <c r="MDV104" s="1"/>
      <c r="MDW104" s="1"/>
      <c r="MDX104" s="1"/>
      <c r="MDY104" s="1"/>
      <c r="MDZ104" s="1"/>
      <c r="MEA104" s="1"/>
      <c r="MEB104" s="1"/>
      <c r="MEC104" s="1"/>
      <c r="MED104" s="1"/>
      <c r="MEE104" s="1"/>
      <c r="MEF104" s="1"/>
      <c r="MEG104" s="1"/>
      <c r="MEH104" s="1"/>
      <c r="MEI104" s="1"/>
      <c r="MEJ104" s="1"/>
      <c r="MEK104" s="1"/>
      <c r="MEL104" s="1"/>
      <c r="MEM104" s="1"/>
      <c r="MEN104" s="1"/>
      <c r="MEO104" s="1"/>
      <c r="MEP104" s="1"/>
      <c r="MEQ104" s="1"/>
      <c r="MER104" s="1"/>
      <c r="MES104" s="1"/>
      <c r="MET104" s="1"/>
      <c r="MEU104" s="1"/>
      <c r="MEV104" s="1"/>
      <c r="MEW104" s="1"/>
      <c r="MEX104" s="1"/>
      <c r="MEY104" s="1"/>
      <c r="MEZ104" s="1"/>
      <c r="MFA104" s="1"/>
      <c r="MFB104" s="1"/>
      <c r="MFC104" s="1"/>
      <c r="MFD104" s="1"/>
      <c r="MFE104" s="1"/>
      <c r="MFF104" s="1"/>
      <c r="MFG104" s="1"/>
      <c r="MFH104" s="1"/>
      <c r="MFI104" s="1"/>
      <c r="MFJ104" s="1"/>
      <c r="MFK104" s="1"/>
      <c r="MFL104" s="1"/>
      <c r="MFM104" s="1"/>
      <c r="MFN104" s="1"/>
      <c r="MFO104" s="1"/>
      <c r="MFP104" s="1"/>
      <c r="MFQ104" s="1"/>
      <c r="MFR104" s="1"/>
      <c r="MFS104" s="1"/>
      <c r="MFT104" s="1"/>
      <c r="MFU104" s="1"/>
      <c r="MFV104" s="1"/>
      <c r="MFW104" s="1"/>
      <c r="MFX104" s="1"/>
      <c r="MFY104" s="1"/>
      <c r="MFZ104" s="1"/>
      <c r="MGA104" s="1"/>
      <c r="MGB104" s="1"/>
      <c r="MGC104" s="1"/>
      <c r="MGD104" s="1"/>
      <c r="MGE104" s="1"/>
      <c r="MGF104" s="1"/>
      <c r="MGG104" s="1"/>
      <c r="MGH104" s="1"/>
      <c r="MGI104" s="1"/>
      <c r="MGJ104" s="1"/>
      <c r="MGK104" s="1"/>
      <c r="MGL104" s="1"/>
      <c r="MGM104" s="1"/>
      <c r="MGN104" s="1"/>
      <c r="MGO104" s="1"/>
      <c r="MGP104" s="1"/>
      <c r="MGQ104" s="1"/>
      <c r="MGR104" s="1"/>
      <c r="MGS104" s="1"/>
      <c r="MGT104" s="1"/>
      <c r="MGU104" s="1"/>
      <c r="MGV104" s="1"/>
      <c r="MGW104" s="1"/>
      <c r="MGX104" s="1"/>
      <c r="MGY104" s="1"/>
      <c r="MGZ104" s="1"/>
      <c r="MHA104" s="1"/>
      <c r="MHB104" s="1"/>
      <c r="MHC104" s="1"/>
      <c r="MHD104" s="1"/>
      <c r="MHE104" s="1"/>
      <c r="MHF104" s="1"/>
      <c r="MHG104" s="1"/>
      <c r="MHH104" s="1"/>
      <c r="MHI104" s="1"/>
      <c r="MHJ104" s="1"/>
      <c r="MHK104" s="1"/>
      <c r="MHL104" s="1"/>
      <c r="MHM104" s="1"/>
      <c r="MHN104" s="1"/>
      <c r="MHO104" s="1"/>
      <c r="MHP104" s="1"/>
      <c r="MHQ104" s="1"/>
      <c r="MHR104" s="1"/>
      <c r="MHS104" s="1"/>
      <c r="MHT104" s="1"/>
      <c r="MHU104" s="1"/>
      <c r="MHV104" s="1"/>
      <c r="MHW104" s="1"/>
      <c r="MHX104" s="1"/>
      <c r="MHY104" s="1"/>
      <c r="MHZ104" s="1"/>
      <c r="MIA104" s="1"/>
      <c r="MIB104" s="1"/>
      <c r="MIC104" s="1"/>
      <c r="MID104" s="1"/>
      <c r="MIE104" s="1"/>
      <c r="MIF104" s="1"/>
      <c r="MIG104" s="1"/>
      <c r="MIH104" s="1"/>
      <c r="MII104" s="1"/>
      <c r="MIJ104" s="1"/>
      <c r="MIK104" s="1"/>
      <c r="MIL104" s="1"/>
      <c r="MIM104" s="1"/>
      <c r="MIN104" s="1"/>
      <c r="MIO104" s="1"/>
      <c r="MIP104" s="1"/>
      <c r="MIQ104" s="1"/>
      <c r="MIR104" s="1"/>
      <c r="MIS104" s="1"/>
      <c r="MIT104" s="1"/>
      <c r="MIU104" s="1"/>
      <c r="MIV104" s="1"/>
      <c r="MIW104" s="1"/>
      <c r="MIX104" s="1"/>
      <c r="MIY104" s="1"/>
      <c r="MIZ104" s="1"/>
      <c r="MJA104" s="1"/>
      <c r="MJB104" s="1"/>
      <c r="MJC104" s="1"/>
      <c r="MJD104" s="1"/>
      <c r="MJE104" s="1"/>
      <c r="MJF104" s="1"/>
      <c r="MJG104" s="1"/>
      <c r="MJH104" s="1"/>
      <c r="MJI104" s="1"/>
      <c r="MJJ104" s="1"/>
      <c r="MJK104" s="1"/>
      <c r="MJL104" s="1"/>
      <c r="MJM104" s="1"/>
      <c r="MJN104" s="1"/>
      <c r="MJO104" s="1"/>
      <c r="MJP104" s="1"/>
      <c r="MJQ104" s="1"/>
      <c r="MJR104" s="1"/>
      <c r="MJS104" s="1"/>
      <c r="MJT104" s="1"/>
      <c r="MJU104" s="1"/>
      <c r="MJV104" s="1"/>
      <c r="MJW104" s="1"/>
      <c r="MJX104" s="1"/>
      <c r="MJY104" s="1"/>
      <c r="MJZ104" s="1"/>
      <c r="MKA104" s="1"/>
      <c r="MKB104" s="1"/>
      <c r="MKC104" s="1"/>
      <c r="MKD104" s="1"/>
      <c r="MKE104" s="1"/>
      <c r="MKF104" s="1"/>
      <c r="MKG104" s="1"/>
      <c r="MKH104" s="1"/>
      <c r="MKI104" s="1"/>
      <c r="MKJ104" s="1"/>
      <c r="MKK104" s="1"/>
      <c r="MKL104" s="1"/>
      <c r="MKM104" s="1"/>
      <c r="MKN104" s="1"/>
      <c r="MKO104" s="1"/>
      <c r="MKP104" s="1"/>
      <c r="MKQ104" s="1"/>
      <c r="MKR104" s="1"/>
      <c r="MKS104" s="1"/>
      <c r="MKT104" s="1"/>
      <c r="MKU104" s="1"/>
      <c r="MKV104" s="1"/>
      <c r="MKW104" s="1"/>
      <c r="MKX104" s="1"/>
      <c r="MKY104" s="1"/>
      <c r="MKZ104" s="1"/>
      <c r="MLA104" s="1"/>
      <c r="MLB104" s="1"/>
      <c r="MLC104" s="1"/>
      <c r="MLD104" s="1"/>
      <c r="MLE104" s="1"/>
      <c r="MLF104" s="1"/>
      <c r="MLG104" s="1"/>
      <c r="MLH104" s="1"/>
      <c r="MLI104" s="1"/>
      <c r="MLJ104" s="1"/>
      <c r="MLK104" s="1"/>
      <c r="MLL104" s="1"/>
      <c r="MLM104" s="1"/>
      <c r="MLN104" s="1"/>
      <c r="MLO104" s="1"/>
      <c r="MLP104" s="1"/>
      <c r="MLQ104" s="1"/>
      <c r="MLR104" s="1"/>
      <c r="MLS104" s="1"/>
      <c r="MLT104" s="1"/>
      <c r="MLU104" s="1"/>
      <c r="MLV104" s="1"/>
      <c r="MLW104" s="1"/>
      <c r="MLX104" s="1"/>
      <c r="MLY104" s="1"/>
      <c r="MLZ104" s="1"/>
      <c r="MMA104" s="1"/>
      <c r="MMB104" s="1"/>
      <c r="MMC104" s="1"/>
      <c r="MMD104" s="1"/>
      <c r="MME104" s="1"/>
      <c r="MMF104" s="1"/>
      <c r="MMG104" s="1"/>
      <c r="MMH104" s="1"/>
      <c r="MMI104" s="1"/>
      <c r="MMJ104" s="1"/>
      <c r="MMK104" s="1"/>
      <c r="MML104" s="1"/>
      <c r="MMM104" s="1"/>
      <c r="MMN104" s="1"/>
      <c r="MMO104" s="1"/>
      <c r="MMP104" s="1"/>
      <c r="MMQ104" s="1"/>
      <c r="MMR104" s="1"/>
      <c r="MMS104" s="1"/>
      <c r="MMT104" s="1"/>
      <c r="MMU104" s="1"/>
      <c r="MMV104" s="1"/>
      <c r="MMW104" s="1"/>
      <c r="MMX104" s="1"/>
      <c r="MMY104" s="1"/>
      <c r="MMZ104" s="1"/>
      <c r="MNA104" s="1"/>
      <c r="MNB104" s="1"/>
      <c r="MNC104" s="1"/>
      <c r="MND104" s="1"/>
      <c r="MNE104" s="1"/>
      <c r="MNF104" s="1"/>
      <c r="MNG104" s="1"/>
      <c r="MNH104" s="1"/>
      <c r="MNI104" s="1"/>
      <c r="MNJ104" s="1"/>
      <c r="MNK104" s="1"/>
      <c r="MNL104" s="1"/>
      <c r="MNM104" s="1"/>
      <c r="MNN104" s="1"/>
      <c r="MNO104" s="1"/>
      <c r="MNP104" s="1"/>
      <c r="MNQ104" s="1"/>
      <c r="MNR104" s="1"/>
      <c r="MNS104" s="1"/>
      <c r="MNT104" s="1"/>
      <c r="MNU104" s="1"/>
      <c r="MNV104" s="1"/>
      <c r="MNW104" s="1"/>
      <c r="MNX104" s="1"/>
      <c r="MNY104" s="1"/>
      <c r="MNZ104" s="1"/>
      <c r="MOA104" s="1"/>
      <c r="MOB104" s="1"/>
      <c r="MOC104" s="1"/>
      <c r="MOD104" s="1"/>
      <c r="MOE104" s="1"/>
      <c r="MOF104" s="1"/>
      <c r="MOG104" s="1"/>
      <c r="MOH104" s="1"/>
      <c r="MOI104" s="1"/>
      <c r="MOJ104" s="1"/>
      <c r="MOK104" s="1"/>
      <c r="MOL104" s="1"/>
      <c r="MOM104" s="1"/>
      <c r="MON104" s="1"/>
      <c r="MOO104" s="1"/>
      <c r="MOP104" s="1"/>
      <c r="MOQ104" s="1"/>
      <c r="MOR104" s="1"/>
      <c r="MOS104" s="1"/>
      <c r="MOT104" s="1"/>
      <c r="MOU104" s="1"/>
      <c r="MOV104" s="1"/>
      <c r="MOW104" s="1"/>
      <c r="MOX104" s="1"/>
      <c r="MOY104" s="1"/>
      <c r="MOZ104" s="1"/>
      <c r="MPA104" s="1"/>
      <c r="MPB104" s="1"/>
      <c r="MPC104" s="1"/>
      <c r="MPD104" s="1"/>
      <c r="MPE104" s="1"/>
      <c r="MPF104" s="1"/>
      <c r="MPG104" s="1"/>
      <c r="MPH104" s="1"/>
      <c r="MPI104" s="1"/>
      <c r="MPJ104" s="1"/>
      <c r="MPK104" s="1"/>
      <c r="MPL104" s="1"/>
      <c r="MPM104" s="1"/>
      <c r="MPN104" s="1"/>
      <c r="MPO104" s="1"/>
      <c r="MPP104" s="1"/>
      <c r="MPQ104" s="1"/>
      <c r="MPR104" s="1"/>
      <c r="MPS104" s="1"/>
      <c r="MPT104" s="1"/>
      <c r="MPU104" s="1"/>
      <c r="MPV104" s="1"/>
      <c r="MPW104" s="1"/>
      <c r="MPX104" s="1"/>
      <c r="MPY104" s="1"/>
      <c r="MPZ104" s="1"/>
      <c r="MQA104" s="1"/>
      <c r="MQB104" s="1"/>
      <c r="MQC104" s="1"/>
      <c r="MQD104" s="1"/>
      <c r="MQE104" s="1"/>
      <c r="MQF104" s="1"/>
      <c r="MQG104" s="1"/>
      <c r="MQH104" s="1"/>
      <c r="MQI104" s="1"/>
      <c r="MQJ104" s="1"/>
      <c r="MQK104" s="1"/>
      <c r="MQL104" s="1"/>
      <c r="MQM104" s="1"/>
      <c r="MQN104" s="1"/>
      <c r="MQO104" s="1"/>
      <c r="MQP104" s="1"/>
      <c r="MQQ104" s="1"/>
      <c r="MQR104" s="1"/>
      <c r="MQS104" s="1"/>
      <c r="MQT104" s="1"/>
      <c r="MQU104" s="1"/>
      <c r="MQV104" s="1"/>
      <c r="MQW104" s="1"/>
      <c r="MQX104" s="1"/>
      <c r="MQY104" s="1"/>
      <c r="MQZ104" s="1"/>
      <c r="MRA104" s="1"/>
      <c r="MRB104" s="1"/>
      <c r="MRC104" s="1"/>
      <c r="MRD104" s="1"/>
      <c r="MRE104" s="1"/>
      <c r="MRF104" s="1"/>
      <c r="MRG104" s="1"/>
      <c r="MRH104" s="1"/>
      <c r="MRI104" s="1"/>
      <c r="MRJ104" s="1"/>
      <c r="MRK104" s="1"/>
      <c r="MRL104" s="1"/>
      <c r="MRM104" s="1"/>
      <c r="MRN104" s="1"/>
      <c r="MRO104" s="1"/>
      <c r="MRP104" s="1"/>
      <c r="MRQ104" s="1"/>
      <c r="MRR104" s="1"/>
      <c r="MRS104" s="1"/>
      <c r="MRT104" s="1"/>
      <c r="MRU104" s="1"/>
      <c r="MRV104" s="1"/>
      <c r="MRW104" s="1"/>
      <c r="MRX104" s="1"/>
      <c r="MRY104" s="1"/>
      <c r="MRZ104" s="1"/>
      <c r="MSA104" s="1"/>
      <c r="MSB104" s="1"/>
      <c r="MSC104" s="1"/>
      <c r="MSD104" s="1"/>
      <c r="MSE104" s="1"/>
      <c r="MSF104" s="1"/>
      <c r="MSG104" s="1"/>
      <c r="MSH104" s="1"/>
      <c r="MSI104" s="1"/>
      <c r="MSJ104" s="1"/>
      <c r="MSK104" s="1"/>
      <c r="MSL104" s="1"/>
      <c r="MSM104" s="1"/>
      <c r="MSN104" s="1"/>
      <c r="MSO104" s="1"/>
      <c r="MSP104" s="1"/>
      <c r="MSQ104" s="1"/>
      <c r="MSR104" s="1"/>
      <c r="MSS104" s="1"/>
      <c r="MST104" s="1"/>
      <c r="MSU104" s="1"/>
      <c r="MSV104" s="1"/>
      <c r="MSW104" s="1"/>
      <c r="MSX104" s="1"/>
      <c r="MSY104" s="1"/>
      <c r="MSZ104" s="1"/>
      <c r="MTA104" s="1"/>
      <c r="MTB104" s="1"/>
      <c r="MTC104" s="1"/>
      <c r="MTD104" s="1"/>
      <c r="MTE104" s="1"/>
      <c r="MTF104" s="1"/>
      <c r="MTG104" s="1"/>
      <c r="MTH104" s="1"/>
      <c r="MTI104" s="1"/>
      <c r="MTJ104" s="1"/>
      <c r="MTK104" s="1"/>
      <c r="MTL104" s="1"/>
      <c r="MTM104" s="1"/>
      <c r="MTN104" s="1"/>
      <c r="MTO104" s="1"/>
      <c r="MTP104" s="1"/>
      <c r="MTQ104" s="1"/>
      <c r="MTR104" s="1"/>
      <c r="MTS104" s="1"/>
      <c r="MTT104" s="1"/>
      <c r="MTU104" s="1"/>
      <c r="MTV104" s="1"/>
      <c r="MTW104" s="1"/>
      <c r="MTX104" s="1"/>
      <c r="MTY104" s="1"/>
      <c r="MTZ104" s="1"/>
      <c r="MUA104" s="1"/>
      <c r="MUB104" s="1"/>
      <c r="MUC104" s="1"/>
      <c r="MUD104" s="1"/>
      <c r="MUE104" s="1"/>
      <c r="MUF104" s="1"/>
      <c r="MUG104" s="1"/>
      <c r="MUH104" s="1"/>
      <c r="MUI104" s="1"/>
      <c r="MUJ104" s="1"/>
      <c r="MUK104" s="1"/>
      <c r="MUL104" s="1"/>
      <c r="MUM104" s="1"/>
      <c r="MUN104" s="1"/>
      <c r="MUO104" s="1"/>
      <c r="MUP104" s="1"/>
      <c r="MUQ104" s="1"/>
      <c r="MUR104" s="1"/>
      <c r="MUS104" s="1"/>
      <c r="MUT104" s="1"/>
      <c r="MUU104" s="1"/>
      <c r="MUV104" s="1"/>
      <c r="MUW104" s="1"/>
      <c r="MUX104" s="1"/>
      <c r="MUY104" s="1"/>
      <c r="MUZ104" s="1"/>
      <c r="MVA104" s="1"/>
      <c r="MVB104" s="1"/>
      <c r="MVC104" s="1"/>
      <c r="MVD104" s="1"/>
      <c r="MVE104" s="1"/>
      <c r="MVF104" s="1"/>
      <c r="MVG104" s="1"/>
      <c r="MVH104" s="1"/>
      <c r="MVI104" s="1"/>
      <c r="MVJ104" s="1"/>
      <c r="MVK104" s="1"/>
      <c r="MVL104" s="1"/>
      <c r="MVM104" s="1"/>
      <c r="MVN104" s="1"/>
      <c r="MVO104" s="1"/>
      <c r="MVP104" s="1"/>
      <c r="MVQ104" s="1"/>
      <c r="MVR104" s="1"/>
      <c r="MVS104" s="1"/>
      <c r="MVT104" s="1"/>
      <c r="MVU104" s="1"/>
      <c r="MVV104" s="1"/>
      <c r="MVW104" s="1"/>
      <c r="MVX104" s="1"/>
      <c r="MVY104" s="1"/>
      <c r="MVZ104" s="1"/>
      <c r="MWA104" s="1"/>
      <c r="MWB104" s="1"/>
      <c r="MWC104" s="1"/>
      <c r="MWD104" s="1"/>
      <c r="MWE104" s="1"/>
      <c r="MWF104" s="1"/>
      <c r="MWG104" s="1"/>
      <c r="MWH104" s="1"/>
      <c r="MWI104" s="1"/>
      <c r="MWJ104" s="1"/>
      <c r="MWK104" s="1"/>
      <c r="MWL104" s="1"/>
      <c r="MWM104" s="1"/>
      <c r="MWN104" s="1"/>
      <c r="MWO104" s="1"/>
      <c r="MWP104" s="1"/>
      <c r="MWQ104" s="1"/>
      <c r="MWR104" s="1"/>
      <c r="MWS104" s="1"/>
      <c r="MWT104" s="1"/>
      <c r="MWU104" s="1"/>
      <c r="MWV104" s="1"/>
      <c r="MWW104" s="1"/>
      <c r="MWX104" s="1"/>
      <c r="MWY104" s="1"/>
      <c r="MWZ104" s="1"/>
      <c r="MXA104" s="1"/>
      <c r="MXB104" s="1"/>
      <c r="MXC104" s="1"/>
      <c r="MXD104" s="1"/>
      <c r="MXE104" s="1"/>
      <c r="MXF104" s="1"/>
      <c r="MXG104" s="1"/>
      <c r="MXH104" s="1"/>
      <c r="MXI104" s="1"/>
      <c r="MXJ104" s="1"/>
      <c r="MXK104" s="1"/>
      <c r="MXL104" s="1"/>
      <c r="MXM104" s="1"/>
      <c r="MXN104" s="1"/>
      <c r="MXO104" s="1"/>
      <c r="MXP104" s="1"/>
      <c r="MXQ104" s="1"/>
      <c r="MXR104" s="1"/>
      <c r="MXS104" s="1"/>
      <c r="MXT104" s="1"/>
      <c r="MXU104" s="1"/>
      <c r="MXV104" s="1"/>
      <c r="MXW104" s="1"/>
      <c r="MXX104" s="1"/>
      <c r="MXY104" s="1"/>
      <c r="MXZ104" s="1"/>
      <c r="MYA104" s="1"/>
      <c r="MYB104" s="1"/>
      <c r="MYC104" s="1"/>
      <c r="MYD104" s="1"/>
      <c r="MYE104" s="1"/>
      <c r="MYF104" s="1"/>
      <c r="MYG104" s="1"/>
      <c r="MYH104" s="1"/>
      <c r="MYI104" s="1"/>
      <c r="MYJ104" s="1"/>
      <c r="MYK104" s="1"/>
      <c r="MYL104" s="1"/>
      <c r="MYM104" s="1"/>
      <c r="MYN104" s="1"/>
      <c r="MYO104" s="1"/>
      <c r="MYP104" s="1"/>
      <c r="MYQ104" s="1"/>
      <c r="MYR104" s="1"/>
      <c r="MYS104" s="1"/>
      <c r="MYT104" s="1"/>
      <c r="MYU104" s="1"/>
      <c r="MYV104" s="1"/>
      <c r="MYW104" s="1"/>
      <c r="MYX104" s="1"/>
      <c r="MYY104" s="1"/>
      <c r="MYZ104" s="1"/>
      <c r="MZA104" s="1"/>
      <c r="MZB104" s="1"/>
      <c r="MZC104" s="1"/>
      <c r="MZD104" s="1"/>
      <c r="MZE104" s="1"/>
      <c r="MZF104" s="1"/>
      <c r="MZG104" s="1"/>
      <c r="MZH104" s="1"/>
      <c r="MZI104" s="1"/>
      <c r="MZJ104" s="1"/>
      <c r="MZK104" s="1"/>
      <c r="MZL104" s="1"/>
      <c r="MZM104" s="1"/>
      <c r="MZN104" s="1"/>
      <c r="MZO104" s="1"/>
      <c r="MZP104" s="1"/>
      <c r="MZQ104" s="1"/>
      <c r="MZR104" s="1"/>
      <c r="MZS104" s="1"/>
      <c r="MZT104" s="1"/>
      <c r="MZU104" s="1"/>
      <c r="MZV104" s="1"/>
      <c r="MZW104" s="1"/>
      <c r="MZX104" s="1"/>
      <c r="MZY104" s="1"/>
      <c r="MZZ104" s="1"/>
      <c r="NAA104" s="1"/>
      <c r="NAB104" s="1"/>
      <c r="NAC104" s="1"/>
      <c r="NAD104" s="1"/>
      <c r="NAE104" s="1"/>
      <c r="NAF104" s="1"/>
      <c r="NAG104" s="1"/>
      <c r="NAH104" s="1"/>
      <c r="NAI104" s="1"/>
      <c r="NAJ104" s="1"/>
      <c r="NAK104" s="1"/>
      <c r="NAL104" s="1"/>
      <c r="NAM104" s="1"/>
      <c r="NAN104" s="1"/>
      <c r="NAO104" s="1"/>
      <c r="NAP104" s="1"/>
      <c r="NAQ104" s="1"/>
      <c r="NAR104" s="1"/>
      <c r="NAS104" s="1"/>
      <c r="NAT104" s="1"/>
      <c r="NAU104" s="1"/>
      <c r="NAV104" s="1"/>
      <c r="NAW104" s="1"/>
      <c r="NAX104" s="1"/>
      <c r="NAY104" s="1"/>
      <c r="NAZ104" s="1"/>
      <c r="NBA104" s="1"/>
      <c r="NBB104" s="1"/>
      <c r="NBC104" s="1"/>
      <c r="NBD104" s="1"/>
      <c r="NBE104" s="1"/>
      <c r="NBF104" s="1"/>
      <c r="NBG104" s="1"/>
      <c r="NBH104" s="1"/>
      <c r="NBI104" s="1"/>
      <c r="NBJ104" s="1"/>
      <c r="NBK104" s="1"/>
      <c r="NBL104" s="1"/>
      <c r="NBM104" s="1"/>
      <c r="NBN104" s="1"/>
      <c r="NBO104" s="1"/>
      <c r="NBP104" s="1"/>
      <c r="NBQ104" s="1"/>
      <c r="NBR104" s="1"/>
      <c r="NBS104" s="1"/>
      <c r="NBT104" s="1"/>
      <c r="NBU104" s="1"/>
      <c r="NBV104" s="1"/>
      <c r="NBW104" s="1"/>
      <c r="NBX104" s="1"/>
      <c r="NBY104" s="1"/>
      <c r="NBZ104" s="1"/>
      <c r="NCA104" s="1"/>
      <c r="NCB104" s="1"/>
      <c r="NCC104" s="1"/>
      <c r="NCD104" s="1"/>
      <c r="NCE104" s="1"/>
      <c r="NCF104" s="1"/>
      <c r="NCG104" s="1"/>
      <c r="NCH104" s="1"/>
      <c r="NCI104" s="1"/>
      <c r="NCJ104" s="1"/>
      <c r="NCK104" s="1"/>
      <c r="NCL104" s="1"/>
      <c r="NCM104" s="1"/>
      <c r="NCN104" s="1"/>
      <c r="NCO104" s="1"/>
      <c r="NCP104" s="1"/>
      <c r="NCQ104" s="1"/>
      <c r="NCR104" s="1"/>
      <c r="NCS104" s="1"/>
      <c r="NCT104" s="1"/>
      <c r="NCU104" s="1"/>
      <c r="NCV104" s="1"/>
      <c r="NCW104" s="1"/>
      <c r="NCX104" s="1"/>
      <c r="NCY104" s="1"/>
      <c r="NCZ104" s="1"/>
      <c r="NDA104" s="1"/>
      <c r="NDB104" s="1"/>
      <c r="NDC104" s="1"/>
      <c r="NDD104" s="1"/>
      <c r="NDE104" s="1"/>
      <c r="NDF104" s="1"/>
      <c r="NDG104" s="1"/>
      <c r="NDH104" s="1"/>
      <c r="NDI104" s="1"/>
      <c r="NDJ104" s="1"/>
      <c r="NDK104" s="1"/>
      <c r="NDL104" s="1"/>
      <c r="NDM104" s="1"/>
      <c r="NDN104" s="1"/>
      <c r="NDO104" s="1"/>
      <c r="NDP104" s="1"/>
      <c r="NDQ104" s="1"/>
      <c r="NDR104" s="1"/>
      <c r="NDS104" s="1"/>
      <c r="NDT104" s="1"/>
      <c r="NDU104" s="1"/>
      <c r="NDV104" s="1"/>
      <c r="NDW104" s="1"/>
      <c r="NDX104" s="1"/>
      <c r="NDY104" s="1"/>
      <c r="NDZ104" s="1"/>
      <c r="NEA104" s="1"/>
      <c r="NEB104" s="1"/>
      <c r="NEC104" s="1"/>
      <c r="NED104" s="1"/>
      <c r="NEE104" s="1"/>
      <c r="NEF104" s="1"/>
      <c r="NEG104" s="1"/>
      <c r="NEH104" s="1"/>
      <c r="NEI104" s="1"/>
      <c r="NEJ104" s="1"/>
      <c r="NEK104" s="1"/>
      <c r="NEL104" s="1"/>
      <c r="NEM104" s="1"/>
      <c r="NEN104" s="1"/>
      <c r="NEO104" s="1"/>
      <c r="NEP104" s="1"/>
      <c r="NEQ104" s="1"/>
      <c r="NER104" s="1"/>
      <c r="NES104" s="1"/>
      <c r="NET104" s="1"/>
      <c r="NEU104" s="1"/>
      <c r="NEV104" s="1"/>
      <c r="NEW104" s="1"/>
      <c r="NEX104" s="1"/>
      <c r="NEY104" s="1"/>
      <c r="NEZ104" s="1"/>
      <c r="NFA104" s="1"/>
      <c r="NFB104" s="1"/>
      <c r="NFC104" s="1"/>
      <c r="NFD104" s="1"/>
      <c r="NFE104" s="1"/>
      <c r="NFF104" s="1"/>
      <c r="NFG104" s="1"/>
      <c r="NFH104" s="1"/>
      <c r="NFI104" s="1"/>
      <c r="NFJ104" s="1"/>
      <c r="NFK104" s="1"/>
      <c r="NFL104" s="1"/>
      <c r="NFM104" s="1"/>
      <c r="NFN104" s="1"/>
      <c r="NFO104" s="1"/>
      <c r="NFP104" s="1"/>
      <c r="NFQ104" s="1"/>
      <c r="NFR104" s="1"/>
      <c r="NFS104" s="1"/>
      <c r="NFT104" s="1"/>
      <c r="NFU104" s="1"/>
      <c r="NFV104" s="1"/>
      <c r="NFW104" s="1"/>
      <c r="NFX104" s="1"/>
      <c r="NFY104" s="1"/>
      <c r="NFZ104" s="1"/>
      <c r="NGA104" s="1"/>
      <c r="NGB104" s="1"/>
      <c r="NGC104" s="1"/>
      <c r="NGD104" s="1"/>
      <c r="NGE104" s="1"/>
      <c r="NGF104" s="1"/>
      <c r="NGG104" s="1"/>
      <c r="NGH104" s="1"/>
      <c r="NGI104" s="1"/>
      <c r="NGJ104" s="1"/>
      <c r="NGK104" s="1"/>
      <c r="NGL104" s="1"/>
      <c r="NGM104" s="1"/>
      <c r="NGN104" s="1"/>
      <c r="NGO104" s="1"/>
      <c r="NGP104" s="1"/>
      <c r="NGQ104" s="1"/>
      <c r="NGR104" s="1"/>
      <c r="NGS104" s="1"/>
      <c r="NGT104" s="1"/>
      <c r="NGU104" s="1"/>
      <c r="NGV104" s="1"/>
      <c r="NGW104" s="1"/>
      <c r="NGX104" s="1"/>
      <c r="NGY104" s="1"/>
      <c r="NGZ104" s="1"/>
      <c r="NHA104" s="1"/>
      <c r="NHB104" s="1"/>
      <c r="NHC104" s="1"/>
      <c r="NHD104" s="1"/>
      <c r="NHE104" s="1"/>
      <c r="NHF104" s="1"/>
      <c r="NHG104" s="1"/>
      <c r="NHH104" s="1"/>
      <c r="NHI104" s="1"/>
      <c r="NHJ104" s="1"/>
      <c r="NHK104" s="1"/>
      <c r="NHL104" s="1"/>
      <c r="NHM104" s="1"/>
      <c r="NHN104" s="1"/>
      <c r="NHO104" s="1"/>
      <c r="NHP104" s="1"/>
      <c r="NHQ104" s="1"/>
      <c r="NHR104" s="1"/>
      <c r="NHS104" s="1"/>
      <c r="NHT104" s="1"/>
      <c r="NHU104" s="1"/>
      <c r="NHV104" s="1"/>
      <c r="NHW104" s="1"/>
      <c r="NHX104" s="1"/>
      <c r="NHY104" s="1"/>
      <c r="NHZ104" s="1"/>
      <c r="NIA104" s="1"/>
      <c r="NIB104" s="1"/>
      <c r="NIC104" s="1"/>
      <c r="NID104" s="1"/>
      <c r="NIE104" s="1"/>
      <c r="NIF104" s="1"/>
      <c r="NIG104" s="1"/>
      <c r="NIH104" s="1"/>
      <c r="NII104" s="1"/>
      <c r="NIJ104" s="1"/>
      <c r="NIK104" s="1"/>
      <c r="NIL104" s="1"/>
      <c r="NIM104" s="1"/>
      <c r="NIN104" s="1"/>
      <c r="NIO104" s="1"/>
      <c r="NIP104" s="1"/>
      <c r="NIQ104" s="1"/>
      <c r="NIR104" s="1"/>
      <c r="NIS104" s="1"/>
      <c r="NIT104" s="1"/>
      <c r="NIU104" s="1"/>
      <c r="NIV104" s="1"/>
      <c r="NIW104" s="1"/>
      <c r="NIX104" s="1"/>
      <c r="NIY104" s="1"/>
      <c r="NIZ104" s="1"/>
      <c r="NJA104" s="1"/>
      <c r="NJB104" s="1"/>
      <c r="NJC104" s="1"/>
      <c r="NJD104" s="1"/>
      <c r="NJE104" s="1"/>
      <c r="NJF104" s="1"/>
      <c r="NJG104" s="1"/>
      <c r="NJH104" s="1"/>
      <c r="NJI104" s="1"/>
      <c r="NJJ104" s="1"/>
      <c r="NJK104" s="1"/>
      <c r="NJL104" s="1"/>
      <c r="NJM104" s="1"/>
      <c r="NJN104" s="1"/>
      <c r="NJO104" s="1"/>
      <c r="NJP104" s="1"/>
      <c r="NJQ104" s="1"/>
      <c r="NJR104" s="1"/>
      <c r="NJS104" s="1"/>
      <c r="NJT104" s="1"/>
      <c r="NJU104" s="1"/>
      <c r="NJV104" s="1"/>
      <c r="NJW104" s="1"/>
      <c r="NJX104" s="1"/>
      <c r="NJY104" s="1"/>
      <c r="NJZ104" s="1"/>
      <c r="NKA104" s="1"/>
      <c r="NKB104" s="1"/>
      <c r="NKC104" s="1"/>
      <c r="NKD104" s="1"/>
      <c r="NKE104" s="1"/>
      <c r="NKF104" s="1"/>
      <c r="NKG104" s="1"/>
      <c r="NKH104" s="1"/>
      <c r="NKI104" s="1"/>
      <c r="NKJ104" s="1"/>
      <c r="NKK104" s="1"/>
      <c r="NKL104" s="1"/>
      <c r="NKM104" s="1"/>
      <c r="NKN104" s="1"/>
      <c r="NKO104" s="1"/>
      <c r="NKP104" s="1"/>
      <c r="NKQ104" s="1"/>
      <c r="NKR104" s="1"/>
      <c r="NKS104" s="1"/>
      <c r="NKT104" s="1"/>
      <c r="NKU104" s="1"/>
      <c r="NKV104" s="1"/>
      <c r="NKW104" s="1"/>
      <c r="NKX104" s="1"/>
      <c r="NKY104" s="1"/>
      <c r="NKZ104" s="1"/>
      <c r="NLA104" s="1"/>
      <c r="NLB104" s="1"/>
      <c r="NLC104" s="1"/>
      <c r="NLD104" s="1"/>
      <c r="NLE104" s="1"/>
      <c r="NLF104" s="1"/>
      <c r="NLG104" s="1"/>
      <c r="NLH104" s="1"/>
      <c r="NLI104" s="1"/>
      <c r="NLJ104" s="1"/>
      <c r="NLK104" s="1"/>
      <c r="NLL104" s="1"/>
      <c r="NLM104" s="1"/>
      <c r="NLN104" s="1"/>
      <c r="NLO104" s="1"/>
      <c r="NLP104" s="1"/>
      <c r="NLQ104" s="1"/>
      <c r="NLR104" s="1"/>
      <c r="NLS104" s="1"/>
      <c r="NLT104" s="1"/>
      <c r="NLU104" s="1"/>
      <c r="NLV104" s="1"/>
      <c r="NLW104" s="1"/>
      <c r="NLX104" s="1"/>
      <c r="NLY104" s="1"/>
      <c r="NLZ104" s="1"/>
      <c r="NMA104" s="1"/>
      <c r="NMB104" s="1"/>
      <c r="NMC104" s="1"/>
      <c r="NMD104" s="1"/>
      <c r="NME104" s="1"/>
      <c r="NMF104" s="1"/>
      <c r="NMG104" s="1"/>
      <c r="NMH104" s="1"/>
      <c r="NMI104" s="1"/>
      <c r="NMJ104" s="1"/>
      <c r="NMK104" s="1"/>
      <c r="NML104" s="1"/>
      <c r="NMM104" s="1"/>
      <c r="NMN104" s="1"/>
      <c r="NMO104" s="1"/>
      <c r="NMP104" s="1"/>
      <c r="NMQ104" s="1"/>
      <c r="NMR104" s="1"/>
      <c r="NMS104" s="1"/>
      <c r="NMT104" s="1"/>
      <c r="NMU104" s="1"/>
      <c r="NMV104" s="1"/>
      <c r="NMW104" s="1"/>
      <c r="NMX104" s="1"/>
      <c r="NMY104" s="1"/>
      <c r="NMZ104" s="1"/>
      <c r="NNA104" s="1"/>
      <c r="NNB104" s="1"/>
      <c r="NNC104" s="1"/>
      <c r="NND104" s="1"/>
      <c r="NNE104" s="1"/>
      <c r="NNF104" s="1"/>
      <c r="NNG104" s="1"/>
      <c r="NNH104" s="1"/>
      <c r="NNI104" s="1"/>
      <c r="NNJ104" s="1"/>
      <c r="NNK104" s="1"/>
      <c r="NNL104" s="1"/>
      <c r="NNM104" s="1"/>
      <c r="NNN104" s="1"/>
      <c r="NNO104" s="1"/>
      <c r="NNP104" s="1"/>
      <c r="NNQ104" s="1"/>
      <c r="NNR104" s="1"/>
      <c r="NNS104" s="1"/>
      <c r="NNT104" s="1"/>
      <c r="NNU104" s="1"/>
      <c r="NNV104" s="1"/>
      <c r="NNW104" s="1"/>
      <c r="NNX104" s="1"/>
      <c r="NNY104" s="1"/>
      <c r="NNZ104" s="1"/>
      <c r="NOA104" s="1"/>
      <c r="NOB104" s="1"/>
      <c r="NOC104" s="1"/>
      <c r="NOD104" s="1"/>
      <c r="NOE104" s="1"/>
      <c r="NOF104" s="1"/>
      <c r="NOG104" s="1"/>
      <c r="NOH104" s="1"/>
      <c r="NOI104" s="1"/>
      <c r="NOJ104" s="1"/>
      <c r="NOK104" s="1"/>
      <c r="NOL104" s="1"/>
      <c r="NOM104" s="1"/>
      <c r="NON104" s="1"/>
      <c r="NOO104" s="1"/>
      <c r="NOP104" s="1"/>
      <c r="NOQ104" s="1"/>
      <c r="NOR104" s="1"/>
      <c r="NOS104" s="1"/>
      <c r="NOT104" s="1"/>
      <c r="NOU104" s="1"/>
      <c r="NOV104" s="1"/>
      <c r="NOW104" s="1"/>
      <c r="NOX104" s="1"/>
      <c r="NOY104" s="1"/>
      <c r="NOZ104" s="1"/>
      <c r="NPA104" s="1"/>
      <c r="NPB104" s="1"/>
      <c r="NPC104" s="1"/>
      <c r="NPD104" s="1"/>
      <c r="NPE104" s="1"/>
      <c r="NPF104" s="1"/>
      <c r="NPG104" s="1"/>
      <c r="NPH104" s="1"/>
      <c r="NPI104" s="1"/>
      <c r="NPJ104" s="1"/>
      <c r="NPK104" s="1"/>
      <c r="NPL104" s="1"/>
      <c r="NPM104" s="1"/>
      <c r="NPN104" s="1"/>
      <c r="NPO104" s="1"/>
      <c r="NPP104" s="1"/>
      <c r="NPQ104" s="1"/>
      <c r="NPR104" s="1"/>
      <c r="NPS104" s="1"/>
      <c r="NPT104" s="1"/>
      <c r="NPU104" s="1"/>
      <c r="NPV104" s="1"/>
      <c r="NPW104" s="1"/>
      <c r="NPX104" s="1"/>
      <c r="NPY104" s="1"/>
      <c r="NPZ104" s="1"/>
      <c r="NQA104" s="1"/>
      <c r="NQB104" s="1"/>
      <c r="NQC104" s="1"/>
      <c r="NQD104" s="1"/>
      <c r="NQE104" s="1"/>
      <c r="NQF104" s="1"/>
      <c r="NQG104" s="1"/>
      <c r="NQH104" s="1"/>
      <c r="NQI104" s="1"/>
      <c r="NQJ104" s="1"/>
      <c r="NQK104" s="1"/>
      <c r="NQL104" s="1"/>
      <c r="NQM104" s="1"/>
      <c r="NQN104" s="1"/>
      <c r="NQO104" s="1"/>
      <c r="NQP104" s="1"/>
      <c r="NQQ104" s="1"/>
      <c r="NQR104" s="1"/>
      <c r="NQS104" s="1"/>
      <c r="NQT104" s="1"/>
      <c r="NQU104" s="1"/>
      <c r="NQV104" s="1"/>
      <c r="NQW104" s="1"/>
      <c r="NQX104" s="1"/>
      <c r="NQY104" s="1"/>
      <c r="NQZ104" s="1"/>
      <c r="NRA104" s="1"/>
      <c r="NRB104" s="1"/>
      <c r="NRC104" s="1"/>
      <c r="NRD104" s="1"/>
      <c r="NRE104" s="1"/>
      <c r="NRF104" s="1"/>
      <c r="NRG104" s="1"/>
      <c r="NRH104" s="1"/>
      <c r="NRI104" s="1"/>
      <c r="NRJ104" s="1"/>
      <c r="NRK104" s="1"/>
      <c r="NRL104" s="1"/>
      <c r="NRM104" s="1"/>
      <c r="NRN104" s="1"/>
      <c r="NRO104" s="1"/>
      <c r="NRP104" s="1"/>
      <c r="NRQ104" s="1"/>
      <c r="NRR104" s="1"/>
      <c r="NRS104" s="1"/>
      <c r="NRT104" s="1"/>
      <c r="NRU104" s="1"/>
      <c r="NRV104" s="1"/>
      <c r="NRW104" s="1"/>
      <c r="NRX104" s="1"/>
      <c r="NRY104" s="1"/>
      <c r="NRZ104" s="1"/>
      <c r="NSA104" s="1"/>
      <c r="NSB104" s="1"/>
      <c r="NSC104" s="1"/>
      <c r="NSD104" s="1"/>
      <c r="NSE104" s="1"/>
      <c r="NSF104" s="1"/>
      <c r="NSG104" s="1"/>
      <c r="NSH104" s="1"/>
      <c r="NSI104" s="1"/>
      <c r="NSJ104" s="1"/>
      <c r="NSK104" s="1"/>
      <c r="NSL104" s="1"/>
      <c r="NSM104" s="1"/>
      <c r="NSN104" s="1"/>
      <c r="NSO104" s="1"/>
      <c r="NSP104" s="1"/>
      <c r="NSQ104" s="1"/>
      <c r="NSR104" s="1"/>
      <c r="NSS104" s="1"/>
      <c r="NST104" s="1"/>
      <c r="NSU104" s="1"/>
      <c r="NSV104" s="1"/>
      <c r="NSW104" s="1"/>
      <c r="NSX104" s="1"/>
      <c r="NSY104" s="1"/>
      <c r="NSZ104" s="1"/>
      <c r="NTA104" s="1"/>
      <c r="NTB104" s="1"/>
      <c r="NTC104" s="1"/>
      <c r="NTD104" s="1"/>
      <c r="NTE104" s="1"/>
      <c r="NTF104" s="1"/>
      <c r="NTG104" s="1"/>
      <c r="NTH104" s="1"/>
      <c r="NTI104" s="1"/>
      <c r="NTJ104" s="1"/>
      <c r="NTK104" s="1"/>
      <c r="NTL104" s="1"/>
      <c r="NTM104" s="1"/>
      <c r="NTN104" s="1"/>
      <c r="NTO104" s="1"/>
      <c r="NTP104" s="1"/>
      <c r="NTQ104" s="1"/>
      <c r="NTR104" s="1"/>
      <c r="NTS104" s="1"/>
      <c r="NTT104" s="1"/>
      <c r="NTU104" s="1"/>
      <c r="NTV104" s="1"/>
      <c r="NTW104" s="1"/>
      <c r="NTX104" s="1"/>
      <c r="NTY104" s="1"/>
      <c r="NTZ104" s="1"/>
      <c r="NUA104" s="1"/>
      <c r="NUB104" s="1"/>
      <c r="NUC104" s="1"/>
      <c r="NUD104" s="1"/>
      <c r="NUE104" s="1"/>
      <c r="NUF104" s="1"/>
      <c r="NUG104" s="1"/>
      <c r="NUH104" s="1"/>
      <c r="NUI104" s="1"/>
      <c r="NUJ104" s="1"/>
      <c r="NUK104" s="1"/>
      <c r="NUL104" s="1"/>
      <c r="NUM104" s="1"/>
      <c r="NUN104" s="1"/>
      <c r="NUO104" s="1"/>
      <c r="NUP104" s="1"/>
      <c r="NUQ104" s="1"/>
      <c r="NUR104" s="1"/>
      <c r="NUS104" s="1"/>
      <c r="NUT104" s="1"/>
      <c r="NUU104" s="1"/>
      <c r="NUV104" s="1"/>
      <c r="NUW104" s="1"/>
      <c r="NUX104" s="1"/>
      <c r="NUY104" s="1"/>
      <c r="NUZ104" s="1"/>
      <c r="NVA104" s="1"/>
      <c r="NVB104" s="1"/>
      <c r="NVC104" s="1"/>
      <c r="NVD104" s="1"/>
      <c r="NVE104" s="1"/>
      <c r="NVF104" s="1"/>
      <c r="NVG104" s="1"/>
      <c r="NVH104" s="1"/>
      <c r="NVI104" s="1"/>
      <c r="NVJ104" s="1"/>
      <c r="NVK104" s="1"/>
      <c r="NVL104" s="1"/>
      <c r="NVM104" s="1"/>
      <c r="NVN104" s="1"/>
      <c r="NVO104" s="1"/>
      <c r="NVP104" s="1"/>
      <c r="NVQ104" s="1"/>
      <c r="NVR104" s="1"/>
      <c r="NVS104" s="1"/>
      <c r="NVT104" s="1"/>
      <c r="NVU104" s="1"/>
      <c r="NVV104" s="1"/>
      <c r="NVW104" s="1"/>
      <c r="NVX104" s="1"/>
      <c r="NVY104" s="1"/>
      <c r="NVZ104" s="1"/>
      <c r="NWA104" s="1"/>
      <c r="NWB104" s="1"/>
      <c r="NWC104" s="1"/>
      <c r="NWD104" s="1"/>
      <c r="NWE104" s="1"/>
      <c r="NWF104" s="1"/>
      <c r="NWG104" s="1"/>
      <c r="NWH104" s="1"/>
      <c r="NWI104" s="1"/>
      <c r="NWJ104" s="1"/>
      <c r="NWK104" s="1"/>
      <c r="NWL104" s="1"/>
      <c r="NWM104" s="1"/>
      <c r="NWN104" s="1"/>
      <c r="NWO104" s="1"/>
      <c r="NWP104" s="1"/>
      <c r="NWQ104" s="1"/>
      <c r="NWR104" s="1"/>
      <c r="NWS104" s="1"/>
      <c r="NWT104" s="1"/>
      <c r="NWU104" s="1"/>
      <c r="NWV104" s="1"/>
      <c r="NWW104" s="1"/>
      <c r="NWX104" s="1"/>
      <c r="NWY104" s="1"/>
      <c r="NWZ104" s="1"/>
      <c r="NXA104" s="1"/>
      <c r="NXB104" s="1"/>
      <c r="NXC104" s="1"/>
      <c r="NXD104" s="1"/>
      <c r="NXE104" s="1"/>
      <c r="NXF104" s="1"/>
      <c r="NXG104" s="1"/>
      <c r="NXH104" s="1"/>
      <c r="NXI104" s="1"/>
      <c r="NXJ104" s="1"/>
      <c r="NXK104" s="1"/>
      <c r="NXL104" s="1"/>
      <c r="NXM104" s="1"/>
      <c r="NXN104" s="1"/>
      <c r="NXO104" s="1"/>
      <c r="NXP104" s="1"/>
      <c r="NXQ104" s="1"/>
      <c r="NXR104" s="1"/>
      <c r="NXS104" s="1"/>
      <c r="NXT104" s="1"/>
      <c r="NXU104" s="1"/>
      <c r="NXV104" s="1"/>
      <c r="NXW104" s="1"/>
      <c r="NXX104" s="1"/>
      <c r="NXY104" s="1"/>
      <c r="NXZ104" s="1"/>
      <c r="NYA104" s="1"/>
      <c r="NYB104" s="1"/>
      <c r="NYC104" s="1"/>
      <c r="NYD104" s="1"/>
      <c r="NYE104" s="1"/>
      <c r="NYF104" s="1"/>
      <c r="NYG104" s="1"/>
      <c r="NYH104" s="1"/>
      <c r="NYI104" s="1"/>
      <c r="NYJ104" s="1"/>
      <c r="NYK104" s="1"/>
      <c r="NYL104" s="1"/>
      <c r="NYM104" s="1"/>
      <c r="NYN104" s="1"/>
      <c r="NYO104" s="1"/>
      <c r="NYP104" s="1"/>
      <c r="NYQ104" s="1"/>
      <c r="NYR104" s="1"/>
      <c r="NYS104" s="1"/>
      <c r="NYT104" s="1"/>
      <c r="NYU104" s="1"/>
      <c r="NYV104" s="1"/>
      <c r="NYW104" s="1"/>
      <c r="NYX104" s="1"/>
      <c r="NYY104" s="1"/>
      <c r="NYZ104" s="1"/>
      <c r="NZA104" s="1"/>
      <c r="NZB104" s="1"/>
      <c r="NZC104" s="1"/>
      <c r="NZD104" s="1"/>
      <c r="NZE104" s="1"/>
      <c r="NZF104" s="1"/>
      <c r="NZG104" s="1"/>
      <c r="NZH104" s="1"/>
      <c r="NZI104" s="1"/>
      <c r="NZJ104" s="1"/>
      <c r="NZK104" s="1"/>
      <c r="NZL104" s="1"/>
      <c r="NZM104" s="1"/>
      <c r="NZN104" s="1"/>
      <c r="NZO104" s="1"/>
      <c r="NZP104" s="1"/>
      <c r="NZQ104" s="1"/>
      <c r="NZR104" s="1"/>
      <c r="NZS104" s="1"/>
      <c r="NZT104" s="1"/>
      <c r="NZU104" s="1"/>
      <c r="NZV104" s="1"/>
      <c r="NZW104" s="1"/>
      <c r="NZX104" s="1"/>
      <c r="NZY104" s="1"/>
      <c r="NZZ104" s="1"/>
      <c r="OAA104" s="1"/>
      <c r="OAB104" s="1"/>
      <c r="OAC104" s="1"/>
      <c r="OAD104" s="1"/>
      <c r="OAE104" s="1"/>
      <c r="OAF104" s="1"/>
      <c r="OAG104" s="1"/>
      <c r="OAH104" s="1"/>
      <c r="OAI104" s="1"/>
      <c r="OAJ104" s="1"/>
      <c r="OAK104" s="1"/>
      <c r="OAL104" s="1"/>
      <c r="OAM104" s="1"/>
      <c r="OAN104" s="1"/>
      <c r="OAO104" s="1"/>
      <c r="OAP104" s="1"/>
      <c r="OAQ104" s="1"/>
      <c r="OAR104" s="1"/>
      <c r="OAS104" s="1"/>
      <c r="OAT104" s="1"/>
      <c r="OAU104" s="1"/>
      <c r="OAV104" s="1"/>
      <c r="OAW104" s="1"/>
      <c r="OAX104" s="1"/>
      <c r="OAY104" s="1"/>
      <c r="OAZ104" s="1"/>
      <c r="OBA104" s="1"/>
      <c r="OBB104" s="1"/>
      <c r="OBC104" s="1"/>
      <c r="OBD104" s="1"/>
      <c r="OBE104" s="1"/>
      <c r="OBF104" s="1"/>
      <c r="OBG104" s="1"/>
      <c r="OBH104" s="1"/>
      <c r="OBI104" s="1"/>
      <c r="OBJ104" s="1"/>
      <c r="OBK104" s="1"/>
      <c r="OBL104" s="1"/>
      <c r="OBM104" s="1"/>
      <c r="OBN104" s="1"/>
      <c r="OBO104" s="1"/>
      <c r="OBP104" s="1"/>
      <c r="OBQ104" s="1"/>
      <c r="OBR104" s="1"/>
      <c r="OBS104" s="1"/>
      <c r="OBT104" s="1"/>
      <c r="OBU104" s="1"/>
      <c r="OBV104" s="1"/>
      <c r="OBW104" s="1"/>
      <c r="OBX104" s="1"/>
      <c r="OBY104" s="1"/>
      <c r="OBZ104" s="1"/>
      <c r="OCA104" s="1"/>
      <c r="OCB104" s="1"/>
      <c r="OCC104" s="1"/>
      <c r="OCD104" s="1"/>
      <c r="OCE104" s="1"/>
      <c r="OCF104" s="1"/>
      <c r="OCG104" s="1"/>
      <c r="OCH104" s="1"/>
      <c r="OCI104" s="1"/>
      <c r="OCJ104" s="1"/>
      <c r="OCK104" s="1"/>
      <c r="OCL104" s="1"/>
      <c r="OCM104" s="1"/>
      <c r="OCN104" s="1"/>
      <c r="OCO104" s="1"/>
      <c r="OCP104" s="1"/>
      <c r="OCQ104" s="1"/>
      <c r="OCR104" s="1"/>
      <c r="OCS104" s="1"/>
      <c r="OCT104" s="1"/>
      <c r="OCU104" s="1"/>
      <c r="OCV104" s="1"/>
      <c r="OCW104" s="1"/>
      <c r="OCX104" s="1"/>
      <c r="OCY104" s="1"/>
      <c r="OCZ104" s="1"/>
      <c r="ODA104" s="1"/>
      <c r="ODB104" s="1"/>
      <c r="ODC104" s="1"/>
      <c r="ODD104" s="1"/>
      <c r="ODE104" s="1"/>
      <c r="ODF104" s="1"/>
      <c r="ODG104" s="1"/>
      <c r="ODH104" s="1"/>
      <c r="ODI104" s="1"/>
      <c r="ODJ104" s="1"/>
      <c r="ODK104" s="1"/>
      <c r="ODL104" s="1"/>
      <c r="ODM104" s="1"/>
      <c r="ODN104" s="1"/>
      <c r="ODO104" s="1"/>
      <c r="ODP104" s="1"/>
      <c r="ODQ104" s="1"/>
      <c r="ODR104" s="1"/>
      <c r="ODS104" s="1"/>
      <c r="ODT104" s="1"/>
      <c r="ODU104" s="1"/>
      <c r="ODV104" s="1"/>
      <c r="ODW104" s="1"/>
      <c r="ODX104" s="1"/>
      <c r="ODY104" s="1"/>
      <c r="ODZ104" s="1"/>
      <c r="OEA104" s="1"/>
      <c r="OEB104" s="1"/>
      <c r="OEC104" s="1"/>
      <c r="OED104" s="1"/>
      <c r="OEE104" s="1"/>
      <c r="OEF104" s="1"/>
      <c r="OEG104" s="1"/>
      <c r="OEH104" s="1"/>
      <c r="OEI104" s="1"/>
      <c r="OEJ104" s="1"/>
      <c r="OEK104" s="1"/>
      <c r="OEL104" s="1"/>
      <c r="OEM104" s="1"/>
      <c r="OEN104" s="1"/>
      <c r="OEO104" s="1"/>
      <c r="OEP104" s="1"/>
      <c r="OEQ104" s="1"/>
      <c r="OER104" s="1"/>
      <c r="OES104" s="1"/>
      <c r="OET104" s="1"/>
      <c r="OEU104" s="1"/>
      <c r="OEV104" s="1"/>
      <c r="OEW104" s="1"/>
      <c r="OEX104" s="1"/>
      <c r="OEY104" s="1"/>
      <c r="OEZ104" s="1"/>
      <c r="OFA104" s="1"/>
      <c r="OFB104" s="1"/>
      <c r="OFC104" s="1"/>
      <c r="OFD104" s="1"/>
      <c r="OFE104" s="1"/>
      <c r="OFF104" s="1"/>
      <c r="OFG104" s="1"/>
      <c r="OFH104" s="1"/>
      <c r="OFI104" s="1"/>
      <c r="OFJ104" s="1"/>
      <c r="OFK104" s="1"/>
      <c r="OFL104" s="1"/>
      <c r="OFM104" s="1"/>
      <c r="OFN104" s="1"/>
      <c r="OFO104" s="1"/>
      <c r="OFP104" s="1"/>
      <c r="OFQ104" s="1"/>
      <c r="OFR104" s="1"/>
      <c r="OFS104" s="1"/>
      <c r="OFT104" s="1"/>
      <c r="OFU104" s="1"/>
      <c r="OFV104" s="1"/>
      <c r="OFW104" s="1"/>
      <c r="OFX104" s="1"/>
      <c r="OFY104" s="1"/>
      <c r="OFZ104" s="1"/>
      <c r="OGA104" s="1"/>
      <c r="OGB104" s="1"/>
      <c r="OGC104" s="1"/>
      <c r="OGD104" s="1"/>
      <c r="OGE104" s="1"/>
      <c r="OGF104" s="1"/>
      <c r="OGG104" s="1"/>
      <c r="OGH104" s="1"/>
      <c r="OGI104" s="1"/>
      <c r="OGJ104" s="1"/>
      <c r="OGK104" s="1"/>
      <c r="OGL104" s="1"/>
      <c r="OGM104" s="1"/>
      <c r="OGN104" s="1"/>
      <c r="OGO104" s="1"/>
      <c r="OGP104" s="1"/>
      <c r="OGQ104" s="1"/>
      <c r="OGR104" s="1"/>
      <c r="OGS104" s="1"/>
      <c r="OGT104" s="1"/>
      <c r="OGU104" s="1"/>
      <c r="OGV104" s="1"/>
      <c r="OGW104" s="1"/>
      <c r="OGX104" s="1"/>
      <c r="OGY104" s="1"/>
      <c r="OGZ104" s="1"/>
      <c r="OHA104" s="1"/>
      <c r="OHB104" s="1"/>
      <c r="OHC104" s="1"/>
      <c r="OHD104" s="1"/>
      <c r="OHE104" s="1"/>
      <c r="OHF104" s="1"/>
      <c r="OHG104" s="1"/>
      <c r="OHH104" s="1"/>
      <c r="OHI104" s="1"/>
      <c r="OHJ104" s="1"/>
      <c r="OHK104" s="1"/>
      <c r="OHL104" s="1"/>
      <c r="OHM104" s="1"/>
      <c r="OHN104" s="1"/>
      <c r="OHO104" s="1"/>
      <c r="OHP104" s="1"/>
      <c r="OHQ104" s="1"/>
      <c r="OHR104" s="1"/>
      <c r="OHS104" s="1"/>
      <c r="OHT104" s="1"/>
      <c r="OHU104" s="1"/>
      <c r="OHV104" s="1"/>
      <c r="OHW104" s="1"/>
      <c r="OHX104" s="1"/>
      <c r="OHY104" s="1"/>
      <c r="OHZ104" s="1"/>
      <c r="OIA104" s="1"/>
      <c r="OIB104" s="1"/>
      <c r="OIC104" s="1"/>
      <c r="OID104" s="1"/>
      <c r="OIE104" s="1"/>
      <c r="OIF104" s="1"/>
      <c r="OIG104" s="1"/>
      <c r="OIH104" s="1"/>
      <c r="OII104" s="1"/>
      <c r="OIJ104" s="1"/>
      <c r="OIK104" s="1"/>
      <c r="OIL104" s="1"/>
      <c r="OIM104" s="1"/>
      <c r="OIN104" s="1"/>
      <c r="OIO104" s="1"/>
      <c r="OIP104" s="1"/>
      <c r="OIQ104" s="1"/>
      <c r="OIR104" s="1"/>
      <c r="OIS104" s="1"/>
      <c r="OIT104" s="1"/>
      <c r="OIU104" s="1"/>
      <c r="OIV104" s="1"/>
      <c r="OIW104" s="1"/>
      <c r="OIX104" s="1"/>
      <c r="OIY104" s="1"/>
      <c r="OIZ104" s="1"/>
      <c r="OJA104" s="1"/>
      <c r="OJB104" s="1"/>
      <c r="OJC104" s="1"/>
      <c r="OJD104" s="1"/>
      <c r="OJE104" s="1"/>
      <c r="OJF104" s="1"/>
      <c r="OJG104" s="1"/>
      <c r="OJH104" s="1"/>
      <c r="OJI104" s="1"/>
      <c r="OJJ104" s="1"/>
      <c r="OJK104" s="1"/>
      <c r="OJL104" s="1"/>
      <c r="OJM104" s="1"/>
      <c r="OJN104" s="1"/>
      <c r="OJO104" s="1"/>
      <c r="OJP104" s="1"/>
      <c r="OJQ104" s="1"/>
      <c r="OJR104" s="1"/>
      <c r="OJS104" s="1"/>
      <c r="OJT104" s="1"/>
      <c r="OJU104" s="1"/>
      <c r="OJV104" s="1"/>
      <c r="OJW104" s="1"/>
      <c r="OJX104" s="1"/>
      <c r="OJY104" s="1"/>
      <c r="OJZ104" s="1"/>
      <c r="OKA104" s="1"/>
      <c r="OKB104" s="1"/>
      <c r="OKC104" s="1"/>
      <c r="OKD104" s="1"/>
      <c r="OKE104" s="1"/>
      <c r="OKF104" s="1"/>
      <c r="OKG104" s="1"/>
      <c r="OKH104" s="1"/>
      <c r="OKI104" s="1"/>
      <c r="OKJ104" s="1"/>
      <c r="OKK104" s="1"/>
      <c r="OKL104" s="1"/>
      <c r="OKM104" s="1"/>
      <c r="OKN104" s="1"/>
      <c r="OKO104" s="1"/>
      <c r="OKP104" s="1"/>
      <c r="OKQ104" s="1"/>
      <c r="OKR104" s="1"/>
      <c r="OKS104" s="1"/>
      <c r="OKT104" s="1"/>
      <c r="OKU104" s="1"/>
      <c r="OKV104" s="1"/>
      <c r="OKW104" s="1"/>
      <c r="OKX104" s="1"/>
      <c r="OKY104" s="1"/>
      <c r="OKZ104" s="1"/>
      <c r="OLA104" s="1"/>
      <c r="OLB104" s="1"/>
      <c r="OLC104" s="1"/>
      <c r="OLD104" s="1"/>
      <c r="OLE104" s="1"/>
      <c r="OLF104" s="1"/>
      <c r="OLG104" s="1"/>
      <c r="OLH104" s="1"/>
      <c r="OLI104" s="1"/>
      <c r="OLJ104" s="1"/>
      <c r="OLK104" s="1"/>
      <c r="OLL104" s="1"/>
      <c r="OLM104" s="1"/>
      <c r="OLN104" s="1"/>
      <c r="OLO104" s="1"/>
      <c r="OLP104" s="1"/>
      <c r="OLQ104" s="1"/>
      <c r="OLR104" s="1"/>
      <c r="OLS104" s="1"/>
      <c r="OLT104" s="1"/>
      <c r="OLU104" s="1"/>
      <c r="OLV104" s="1"/>
      <c r="OLW104" s="1"/>
      <c r="OLX104" s="1"/>
      <c r="OLY104" s="1"/>
      <c r="OLZ104" s="1"/>
      <c r="OMA104" s="1"/>
      <c r="OMB104" s="1"/>
      <c r="OMC104" s="1"/>
      <c r="OMD104" s="1"/>
      <c r="OME104" s="1"/>
      <c r="OMF104" s="1"/>
      <c r="OMG104" s="1"/>
      <c r="OMH104" s="1"/>
      <c r="OMI104" s="1"/>
      <c r="OMJ104" s="1"/>
      <c r="OMK104" s="1"/>
      <c r="OML104" s="1"/>
      <c r="OMM104" s="1"/>
      <c r="OMN104" s="1"/>
      <c r="OMO104" s="1"/>
      <c r="OMP104" s="1"/>
      <c r="OMQ104" s="1"/>
      <c r="OMR104" s="1"/>
      <c r="OMS104" s="1"/>
      <c r="OMT104" s="1"/>
      <c r="OMU104" s="1"/>
      <c r="OMV104" s="1"/>
      <c r="OMW104" s="1"/>
      <c r="OMX104" s="1"/>
      <c r="OMY104" s="1"/>
      <c r="OMZ104" s="1"/>
      <c r="ONA104" s="1"/>
      <c r="ONB104" s="1"/>
      <c r="ONC104" s="1"/>
      <c r="OND104" s="1"/>
      <c r="ONE104" s="1"/>
      <c r="ONF104" s="1"/>
      <c r="ONG104" s="1"/>
      <c r="ONH104" s="1"/>
      <c r="ONI104" s="1"/>
      <c r="ONJ104" s="1"/>
      <c r="ONK104" s="1"/>
      <c r="ONL104" s="1"/>
      <c r="ONM104" s="1"/>
      <c r="ONN104" s="1"/>
      <c r="ONO104" s="1"/>
      <c r="ONP104" s="1"/>
      <c r="ONQ104" s="1"/>
      <c r="ONR104" s="1"/>
      <c r="ONS104" s="1"/>
      <c r="ONT104" s="1"/>
      <c r="ONU104" s="1"/>
      <c r="ONV104" s="1"/>
      <c r="ONW104" s="1"/>
      <c r="ONX104" s="1"/>
      <c r="ONY104" s="1"/>
      <c r="ONZ104" s="1"/>
      <c r="OOA104" s="1"/>
      <c r="OOB104" s="1"/>
      <c r="OOC104" s="1"/>
      <c r="OOD104" s="1"/>
      <c r="OOE104" s="1"/>
      <c r="OOF104" s="1"/>
      <c r="OOG104" s="1"/>
      <c r="OOH104" s="1"/>
      <c r="OOI104" s="1"/>
      <c r="OOJ104" s="1"/>
      <c r="OOK104" s="1"/>
      <c r="OOL104" s="1"/>
      <c r="OOM104" s="1"/>
      <c r="OON104" s="1"/>
      <c r="OOO104" s="1"/>
      <c r="OOP104" s="1"/>
      <c r="OOQ104" s="1"/>
      <c r="OOR104" s="1"/>
      <c r="OOS104" s="1"/>
      <c r="OOT104" s="1"/>
      <c r="OOU104" s="1"/>
      <c r="OOV104" s="1"/>
      <c r="OOW104" s="1"/>
      <c r="OOX104" s="1"/>
      <c r="OOY104" s="1"/>
      <c r="OOZ104" s="1"/>
      <c r="OPA104" s="1"/>
      <c r="OPB104" s="1"/>
      <c r="OPC104" s="1"/>
      <c r="OPD104" s="1"/>
      <c r="OPE104" s="1"/>
      <c r="OPF104" s="1"/>
      <c r="OPG104" s="1"/>
      <c r="OPH104" s="1"/>
      <c r="OPI104" s="1"/>
      <c r="OPJ104" s="1"/>
      <c r="OPK104" s="1"/>
      <c r="OPL104" s="1"/>
      <c r="OPM104" s="1"/>
      <c r="OPN104" s="1"/>
      <c r="OPO104" s="1"/>
      <c r="OPP104" s="1"/>
      <c r="OPQ104" s="1"/>
      <c r="OPR104" s="1"/>
      <c r="OPS104" s="1"/>
      <c r="OPT104" s="1"/>
      <c r="OPU104" s="1"/>
      <c r="OPV104" s="1"/>
      <c r="OPW104" s="1"/>
      <c r="OPX104" s="1"/>
      <c r="OPY104" s="1"/>
      <c r="OPZ104" s="1"/>
      <c r="OQA104" s="1"/>
      <c r="OQB104" s="1"/>
      <c r="OQC104" s="1"/>
      <c r="OQD104" s="1"/>
      <c r="OQE104" s="1"/>
      <c r="OQF104" s="1"/>
      <c r="OQG104" s="1"/>
      <c r="OQH104" s="1"/>
      <c r="OQI104" s="1"/>
      <c r="OQJ104" s="1"/>
      <c r="OQK104" s="1"/>
      <c r="OQL104" s="1"/>
      <c r="OQM104" s="1"/>
      <c r="OQN104" s="1"/>
      <c r="OQO104" s="1"/>
      <c r="OQP104" s="1"/>
      <c r="OQQ104" s="1"/>
      <c r="OQR104" s="1"/>
      <c r="OQS104" s="1"/>
      <c r="OQT104" s="1"/>
      <c r="OQU104" s="1"/>
      <c r="OQV104" s="1"/>
      <c r="OQW104" s="1"/>
      <c r="OQX104" s="1"/>
      <c r="OQY104" s="1"/>
      <c r="OQZ104" s="1"/>
      <c r="ORA104" s="1"/>
      <c r="ORB104" s="1"/>
      <c r="ORC104" s="1"/>
      <c r="ORD104" s="1"/>
      <c r="ORE104" s="1"/>
      <c r="ORF104" s="1"/>
      <c r="ORG104" s="1"/>
      <c r="ORH104" s="1"/>
      <c r="ORI104" s="1"/>
      <c r="ORJ104" s="1"/>
      <c r="ORK104" s="1"/>
      <c r="ORL104" s="1"/>
      <c r="ORM104" s="1"/>
      <c r="ORN104" s="1"/>
      <c r="ORO104" s="1"/>
      <c r="ORP104" s="1"/>
      <c r="ORQ104" s="1"/>
      <c r="ORR104" s="1"/>
      <c r="ORS104" s="1"/>
      <c r="ORT104" s="1"/>
      <c r="ORU104" s="1"/>
      <c r="ORV104" s="1"/>
      <c r="ORW104" s="1"/>
      <c r="ORX104" s="1"/>
      <c r="ORY104" s="1"/>
      <c r="ORZ104" s="1"/>
      <c r="OSA104" s="1"/>
      <c r="OSB104" s="1"/>
      <c r="OSC104" s="1"/>
      <c r="OSD104" s="1"/>
      <c r="OSE104" s="1"/>
      <c r="OSF104" s="1"/>
      <c r="OSG104" s="1"/>
      <c r="OSH104" s="1"/>
      <c r="OSI104" s="1"/>
      <c r="OSJ104" s="1"/>
      <c r="OSK104" s="1"/>
      <c r="OSL104" s="1"/>
      <c r="OSM104" s="1"/>
      <c r="OSN104" s="1"/>
      <c r="OSO104" s="1"/>
      <c r="OSP104" s="1"/>
      <c r="OSQ104" s="1"/>
      <c r="OSR104" s="1"/>
      <c r="OSS104" s="1"/>
      <c r="OST104" s="1"/>
      <c r="OSU104" s="1"/>
      <c r="OSV104" s="1"/>
      <c r="OSW104" s="1"/>
      <c r="OSX104" s="1"/>
      <c r="OSY104" s="1"/>
      <c r="OSZ104" s="1"/>
      <c r="OTA104" s="1"/>
      <c r="OTB104" s="1"/>
      <c r="OTC104" s="1"/>
      <c r="OTD104" s="1"/>
      <c r="OTE104" s="1"/>
      <c r="OTF104" s="1"/>
      <c r="OTG104" s="1"/>
      <c r="OTH104" s="1"/>
      <c r="OTI104" s="1"/>
      <c r="OTJ104" s="1"/>
      <c r="OTK104" s="1"/>
      <c r="OTL104" s="1"/>
      <c r="OTM104" s="1"/>
      <c r="OTN104" s="1"/>
      <c r="OTO104" s="1"/>
      <c r="OTP104" s="1"/>
      <c r="OTQ104" s="1"/>
      <c r="OTR104" s="1"/>
      <c r="OTS104" s="1"/>
      <c r="OTT104" s="1"/>
      <c r="OTU104" s="1"/>
      <c r="OTV104" s="1"/>
      <c r="OTW104" s="1"/>
      <c r="OTX104" s="1"/>
      <c r="OTY104" s="1"/>
      <c r="OTZ104" s="1"/>
      <c r="OUA104" s="1"/>
      <c r="OUB104" s="1"/>
      <c r="OUC104" s="1"/>
      <c r="OUD104" s="1"/>
      <c r="OUE104" s="1"/>
      <c r="OUF104" s="1"/>
      <c r="OUG104" s="1"/>
      <c r="OUH104" s="1"/>
      <c r="OUI104" s="1"/>
      <c r="OUJ104" s="1"/>
      <c r="OUK104" s="1"/>
      <c r="OUL104" s="1"/>
      <c r="OUM104" s="1"/>
      <c r="OUN104" s="1"/>
      <c r="OUO104" s="1"/>
      <c r="OUP104" s="1"/>
      <c r="OUQ104" s="1"/>
      <c r="OUR104" s="1"/>
      <c r="OUS104" s="1"/>
      <c r="OUT104" s="1"/>
      <c r="OUU104" s="1"/>
      <c r="OUV104" s="1"/>
      <c r="OUW104" s="1"/>
      <c r="OUX104" s="1"/>
      <c r="OUY104" s="1"/>
      <c r="OUZ104" s="1"/>
      <c r="OVA104" s="1"/>
      <c r="OVB104" s="1"/>
      <c r="OVC104" s="1"/>
      <c r="OVD104" s="1"/>
      <c r="OVE104" s="1"/>
      <c r="OVF104" s="1"/>
      <c r="OVG104" s="1"/>
      <c r="OVH104" s="1"/>
      <c r="OVI104" s="1"/>
      <c r="OVJ104" s="1"/>
      <c r="OVK104" s="1"/>
      <c r="OVL104" s="1"/>
      <c r="OVM104" s="1"/>
      <c r="OVN104" s="1"/>
      <c r="OVO104" s="1"/>
      <c r="OVP104" s="1"/>
      <c r="OVQ104" s="1"/>
      <c r="OVR104" s="1"/>
      <c r="OVS104" s="1"/>
      <c r="OVT104" s="1"/>
      <c r="OVU104" s="1"/>
      <c r="OVV104" s="1"/>
      <c r="OVW104" s="1"/>
      <c r="OVX104" s="1"/>
      <c r="OVY104" s="1"/>
      <c r="OVZ104" s="1"/>
      <c r="OWA104" s="1"/>
      <c r="OWB104" s="1"/>
      <c r="OWC104" s="1"/>
      <c r="OWD104" s="1"/>
      <c r="OWE104" s="1"/>
      <c r="OWF104" s="1"/>
      <c r="OWG104" s="1"/>
      <c r="OWH104" s="1"/>
      <c r="OWI104" s="1"/>
      <c r="OWJ104" s="1"/>
      <c r="OWK104" s="1"/>
      <c r="OWL104" s="1"/>
      <c r="OWM104" s="1"/>
      <c r="OWN104" s="1"/>
      <c r="OWO104" s="1"/>
      <c r="OWP104" s="1"/>
      <c r="OWQ104" s="1"/>
      <c r="OWR104" s="1"/>
      <c r="OWS104" s="1"/>
      <c r="OWT104" s="1"/>
      <c r="OWU104" s="1"/>
      <c r="OWV104" s="1"/>
      <c r="OWW104" s="1"/>
      <c r="OWX104" s="1"/>
      <c r="OWY104" s="1"/>
      <c r="OWZ104" s="1"/>
      <c r="OXA104" s="1"/>
      <c r="OXB104" s="1"/>
      <c r="OXC104" s="1"/>
      <c r="OXD104" s="1"/>
      <c r="OXE104" s="1"/>
      <c r="OXF104" s="1"/>
      <c r="OXG104" s="1"/>
      <c r="OXH104" s="1"/>
      <c r="OXI104" s="1"/>
      <c r="OXJ104" s="1"/>
      <c r="OXK104" s="1"/>
      <c r="OXL104" s="1"/>
      <c r="OXM104" s="1"/>
      <c r="OXN104" s="1"/>
      <c r="OXO104" s="1"/>
      <c r="OXP104" s="1"/>
      <c r="OXQ104" s="1"/>
      <c r="OXR104" s="1"/>
      <c r="OXS104" s="1"/>
      <c r="OXT104" s="1"/>
      <c r="OXU104" s="1"/>
      <c r="OXV104" s="1"/>
      <c r="OXW104" s="1"/>
      <c r="OXX104" s="1"/>
      <c r="OXY104" s="1"/>
      <c r="OXZ104" s="1"/>
      <c r="OYA104" s="1"/>
      <c r="OYB104" s="1"/>
      <c r="OYC104" s="1"/>
      <c r="OYD104" s="1"/>
      <c r="OYE104" s="1"/>
      <c r="OYF104" s="1"/>
      <c r="OYG104" s="1"/>
      <c r="OYH104" s="1"/>
      <c r="OYI104" s="1"/>
      <c r="OYJ104" s="1"/>
      <c r="OYK104" s="1"/>
      <c r="OYL104" s="1"/>
      <c r="OYM104" s="1"/>
      <c r="OYN104" s="1"/>
      <c r="OYO104" s="1"/>
      <c r="OYP104" s="1"/>
      <c r="OYQ104" s="1"/>
      <c r="OYR104" s="1"/>
      <c r="OYS104" s="1"/>
      <c r="OYT104" s="1"/>
      <c r="OYU104" s="1"/>
      <c r="OYV104" s="1"/>
      <c r="OYW104" s="1"/>
      <c r="OYX104" s="1"/>
      <c r="OYY104" s="1"/>
      <c r="OYZ104" s="1"/>
      <c r="OZA104" s="1"/>
      <c r="OZB104" s="1"/>
      <c r="OZC104" s="1"/>
      <c r="OZD104" s="1"/>
      <c r="OZE104" s="1"/>
      <c r="OZF104" s="1"/>
      <c r="OZG104" s="1"/>
      <c r="OZH104" s="1"/>
      <c r="OZI104" s="1"/>
      <c r="OZJ104" s="1"/>
      <c r="OZK104" s="1"/>
      <c r="OZL104" s="1"/>
      <c r="OZM104" s="1"/>
      <c r="OZN104" s="1"/>
      <c r="OZO104" s="1"/>
      <c r="OZP104" s="1"/>
      <c r="OZQ104" s="1"/>
      <c r="OZR104" s="1"/>
      <c r="OZS104" s="1"/>
      <c r="OZT104" s="1"/>
      <c r="OZU104" s="1"/>
      <c r="OZV104" s="1"/>
      <c r="OZW104" s="1"/>
      <c r="OZX104" s="1"/>
      <c r="OZY104" s="1"/>
      <c r="OZZ104" s="1"/>
      <c r="PAA104" s="1"/>
      <c r="PAB104" s="1"/>
      <c r="PAC104" s="1"/>
      <c r="PAD104" s="1"/>
      <c r="PAE104" s="1"/>
      <c r="PAF104" s="1"/>
      <c r="PAG104" s="1"/>
      <c r="PAH104" s="1"/>
      <c r="PAI104" s="1"/>
      <c r="PAJ104" s="1"/>
      <c r="PAK104" s="1"/>
      <c r="PAL104" s="1"/>
      <c r="PAM104" s="1"/>
      <c r="PAN104" s="1"/>
      <c r="PAO104" s="1"/>
      <c r="PAP104" s="1"/>
      <c r="PAQ104" s="1"/>
      <c r="PAR104" s="1"/>
      <c r="PAS104" s="1"/>
      <c r="PAT104" s="1"/>
      <c r="PAU104" s="1"/>
      <c r="PAV104" s="1"/>
      <c r="PAW104" s="1"/>
      <c r="PAX104" s="1"/>
      <c r="PAY104" s="1"/>
      <c r="PAZ104" s="1"/>
      <c r="PBA104" s="1"/>
      <c r="PBB104" s="1"/>
      <c r="PBC104" s="1"/>
      <c r="PBD104" s="1"/>
      <c r="PBE104" s="1"/>
      <c r="PBF104" s="1"/>
      <c r="PBG104" s="1"/>
      <c r="PBH104" s="1"/>
      <c r="PBI104" s="1"/>
      <c r="PBJ104" s="1"/>
      <c r="PBK104" s="1"/>
      <c r="PBL104" s="1"/>
      <c r="PBM104" s="1"/>
      <c r="PBN104" s="1"/>
      <c r="PBO104" s="1"/>
      <c r="PBP104" s="1"/>
      <c r="PBQ104" s="1"/>
      <c r="PBR104" s="1"/>
      <c r="PBS104" s="1"/>
      <c r="PBT104" s="1"/>
      <c r="PBU104" s="1"/>
      <c r="PBV104" s="1"/>
      <c r="PBW104" s="1"/>
      <c r="PBX104" s="1"/>
      <c r="PBY104" s="1"/>
      <c r="PBZ104" s="1"/>
      <c r="PCA104" s="1"/>
      <c r="PCB104" s="1"/>
      <c r="PCC104" s="1"/>
      <c r="PCD104" s="1"/>
      <c r="PCE104" s="1"/>
      <c r="PCF104" s="1"/>
      <c r="PCG104" s="1"/>
      <c r="PCH104" s="1"/>
      <c r="PCI104" s="1"/>
      <c r="PCJ104" s="1"/>
      <c r="PCK104" s="1"/>
      <c r="PCL104" s="1"/>
      <c r="PCM104" s="1"/>
      <c r="PCN104" s="1"/>
      <c r="PCO104" s="1"/>
      <c r="PCP104" s="1"/>
      <c r="PCQ104" s="1"/>
      <c r="PCR104" s="1"/>
      <c r="PCS104" s="1"/>
      <c r="PCT104" s="1"/>
      <c r="PCU104" s="1"/>
      <c r="PCV104" s="1"/>
      <c r="PCW104" s="1"/>
      <c r="PCX104" s="1"/>
      <c r="PCY104" s="1"/>
      <c r="PCZ104" s="1"/>
      <c r="PDA104" s="1"/>
      <c r="PDB104" s="1"/>
      <c r="PDC104" s="1"/>
      <c r="PDD104" s="1"/>
      <c r="PDE104" s="1"/>
      <c r="PDF104" s="1"/>
      <c r="PDG104" s="1"/>
      <c r="PDH104" s="1"/>
      <c r="PDI104" s="1"/>
      <c r="PDJ104" s="1"/>
      <c r="PDK104" s="1"/>
      <c r="PDL104" s="1"/>
      <c r="PDM104" s="1"/>
      <c r="PDN104" s="1"/>
      <c r="PDO104" s="1"/>
      <c r="PDP104" s="1"/>
      <c r="PDQ104" s="1"/>
      <c r="PDR104" s="1"/>
      <c r="PDS104" s="1"/>
      <c r="PDT104" s="1"/>
      <c r="PDU104" s="1"/>
      <c r="PDV104" s="1"/>
      <c r="PDW104" s="1"/>
      <c r="PDX104" s="1"/>
      <c r="PDY104" s="1"/>
      <c r="PDZ104" s="1"/>
      <c r="PEA104" s="1"/>
      <c r="PEB104" s="1"/>
      <c r="PEC104" s="1"/>
      <c r="PED104" s="1"/>
      <c r="PEE104" s="1"/>
      <c r="PEF104" s="1"/>
      <c r="PEG104" s="1"/>
      <c r="PEH104" s="1"/>
      <c r="PEI104" s="1"/>
      <c r="PEJ104" s="1"/>
      <c r="PEK104" s="1"/>
      <c r="PEL104" s="1"/>
      <c r="PEM104" s="1"/>
      <c r="PEN104" s="1"/>
      <c r="PEO104" s="1"/>
      <c r="PEP104" s="1"/>
      <c r="PEQ104" s="1"/>
      <c r="PER104" s="1"/>
      <c r="PES104" s="1"/>
      <c r="PET104" s="1"/>
      <c r="PEU104" s="1"/>
      <c r="PEV104" s="1"/>
      <c r="PEW104" s="1"/>
      <c r="PEX104" s="1"/>
      <c r="PEY104" s="1"/>
      <c r="PEZ104" s="1"/>
      <c r="PFA104" s="1"/>
      <c r="PFB104" s="1"/>
      <c r="PFC104" s="1"/>
      <c r="PFD104" s="1"/>
      <c r="PFE104" s="1"/>
      <c r="PFF104" s="1"/>
      <c r="PFG104" s="1"/>
      <c r="PFH104" s="1"/>
      <c r="PFI104" s="1"/>
      <c r="PFJ104" s="1"/>
      <c r="PFK104" s="1"/>
      <c r="PFL104" s="1"/>
      <c r="PFM104" s="1"/>
      <c r="PFN104" s="1"/>
      <c r="PFO104" s="1"/>
      <c r="PFP104" s="1"/>
      <c r="PFQ104" s="1"/>
      <c r="PFR104" s="1"/>
      <c r="PFS104" s="1"/>
      <c r="PFT104" s="1"/>
      <c r="PFU104" s="1"/>
      <c r="PFV104" s="1"/>
      <c r="PFW104" s="1"/>
      <c r="PFX104" s="1"/>
      <c r="PFY104" s="1"/>
      <c r="PFZ104" s="1"/>
      <c r="PGA104" s="1"/>
      <c r="PGB104" s="1"/>
      <c r="PGC104" s="1"/>
      <c r="PGD104" s="1"/>
      <c r="PGE104" s="1"/>
      <c r="PGF104" s="1"/>
      <c r="PGG104" s="1"/>
      <c r="PGH104" s="1"/>
      <c r="PGI104" s="1"/>
      <c r="PGJ104" s="1"/>
      <c r="PGK104" s="1"/>
      <c r="PGL104" s="1"/>
      <c r="PGM104" s="1"/>
      <c r="PGN104" s="1"/>
      <c r="PGO104" s="1"/>
      <c r="PGP104" s="1"/>
      <c r="PGQ104" s="1"/>
      <c r="PGR104" s="1"/>
      <c r="PGS104" s="1"/>
      <c r="PGT104" s="1"/>
      <c r="PGU104" s="1"/>
      <c r="PGV104" s="1"/>
      <c r="PGW104" s="1"/>
      <c r="PGX104" s="1"/>
      <c r="PGY104" s="1"/>
      <c r="PGZ104" s="1"/>
      <c r="PHA104" s="1"/>
      <c r="PHB104" s="1"/>
      <c r="PHC104" s="1"/>
      <c r="PHD104" s="1"/>
      <c r="PHE104" s="1"/>
      <c r="PHF104" s="1"/>
      <c r="PHG104" s="1"/>
      <c r="PHH104" s="1"/>
      <c r="PHI104" s="1"/>
      <c r="PHJ104" s="1"/>
      <c r="PHK104" s="1"/>
      <c r="PHL104" s="1"/>
      <c r="PHM104" s="1"/>
      <c r="PHN104" s="1"/>
      <c r="PHO104" s="1"/>
      <c r="PHP104" s="1"/>
      <c r="PHQ104" s="1"/>
      <c r="PHR104" s="1"/>
      <c r="PHS104" s="1"/>
      <c r="PHT104" s="1"/>
      <c r="PHU104" s="1"/>
      <c r="PHV104" s="1"/>
      <c r="PHW104" s="1"/>
      <c r="PHX104" s="1"/>
      <c r="PHY104" s="1"/>
      <c r="PHZ104" s="1"/>
      <c r="PIA104" s="1"/>
      <c r="PIB104" s="1"/>
      <c r="PIC104" s="1"/>
      <c r="PID104" s="1"/>
      <c r="PIE104" s="1"/>
      <c r="PIF104" s="1"/>
      <c r="PIG104" s="1"/>
      <c r="PIH104" s="1"/>
      <c r="PII104" s="1"/>
      <c r="PIJ104" s="1"/>
      <c r="PIK104" s="1"/>
      <c r="PIL104" s="1"/>
      <c r="PIM104" s="1"/>
      <c r="PIN104" s="1"/>
      <c r="PIO104" s="1"/>
      <c r="PIP104" s="1"/>
      <c r="PIQ104" s="1"/>
      <c r="PIR104" s="1"/>
      <c r="PIS104" s="1"/>
      <c r="PIT104" s="1"/>
      <c r="PIU104" s="1"/>
      <c r="PIV104" s="1"/>
      <c r="PIW104" s="1"/>
      <c r="PIX104" s="1"/>
      <c r="PIY104" s="1"/>
      <c r="PIZ104" s="1"/>
      <c r="PJA104" s="1"/>
      <c r="PJB104" s="1"/>
      <c r="PJC104" s="1"/>
      <c r="PJD104" s="1"/>
      <c r="PJE104" s="1"/>
      <c r="PJF104" s="1"/>
      <c r="PJG104" s="1"/>
      <c r="PJH104" s="1"/>
      <c r="PJI104" s="1"/>
      <c r="PJJ104" s="1"/>
      <c r="PJK104" s="1"/>
      <c r="PJL104" s="1"/>
      <c r="PJM104" s="1"/>
      <c r="PJN104" s="1"/>
      <c r="PJO104" s="1"/>
      <c r="PJP104" s="1"/>
      <c r="PJQ104" s="1"/>
      <c r="PJR104" s="1"/>
      <c r="PJS104" s="1"/>
      <c r="PJT104" s="1"/>
      <c r="PJU104" s="1"/>
      <c r="PJV104" s="1"/>
      <c r="PJW104" s="1"/>
      <c r="PJX104" s="1"/>
      <c r="PJY104" s="1"/>
      <c r="PJZ104" s="1"/>
      <c r="PKA104" s="1"/>
      <c r="PKB104" s="1"/>
      <c r="PKC104" s="1"/>
      <c r="PKD104" s="1"/>
      <c r="PKE104" s="1"/>
      <c r="PKF104" s="1"/>
      <c r="PKG104" s="1"/>
      <c r="PKH104" s="1"/>
      <c r="PKI104" s="1"/>
      <c r="PKJ104" s="1"/>
      <c r="PKK104" s="1"/>
      <c r="PKL104" s="1"/>
      <c r="PKM104" s="1"/>
      <c r="PKN104" s="1"/>
      <c r="PKO104" s="1"/>
      <c r="PKP104" s="1"/>
      <c r="PKQ104" s="1"/>
      <c r="PKR104" s="1"/>
      <c r="PKS104" s="1"/>
      <c r="PKT104" s="1"/>
      <c r="PKU104" s="1"/>
      <c r="PKV104" s="1"/>
      <c r="PKW104" s="1"/>
      <c r="PKX104" s="1"/>
      <c r="PKY104" s="1"/>
      <c r="PKZ104" s="1"/>
      <c r="PLA104" s="1"/>
      <c r="PLB104" s="1"/>
      <c r="PLC104" s="1"/>
      <c r="PLD104" s="1"/>
      <c r="PLE104" s="1"/>
      <c r="PLF104" s="1"/>
      <c r="PLG104" s="1"/>
      <c r="PLH104" s="1"/>
      <c r="PLI104" s="1"/>
      <c r="PLJ104" s="1"/>
      <c r="PLK104" s="1"/>
      <c r="PLL104" s="1"/>
      <c r="PLM104" s="1"/>
      <c r="PLN104" s="1"/>
      <c r="PLO104" s="1"/>
      <c r="PLP104" s="1"/>
      <c r="PLQ104" s="1"/>
      <c r="PLR104" s="1"/>
      <c r="PLS104" s="1"/>
      <c r="PLT104" s="1"/>
      <c r="PLU104" s="1"/>
      <c r="PLV104" s="1"/>
      <c r="PLW104" s="1"/>
      <c r="PLX104" s="1"/>
      <c r="PLY104" s="1"/>
      <c r="PLZ104" s="1"/>
      <c r="PMA104" s="1"/>
      <c r="PMB104" s="1"/>
      <c r="PMC104" s="1"/>
      <c r="PMD104" s="1"/>
      <c r="PME104" s="1"/>
      <c r="PMF104" s="1"/>
      <c r="PMG104" s="1"/>
      <c r="PMH104" s="1"/>
      <c r="PMI104" s="1"/>
      <c r="PMJ104" s="1"/>
      <c r="PMK104" s="1"/>
      <c r="PML104" s="1"/>
      <c r="PMM104" s="1"/>
      <c r="PMN104" s="1"/>
      <c r="PMO104" s="1"/>
      <c r="PMP104" s="1"/>
      <c r="PMQ104" s="1"/>
      <c r="PMR104" s="1"/>
      <c r="PMS104" s="1"/>
      <c r="PMT104" s="1"/>
      <c r="PMU104" s="1"/>
      <c r="PMV104" s="1"/>
      <c r="PMW104" s="1"/>
      <c r="PMX104" s="1"/>
      <c r="PMY104" s="1"/>
      <c r="PMZ104" s="1"/>
      <c r="PNA104" s="1"/>
      <c r="PNB104" s="1"/>
      <c r="PNC104" s="1"/>
      <c r="PND104" s="1"/>
      <c r="PNE104" s="1"/>
      <c r="PNF104" s="1"/>
      <c r="PNG104" s="1"/>
      <c r="PNH104" s="1"/>
      <c r="PNI104" s="1"/>
      <c r="PNJ104" s="1"/>
      <c r="PNK104" s="1"/>
      <c r="PNL104" s="1"/>
      <c r="PNM104" s="1"/>
      <c r="PNN104" s="1"/>
      <c r="PNO104" s="1"/>
      <c r="PNP104" s="1"/>
      <c r="PNQ104" s="1"/>
      <c r="PNR104" s="1"/>
      <c r="PNS104" s="1"/>
      <c r="PNT104" s="1"/>
      <c r="PNU104" s="1"/>
      <c r="PNV104" s="1"/>
      <c r="PNW104" s="1"/>
      <c r="PNX104" s="1"/>
      <c r="PNY104" s="1"/>
      <c r="PNZ104" s="1"/>
      <c r="POA104" s="1"/>
      <c r="POB104" s="1"/>
      <c r="POC104" s="1"/>
      <c r="POD104" s="1"/>
      <c r="POE104" s="1"/>
      <c r="POF104" s="1"/>
      <c r="POG104" s="1"/>
      <c r="POH104" s="1"/>
      <c r="POI104" s="1"/>
      <c r="POJ104" s="1"/>
      <c r="POK104" s="1"/>
      <c r="POL104" s="1"/>
      <c r="POM104" s="1"/>
      <c r="PON104" s="1"/>
      <c r="POO104" s="1"/>
      <c r="POP104" s="1"/>
      <c r="POQ104" s="1"/>
      <c r="POR104" s="1"/>
      <c r="POS104" s="1"/>
      <c r="POT104" s="1"/>
      <c r="POU104" s="1"/>
      <c r="POV104" s="1"/>
      <c r="POW104" s="1"/>
      <c r="POX104" s="1"/>
      <c r="POY104" s="1"/>
      <c r="POZ104" s="1"/>
      <c r="PPA104" s="1"/>
      <c r="PPB104" s="1"/>
      <c r="PPC104" s="1"/>
      <c r="PPD104" s="1"/>
      <c r="PPE104" s="1"/>
      <c r="PPF104" s="1"/>
      <c r="PPG104" s="1"/>
      <c r="PPH104" s="1"/>
      <c r="PPI104" s="1"/>
      <c r="PPJ104" s="1"/>
      <c r="PPK104" s="1"/>
      <c r="PPL104" s="1"/>
      <c r="PPM104" s="1"/>
      <c r="PPN104" s="1"/>
      <c r="PPO104" s="1"/>
      <c r="PPP104" s="1"/>
      <c r="PPQ104" s="1"/>
      <c r="PPR104" s="1"/>
      <c r="PPS104" s="1"/>
      <c r="PPT104" s="1"/>
      <c r="PPU104" s="1"/>
      <c r="PPV104" s="1"/>
      <c r="PPW104" s="1"/>
      <c r="PPX104" s="1"/>
      <c r="PPY104" s="1"/>
      <c r="PPZ104" s="1"/>
      <c r="PQA104" s="1"/>
      <c r="PQB104" s="1"/>
      <c r="PQC104" s="1"/>
      <c r="PQD104" s="1"/>
      <c r="PQE104" s="1"/>
      <c r="PQF104" s="1"/>
      <c r="PQG104" s="1"/>
      <c r="PQH104" s="1"/>
      <c r="PQI104" s="1"/>
      <c r="PQJ104" s="1"/>
      <c r="PQK104" s="1"/>
      <c r="PQL104" s="1"/>
      <c r="PQM104" s="1"/>
      <c r="PQN104" s="1"/>
      <c r="PQO104" s="1"/>
      <c r="PQP104" s="1"/>
      <c r="PQQ104" s="1"/>
      <c r="PQR104" s="1"/>
      <c r="PQS104" s="1"/>
      <c r="PQT104" s="1"/>
      <c r="PQU104" s="1"/>
      <c r="PQV104" s="1"/>
      <c r="PQW104" s="1"/>
      <c r="PQX104" s="1"/>
      <c r="PQY104" s="1"/>
      <c r="PQZ104" s="1"/>
      <c r="PRA104" s="1"/>
      <c r="PRB104" s="1"/>
      <c r="PRC104" s="1"/>
      <c r="PRD104" s="1"/>
      <c r="PRE104" s="1"/>
      <c r="PRF104" s="1"/>
      <c r="PRG104" s="1"/>
      <c r="PRH104" s="1"/>
      <c r="PRI104" s="1"/>
      <c r="PRJ104" s="1"/>
      <c r="PRK104" s="1"/>
      <c r="PRL104" s="1"/>
      <c r="PRM104" s="1"/>
      <c r="PRN104" s="1"/>
      <c r="PRO104" s="1"/>
      <c r="PRP104" s="1"/>
      <c r="PRQ104" s="1"/>
      <c r="PRR104" s="1"/>
      <c r="PRS104" s="1"/>
      <c r="PRT104" s="1"/>
      <c r="PRU104" s="1"/>
      <c r="PRV104" s="1"/>
      <c r="PRW104" s="1"/>
      <c r="PRX104" s="1"/>
      <c r="PRY104" s="1"/>
      <c r="PRZ104" s="1"/>
      <c r="PSA104" s="1"/>
      <c r="PSB104" s="1"/>
      <c r="PSC104" s="1"/>
      <c r="PSD104" s="1"/>
      <c r="PSE104" s="1"/>
      <c r="PSF104" s="1"/>
      <c r="PSG104" s="1"/>
      <c r="PSH104" s="1"/>
      <c r="PSI104" s="1"/>
      <c r="PSJ104" s="1"/>
      <c r="PSK104" s="1"/>
      <c r="PSL104" s="1"/>
      <c r="PSM104" s="1"/>
      <c r="PSN104" s="1"/>
      <c r="PSO104" s="1"/>
      <c r="PSP104" s="1"/>
      <c r="PSQ104" s="1"/>
      <c r="PSR104" s="1"/>
      <c r="PSS104" s="1"/>
      <c r="PST104" s="1"/>
      <c r="PSU104" s="1"/>
      <c r="PSV104" s="1"/>
      <c r="PSW104" s="1"/>
      <c r="PSX104" s="1"/>
      <c r="PSY104" s="1"/>
      <c r="PSZ104" s="1"/>
      <c r="PTA104" s="1"/>
      <c r="PTB104" s="1"/>
      <c r="PTC104" s="1"/>
      <c r="PTD104" s="1"/>
      <c r="PTE104" s="1"/>
      <c r="PTF104" s="1"/>
      <c r="PTG104" s="1"/>
      <c r="PTH104" s="1"/>
      <c r="PTI104" s="1"/>
      <c r="PTJ104" s="1"/>
      <c r="PTK104" s="1"/>
      <c r="PTL104" s="1"/>
      <c r="PTM104" s="1"/>
      <c r="PTN104" s="1"/>
      <c r="PTO104" s="1"/>
      <c r="PTP104" s="1"/>
      <c r="PTQ104" s="1"/>
      <c r="PTR104" s="1"/>
      <c r="PTS104" s="1"/>
      <c r="PTT104" s="1"/>
      <c r="PTU104" s="1"/>
      <c r="PTV104" s="1"/>
      <c r="PTW104" s="1"/>
      <c r="PTX104" s="1"/>
      <c r="PTY104" s="1"/>
      <c r="PTZ104" s="1"/>
      <c r="PUA104" s="1"/>
      <c r="PUB104" s="1"/>
      <c r="PUC104" s="1"/>
      <c r="PUD104" s="1"/>
      <c r="PUE104" s="1"/>
      <c r="PUF104" s="1"/>
      <c r="PUG104" s="1"/>
      <c r="PUH104" s="1"/>
      <c r="PUI104" s="1"/>
      <c r="PUJ104" s="1"/>
      <c r="PUK104" s="1"/>
      <c r="PUL104" s="1"/>
      <c r="PUM104" s="1"/>
      <c r="PUN104" s="1"/>
      <c r="PUO104" s="1"/>
      <c r="PUP104" s="1"/>
      <c r="PUQ104" s="1"/>
      <c r="PUR104" s="1"/>
      <c r="PUS104" s="1"/>
      <c r="PUT104" s="1"/>
      <c r="PUU104" s="1"/>
      <c r="PUV104" s="1"/>
      <c r="PUW104" s="1"/>
      <c r="PUX104" s="1"/>
      <c r="PUY104" s="1"/>
      <c r="PUZ104" s="1"/>
      <c r="PVA104" s="1"/>
      <c r="PVB104" s="1"/>
      <c r="PVC104" s="1"/>
      <c r="PVD104" s="1"/>
      <c r="PVE104" s="1"/>
      <c r="PVF104" s="1"/>
      <c r="PVG104" s="1"/>
      <c r="PVH104" s="1"/>
      <c r="PVI104" s="1"/>
      <c r="PVJ104" s="1"/>
      <c r="PVK104" s="1"/>
      <c r="PVL104" s="1"/>
      <c r="PVM104" s="1"/>
      <c r="PVN104" s="1"/>
      <c r="PVO104" s="1"/>
      <c r="PVP104" s="1"/>
      <c r="PVQ104" s="1"/>
      <c r="PVR104" s="1"/>
      <c r="PVS104" s="1"/>
      <c r="PVT104" s="1"/>
      <c r="PVU104" s="1"/>
      <c r="PVV104" s="1"/>
      <c r="PVW104" s="1"/>
      <c r="PVX104" s="1"/>
      <c r="PVY104" s="1"/>
      <c r="PVZ104" s="1"/>
      <c r="PWA104" s="1"/>
      <c r="PWB104" s="1"/>
      <c r="PWC104" s="1"/>
      <c r="PWD104" s="1"/>
      <c r="PWE104" s="1"/>
      <c r="PWF104" s="1"/>
      <c r="PWG104" s="1"/>
      <c r="PWH104" s="1"/>
      <c r="PWI104" s="1"/>
      <c r="PWJ104" s="1"/>
      <c r="PWK104" s="1"/>
      <c r="PWL104" s="1"/>
      <c r="PWM104" s="1"/>
      <c r="PWN104" s="1"/>
      <c r="PWO104" s="1"/>
      <c r="PWP104" s="1"/>
      <c r="PWQ104" s="1"/>
      <c r="PWR104" s="1"/>
      <c r="PWS104" s="1"/>
      <c r="PWT104" s="1"/>
      <c r="PWU104" s="1"/>
      <c r="PWV104" s="1"/>
      <c r="PWW104" s="1"/>
      <c r="PWX104" s="1"/>
      <c r="PWY104" s="1"/>
      <c r="PWZ104" s="1"/>
      <c r="PXA104" s="1"/>
      <c r="PXB104" s="1"/>
      <c r="PXC104" s="1"/>
      <c r="PXD104" s="1"/>
      <c r="PXE104" s="1"/>
      <c r="PXF104" s="1"/>
      <c r="PXG104" s="1"/>
      <c r="PXH104" s="1"/>
      <c r="PXI104" s="1"/>
      <c r="PXJ104" s="1"/>
      <c r="PXK104" s="1"/>
      <c r="PXL104" s="1"/>
      <c r="PXM104" s="1"/>
      <c r="PXN104" s="1"/>
      <c r="PXO104" s="1"/>
      <c r="PXP104" s="1"/>
      <c r="PXQ104" s="1"/>
      <c r="PXR104" s="1"/>
      <c r="PXS104" s="1"/>
      <c r="PXT104" s="1"/>
      <c r="PXU104" s="1"/>
      <c r="PXV104" s="1"/>
      <c r="PXW104" s="1"/>
      <c r="PXX104" s="1"/>
      <c r="PXY104" s="1"/>
      <c r="PXZ104" s="1"/>
      <c r="PYA104" s="1"/>
      <c r="PYB104" s="1"/>
      <c r="PYC104" s="1"/>
      <c r="PYD104" s="1"/>
      <c r="PYE104" s="1"/>
      <c r="PYF104" s="1"/>
      <c r="PYG104" s="1"/>
      <c r="PYH104" s="1"/>
      <c r="PYI104" s="1"/>
      <c r="PYJ104" s="1"/>
      <c r="PYK104" s="1"/>
      <c r="PYL104" s="1"/>
      <c r="PYM104" s="1"/>
      <c r="PYN104" s="1"/>
      <c r="PYO104" s="1"/>
      <c r="PYP104" s="1"/>
      <c r="PYQ104" s="1"/>
      <c r="PYR104" s="1"/>
      <c r="PYS104" s="1"/>
      <c r="PYT104" s="1"/>
      <c r="PYU104" s="1"/>
      <c r="PYV104" s="1"/>
      <c r="PYW104" s="1"/>
      <c r="PYX104" s="1"/>
      <c r="PYY104" s="1"/>
      <c r="PYZ104" s="1"/>
      <c r="PZA104" s="1"/>
      <c r="PZB104" s="1"/>
      <c r="PZC104" s="1"/>
      <c r="PZD104" s="1"/>
      <c r="PZE104" s="1"/>
      <c r="PZF104" s="1"/>
      <c r="PZG104" s="1"/>
      <c r="PZH104" s="1"/>
      <c r="PZI104" s="1"/>
      <c r="PZJ104" s="1"/>
      <c r="PZK104" s="1"/>
      <c r="PZL104" s="1"/>
      <c r="PZM104" s="1"/>
      <c r="PZN104" s="1"/>
      <c r="PZO104" s="1"/>
      <c r="PZP104" s="1"/>
      <c r="PZQ104" s="1"/>
      <c r="PZR104" s="1"/>
      <c r="PZS104" s="1"/>
      <c r="PZT104" s="1"/>
      <c r="PZU104" s="1"/>
      <c r="PZV104" s="1"/>
      <c r="PZW104" s="1"/>
      <c r="PZX104" s="1"/>
      <c r="PZY104" s="1"/>
      <c r="PZZ104" s="1"/>
      <c r="QAA104" s="1"/>
      <c r="QAB104" s="1"/>
      <c r="QAC104" s="1"/>
      <c r="QAD104" s="1"/>
      <c r="QAE104" s="1"/>
      <c r="QAF104" s="1"/>
      <c r="QAG104" s="1"/>
      <c r="QAH104" s="1"/>
      <c r="QAI104" s="1"/>
      <c r="QAJ104" s="1"/>
      <c r="QAK104" s="1"/>
      <c r="QAL104" s="1"/>
      <c r="QAM104" s="1"/>
      <c r="QAN104" s="1"/>
      <c r="QAO104" s="1"/>
      <c r="QAP104" s="1"/>
      <c r="QAQ104" s="1"/>
      <c r="QAR104" s="1"/>
      <c r="QAS104" s="1"/>
      <c r="QAT104" s="1"/>
      <c r="QAU104" s="1"/>
      <c r="QAV104" s="1"/>
      <c r="QAW104" s="1"/>
      <c r="QAX104" s="1"/>
      <c r="QAY104" s="1"/>
      <c r="QAZ104" s="1"/>
      <c r="QBA104" s="1"/>
      <c r="QBB104" s="1"/>
      <c r="QBC104" s="1"/>
      <c r="QBD104" s="1"/>
      <c r="QBE104" s="1"/>
      <c r="QBF104" s="1"/>
      <c r="QBG104" s="1"/>
      <c r="QBH104" s="1"/>
      <c r="QBI104" s="1"/>
      <c r="QBJ104" s="1"/>
      <c r="QBK104" s="1"/>
      <c r="QBL104" s="1"/>
      <c r="QBM104" s="1"/>
      <c r="QBN104" s="1"/>
      <c r="QBO104" s="1"/>
      <c r="QBP104" s="1"/>
      <c r="QBQ104" s="1"/>
      <c r="QBR104" s="1"/>
      <c r="QBS104" s="1"/>
      <c r="QBT104" s="1"/>
      <c r="QBU104" s="1"/>
      <c r="QBV104" s="1"/>
      <c r="QBW104" s="1"/>
      <c r="QBX104" s="1"/>
      <c r="QBY104" s="1"/>
      <c r="QBZ104" s="1"/>
      <c r="QCA104" s="1"/>
      <c r="QCB104" s="1"/>
      <c r="QCC104" s="1"/>
      <c r="QCD104" s="1"/>
      <c r="QCE104" s="1"/>
      <c r="QCF104" s="1"/>
      <c r="QCG104" s="1"/>
      <c r="QCH104" s="1"/>
      <c r="QCI104" s="1"/>
      <c r="QCJ104" s="1"/>
      <c r="QCK104" s="1"/>
      <c r="QCL104" s="1"/>
      <c r="QCM104" s="1"/>
      <c r="QCN104" s="1"/>
      <c r="QCO104" s="1"/>
      <c r="QCP104" s="1"/>
      <c r="QCQ104" s="1"/>
      <c r="QCR104" s="1"/>
      <c r="QCS104" s="1"/>
      <c r="QCT104" s="1"/>
      <c r="QCU104" s="1"/>
      <c r="QCV104" s="1"/>
      <c r="QCW104" s="1"/>
      <c r="QCX104" s="1"/>
      <c r="QCY104" s="1"/>
      <c r="QCZ104" s="1"/>
      <c r="QDA104" s="1"/>
      <c r="QDB104" s="1"/>
      <c r="QDC104" s="1"/>
      <c r="QDD104" s="1"/>
      <c r="QDE104" s="1"/>
      <c r="QDF104" s="1"/>
      <c r="QDG104" s="1"/>
      <c r="QDH104" s="1"/>
      <c r="QDI104" s="1"/>
      <c r="QDJ104" s="1"/>
      <c r="QDK104" s="1"/>
      <c r="QDL104" s="1"/>
      <c r="QDM104" s="1"/>
      <c r="QDN104" s="1"/>
      <c r="QDO104" s="1"/>
      <c r="QDP104" s="1"/>
      <c r="QDQ104" s="1"/>
      <c r="QDR104" s="1"/>
      <c r="QDS104" s="1"/>
      <c r="QDT104" s="1"/>
      <c r="QDU104" s="1"/>
      <c r="QDV104" s="1"/>
      <c r="QDW104" s="1"/>
      <c r="QDX104" s="1"/>
      <c r="QDY104" s="1"/>
      <c r="QDZ104" s="1"/>
      <c r="QEA104" s="1"/>
      <c r="QEB104" s="1"/>
      <c r="QEC104" s="1"/>
      <c r="QED104" s="1"/>
      <c r="QEE104" s="1"/>
      <c r="QEF104" s="1"/>
      <c r="QEG104" s="1"/>
      <c r="QEH104" s="1"/>
      <c r="QEI104" s="1"/>
      <c r="QEJ104" s="1"/>
      <c r="QEK104" s="1"/>
      <c r="QEL104" s="1"/>
      <c r="QEM104" s="1"/>
      <c r="QEN104" s="1"/>
      <c r="QEO104" s="1"/>
      <c r="QEP104" s="1"/>
      <c r="QEQ104" s="1"/>
      <c r="QER104" s="1"/>
      <c r="QES104" s="1"/>
      <c r="QET104" s="1"/>
      <c r="QEU104" s="1"/>
      <c r="QEV104" s="1"/>
      <c r="QEW104" s="1"/>
      <c r="QEX104" s="1"/>
      <c r="QEY104" s="1"/>
      <c r="QEZ104" s="1"/>
      <c r="QFA104" s="1"/>
      <c r="QFB104" s="1"/>
      <c r="QFC104" s="1"/>
      <c r="QFD104" s="1"/>
      <c r="QFE104" s="1"/>
      <c r="QFF104" s="1"/>
      <c r="QFG104" s="1"/>
      <c r="QFH104" s="1"/>
      <c r="QFI104" s="1"/>
      <c r="QFJ104" s="1"/>
      <c r="QFK104" s="1"/>
      <c r="QFL104" s="1"/>
      <c r="QFM104" s="1"/>
      <c r="QFN104" s="1"/>
      <c r="QFO104" s="1"/>
      <c r="QFP104" s="1"/>
      <c r="QFQ104" s="1"/>
      <c r="QFR104" s="1"/>
      <c r="QFS104" s="1"/>
      <c r="QFT104" s="1"/>
      <c r="QFU104" s="1"/>
      <c r="QFV104" s="1"/>
      <c r="QFW104" s="1"/>
      <c r="QFX104" s="1"/>
      <c r="QFY104" s="1"/>
      <c r="QFZ104" s="1"/>
      <c r="QGA104" s="1"/>
      <c r="QGB104" s="1"/>
      <c r="QGC104" s="1"/>
      <c r="QGD104" s="1"/>
      <c r="QGE104" s="1"/>
      <c r="QGF104" s="1"/>
      <c r="QGG104" s="1"/>
      <c r="QGH104" s="1"/>
      <c r="QGI104" s="1"/>
      <c r="QGJ104" s="1"/>
      <c r="QGK104" s="1"/>
      <c r="QGL104" s="1"/>
      <c r="QGM104" s="1"/>
      <c r="QGN104" s="1"/>
      <c r="QGO104" s="1"/>
      <c r="QGP104" s="1"/>
      <c r="QGQ104" s="1"/>
      <c r="QGR104" s="1"/>
      <c r="QGS104" s="1"/>
      <c r="QGT104" s="1"/>
      <c r="QGU104" s="1"/>
      <c r="QGV104" s="1"/>
      <c r="QGW104" s="1"/>
      <c r="QGX104" s="1"/>
      <c r="QGY104" s="1"/>
      <c r="QGZ104" s="1"/>
      <c r="QHA104" s="1"/>
      <c r="QHB104" s="1"/>
      <c r="QHC104" s="1"/>
      <c r="QHD104" s="1"/>
      <c r="QHE104" s="1"/>
      <c r="QHF104" s="1"/>
      <c r="QHG104" s="1"/>
      <c r="QHH104" s="1"/>
      <c r="QHI104" s="1"/>
      <c r="QHJ104" s="1"/>
      <c r="QHK104" s="1"/>
      <c r="QHL104" s="1"/>
      <c r="QHM104" s="1"/>
      <c r="QHN104" s="1"/>
      <c r="QHO104" s="1"/>
      <c r="QHP104" s="1"/>
      <c r="QHQ104" s="1"/>
      <c r="QHR104" s="1"/>
      <c r="QHS104" s="1"/>
      <c r="QHT104" s="1"/>
      <c r="QHU104" s="1"/>
      <c r="QHV104" s="1"/>
      <c r="QHW104" s="1"/>
      <c r="QHX104" s="1"/>
      <c r="QHY104" s="1"/>
      <c r="QHZ104" s="1"/>
      <c r="QIA104" s="1"/>
      <c r="QIB104" s="1"/>
      <c r="QIC104" s="1"/>
      <c r="QID104" s="1"/>
      <c r="QIE104" s="1"/>
      <c r="QIF104" s="1"/>
      <c r="QIG104" s="1"/>
      <c r="QIH104" s="1"/>
      <c r="QII104" s="1"/>
      <c r="QIJ104" s="1"/>
      <c r="QIK104" s="1"/>
      <c r="QIL104" s="1"/>
      <c r="QIM104" s="1"/>
      <c r="QIN104" s="1"/>
      <c r="QIO104" s="1"/>
      <c r="QIP104" s="1"/>
      <c r="QIQ104" s="1"/>
      <c r="QIR104" s="1"/>
      <c r="QIS104" s="1"/>
      <c r="QIT104" s="1"/>
      <c r="QIU104" s="1"/>
      <c r="QIV104" s="1"/>
      <c r="QIW104" s="1"/>
      <c r="QIX104" s="1"/>
      <c r="QIY104" s="1"/>
      <c r="QIZ104" s="1"/>
      <c r="QJA104" s="1"/>
      <c r="QJB104" s="1"/>
      <c r="QJC104" s="1"/>
      <c r="QJD104" s="1"/>
      <c r="QJE104" s="1"/>
      <c r="QJF104" s="1"/>
      <c r="QJG104" s="1"/>
      <c r="QJH104" s="1"/>
      <c r="QJI104" s="1"/>
      <c r="QJJ104" s="1"/>
      <c r="QJK104" s="1"/>
      <c r="QJL104" s="1"/>
      <c r="QJM104" s="1"/>
      <c r="QJN104" s="1"/>
      <c r="QJO104" s="1"/>
      <c r="QJP104" s="1"/>
      <c r="QJQ104" s="1"/>
      <c r="QJR104" s="1"/>
      <c r="QJS104" s="1"/>
      <c r="QJT104" s="1"/>
      <c r="QJU104" s="1"/>
      <c r="QJV104" s="1"/>
      <c r="QJW104" s="1"/>
      <c r="QJX104" s="1"/>
      <c r="QJY104" s="1"/>
      <c r="QJZ104" s="1"/>
      <c r="QKA104" s="1"/>
      <c r="QKB104" s="1"/>
      <c r="QKC104" s="1"/>
      <c r="QKD104" s="1"/>
      <c r="QKE104" s="1"/>
      <c r="QKF104" s="1"/>
      <c r="QKG104" s="1"/>
      <c r="QKH104" s="1"/>
      <c r="QKI104" s="1"/>
      <c r="QKJ104" s="1"/>
      <c r="QKK104" s="1"/>
      <c r="QKL104" s="1"/>
      <c r="QKM104" s="1"/>
      <c r="QKN104" s="1"/>
      <c r="QKO104" s="1"/>
      <c r="QKP104" s="1"/>
      <c r="QKQ104" s="1"/>
      <c r="QKR104" s="1"/>
      <c r="QKS104" s="1"/>
      <c r="QKT104" s="1"/>
      <c r="QKU104" s="1"/>
      <c r="QKV104" s="1"/>
      <c r="QKW104" s="1"/>
      <c r="QKX104" s="1"/>
      <c r="QKY104" s="1"/>
      <c r="QKZ104" s="1"/>
      <c r="QLA104" s="1"/>
      <c r="QLB104" s="1"/>
      <c r="QLC104" s="1"/>
      <c r="QLD104" s="1"/>
      <c r="QLE104" s="1"/>
      <c r="QLF104" s="1"/>
      <c r="QLG104" s="1"/>
      <c r="QLH104" s="1"/>
      <c r="QLI104" s="1"/>
      <c r="QLJ104" s="1"/>
      <c r="QLK104" s="1"/>
      <c r="QLL104" s="1"/>
      <c r="QLM104" s="1"/>
      <c r="QLN104" s="1"/>
      <c r="QLO104" s="1"/>
      <c r="QLP104" s="1"/>
      <c r="QLQ104" s="1"/>
      <c r="QLR104" s="1"/>
      <c r="QLS104" s="1"/>
      <c r="QLT104" s="1"/>
      <c r="QLU104" s="1"/>
      <c r="QLV104" s="1"/>
      <c r="QLW104" s="1"/>
      <c r="QLX104" s="1"/>
      <c r="QLY104" s="1"/>
      <c r="QLZ104" s="1"/>
      <c r="QMA104" s="1"/>
      <c r="QMB104" s="1"/>
      <c r="QMC104" s="1"/>
      <c r="QMD104" s="1"/>
      <c r="QME104" s="1"/>
      <c r="QMF104" s="1"/>
      <c r="QMG104" s="1"/>
      <c r="QMH104" s="1"/>
      <c r="QMI104" s="1"/>
      <c r="QMJ104" s="1"/>
      <c r="QMK104" s="1"/>
      <c r="QML104" s="1"/>
      <c r="QMM104" s="1"/>
      <c r="QMN104" s="1"/>
      <c r="QMO104" s="1"/>
      <c r="QMP104" s="1"/>
      <c r="QMQ104" s="1"/>
      <c r="QMR104" s="1"/>
      <c r="QMS104" s="1"/>
      <c r="QMT104" s="1"/>
      <c r="QMU104" s="1"/>
      <c r="QMV104" s="1"/>
      <c r="QMW104" s="1"/>
      <c r="QMX104" s="1"/>
      <c r="QMY104" s="1"/>
      <c r="QMZ104" s="1"/>
      <c r="QNA104" s="1"/>
      <c r="QNB104" s="1"/>
      <c r="QNC104" s="1"/>
      <c r="QND104" s="1"/>
      <c r="QNE104" s="1"/>
      <c r="QNF104" s="1"/>
      <c r="QNG104" s="1"/>
      <c r="QNH104" s="1"/>
      <c r="QNI104" s="1"/>
      <c r="QNJ104" s="1"/>
      <c r="QNK104" s="1"/>
      <c r="QNL104" s="1"/>
      <c r="QNM104" s="1"/>
      <c r="QNN104" s="1"/>
      <c r="QNO104" s="1"/>
      <c r="QNP104" s="1"/>
      <c r="QNQ104" s="1"/>
      <c r="QNR104" s="1"/>
      <c r="QNS104" s="1"/>
      <c r="QNT104" s="1"/>
      <c r="QNU104" s="1"/>
      <c r="QNV104" s="1"/>
      <c r="QNW104" s="1"/>
      <c r="QNX104" s="1"/>
      <c r="QNY104" s="1"/>
      <c r="QNZ104" s="1"/>
      <c r="QOA104" s="1"/>
      <c r="QOB104" s="1"/>
      <c r="QOC104" s="1"/>
      <c r="QOD104" s="1"/>
      <c r="QOE104" s="1"/>
      <c r="QOF104" s="1"/>
      <c r="QOG104" s="1"/>
      <c r="QOH104" s="1"/>
      <c r="QOI104" s="1"/>
      <c r="QOJ104" s="1"/>
      <c r="QOK104" s="1"/>
      <c r="QOL104" s="1"/>
      <c r="QOM104" s="1"/>
      <c r="QON104" s="1"/>
      <c r="QOO104" s="1"/>
      <c r="QOP104" s="1"/>
      <c r="QOQ104" s="1"/>
      <c r="QOR104" s="1"/>
      <c r="QOS104" s="1"/>
      <c r="QOT104" s="1"/>
      <c r="QOU104" s="1"/>
      <c r="QOV104" s="1"/>
      <c r="QOW104" s="1"/>
      <c r="QOX104" s="1"/>
      <c r="QOY104" s="1"/>
      <c r="QOZ104" s="1"/>
      <c r="QPA104" s="1"/>
      <c r="QPB104" s="1"/>
      <c r="QPC104" s="1"/>
      <c r="QPD104" s="1"/>
      <c r="QPE104" s="1"/>
      <c r="QPF104" s="1"/>
      <c r="QPG104" s="1"/>
      <c r="QPH104" s="1"/>
      <c r="QPI104" s="1"/>
      <c r="QPJ104" s="1"/>
      <c r="QPK104" s="1"/>
      <c r="QPL104" s="1"/>
      <c r="QPM104" s="1"/>
      <c r="QPN104" s="1"/>
      <c r="QPO104" s="1"/>
      <c r="QPP104" s="1"/>
      <c r="QPQ104" s="1"/>
      <c r="QPR104" s="1"/>
      <c r="QPS104" s="1"/>
      <c r="QPT104" s="1"/>
      <c r="QPU104" s="1"/>
      <c r="QPV104" s="1"/>
      <c r="QPW104" s="1"/>
      <c r="QPX104" s="1"/>
      <c r="QPY104" s="1"/>
      <c r="QPZ104" s="1"/>
      <c r="QQA104" s="1"/>
      <c r="QQB104" s="1"/>
      <c r="QQC104" s="1"/>
      <c r="QQD104" s="1"/>
      <c r="QQE104" s="1"/>
      <c r="QQF104" s="1"/>
      <c r="QQG104" s="1"/>
      <c r="QQH104" s="1"/>
      <c r="QQI104" s="1"/>
      <c r="QQJ104" s="1"/>
      <c r="QQK104" s="1"/>
      <c r="QQL104" s="1"/>
      <c r="QQM104" s="1"/>
      <c r="QQN104" s="1"/>
      <c r="QQO104" s="1"/>
      <c r="QQP104" s="1"/>
      <c r="QQQ104" s="1"/>
      <c r="QQR104" s="1"/>
      <c r="QQS104" s="1"/>
      <c r="QQT104" s="1"/>
      <c r="QQU104" s="1"/>
      <c r="QQV104" s="1"/>
      <c r="QQW104" s="1"/>
      <c r="QQX104" s="1"/>
      <c r="QQY104" s="1"/>
      <c r="QQZ104" s="1"/>
      <c r="QRA104" s="1"/>
      <c r="QRB104" s="1"/>
      <c r="QRC104" s="1"/>
      <c r="QRD104" s="1"/>
      <c r="QRE104" s="1"/>
      <c r="QRF104" s="1"/>
      <c r="QRG104" s="1"/>
      <c r="QRH104" s="1"/>
      <c r="QRI104" s="1"/>
      <c r="QRJ104" s="1"/>
      <c r="QRK104" s="1"/>
      <c r="QRL104" s="1"/>
      <c r="QRM104" s="1"/>
      <c r="QRN104" s="1"/>
      <c r="QRO104" s="1"/>
      <c r="QRP104" s="1"/>
      <c r="QRQ104" s="1"/>
      <c r="QRR104" s="1"/>
      <c r="QRS104" s="1"/>
      <c r="QRT104" s="1"/>
      <c r="QRU104" s="1"/>
      <c r="QRV104" s="1"/>
      <c r="QRW104" s="1"/>
      <c r="QRX104" s="1"/>
      <c r="QRY104" s="1"/>
      <c r="QRZ104" s="1"/>
      <c r="QSA104" s="1"/>
      <c r="QSB104" s="1"/>
      <c r="QSC104" s="1"/>
      <c r="QSD104" s="1"/>
      <c r="QSE104" s="1"/>
      <c r="QSF104" s="1"/>
      <c r="QSG104" s="1"/>
      <c r="QSH104" s="1"/>
      <c r="QSI104" s="1"/>
      <c r="QSJ104" s="1"/>
      <c r="QSK104" s="1"/>
      <c r="QSL104" s="1"/>
      <c r="QSM104" s="1"/>
      <c r="QSN104" s="1"/>
      <c r="QSO104" s="1"/>
      <c r="QSP104" s="1"/>
      <c r="QSQ104" s="1"/>
      <c r="QSR104" s="1"/>
      <c r="QSS104" s="1"/>
      <c r="QST104" s="1"/>
      <c r="QSU104" s="1"/>
      <c r="QSV104" s="1"/>
      <c r="QSW104" s="1"/>
      <c r="QSX104" s="1"/>
      <c r="QSY104" s="1"/>
      <c r="QSZ104" s="1"/>
      <c r="QTA104" s="1"/>
      <c r="QTB104" s="1"/>
      <c r="QTC104" s="1"/>
      <c r="QTD104" s="1"/>
      <c r="QTE104" s="1"/>
      <c r="QTF104" s="1"/>
      <c r="QTG104" s="1"/>
      <c r="QTH104" s="1"/>
      <c r="QTI104" s="1"/>
      <c r="QTJ104" s="1"/>
      <c r="QTK104" s="1"/>
      <c r="QTL104" s="1"/>
      <c r="QTM104" s="1"/>
      <c r="QTN104" s="1"/>
      <c r="QTO104" s="1"/>
      <c r="QTP104" s="1"/>
      <c r="QTQ104" s="1"/>
      <c r="QTR104" s="1"/>
      <c r="QTS104" s="1"/>
      <c r="QTT104" s="1"/>
      <c r="QTU104" s="1"/>
      <c r="QTV104" s="1"/>
      <c r="QTW104" s="1"/>
      <c r="QTX104" s="1"/>
      <c r="QTY104" s="1"/>
      <c r="QTZ104" s="1"/>
      <c r="QUA104" s="1"/>
      <c r="QUB104" s="1"/>
      <c r="QUC104" s="1"/>
      <c r="QUD104" s="1"/>
      <c r="QUE104" s="1"/>
      <c r="QUF104" s="1"/>
      <c r="QUG104" s="1"/>
      <c r="QUH104" s="1"/>
      <c r="QUI104" s="1"/>
      <c r="QUJ104" s="1"/>
      <c r="QUK104" s="1"/>
      <c r="QUL104" s="1"/>
      <c r="QUM104" s="1"/>
      <c r="QUN104" s="1"/>
      <c r="QUO104" s="1"/>
      <c r="QUP104" s="1"/>
      <c r="QUQ104" s="1"/>
      <c r="QUR104" s="1"/>
      <c r="QUS104" s="1"/>
      <c r="QUT104" s="1"/>
      <c r="QUU104" s="1"/>
      <c r="QUV104" s="1"/>
      <c r="QUW104" s="1"/>
      <c r="QUX104" s="1"/>
      <c r="QUY104" s="1"/>
      <c r="QUZ104" s="1"/>
      <c r="QVA104" s="1"/>
      <c r="QVB104" s="1"/>
      <c r="QVC104" s="1"/>
      <c r="QVD104" s="1"/>
      <c r="QVE104" s="1"/>
      <c r="QVF104" s="1"/>
      <c r="QVG104" s="1"/>
      <c r="QVH104" s="1"/>
      <c r="QVI104" s="1"/>
      <c r="QVJ104" s="1"/>
      <c r="QVK104" s="1"/>
      <c r="QVL104" s="1"/>
      <c r="QVM104" s="1"/>
      <c r="QVN104" s="1"/>
      <c r="QVO104" s="1"/>
      <c r="QVP104" s="1"/>
      <c r="QVQ104" s="1"/>
      <c r="QVR104" s="1"/>
      <c r="QVS104" s="1"/>
      <c r="QVT104" s="1"/>
      <c r="QVU104" s="1"/>
      <c r="QVV104" s="1"/>
      <c r="QVW104" s="1"/>
      <c r="QVX104" s="1"/>
      <c r="QVY104" s="1"/>
      <c r="QVZ104" s="1"/>
      <c r="QWA104" s="1"/>
      <c r="QWB104" s="1"/>
      <c r="QWC104" s="1"/>
      <c r="QWD104" s="1"/>
      <c r="QWE104" s="1"/>
      <c r="QWF104" s="1"/>
      <c r="QWG104" s="1"/>
      <c r="QWH104" s="1"/>
      <c r="QWI104" s="1"/>
      <c r="QWJ104" s="1"/>
      <c r="QWK104" s="1"/>
      <c r="QWL104" s="1"/>
      <c r="QWM104" s="1"/>
      <c r="QWN104" s="1"/>
      <c r="QWO104" s="1"/>
      <c r="QWP104" s="1"/>
      <c r="QWQ104" s="1"/>
      <c r="QWR104" s="1"/>
      <c r="QWS104" s="1"/>
      <c r="QWT104" s="1"/>
      <c r="QWU104" s="1"/>
      <c r="QWV104" s="1"/>
      <c r="QWW104" s="1"/>
      <c r="QWX104" s="1"/>
      <c r="QWY104" s="1"/>
      <c r="QWZ104" s="1"/>
      <c r="QXA104" s="1"/>
      <c r="QXB104" s="1"/>
      <c r="QXC104" s="1"/>
      <c r="QXD104" s="1"/>
      <c r="QXE104" s="1"/>
      <c r="QXF104" s="1"/>
      <c r="QXG104" s="1"/>
      <c r="QXH104" s="1"/>
      <c r="QXI104" s="1"/>
      <c r="QXJ104" s="1"/>
      <c r="QXK104" s="1"/>
      <c r="QXL104" s="1"/>
      <c r="QXM104" s="1"/>
      <c r="QXN104" s="1"/>
      <c r="QXO104" s="1"/>
      <c r="QXP104" s="1"/>
      <c r="QXQ104" s="1"/>
      <c r="QXR104" s="1"/>
      <c r="QXS104" s="1"/>
      <c r="QXT104" s="1"/>
      <c r="QXU104" s="1"/>
      <c r="QXV104" s="1"/>
      <c r="QXW104" s="1"/>
      <c r="QXX104" s="1"/>
      <c r="QXY104" s="1"/>
      <c r="QXZ104" s="1"/>
      <c r="QYA104" s="1"/>
      <c r="QYB104" s="1"/>
      <c r="QYC104" s="1"/>
      <c r="QYD104" s="1"/>
      <c r="QYE104" s="1"/>
      <c r="QYF104" s="1"/>
      <c r="QYG104" s="1"/>
      <c r="QYH104" s="1"/>
      <c r="QYI104" s="1"/>
      <c r="QYJ104" s="1"/>
      <c r="QYK104" s="1"/>
      <c r="QYL104" s="1"/>
      <c r="QYM104" s="1"/>
      <c r="QYN104" s="1"/>
      <c r="QYO104" s="1"/>
      <c r="QYP104" s="1"/>
      <c r="QYQ104" s="1"/>
      <c r="QYR104" s="1"/>
      <c r="QYS104" s="1"/>
      <c r="QYT104" s="1"/>
      <c r="QYU104" s="1"/>
      <c r="QYV104" s="1"/>
      <c r="QYW104" s="1"/>
      <c r="QYX104" s="1"/>
      <c r="QYY104" s="1"/>
      <c r="QYZ104" s="1"/>
      <c r="QZA104" s="1"/>
      <c r="QZB104" s="1"/>
      <c r="QZC104" s="1"/>
      <c r="QZD104" s="1"/>
      <c r="QZE104" s="1"/>
      <c r="QZF104" s="1"/>
      <c r="QZG104" s="1"/>
      <c r="QZH104" s="1"/>
      <c r="QZI104" s="1"/>
      <c r="QZJ104" s="1"/>
      <c r="QZK104" s="1"/>
      <c r="QZL104" s="1"/>
      <c r="QZM104" s="1"/>
      <c r="QZN104" s="1"/>
      <c r="QZO104" s="1"/>
      <c r="QZP104" s="1"/>
      <c r="QZQ104" s="1"/>
      <c r="QZR104" s="1"/>
      <c r="QZS104" s="1"/>
      <c r="QZT104" s="1"/>
      <c r="QZU104" s="1"/>
      <c r="QZV104" s="1"/>
      <c r="QZW104" s="1"/>
      <c r="QZX104" s="1"/>
      <c r="QZY104" s="1"/>
      <c r="QZZ104" s="1"/>
      <c r="RAA104" s="1"/>
      <c r="RAB104" s="1"/>
      <c r="RAC104" s="1"/>
      <c r="RAD104" s="1"/>
      <c r="RAE104" s="1"/>
      <c r="RAF104" s="1"/>
      <c r="RAG104" s="1"/>
      <c r="RAH104" s="1"/>
      <c r="RAI104" s="1"/>
      <c r="RAJ104" s="1"/>
      <c r="RAK104" s="1"/>
      <c r="RAL104" s="1"/>
      <c r="RAM104" s="1"/>
      <c r="RAN104" s="1"/>
      <c r="RAO104" s="1"/>
      <c r="RAP104" s="1"/>
      <c r="RAQ104" s="1"/>
      <c r="RAR104" s="1"/>
      <c r="RAS104" s="1"/>
      <c r="RAT104" s="1"/>
      <c r="RAU104" s="1"/>
      <c r="RAV104" s="1"/>
      <c r="RAW104" s="1"/>
      <c r="RAX104" s="1"/>
      <c r="RAY104" s="1"/>
      <c r="RAZ104" s="1"/>
      <c r="RBA104" s="1"/>
      <c r="RBB104" s="1"/>
      <c r="RBC104" s="1"/>
      <c r="RBD104" s="1"/>
      <c r="RBE104" s="1"/>
      <c r="RBF104" s="1"/>
      <c r="RBG104" s="1"/>
      <c r="RBH104" s="1"/>
      <c r="RBI104" s="1"/>
      <c r="RBJ104" s="1"/>
      <c r="RBK104" s="1"/>
      <c r="RBL104" s="1"/>
      <c r="RBM104" s="1"/>
      <c r="RBN104" s="1"/>
      <c r="RBO104" s="1"/>
      <c r="RBP104" s="1"/>
      <c r="RBQ104" s="1"/>
      <c r="RBR104" s="1"/>
      <c r="RBS104" s="1"/>
      <c r="RBT104" s="1"/>
      <c r="RBU104" s="1"/>
      <c r="RBV104" s="1"/>
      <c r="RBW104" s="1"/>
      <c r="RBX104" s="1"/>
      <c r="RBY104" s="1"/>
      <c r="RBZ104" s="1"/>
      <c r="RCA104" s="1"/>
      <c r="RCB104" s="1"/>
      <c r="RCC104" s="1"/>
      <c r="RCD104" s="1"/>
      <c r="RCE104" s="1"/>
      <c r="RCF104" s="1"/>
      <c r="RCG104" s="1"/>
      <c r="RCH104" s="1"/>
      <c r="RCI104" s="1"/>
      <c r="RCJ104" s="1"/>
      <c r="RCK104" s="1"/>
      <c r="RCL104" s="1"/>
      <c r="RCM104" s="1"/>
      <c r="RCN104" s="1"/>
      <c r="RCO104" s="1"/>
      <c r="RCP104" s="1"/>
      <c r="RCQ104" s="1"/>
      <c r="RCR104" s="1"/>
      <c r="RCS104" s="1"/>
      <c r="RCT104" s="1"/>
      <c r="RCU104" s="1"/>
      <c r="RCV104" s="1"/>
      <c r="RCW104" s="1"/>
      <c r="RCX104" s="1"/>
      <c r="RCY104" s="1"/>
      <c r="RCZ104" s="1"/>
      <c r="RDA104" s="1"/>
      <c r="RDB104" s="1"/>
      <c r="RDC104" s="1"/>
      <c r="RDD104" s="1"/>
      <c r="RDE104" s="1"/>
      <c r="RDF104" s="1"/>
      <c r="RDG104" s="1"/>
      <c r="RDH104" s="1"/>
      <c r="RDI104" s="1"/>
      <c r="RDJ104" s="1"/>
      <c r="RDK104" s="1"/>
      <c r="RDL104" s="1"/>
      <c r="RDM104" s="1"/>
      <c r="RDN104" s="1"/>
      <c r="RDO104" s="1"/>
      <c r="RDP104" s="1"/>
      <c r="RDQ104" s="1"/>
      <c r="RDR104" s="1"/>
      <c r="RDS104" s="1"/>
      <c r="RDT104" s="1"/>
      <c r="RDU104" s="1"/>
      <c r="RDV104" s="1"/>
      <c r="RDW104" s="1"/>
      <c r="RDX104" s="1"/>
      <c r="RDY104" s="1"/>
      <c r="RDZ104" s="1"/>
      <c r="REA104" s="1"/>
      <c r="REB104" s="1"/>
      <c r="REC104" s="1"/>
      <c r="RED104" s="1"/>
      <c r="REE104" s="1"/>
      <c r="REF104" s="1"/>
      <c r="REG104" s="1"/>
      <c r="REH104" s="1"/>
      <c r="REI104" s="1"/>
      <c r="REJ104" s="1"/>
      <c r="REK104" s="1"/>
      <c r="REL104" s="1"/>
      <c r="REM104" s="1"/>
      <c r="REN104" s="1"/>
      <c r="REO104" s="1"/>
      <c r="REP104" s="1"/>
      <c r="REQ104" s="1"/>
      <c r="RER104" s="1"/>
      <c r="RES104" s="1"/>
      <c r="RET104" s="1"/>
      <c r="REU104" s="1"/>
      <c r="REV104" s="1"/>
      <c r="REW104" s="1"/>
      <c r="REX104" s="1"/>
      <c r="REY104" s="1"/>
      <c r="REZ104" s="1"/>
      <c r="RFA104" s="1"/>
      <c r="RFB104" s="1"/>
      <c r="RFC104" s="1"/>
      <c r="RFD104" s="1"/>
      <c r="RFE104" s="1"/>
      <c r="RFF104" s="1"/>
      <c r="RFG104" s="1"/>
      <c r="RFH104" s="1"/>
      <c r="RFI104" s="1"/>
      <c r="RFJ104" s="1"/>
      <c r="RFK104" s="1"/>
      <c r="RFL104" s="1"/>
      <c r="RFM104" s="1"/>
      <c r="RFN104" s="1"/>
      <c r="RFO104" s="1"/>
      <c r="RFP104" s="1"/>
      <c r="RFQ104" s="1"/>
      <c r="RFR104" s="1"/>
      <c r="RFS104" s="1"/>
      <c r="RFT104" s="1"/>
      <c r="RFU104" s="1"/>
      <c r="RFV104" s="1"/>
      <c r="RFW104" s="1"/>
      <c r="RFX104" s="1"/>
      <c r="RFY104" s="1"/>
      <c r="RFZ104" s="1"/>
      <c r="RGA104" s="1"/>
      <c r="RGB104" s="1"/>
      <c r="RGC104" s="1"/>
      <c r="RGD104" s="1"/>
      <c r="RGE104" s="1"/>
      <c r="RGF104" s="1"/>
      <c r="RGG104" s="1"/>
      <c r="RGH104" s="1"/>
      <c r="RGI104" s="1"/>
      <c r="RGJ104" s="1"/>
      <c r="RGK104" s="1"/>
      <c r="RGL104" s="1"/>
      <c r="RGM104" s="1"/>
      <c r="RGN104" s="1"/>
      <c r="RGO104" s="1"/>
      <c r="RGP104" s="1"/>
      <c r="RGQ104" s="1"/>
      <c r="RGR104" s="1"/>
      <c r="RGS104" s="1"/>
      <c r="RGT104" s="1"/>
      <c r="RGU104" s="1"/>
      <c r="RGV104" s="1"/>
      <c r="RGW104" s="1"/>
      <c r="RGX104" s="1"/>
      <c r="RGY104" s="1"/>
      <c r="RGZ104" s="1"/>
      <c r="RHA104" s="1"/>
      <c r="RHB104" s="1"/>
      <c r="RHC104" s="1"/>
      <c r="RHD104" s="1"/>
      <c r="RHE104" s="1"/>
      <c r="RHF104" s="1"/>
      <c r="RHG104" s="1"/>
      <c r="RHH104" s="1"/>
      <c r="RHI104" s="1"/>
      <c r="RHJ104" s="1"/>
      <c r="RHK104" s="1"/>
      <c r="RHL104" s="1"/>
      <c r="RHM104" s="1"/>
      <c r="RHN104" s="1"/>
      <c r="RHO104" s="1"/>
      <c r="RHP104" s="1"/>
      <c r="RHQ104" s="1"/>
      <c r="RHR104" s="1"/>
      <c r="RHS104" s="1"/>
      <c r="RHT104" s="1"/>
      <c r="RHU104" s="1"/>
      <c r="RHV104" s="1"/>
      <c r="RHW104" s="1"/>
      <c r="RHX104" s="1"/>
      <c r="RHY104" s="1"/>
      <c r="RHZ104" s="1"/>
      <c r="RIA104" s="1"/>
      <c r="RIB104" s="1"/>
      <c r="RIC104" s="1"/>
      <c r="RID104" s="1"/>
      <c r="RIE104" s="1"/>
      <c r="RIF104" s="1"/>
      <c r="RIG104" s="1"/>
      <c r="RIH104" s="1"/>
      <c r="RII104" s="1"/>
      <c r="RIJ104" s="1"/>
      <c r="RIK104" s="1"/>
      <c r="RIL104" s="1"/>
      <c r="RIM104" s="1"/>
      <c r="RIN104" s="1"/>
      <c r="RIO104" s="1"/>
      <c r="RIP104" s="1"/>
      <c r="RIQ104" s="1"/>
      <c r="RIR104" s="1"/>
      <c r="RIS104" s="1"/>
      <c r="RIT104" s="1"/>
      <c r="RIU104" s="1"/>
      <c r="RIV104" s="1"/>
      <c r="RIW104" s="1"/>
      <c r="RIX104" s="1"/>
      <c r="RIY104" s="1"/>
      <c r="RIZ104" s="1"/>
      <c r="RJA104" s="1"/>
      <c r="RJB104" s="1"/>
      <c r="RJC104" s="1"/>
      <c r="RJD104" s="1"/>
      <c r="RJE104" s="1"/>
      <c r="RJF104" s="1"/>
      <c r="RJG104" s="1"/>
      <c r="RJH104" s="1"/>
      <c r="RJI104" s="1"/>
      <c r="RJJ104" s="1"/>
      <c r="RJK104" s="1"/>
      <c r="RJL104" s="1"/>
      <c r="RJM104" s="1"/>
      <c r="RJN104" s="1"/>
      <c r="RJO104" s="1"/>
      <c r="RJP104" s="1"/>
      <c r="RJQ104" s="1"/>
      <c r="RJR104" s="1"/>
      <c r="RJS104" s="1"/>
      <c r="RJT104" s="1"/>
      <c r="RJU104" s="1"/>
      <c r="RJV104" s="1"/>
      <c r="RJW104" s="1"/>
      <c r="RJX104" s="1"/>
      <c r="RJY104" s="1"/>
      <c r="RJZ104" s="1"/>
      <c r="RKA104" s="1"/>
      <c r="RKB104" s="1"/>
      <c r="RKC104" s="1"/>
      <c r="RKD104" s="1"/>
      <c r="RKE104" s="1"/>
      <c r="RKF104" s="1"/>
      <c r="RKG104" s="1"/>
      <c r="RKH104" s="1"/>
      <c r="RKI104" s="1"/>
      <c r="RKJ104" s="1"/>
      <c r="RKK104" s="1"/>
      <c r="RKL104" s="1"/>
      <c r="RKM104" s="1"/>
      <c r="RKN104" s="1"/>
      <c r="RKO104" s="1"/>
      <c r="RKP104" s="1"/>
      <c r="RKQ104" s="1"/>
      <c r="RKR104" s="1"/>
      <c r="RKS104" s="1"/>
      <c r="RKT104" s="1"/>
      <c r="RKU104" s="1"/>
      <c r="RKV104" s="1"/>
      <c r="RKW104" s="1"/>
      <c r="RKX104" s="1"/>
      <c r="RKY104" s="1"/>
      <c r="RKZ104" s="1"/>
      <c r="RLA104" s="1"/>
      <c r="RLB104" s="1"/>
      <c r="RLC104" s="1"/>
      <c r="RLD104" s="1"/>
      <c r="RLE104" s="1"/>
      <c r="RLF104" s="1"/>
      <c r="RLG104" s="1"/>
      <c r="RLH104" s="1"/>
      <c r="RLI104" s="1"/>
      <c r="RLJ104" s="1"/>
      <c r="RLK104" s="1"/>
      <c r="RLL104" s="1"/>
      <c r="RLM104" s="1"/>
      <c r="RLN104" s="1"/>
      <c r="RLO104" s="1"/>
      <c r="RLP104" s="1"/>
      <c r="RLQ104" s="1"/>
      <c r="RLR104" s="1"/>
      <c r="RLS104" s="1"/>
      <c r="RLT104" s="1"/>
      <c r="RLU104" s="1"/>
      <c r="RLV104" s="1"/>
      <c r="RLW104" s="1"/>
      <c r="RLX104" s="1"/>
      <c r="RLY104" s="1"/>
      <c r="RLZ104" s="1"/>
      <c r="RMA104" s="1"/>
      <c r="RMB104" s="1"/>
      <c r="RMC104" s="1"/>
      <c r="RMD104" s="1"/>
      <c r="RME104" s="1"/>
      <c r="RMF104" s="1"/>
      <c r="RMG104" s="1"/>
      <c r="RMH104" s="1"/>
      <c r="RMI104" s="1"/>
      <c r="RMJ104" s="1"/>
      <c r="RMK104" s="1"/>
      <c r="RML104" s="1"/>
      <c r="RMM104" s="1"/>
      <c r="RMN104" s="1"/>
      <c r="RMO104" s="1"/>
      <c r="RMP104" s="1"/>
      <c r="RMQ104" s="1"/>
      <c r="RMR104" s="1"/>
      <c r="RMS104" s="1"/>
      <c r="RMT104" s="1"/>
      <c r="RMU104" s="1"/>
      <c r="RMV104" s="1"/>
      <c r="RMW104" s="1"/>
      <c r="RMX104" s="1"/>
      <c r="RMY104" s="1"/>
      <c r="RMZ104" s="1"/>
      <c r="RNA104" s="1"/>
      <c r="RNB104" s="1"/>
      <c r="RNC104" s="1"/>
      <c r="RND104" s="1"/>
      <c r="RNE104" s="1"/>
      <c r="RNF104" s="1"/>
      <c r="RNG104" s="1"/>
      <c r="RNH104" s="1"/>
      <c r="RNI104" s="1"/>
      <c r="RNJ104" s="1"/>
      <c r="RNK104" s="1"/>
      <c r="RNL104" s="1"/>
      <c r="RNM104" s="1"/>
      <c r="RNN104" s="1"/>
      <c r="RNO104" s="1"/>
      <c r="RNP104" s="1"/>
      <c r="RNQ104" s="1"/>
      <c r="RNR104" s="1"/>
      <c r="RNS104" s="1"/>
      <c r="RNT104" s="1"/>
      <c r="RNU104" s="1"/>
      <c r="RNV104" s="1"/>
      <c r="RNW104" s="1"/>
      <c r="RNX104" s="1"/>
      <c r="RNY104" s="1"/>
      <c r="RNZ104" s="1"/>
      <c r="ROA104" s="1"/>
      <c r="ROB104" s="1"/>
      <c r="ROC104" s="1"/>
      <c r="ROD104" s="1"/>
      <c r="ROE104" s="1"/>
      <c r="ROF104" s="1"/>
      <c r="ROG104" s="1"/>
      <c r="ROH104" s="1"/>
      <c r="ROI104" s="1"/>
      <c r="ROJ104" s="1"/>
      <c r="ROK104" s="1"/>
      <c r="ROL104" s="1"/>
      <c r="ROM104" s="1"/>
      <c r="RON104" s="1"/>
      <c r="ROO104" s="1"/>
      <c r="ROP104" s="1"/>
      <c r="ROQ104" s="1"/>
      <c r="ROR104" s="1"/>
      <c r="ROS104" s="1"/>
      <c r="ROT104" s="1"/>
      <c r="ROU104" s="1"/>
      <c r="ROV104" s="1"/>
      <c r="ROW104" s="1"/>
      <c r="ROX104" s="1"/>
      <c r="ROY104" s="1"/>
      <c r="ROZ104" s="1"/>
      <c r="RPA104" s="1"/>
      <c r="RPB104" s="1"/>
      <c r="RPC104" s="1"/>
      <c r="RPD104" s="1"/>
      <c r="RPE104" s="1"/>
      <c r="RPF104" s="1"/>
      <c r="RPG104" s="1"/>
      <c r="RPH104" s="1"/>
      <c r="RPI104" s="1"/>
      <c r="RPJ104" s="1"/>
      <c r="RPK104" s="1"/>
      <c r="RPL104" s="1"/>
      <c r="RPM104" s="1"/>
      <c r="RPN104" s="1"/>
      <c r="RPO104" s="1"/>
      <c r="RPP104" s="1"/>
      <c r="RPQ104" s="1"/>
      <c r="RPR104" s="1"/>
      <c r="RPS104" s="1"/>
      <c r="RPT104" s="1"/>
      <c r="RPU104" s="1"/>
      <c r="RPV104" s="1"/>
      <c r="RPW104" s="1"/>
      <c r="RPX104" s="1"/>
      <c r="RPY104" s="1"/>
      <c r="RPZ104" s="1"/>
      <c r="RQA104" s="1"/>
      <c r="RQB104" s="1"/>
      <c r="RQC104" s="1"/>
      <c r="RQD104" s="1"/>
      <c r="RQE104" s="1"/>
      <c r="RQF104" s="1"/>
      <c r="RQG104" s="1"/>
      <c r="RQH104" s="1"/>
      <c r="RQI104" s="1"/>
      <c r="RQJ104" s="1"/>
      <c r="RQK104" s="1"/>
      <c r="RQL104" s="1"/>
      <c r="RQM104" s="1"/>
      <c r="RQN104" s="1"/>
      <c r="RQO104" s="1"/>
      <c r="RQP104" s="1"/>
      <c r="RQQ104" s="1"/>
      <c r="RQR104" s="1"/>
      <c r="RQS104" s="1"/>
      <c r="RQT104" s="1"/>
      <c r="RQU104" s="1"/>
      <c r="RQV104" s="1"/>
      <c r="RQW104" s="1"/>
      <c r="RQX104" s="1"/>
      <c r="RQY104" s="1"/>
      <c r="RQZ104" s="1"/>
      <c r="RRA104" s="1"/>
      <c r="RRB104" s="1"/>
      <c r="RRC104" s="1"/>
      <c r="RRD104" s="1"/>
      <c r="RRE104" s="1"/>
      <c r="RRF104" s="1"/>
      <c r="RRG104" s="1"/>
      <c r="RRH104" s="1"/>
      <c r="RRI104" s="1"/>
      <c r="RRJ104" s="1"/>
      <c r="RRK104" s="1"/>
      <c r="RRL104" s="1"/>
      <c r="RRM104" s="1"/>
      <c r="RRN104" s="1"/>
      <c r="RRO104" s="1"/>
      <c r="RRP104" s="1"/>
      <c r="RRQ104" s="1"/>
      <c r="RRR104" s="1"/>
      <c r="RRS104" s="1"/>
      <c r="RRT104" s="1"/>
      <c r="RRU104" s="1"/>
      <c r="RRV104" s="1"/>
      <c r="RRW104" s="1"/>
      <c r="RRX104" s="1"/>
      <c r="RRY104" s="1"/>
      <c r="RRZ104" s="1"/>
      <c r="RSA104" s="1"/>
      <c r="RSB104" s="1"/>
      <c r="RSC104" s="1"/>
      <c r="RSD104" s="1"/>
      <c r="RSE104" s="1"/>
      <c r="RSF104" s="1"/>
      <c r="RSG104" s="1"/>
      <c r="RSH104" s="1"/>
      <c r="RSI104" s="1"/>
      <c r="RSJ104" s="1"/>
      <c r="RSK104" s="1"/>
      <c r="RSL104" s="1"/>
      <c r="RSM104" s="1"/>
      <c r="RSN104" s="1"/>
      <c r="RSO104" s="1"/>
      <c r="RSP104" s="1"/>
      <c r="RSQ104" s="1"/>
      <c r="RSR104" s="1"/>
      <c r="RSS104" s="1"/>
      <c r="RST104" s="1"/>
      <c r="RSU104" s="1"/>
      <c r="RSV104" s="1"/>
      <c r="RSW104" s="1"/>
      <c r="RSX104" s="1"/>
      <c r="RSY104" s="1"/>
      <c r="RSZ104" s="1"/>
      <c r="RTA104" s="1"/>
      <c r="RTB104" s="1"/>
      <c r="RTC104" s="1"/>
      <c r="RTD104" s="1"/>
      <c r="RTE104" s="1"/>
      <c r="RTF104" s="1"/>
      <c r="RTG104" s="1"/>
      <c r="RTH104" s="1"/>
      <c r="RTI104" s="1"/>
      <c r="RTJ104" s="1"/>
      <c r="RTK104" s="1"/>
      <c r="RTL104" s="1"/>
      <c r="RTM104" s="1"/>
      <c r="RTN104" s="1"/>
      <c r="RTO104" s="1"/>
      <c r="RTP104" s="1"/>
      <c r="RTQ104" s="1"/>
      <c r="RTR104" s="1"/>
      <c r="RTS104" s="1"/>
      <c r="RTT104" s="1"/>
      <c r="RTU104" s="1"/>
      <c r="RTV104" s="1"/>
      <c r="RTW104" s="1"/>
      <c r="RTX104" s="1"/>
      <c r="RTY104" s="1"/>
      <c r="RTZ104" s="1"/>
      <c r="RUA104" s="1"/>
      <c r="RUB104" s="1"/>
      <c r="RUC104" s="1"/>
      <c r="RUD104" s="1"/>
      <c r="RUE104" s="1"/>
      <c r="RUF104" s="1"/>
      <c r="RUG104" s="1"/>
      <c r="RUH104" s="1"/>
      <c r="RUI104" s="1"/>
      <c r="RUJ104" s="1"/>
      <c r="RUK104" s="1"/>
      <c r="RUL104" s="1"/>
      <c r="RUM104" s="1"/>
      <c r="RUN104" s="1"/>
      <c r="RUO104" s="1"/>
      <c r="RUP104" s="1"/>
      <c r="RUQ104" s="1"/>
      <c r="RUR104" s="1"/>
      <c r="RUS104" s="1"/>
      <c r="RUT104" s="1"/>
      <c r="RUU104" s="1"/>
      <c r="RUV104" s="1"/>
      <c r="RUW104" s="1"/>
      <c r="RUX104" s="1"/>
      <c r="RUY104" s="1"/>
      <c r="RUZ104" s="1"/>
      <c r="RVA104" s="1"/>
      <c r="RVB104" s="1"/>
      <c r="RVC104" s="1"/>
      <c r="RVD104" s="1"/>
      <c r="RVE104" s="1"/>
      <c r="RVF104" s="1"/>
      <c r="RVG104" s="1"/>
      <c r="RVH104" s="1"/>
      <c r="RVI104" s="1"/>
      <c r="RVJ104" s="1"/>
      <c r="RVK104" s="1"/>
      <c r="RVL104" s="1"/>
      <c r="RVM104" s="1"/>
      <c r="RVN104" s="1"/>
      <c r="RVO104" s="1"/>
      <c r="RVP104" s="1"/>
      <c r="RVQ104" s="1"/>
      <c r="RVR104" s="1"/>
      <c r="RVS104" s="1"/>
      <c r="RVT104" s="1"/>
      <c r="RVU104" s="1"/>
      <c r="RVV104" s="1"/>
      <c r="RVW104" s="1"/>
      <c r="RVX104" s="1"/>
      <c r="RVY104" s="1"/>
      <c r="RVZ104" s="1"/>
      <c r="RWA104" s="1"/>
      <c r="RWB104" s="1"/>
      <c r="RWC104" s="1"/>
      <c r="RWD104" s="1"/>
      <c r="RWE104" s="1"/>
      <c r="RWF104" s="1"/>
      <c r="RWG104" s="1"/>
      <c r="RWH104" s="1"/>
      <c r="RWI104" s="1"/>
      <c r="RWJ104" s="1"/>
      <c r="RWK104" s="1"/>
      <c r="RWL104" s="1"/>
      <c r="RWM104" s="1"/>
      <c r="RWN104" s="1"/>
      <c r="RWO104" s="1"/>
      <c r="RWP104" s="1"/>
      <c r="RWQ104" s="1"/>
      <c r="RWR104" s="1"/>
      <c r="RWS104" s="1"/>
      <c r="RWT104" s="1"/>
      <c r="RWU104" s="1"/>
      <c r="RWV104" s="1"/>
      <c r="RWW104" s="1"/>
      <c r="RWX104" s="1"/>
      <c r="RWY104" s="1"/>
      <c r="RWZ104" s="1"/>
      <c r="RXA104" s="1"/>
      <c r="RXB104" s="1"/>
      <c r="RXC104" s="1"/>
      <c r="RXD104" s="1"/>
      <c r="RXE104" s="1"/>
      <c r="RXF104" s="1"/>
      <c r="RXG104" s="1"/>
      <c r="RXH104" s="1"/>
      <c r="RXI104" s="1"/>
      <c r="RXJ104" s="1"/>
      <c r="RXK104" s="1"/>
      <c r="RXL104" s="1"/>
      <c r="RXM104" s="1"/>
      <c r="RXN104" s="1"/>
      <c r="RXO104" s="1"/>
      <c r="RXP104" s="1"/>
      <c r="RXQ104" s="1"/>
      <c r="RXR104" s="1"/>
      <c r="RXS104" s="1"/>
      <c r="RXT104" s="1"/>
      <c r="RXU104" s="1"/>
      <c r="RXV104" s="1"/>
      <c r="RXW104" s="1"/>
      <c r="RXX104" s="1"/>
      <c r="RXY104" s="1"/>
      <c r="RXZ104" s="1"/>
      <c r="RYA104" s="1"/>
      <c r="RYB104" s="1"/>
      <c r="RYC104" s="1"/>
      <c r="RYD104" s="1"/>
      <c r="RYE104" s="1"/>
      <c r="RYF104" s="1"/>
      <c r="RYG104" s="1"/>
      <c r="RYH104" s="1"/>
      <c r="RYI104" s="1"/>
      <c r="RYJ104" s="1"/>
      <c r="RYK104" s="1"/>
      <c r="RYL104" s="1"/>
      <c r="RYM104" s="1"/>
      <c r="RYN104" s="1"/>
      <c r="RYO104" s="1"/>
      <c r="RYP104" s="1"/>
      <c r="RYQ104" s="1"/>
      <c r="RYR104" s="1"/>
      <c r="RYS104" s="1"/>
      <c r="RYT104" s="1"/>
      <c r="RYU104" s="1"/>
      <c r="RYV104" s="1"/>
      <c r="RYW104" s="1"/>
      <c r="RYX104" s="1"/>
      <c r="RYY104" s="1"/>
      <c r="RYZ104" s="1"/>
      <c r="RZA104" s="1"/>
      <c r="RZB104" s="1"/>
      <c r="RZC104" s="1"/>
      <c r="RZD104" s="1"/>
      <c r="RZE104" s="1"/>
      <c r="RZF104" s="1"/>
      <c r="RZG104" s="1"/>
      <c r="RZH104" s="1"/>
      <c r="RZI104" s="1"/>
      <c r="RZJ104" s="1"/>
      <c r="RZK104" s="1"/>
      <c r="RZL104" s="1"/>
      <c r="RZM104" s="1"/>
      <c r="RZN104" s="1"/>
      <c r="RZO104" s="1"/>
      <c r="RZP104" s="1"/>
      <c r="RZQ104" s="1"/>
      <c r="RZR104" s="1"/>
      <c r="RZS104" s="1"/>
      <c r="RZT104" s="1"/>
      <c r="RZU104" s="1"/>
      <c r="RZV104" s="1"/>
      <c r="RZW104" s="1"/>
      <c r="RZX104" s="1"/>
      <c r="RZY104" s="1"/>
      <c r="RZZ104" s="1"/>
      <c r="SAA104" s="1"/>
      <c r="SAB104" s="1"/>
      <c r="SAC104" s="1"/>
      <c r="SAD104" s="1"/>
      <c r="SAE104" s="1"/>
      <c r="SAF104" s="1"/>
      <c r="SAG104" s="1"/>
      <c r="SAH104" s="1"/>
      <c r="SAI104" s="1"/>
      <c r="SAJ104" s="1"/>
      <c r="SAK104" s="1"/>
      <c r="SAL104" s="1"/>
      <c r="SAM104" s="1"/>
      <c r="SAN104" s="1"/>
      <c r="SAO104" s="1"/>
      <c r="SAP104" s="1"/>
      <c r="SAQ104" s="1"/>
      <c r="SAR104" s="1"/>
      <c r="SAS104" s="1"/>
      <c r="SAT104" s="1"/>
      <c r="SAU104" s="1"/>
      <c r="SAV104" s="1"/>
      <c r="SAW104" s="1"/>
      <c r="SAX104" s="1"/>
      <c r="SAY104" s="1"/>
      <c r="SAZ104" s="1"/>
      <c r="SBA104" s="1"/>
      <c r="SBB104" s="1"/>
      <c r="SBC104" s="1"/>
      <c r="SBD104" s="1"/>
      <c r="SBE104" s="1"/>
      <c r="SBF104" s="1"/>
      <c r="SBG104" s="1"/>
      <c r="SBH104" s="1"/>
      <c r="SBI104" s="1"/>
      <c r="SBJ104" s="1"/>
      <c r="SBK104" s="1"/>
      <c r="SBL104" s="1"/>
      <c r="SBM104" s="1"/>
      <c r="SBN104" s="1"/>
      <c r="SBO104" s="1"/>
      <c r="SBP104" s="1"/>
      <c r="SBQ104" s="1"/>
      <c r="SBR104" s="1"/>
      <c r="SBS104" s="1"/>
      <c r="SBT104" s="1"/>
      <c r="SBU104" s="1"/>
      <c r="SBV104" s="1"/>
      <c r="SBW104" s="1"/>
      <c r="SBX104" s="1"/>
      <c r="SBY104" s="1"/>
      <c r="SBZ104" s="1"/>
      <c r="SCA104" s="1"/>
      <c r="SCB104" s="1"/>
      <c r="SCC104" s="1"/>
      <c r="SCD104" s="1"/>
      <c r="SCE104" s="1"/>
      <c r="SCF104" s="1"/>
      <c r="SCG104" s="1"/>
      <c r="SCH104" s="1"/>
      <c r="SCI104" s="1"/>
      <c r="SCJ104" s="1"/>
      <c r="SCK104" s="1"/>
      <c r="SCL104" s="1"/>
      <c r="SCM104" s="1"/>
      <c r="SCN104" s="1"/>
      <c r="SCO104" s="1"/>
      <c r="SCP104" s="1"/>
      <c r="SCQ104" s="1"/>
      <c r="SCR104" s="1"/>
      <c r="SCS104" s="1"/>
      <c r="SCT104" s="1"/>
      <c r="SCU104" s="1"/>
      <c r="SCV104" s="1"/>
      <c r="SCW104" s="1"/>
      <c r="SCX104" s="1"/>
      <c r="SCY104" s="1"/>
      <c r="SCZ104" s="1"/>
      <c r="SDA104" s="1"/>
      <c r="SDB104" s="1"/>
      <c r="SDC104" s="1"/>
      <c r="SDD104" s="1"/>
      <c r="SDE104" s="1"/>
      <c r="SDF104" s="1"/>
      <c r="SDG104" s="1"/>
      <c r="SDH104" s="1"/>
      <c r="SDI104" s="1"/>
      <c r="SDJ104" s="1"/>
      <c r="SDK104" s="1"/>
      <c r="SDL104" s="1"/>
      <c r="SDM104" s="1"/>
      <c r="SDN104" s="1"/>
      <c r="SDO104" s="1"/>
      <c r="SDP104" s="1"/>
      <c r="SDQ104" s="1"/>
      <c r="SDR104" s="1"/>
      <c r="SDS104" s="1"/>
      <c r="SDT104" s="1"/>
      <c r="SDU104" s="1"/>
      <c r="SDV104" s="1"/>
      <c r="SDW104" s="1"/>
      <c r="SDX104" s="1"/>
      <c r="SDY104" s="1"/>
      <c r="SDZ104" s="1"/>
      <c r="SEA104" s="1"/>
      <c r="SEB104" s="1"/>
      <c r="SEC104" s="1"/>
      <c r="SED104" s="1"/>
      <c r="SEE104" s="1"/>
      <c r="SEF104" s="1"/>
      <c r="SEG104" s="1"/>
      <c r="SEH104" s="1"/>
      <c r="SEI104" s="1"/>
      <c r="SEJ104" s="1"/>
      <c r="SEK104" s="1"/>
      <c r="SEL104" s="1"/>
      <c r="SEM104" s="1"/>
      <c r="SEN104" s="1"/>
      <c r="SEO104" s="1"/>
      <c r="SEP104" s="1"/>
      <c r="SEQ104" s="1"/>
      <c r="SER104" s="1"/>
      <c r="SES104" s="1"/>
      <c r="SET104" s="1"/>
      <c r="SEU104" s="1"/>
      <c r="SEV104" s="1"/>
      <c r="SEW104" s="1"/>
      <c r="SEX104" s="1"/>
      <c r="SEY104" s="1"/>
      <c r="SEZ104" s="1"/>
      <c r="SFA104" s="1"/>
      <c r="SFB104" s="1"/>
      <c r="SFC104" s="1"/>
      <c r="SFD104" s="1"/>
      <c r="SFE104" s="1"/>
      <c r="SFF104" s="1"/>
      <c r="SFG104" s="1"/>
      <c r="SFH104" s="1"/>
      <c r="SFI104" s="1"/>
      <c r="SFJ104" s="1"/>
      <c r="SFK104" s="1"/>
      <c r="SFL104" s="1"/>
      <c r="SFM104" s="1"/>
      <c r="SFN104" s="1"/>
      <c r="SFO104" s="1"/>
      <c r="SFP104" s="1"/>
      <c r="SFQ104" s="1"/>
      <c r="SFR104" s="1"/>
      <c r="SFS104" s="1"/>
      <c r="SFT104" s="1"/>
      <c r="SFU104" s="1"/>
      <c r="SFV104" s="1"/>
      <c r="SFW104" s="1"/>
      <c r="SFX104" s="1"/>
      <c r="SFY104" s="1"/>
      <c r="SFZ104" s="1"/>
      <c r="SGA104" s="1"/>
      <c r="SGB104" s="1"/>
      <c r="SGC104" s="1"/>
      <c r="SGD104" s="1"/>
      <c r="SGE104" s="1"/>
      <c r="SGF104" s="1"/>
      <c r="SGG104" s="1"/>
      <c r="SGH104" s="1"/>
      <c r="SGI104" s="1"/>
      <c r="SGJ104" s="1"/>
      <c r="SGK104" s="1"/>
      <c r="SGL104" s="1"/>
      <c r="SGM104" s="1"/>
      <c r="SGN104" s="1"/>
      <c r="SGO104" s="1"/>
      <c r="SGP104" s="1"/>
      <c r="SGQ104" s="1"/>
      <c r="SGR104" s="1"/>
      <c r="SGS104" s="1"/>
      <c r="SGT104" s="1"/>
      <c r="SGU104" s="1"/>
      <c r="SGV104" s="1"/>
      <c r="SGW104" s="1"/>
      <c r="SGX104" s="1"/>
      <c r="SGY104" s="1"/>
      <c r="SGZ104" s="1"/>
      <c r="SHA104" s="1"/>
      <c r="SHB104" s="1"/>
      <c r="SHC104" s="1"/>
      <c r="SHD104" s="1"/>
      <c r="SHE104" s="1"/>
      <c r="SHF104" s="1"/>
      <c r="SHG104" s="1"/>
      <c r="SHH104" s="1"/>
      <c r="SHI104" s="1"/>
      <c r="SHJ104" s="1"/>
      <c r="SHK104" s="1"/>
      <c r="SHL104" s="1"/>
      <c r="SHM104" s="1"/>
      <c r="SHN104" s="1"/>
      <c r="SHO104" s="1"/>
      <c r="SHP104" s="1"/>
      <c r="SHQ104" s="1"/>
      <c r="SHR104" s="1"/>
      <c r="SHS104" s="1"/>
      <c r="SHT104" s="1"/>
      <c r="SHU104" s="1"/>
      <c r="SHV104" s="1"/>
      <c r="SHW104" s="1"/>
      <c r="SHX104" s="1"/>
      <c r="SHY104" s="1"/>
      <c r="SHZ104" s="1"/>
      <c r="SIA104" s="1"/>
      <c r="SIB104" s="1"/>
      <c r="SIC104" s="1"/>
      <c r="SID104" s="1"/>
      <c r="SIE104" s="1"/>
      <c r="SIF104" s="1"/>
      <c r="SIG104" s="1"/>
      <c r="SIH104" s="1"/>
      <c r="SII104" s="1"/>
      <c r="SIJ104" s="1"/>
      <c r="SIK104" s="1"/>
      <c r="SIL104" s="1"/>
      <c r="SIM104" s="1"/>
      <c r="SIN104" s="1"/>
      <c r="SIO104" s="1"/>
      <c r="SIP104" s="1"/>
      <c r="SIQ104" s="1"/>
      <c r="SIR104" s="1"/>
      <c r="SIS104" s="1"/>
      <c r="SIT104" s="1"/>
      <c r="SIU104" s="1"/>
      <c r="SIV104" s="1"/>
      <c r="SIW104" s="1"/>
      <c r="SIX104" s="1"/>
      <c r="SIY104" s="1"/>
      <c r="SIZ104" s="1"/>
      <c r="SJA104" s="1"/>
      <c r="SJB104" s="1"/>
      <c r="SJC104" s="1"/>
      <c r="SJD104" s="1"/>
      <c r="SJE104" s="1"/>
      <c r="SJF104" s="1"/>
      <c r="SJG104" s="1"/>
      <c r="SJH104" s="1"/>
      <c r="SJI104" s="1"/>
      <c r="SJJ104" s="1"/>
      <c r="SJK104" s="1"/>
      <c r="SJL104" s="1"/>
      <c r="SJM104" s="1"/>
      <c r="SJN104" s="1"/>
      <c r="SJO104" s="1"/>
      <c r="SJP104" s="1"/>
      <c r="SJQ104" s="1"/>
      <c r="SJR104" s="1"/>
      <c r="SJS104" s="1"/>
      <c r="SJT104" s="1"/>
      <c r="SJU104" s="1"/>
      <c r="SJV104" s="1"/>
      <c r="SJW104" s="1"/>
      <c r="SJX104" s="1"/>
      <c r="SJY104" s="1"/>
      <c r="SJZ104" s="1"/>
      <c r="SKA104" s="1"/>
      <c r="SKB104" s="1"/>
      <c r="SKC104" s="1"/>
      <c r="SKD104" s="1"/>
      <c r="SKE104" s="1"/>
      <c r="SKF104" s="1"/>
      <c r="SKG104" s="1"/>
      <c r="SKH104" s="1"/>
      <c r="SKI104" s="1"/>
      <c r="SKJ104" s="1"/>
      <c r="SKK104" s="1"/>
      <c r="SKL104" s="1"/>
      <c r="SKM104" s="1"/>
      <c r="SKN104" s="1"/>
      <c r="SKO104" s="1"/>
      <c r="SKP104" s="1"/>
      <c r="SKQ104" s="1"/>
      <c r="SKR104" s="1"/>
      <c r="SKS104" s="1"/>
      <c r="SKT104" s="1"/>
      <c r="SKU104" s="1"/>
      <c r="SKV104" s="1"/>
      <c r="SKW104" s="1"/>
      <c r="SKX104" s="1"/>
      <c r="SKY104" s="1"/>
      <c r="SKZ104" s="1"/>
      <c r="SLA104" s="1"/>
      <c r="SLB104" s="1"/>
      <c r="SLC104" s="1"/>
      <c r="SLD104" s="1"/>
      <c r="SLE104" s="1"/>
      <c r="SLF104" s="1"/>
      <c r="SLG104" s="1"/>
      <c r="SLH104" s="1"/>
      <c r="SLI104" s="1"/>
      <c r="SLJ104" s="1"/>
      <c r="SLK104" s="1"/>
      <c r="SLL104" s="1"/>
      <c r="SLM104" s="1"/>
      <c r="SLN104" s="1"/>
      <c r="SLO104" s="1"/>
      <c r="SLP104" s="1"/>
      <c r="SLQ104" s="1"/>
      <c r="SLR104" s="1"/>
      <c r="SLS104" s="1"/>
      <c r="SLT104" s="1"/>
      <c r="SLU104" s="1"/>
      <c r="SLV104" s="1"/>
      <c r="SLW104" s="1"/>
      <c r="SLX104" s="1"/>
      <c r="SLY104" s="1"/>
      <c r="SLZ104" s="1"/>
      <c r="SMA104" s="1"/>
      <c r="SMB104" s="1"/>
      <c r="SMC104" s="1"/>
      <c r="SMD104" s="1"/>
      <c r="SME104" s="1"/>
      <c r="SMF104" s="1"/>
      <c r="SMG104" s="1"/>
      <c r="SMH104" s="1"/>
      <c r="SMI104" s="1"/>
      <c r="SMJ104" s="1"/>
      <c r="SMK104" s="1"/>
      <c r="SML104" s="1"/>
      <c r="SMM104" s="1"/>
      <c r="SMN104" s="1"/>
      <c r="SMO104" s="1"/>
      <c r="SMP104" s="1"/>
      <c r="SMQ104" s="1"/>
      <c r="SMR104" s="1"/>
      <c r="SMS104" s="1"/>
      <c r="SMT104" s="1"/>
      <c r="SMU104" s="1"/>
      <c r="SMV104" s="1"/>
      <c r="SMW104" s="1"/>
      <c r="SMX104" s="1"/>
      <c r="SMY104" s="1"/>
      <c r="SMZ104" s="1"/>
      <c r="SNA104" s="1"/>
      <c r="SNB104" s="1"/>
      <c r="SNC104" s="1"/>
      <c r="SND104" s="1"/>
      <c r="SNE104" s="1"/>
      <c r="SNF104" s="1"/>
      <c r="SNG104" s="1"/>
      <c r="SNH104" s="1"/>
      <c r="SNI104" s="1"/>
      <c r="SNJ104" s="1"/>
      <c r="SNK104" s="1"/>
      <c r="SNL104" s="1"/>
      <c r="SNM104" s="1"/>
      <c r="SNN104" s="1"/>
      <c r="SNO104" s="1"/>
      <c r="SNP104" s="1"/>
      <c r="SNQ104" s="1"/>
      <c r="SNR104" s="1"/>
      <c r="SNS104" s="1"/>
      <c r="SNT104" s="1"/>
      <c r="SNU104" s="1"/>
      <c r="SNV104" s="1"/>
      <c r="SNW104" s="1"/>
      <c r="SNX104" s="1"/>
      <c r="SNY104" s="1"/>
      <c r="SNZ104" s="1"/>
      <c r="SOA104" s="1"/>
      <c r="SOB104" s="1"/>
      <c r="SOC104" s="1"/>
      <c r="SOD104" s="1"/>
      <c r="SOE104" s="1"/>
      <c r="SOF104" s="1"/>
      <c r="SOG104" s="1"/>
      <c r="SOH104" s="1"/>
      <c r="SOI104" s="1"/>
      <c r="SOJ104" s="1"/>
      <c r="SOK104" s="1"/>
      <c r="SOL104" s="1"/>
      <c r="SOM104" s="1"/>
      <c r="SON104" s="1"/>
      <c r="SOO104" s="1"/>
      <c r="SOP104" s="1"/>
      <c r="SOQ104" s="1"/>
      <c r="SOR104" s="1"/>
      <c r="SOS104" s="1"/>
      <c r="SOT104" s="1"/>
      <c r="SOU104" s="1"/>
      <c r="SOV104" s="1"/>
      <c r="SOW104" s="1"/>
      <c r="SOX104" s="1"/>
      <c r="SOY104" s="1"/>
      <c r="SOZ104" s="1"/>
      <c r="SPA104" s="1"/>
      <c r="SPB104" s="1"/>
      <c r="SPC104" s="1"/>
      <c r="SPD104" s="1"/>
      <c r="SPE104" s="1"/>
      <c r="SPF104" s="1"/>
      <c r="SPG104" s="1"/>
      <c r="SPH104" s="1"/>
      <c r="SPI104" s="1"/>
      <c r="SPJ104" s="1"/>
      <c r="SPK104" s="1"/>
      <c r="SPL104" s="1"/>
      <c r="SPM104" s="1"/>
      <c r="SPN104" s="1"/>
      <c r="SPO104" s="1"/>
      <c r="SPP104" s="1"/>
      <c r="SPQ104" s="1"/>
      <c r="SPR104" s="1"/>
      <c r="SPS104" s="1"/>
      <c r="SPT104" s="1"/>
      <c r="SPU104" s="1"/>
      <c r="SPV104" s="1"/>
      <c r="SPW104" s="1"/>
      <c r="SPX104" s="1"/>
      <c r="SPY104" s="1"/>
      <c r="SPZ104" s="1"/>
      <c r="SQA104" s="1"/>
      <c r="SQB104" s="1"/>
      <c r="SQC104" s="1"/>
      <c r="SQD104" s="1"/>
      <c r="SQE104" s="1"/>
      <c r="SQF104" s="1"/>
      <c r="SQG104" s="1"/>
      <c r="SQH104" s="1"/>
      <c r="SQI104" s="1"/>
      <c r="SQJ104" s="1"/>
      <c r="SQK104" s="1"/>
      <c r="SQL104" s="1"/>
      <c r="SQM104" s="1"/>
      <c r="SQN104" s="1"/>
      <c r="SQO104" s="1"/>
      <c r="SQP104" s="1"/>
      <c r="SQQ104" s="1"/>
      <c r="SQR104" s="1"/>
      <c r="SQS104" s="1"/>
      <c r="SQT104" s="1"/>
      <c r="SQU104" s="1"/>
      <c r="SQV104" s="1"/>
      <c r="SQW104" s="1"/>
      <c r="SQX104" s="1"/>
      <c r="SQY104" s="1"/>
      <c r="SQZ104" s="1"/>
      <c r="SRA104" s="1"/>
      <c r="SRB104" s="1"/>
      <c r="SRC104" s="1"/>
      <c r="SRD104" s="1"/>
      <c r="SRE104" s="1"/>
      <c r="SRF104" s="1"/>
      <c r="SRG104" s="1"/>
      <c r="SRH104" s="1"/>
      <c r="SRI104" s="1"/>
      <c r="SRJ104" s="1"/>
      <c r="SRK104" s="1"/>
      <c r="SRL104" s="1"/>
      <c r="SRM104" s="1"/>
      <c r="SRN104" s="1"/>
      <c r="SRO104" s="1"/>
      <c r="SRP104" s="1"/>
      <c r="SRQ104" s="1"/>
      <c r="SRR104" s="1"/>
      <c r="SRS104" s="1"/>
      <c r="SRT104" s="1"/>
      <c r="SRU104" s="1"/>
      <c r="SRV104" s="1"/>
      <c r="SRW104" s="1"/>
      <c r="SRX104" s="1"/>
      <c r="SRY104" s="1"/>
      <c r="SRZ104" s="1"/>
      <c r="SSA104" s="1"/>
      <c r="SSB104" s="1"/>
      <c r="SSC104" s="1"/>
      <c r="SSD104" s="1"/>
      <c r="SSE104" s="1"/>
      <c r="SSF104" s="1"/>
      <c r="SSG104" s="1"/>
      <c r="SSH104" s="1"/>
      <c r="SSI104" s="1"/>
      <c r="SSJ104" s="1"/>
      <c r="SSK104" s="1"/>
      <c r="SSL104" s="1"/>
      <c r="SSM104" s="1"/>
      <c r="SSN104" s="1"/>
      <c r="SSO104" s="1"/>
      <c r="SSP104" s="1"/>
      <c r="SSQ104" s="1"/>
      <c r="SSR104" s="1"/>
      <c r="SSS104" s="1"/>
      <c r="SST104" s="1"/>
      <c r="SSU104" s="1"/>
      <c r="SSV104" s="1"/>
      <c r="SSW104" s="1"/>
      <c r="SSX104" s="1"/>
      <c r="SSY104" s="1"/>
      <c r="SSZ104" s="1"/>
      <c r="STA104" s="1"/>
      <c r="STB104" s="1"/>
      <c r="STC104" s="1"/>
      <c r="STD104" s="1"/>
      <c r="STE104" s="1"/>
      <c r="STF104" s="1"/>
      <c r="STG104" s="1"/>
      <c r="STH104" s="1"/>
      <c r="STI104" s="1"/>
      <c r="STJ104" s="1"/>
      <c r="STK104" s="1"/>
      <c r="STL104" s="1"/>
      <c r="STM104" s="1"/>
      <c r="STN104" s="1"/>
      <c r="STO104" s="1"/>
      <c r="STP104" s="1"/>
      <c r="STQ104" s="1"/>
      <c r="STR104" s="1"/>
      <c r="STS104" s="1"/>
      <c r="STT104" s="1"/>
      <c r="STU104" s="1"/>
      <c r="STV104" s="1"/>
      <c r="STW104" s="1"/>
      <c r="STX104" s="1"/>
      <c r="STY104" s="1"/>
      <c r="STZ104" s="1"/>
      <c r="SUA104" s="1"/>
      <c r="SUB104" s="1"/>
      <c r="SUC104" s="1"/>
      <c r="SUD104" s="1"/>
      <c r="SUE104" s="1"/>
      <c r="SUF104" s="1"/>
      <c r="SUG104" s="1"/>
      <c r="SUH104" s="1"/>
      <c r="SUI104" s="1"/>
      <c r="SUJ104" s="1"/>
      <c r="SUK104" s="1"/>
      <c r="SUL104" s="1"/>
      <c r="SUM104" s="1"/>
      <c r="SUN104" s="1"/>
      <c r="SUO104" s="1"/>
      <c r="SUP104" s="1"/>
      <c r="SUQ104" s="1"/>
      <c r="SUR104" s="1"/>
      <c r="SUS104" s="1"/>
      <c r="SUT104" s="1"/>
      <c r="SUU104" s="1"/>
      <c r="SUV104" s="1"/>
      <c r="SUW104" s="1"/>
      <c r="SUX104" s="1"/>
      <c r="SUY104" s="1"/>
      <c r="SUZ104" s="1"/>
      <c r="SVA104" s="1"/>
      <c r="SVB104" s="1"/>
      <c r="SVC104" s="1"/>
      <c r="SVD104" s="1"/>
      <c r="SVE104" s="1"/>
      <c r="SVF104" s="1"/>
      <c r="SVG104" s="1"/>
      <c r="SVH104" s="1"/>
      <c r="SVI104" s="1"/>
      <c r="SVJ104" s="1"/>
      <c r="SVK104" s="1"/>
      <c r="SVL104" s="1"/>
      <c r="SVM104" s="1"/>
      <c r="SVN104" s="1"/>
      <c r="SVO104" s="1"/>
      <c r="SVP104" s="1"/>
      <c r="SVQ104" s="1"/>
      <c r="SVR104" s="1"/>
      <c r="SVS104" s="1"/>
      <c r="SVT104" s="1"/>
      <c r="SVU104" s="1"/>
      <c r="SVV104" s="1"/>
      <c r="SVW104" s="1"/>
      <c r="SVX104" s="1"/>
      <c r="SVY104" s="1"/>
      <c r="SVZ104" s="1"/>
      <c r="SWA104" s="1"/>
      <c r="SWB104" s="1"/>
      <c r="SWC104" s="1"/>
      <c r="SWD104" s="1"/>
      <c r="SWE104" s="1"/>
      <c r="SWF104" s="1"/>
      <c r="SWG104" s="1"/>
      <c r="SWH104" s="1"/>
      <c r="SWI104" s="1"/>
      <c r="SWJ104" s="1"/>
      <c r="SWK104" s="1"/>
      <c r="SWL104" s="1"/>
      <c r="SWM104" s="1"/>
      <c r="SWN104" s="1"/>
      <c r="SWO104" s="1"/>
      <c r="SWP104" s="1"/>
      <c r="SWQ104" s="1"/>
      <c r="SWR104" s="1"/>
      <c r="SWS104" s="1"/>
      <c r="SWT104" s="1"/>
      <c r="SWU104" s="1"/>
      <c r="SWV104" s="1"/>
      <c r="SWW104" s="1"/>
      <c r="SWX104" s="1"/>
      <c r="SWY104" s="1"/>
      <c r="SWZ104" s="1"/>
      <c r="SXA104" s="1"/>
      <c r="SXB104" s="1"/>
      <c r="SXC104" s="1"/>
      <c r="SXD104" s="1"/>
      <c r="SXE104" s="1"/>
      <c r="SXF104" s="1"/>
      <c r="SXG104" s="1"/>
      <c r="SXH104" s="1"/>
      <c r="SXI104" s="1"/>
      <c r="SXJ104" s="1"/>
      <c r="SXK104" s="1"/>
      <c r="SXL104" s="1"/>
      <c r="SXM104" s="1"/>
      <c r="SXN104" s="1"/>
      <c r="SXO104" s="1"/>
      <c r="SXP104" s="1"/>
      <c r="SXQ104" s="1"/>
      <c r="SXR104" s="1"/>
      <c r="SXS104" s="1"/>
      <c r="SXT104" s="1"/>
      <c r="SXU104" s="1"/>
      <c r="SXV104" s="1"/>
      <c r="SXW104" s="1"/>
      <c r="SXX104" s="1"/>
      <c r="SXY104" s="1"/>
      <c r="SXZ104" s="1"/>
      <c r="SYA104" s="1"/>
      <c r="SYB104" s="1"/>
      <c r="SYC104" s="1"/>
      <c r="SYD104" s="1"/>
      <c r="SYE104" s="1"/>
      <c r="SYF104" s="1"/>
      <c r="SYG104" s="1"/>
      <c r="SYH104" s="1"/>
      <c r="SYI104" s="1"/>
      <c r="SYJ104" s="1"/>
      <c r="SYK104" s="1"/>
      <c r="SYL104" s="1"/>
      <c r="SYM104" s="1"/>
      <c r="SYN104" s="1"/>
      <c r="SYO104" s="1"/>
      <c r="SYP104" s="1"/>
      <c r="SYQ104" s="1"/>
      <c r="SYR104" s="1"/>
      <c r="SYS104" s="1"/>
      <c r="SYT104" s="1"/>
      <c r="SYU104" s="1"/>
      <c r="SYV104" s="1"/>
      <c r="SYW104" s="1"/>
      <c r="SYX104" s="1"/>
      <c r="SYY104" s="1"/>
      <c r="SYZ104" s="1"/>
      <c r="SZA104" s="1"/>
      <c r="SZB104" s="1"/>
      <c r="SZC104" s="1"/>
      <c r="SZD104" s="1"/>
      <c r="SZE104" s="1"/>
      <c r="SZF104" s="1"/>
      <c r="SZG104" s="1"/>
      <c r="SZH104" s="1"/>
      <c r="SZI104" s="1"/>
      <c r="SZJ104" s="1"/>
      <c r="SZK104" s="1"/>
      <c r="SZL104" s="1"/>
      <c r="SZM104" s="1"/>
      <c r="SZN104" s="1"/>
      <c r="SZO104" s="1"/>
      <c r="SZP104" s="1"/>
      <c r="SZQ104" s="1"/>
      <c r="SZR104" s="1"/>
      <c r="SZS104" s="1"/>
      <c r="SZT104" s="1"/>
      <c r="SZU104" s="1"/>
      <c r="SZV104" s="1"/>
      <c r="SZW104" s="1"/>
      <c r="SZX104" s="1"/>
      <c r="SZY104" s="1"/>
      <c r="SZZ104" s="1"/>
      <c r="TAA104" s="1"/>
      <c r="TAB104" s="1"/>
      <c r="TAC104" s="1"/>
      <c r="TAD104" s="1"/>
      <c r="TAE104" s="1"/>
      <c r="TAF104" s="1"/>
      <c r="TAG104" s="1"/>
      <c r="TAH104" s="1"/>
      <c r="TAI104" s="1"/>
      <c r="TAJ104" s="1"/>
      <c r="TAK104" s="1"/>
      <c r="TAL104" s="1"/>
      <c r="TAM104" s="1"/>
      <c r="TAN104" s="1"/>
      <c r="TAO104" s="1"/>
      <c r="TAP104" s="1"/>
      <c r="TAQ104" s="1"/>
      <c r="TAR104" s="1"/>
      <c r="TAS104" s="1"/>
      <c r="TAT104" s="1"/>
      <c r="TAU104" s="1"/>
      <c r="TAV104" s="1"/>
      <c r="TAW104" s="1"/>
      <c r="TAX104" s="1"/>
      <c r="TAY104" s="1"/>
      <c r="TAZ104" s="1"/>
      <c r="TBA104" s="1"/>
      <c r="TBB104" s="1"/>
      <c r="TBC104" s="1"/>
      <c r="TBD104" s="1"/>
      <c r="TBE104" s="1"/>
      <c r="TBF104" s="1"/>
      <c r="TBG104" s="1"/>
      <c r="TBH104" s="1"/>
      <c r="TBI104" s="1"/>
      <c r="TBJ104" s="1"/>
      <c r="TBK104" s="1"/>
      <c r="TBL104" s="1"/>
      <c r="TBM104" s="1"/>
      <c r="TBN104" s="1"/>
      <c r="TBO104" s="1"/>
      <c r="TBP104" s="1"/>
      <c r="TBQ104" s="1"/>
      <c r="TBR104" s="1"/>
      <c r="TBS104" s="1"/>
      <c r="TBT104" s="1"/>
      <c r="TBU104" s="1"/>
      <c r="TBV104" s="1"/>
      <c r="TBW104" s="1"/>
      <c r="TBX104" s="1"/>
      <c r="TBY104" s="1"/>
      <c r="TBZ104" s="1"/>
      <c r="TCA104" s="1"/>
      <c r="TCB104" s="1"/>
      <c r="TCC104" s="1"/>
      <c r="TCD104" s="1"/>
      <c r="TCE104" s="1"/>
      <c r="TCF104" s="1"/>
      <c r="TCG104" s="1"/>
      <c r="TCH104" s="1"/>
      <c r="TCI104" s="1"/>
      <c r="TCJ104" s="1"/>
      <c r="TCK104" s="1"/>
      <c r="TCL104" s="1"/>
      <c r="TCM104" s="1"/>
      <c r="TCN104" s="1"/>
      <c r="TCO104" s="1"/>
      <c r="TCP104" s="1"/>
      <c r="TCQ104" s="1"/>
      <c r="TCR104" s="1"/>
      <c r="TCS104" s="1"/>
      <c r="TCT104" s="1"/>
      <c r="TCU104" s="1"/>
      <c r="TCV104" s="1"/>
      <c r="TCW104" s="1"/>
      <c r="TCX104" s="1"/>
      <c r="TCY104" s="1"/>
      <c r="TCZ104" s="1"/>
      <c r="TDA104" s="1"/>
      <c r="TDB104" s="1"/>
      <c r="TDC104" s="1"/>
      <c r="TDD104" s="1"/>
      <c r="TDE104" s="1"/>
      <c r="TDF104" s="1"/>
      <c r="TDG104" s="1"/>
      <c r="TDH104" s="1"/>
      <c r="TDI104" s="1"/>
      <c r="TDJ104" s="1"/>
      <c r="TDK104" s="1"/>
      <c r="TDL104" s="1"/>
      <c r="TDM104" s="1"/>
      <c r="TDN104" s="1"/>
      <c r="TDO104" s="1"/>
      <c r="TDP104" s="1"/>
      <c r="TDQ104" s="1"/>
      <c r="TDR104" s="1"/>
      <c r="TDS104" s="1"/>
      <c r="TDT104" s="1"/>
      <c r="TDU104" s="1"/>
      <c r="TDV104" s="1"/>
      <c r="TDW104" s="1"/>
      <c r="TDX104" s="1"/>
      <c r="TDY104" s="1"/>
      <c r="TDZ104" s="1"/>
      <c r="TEA104" s="1"/>
      <c r="TEB104" s="1"/>
      <c r="TEC104" s="1"/>
      <c r="TED104" s="1"/>
      <c r="TEE104" s="1"/>
      <c r="TEF104" s="1"/>
      <c r="TEG104" s="1"/>
      <c r="TEH104" s="1"/>
      <c r="TEI104" s="1"/>
      <c r="TEJ104" s="1"/>
      <c r="TEK104" s="1"/>
      <c r="TEL104" s="1"/>
      <c r="TEM104" s="1"/>
      <c r="TEN104" s="1"/>
      <c r="TEO104" s="1"/>
      <c r="TEP104" s="1"/>
      <c r="TEQ104" s="1"/>
      <c r="TER104" s="1"/>
      <c r="TES104" s="1"/>
      <c r="TET104" s="1"/>
      <c r="TEU104" s="1"/>
      <c r="TEV104" s="1"/>
      <c r="TEW104" s="1"/>
      <c r="TEX104" s="1"/>
      <c r="TEY104" s="1"/>
      <c r="TEZ104" s="1"/>
      <c r="TFA104" s="1"/>
      <c r="TFB104" s="1"/>
      <c r="TFC104" s="1"/>
      <c r="TFD104" s="1"/>
      <c r="TFE104" s="1"/>
      <c r="TFF104" s="1"/>
      <c r="TFG104" s="1"/>
      <c r="TFH104" s="1"/>
      <c r="TFI104" s="1"/>
      <c r="TFJ104" s="1"/>
      <c r="TFK104" s="1"/>
      <c r="TFL104" s="1"/>
      <c r="TFM104" s="1"/>
      <c r="TFN104" s="1"/>
      <c r="TFO104" s="1"/>
      <c r="TFP104" s="1"/>
      <c r="TFQ104" s="1"/>
      <c r="TFR104" s="1"/>
      <c r="TFS104" s="1"/>
      <c r="TFT104" s="1"/>
      <c r="TFU104" s="1"/>
      <c r="TFV104" s="1"/>
      <c r="TFW104" s="1"/>
      <c r="TFX104" s="1"/>
      <c r="TFY104" s="1"/>
      <c r="TFZ104" s="1"/>
      <c r="TGA104" s="1"/>
      <c r="TGB104" s="1"/>
      <c r="TGC104" s="1"/>
      <c r="TGD104" s="1"/>
      <c r="TGE104" s="1"/>
      <c r="TGF104" s="1"/>
      <c r="TGG104" s="1"/>
      <c r="TGH104" s="1"/>
      <c r="TGI104" s="1"/>
      <c r="TGJ104" s="1"/>
      <c r="TGK104" s="1"/>
      <c r="TGL104" s="1"/>
      <c r="TGM104" s="1"/>
      <c r="TGN104" s="1"/>
      <c r="TGO104" s="1"/>
      <c r="TGP104" s="1"/>
      <c r="TGQ104" s="1"/>
      <c r="TGR104" s="1"/>
      <c r="TGS104" s="1"/>
      <c r="TGT104" s="1"/>
      <c r="TGU104" s="1"/>
      <c r="TGV104" s="1"/>
      <c r="TGW104" s="1"/>
      <c r="TGX104" s="1"/>
      <c r="TGY104" s="1"/>
      <c r="TGZ104" s="1"/>
      <c r="THA104" s="1"/>
      <c r="THB104" s="1"/>
      <c r="THC104" s="1"/>
      <c r="THD104" s="1"/>
      <c r="THE104" s="1"/>
      <c r="THF104" s="1"/>
      <c r="THG104" s="1"/>
      <c r="THH104" s="1"/>
      <c r="THI104" s="1"/>
      <c r="THJ104" s="1"/>
      <c r="THK104" s="1"/>
      <c r="THL104" s="1"/>
      <c r="THM104" s="1"/>
      <c r="THN104" s="1"/>
      <c r="THO104" s="1"/>
      <c r="THP104" s="1"/>
      <c r="THQ104" s="1"/>
      <c r="THR104" s="1"/>
      <c r="THS104" s="1"/>
      <c r="THT104" s="1"/>
      <c r="THU104" s="1"/>
      <c r="THV104" s="1"/>
      <c r="THW104" s="1"/>
      <c r="THX104" s="1"/>
      <c r="THY104" s="1"/>
      <c r="THZ104" s="1"/>
      <c r="TIA104" s="1"/>
      <c r="TIB104" s="1"/>
      <c r="TIC104" s="1"/>
      <c r="TID104" s="1"/>
      <c r="TIE104" s="1"/>
      <c r="TIF104" s="1"/>
      <c r="TIG104" s="1"/>
      <c r="TIH104" s="1"/>
      <c r="TII104" s="1"/>
      <c r="TIJ104" s="1"/>
      <c r="TIK104" s="1"/>
      <c r="TIL104" s="1"/>
      <c r="TIM104" s="1"/>
      <c r="TIN104" s="1"/>
      <c r="TIO104" s="1"/>
      <c r="TIP104" s="1"/>
      <c r="TIQ104" s="1"/>
      <c r="TIR104" s="1"/>
      <c r="TIS104" s="1"/>
      <c r="TIT104" s="1"/>
      <c r="TIU104" s="1"/>
      <c r="TIV104" s="1"/>
      <c r="TIW104" s="1"/>
      <c r="TIX104" s="1"/>
      <c r="TIY104" s="1"/>
      <c r="TIZ104" s="1"/>
      <c r="TJA104" s="1"/>
      <c r="TJB104" s="1"/>
      <c r="TJC104" s="1"/>
      <c r="TJD104" s="1"/>
      <c r="TJE104" s="1"/>
      <c r="TJF104" s="1"/>
      <c r="TJG104" s="1"/>
      <c r="TJH104" s="1"/>
      <c r="TJI104" s="1"/>
      <c r="TJJ104" s="1"/>
      <c r="TJK104" s="1"/>
      <c r="TJL104" s="1"/>
      <c r="TJM104" s="1"/>
      <c r="TJN104" s="1"/>
      <c r="TJO104" s="1"/>
      <c r="TJP104" s="1"/>
      <c r="TJQ104" s="1"/>
      <c r="TJR104" s="1"/>
      <c r="TJS104" s="1"/>
      <c r="TJT104" s="1"/>
      <c r="TJU104" s="1"/>
      <c r="TJV104" s="1"/>
      <c r="TJW104" s="1"/>
      <c r="TJX104" s="1"/>
      <c r="TJY104" s="1"/>
      <c r="TJZ104" s="1"/>
      <c r="TKA104" s="1"/>
      <c r="TKB104" s="1"/>
      <c r="TKC104" s="1"/>
      <c r="TKD104" s="1"/>
      <c r="TKE104" s="1"/>
      <c r="TKF104" s="1"/>
      <c r="TKG104" s="1"/>
      <c r="TKH104" s="1"/>
      <c r="TKI104" s="1"/>
      <c r="TKJ104" s="1"/>
      <c r="TKK104" s="1"/>
      <c r="TKL104" s="1"/>
      <c r="TKM104" s="1"/>
      <c r="TKN104" s="1"/>
      <c r="TKO104" s="1"/>
      <c r="TKP104" s="1"/>
      <c r="TKQ104" s="1"/>
      <c r="TKR104" s="1"/>
      <c r="TKS104" s="1"/>
      <c r="TKT104" s="1"/>
      <c r="TKU104" s="1"/>
      <c r="TKV104" s="1"/>
      <c r="TKW104" s="1"/>
      <c r="TKX104" s="1"/>
      <c r="TKY104" s="1"/>
      <c r="TKZ104" s="1"/>
      <c r="TLA104" s="1"/>
      <c r="TLB104" s="1"/>
      <c r="TLC104" s="1"/>
      <c r="TLD104" s="1"/>
      <c r="TLE104" s="1"/>
      <c r="TLF104" s="1"/>
      <c r="TLG104" s="1"/>
      <c r="TLH104" s="1"/>
      <c r="TLI104" s="1"/>
      <c r="TLJ104" s="1"/>
      <c r="TLK104" s="1"/>
      <c r="TLL104" s="1"/>
      <c r="TLM104" s="1"/>
      <c r="TLN104" s="1"/>
      <c r="TLO104" s="1"/>
      <c r="TLP104" s="1"/>
      <c r="TLQ104" s="1"/>
      <c r="TLR104" s="1"/>
      <c r="TLS104" s="1"/>
      <c r="TLT104" s="1"/>
      <c r="TLU104" s="1"/>
      <c r="TLV104" s="1"/>
      <c r="TLW104" s="1"/>
      <c r="TLX104" s="1"/>
      <c r="TLY104" s="1"/>
      <c r="TLZ104" s="1"/>
      <c r="TMA104" s="1"/>
      <c r="TMB104" s="1"/>
      <c r="TMC104" s="1"/>
      <c r="TMD104" s="1"/>
      <c r="TME104" s="1"/>
      <c r="TMF104" s="1"/>
      <c r="TMG104" s="1"/>
      <c r="TMH104" s="1"/>
      <c r="TMI104" s="1"/>
      <c r="TMJ104" s="1"/>
      <c r="TMK104" s="1"/>
      <c r="TML104" s="1"/>
      <c r="TMM104" s="1"/>
      <c r="TMN104" s="1"/>
      <c r="TMO104" s="1"/>
      <c r="TMP104" s="1"/>
      <c r="TMQ104" s="1"/>
      <c r="TMR104" s="1"/>
      <c r="TMS104" s="1"/>
      <c r="TMT104" s="1"/>
      <c r="TMU104" s="1"/>
      <c r="TMV104" s="1"/>
      <c r="TMW104" s="1"/>
      <c r="TMX104" s="1"/>
      <c r="TMY104" s="1"/>
      <c r="TMZ104" s="1"/>
      <c r="TNA104" s="1"/>
      <c r="TNB104" s="1"/>
      <c r="TNC104" s="1"/>
      <c r="TND104" s="1"/>
      <c r="TNE104" s="1"/>
      <c r="TNF104" s="1"/>
      <c r="TNG104" s="1"/>
      <c r="TNH104" s="1"/>
      <c r="TNI104" s="1"/>
      <c r="TNJ104" s="1"/>
      <c r="TNK104" s="1"/>
      <c r="TNL104" s="1"/>
      <c r="TNM104" s="1"/>
      <c r="TNN104" s="1"/>
      <c r="TNO104" s="1"/>
      <c r="TNP104" s="1"/>
      <c r="TNQ104" s="1"/>
      <c r="TNR104" s="1"/>
      <c r="TNS104" s="1"/>
      <c r="TNT104" s="1"/>
      <c r="TNU104" s="1"/>
      <c r="TNV104" s="1"/>
      <c r="TNW104" s="1"/>
      <c r="TNX104" s="1"/>
      <c r="TNY104" s="1"/>
      <c r="TNZ104" s="1"/>
      <c r="TOA104" s="1"/>
      <c r="TOB104" s="1"/>
      <c r="TOC104" s="1"/>
      <c r="TOD104" s="1"/>
      <c r="TOE104" s="1"/>
      <c r="TOF104" s="1"/>
      <c r="TOG104" s="1"/>
      <c r="TOH104" s="1"/>
      <c r="TOI104" s="1"/>
      <c r="TOJ104" s="1"/>
      <c r="TOK104" s="1"/>
      <c r="TOL104" s="1"/>
      <c r="TOM104" s="1"/>
      <c r="TON104" s="1"/>
      <c r="TOO104" s="1"/>
      <c r="TOP104" s="1"/>
      <c r="TOQ104" s="1"/>
      <c r="TOR104" s="1"/>
      <c r="TOS104" s="1"/>
      <c r="TOT104" s="1"/>
      <c r="TOU104" s="1"/>
      <c r="TOV104" s="1"/>
      <c r="TOW104" s="1"/>
      <c r="TOX104" s="1"/>
      <c r="TOY104" s="1"/>
      <c r="TOZ104" s="1"/>
      <c r="TPA104" s="1"/>
      <c r="TPB104" s="1"/>
      <c r="TPC104" s="1"/>
      <c r="TPD104" s="1"/>
      <c r="TPE104" s="1"/>
      <c r="TPF104" s="1"/>
      <c r="TPG104" s="1"/>
      <c r="TPH104" s="1"/>
      <c r="TPI104" s="1"/>
      <c r="TPJ104" s="1"/>
      <c r="TPK104" s="1"/>
      <c r="TPL104" s="1"/>
      <c r="TPM104" s="1"/>
      <c r="TPN104" s="1"/>
      <c r="TPO104" s="1"/>
      <c r="TPP104" s="1"/>
      <c r="TPQ104" s="1"/>
      <c r="TPR104" s="1"/>
      <c r="TPS104" s="1"/>
      <c r="TPT104" s="1"/>
      <c r="TPU104" s="1"/>
      <c r="TPV104" s="1"/>
      <c r="TPW104" s="1"/>
      <c r="TPX104" s="1"/>
      <c r="TPY104" s="1"/>
      <c r="TPZ104" s="1"/>
      <c r="TQA104" s="1"/>
      <c r="TQB104" s="1"/>
      <c r="TQC104" s="1"/>
      <c r="TQD104" s="1"/>
      <c r="TQE104" s="1"/>
      <c r="TQF104" s="1"/>
      <c r="TQG104" s="1"/>
      <c r="TQH104" s="1"/>
      <c r="TQI104" s="1"/>
      <c r="TQJ104" s="1"/>
      <c r="TQK104" s="1"/>
      <c r="TQL104" s="1"/>
      <c r="TQM104" s="1"/>
      <c r="TQN104" s="1"/>
      <c r="TQO104" s="1"/>
      <c r="TQP104" s="1"/>
      <c r="TQQ104" s="1"/>
      <c r="TQR104" s="1"/>
      <c r="TQS104" s="1"/>
      <c r="TQT104" s="1"/>
      <c r="TQU104" s="1"/>
      <c r="TQV104" s="1"/>
      <c r="TQW104" s="1"/>
      <c r="TQX104" s="1"/>
      <c r="TQY104" s="1"/>
      <c r="TQZ104" s="1"/>
      <c r="TRA104" s="1"/>
      <c r="TRB104" s="1"/>
      <c r="TRC104" s="1"/>
      <c r="TRD104" s="1"/>
      <c r="TRE104" s="1"/>
      <c r="TRF104" s="1"/>
      <c r="TRG104" s="1"/>
      <c r="TRH104" s="1"/>
      <c r="TRI104" s="1"/>
      <c r="TRJ104" s="1"/>
      <c r="TRK104" s="1"/>
      <c r="TRL104" s="1"/>
      <c r="TRM104" s="1"/>
      <c r="TRN104" s="1"/>
      <c r="TRO104" s="1"/>
      <c r="TRP104" s="1"/>
      <c r="TRQ104" s="1"/>
      <c r="TRR104" s="1"/>
      <c r="TRS104" s="1"/>
      <c r="TRT104" s="1"/>
      <c r="TRU104" s="1"/>
      <c r="TRV104" s="1"/>
      <c r="TRW104" s="1"/>
      <c r="TRX104" s="1"/>
      <c r="TRY104" s="1"/>
      <c r="TRZ104" s="1"/>
      <c r="TSA104" s="1"/>
      <c r="TSB104" s="1"/>
      <c r="TSC104" s="1"/>
      <c r="TSD104" s="1"/>
      <c r="TSE104" s="1"/>
      <c r="TSF104" s="1"/>
      <c r="TSG104" s="1"/>
      <c r="TSH104" s="1"/>
      <c r="TSI104" s="1"/>
      <c r="TSJ104" s="1"/>
      <c r="TSK104" s="1"/>
      <c r="TSL104" s="1"/>
      <c r="TSM104" s="1"/>
      <c r="TSN104" s="1"/>
      <c r="TSO104" s="1"/>
      <c r="TSP104" s="1"/>
      <c r="TSQ104" s="1"/>
      <c r="TSR104" s="1"/>
      <c r="TSS104" s="1"/>
      <c r="TST104" s="1"/>
      <c r="TSU104" s="1"/>
      <c r="TSV104" s="1"/>
      <c r="TSW104" s="1"/>
      <c r="TSX104" s="1"/>
      <c r="TSY104" s="1"/>
      <c r="TSZ104" s="1"/>
      <c r="TTA104" s="1"/>
      <c r="TTB104" s="1"/>
      <c r="TTC104" s="1"/>
      <c r="TTD104" s="1"/>
      <c r="TTE104" s="1"/>
      <c r="TTF104" s="1"/>
      <c r="TTG104" s="1"/>
      <c r="TTH104" s="1"/>
      <c r="TTI104" s="1"/>
      <c r="TTJ104" s="1"/>
      <c r="TTK104" s="1"/>
      <c r="TTL104" s="1"/>
      <c r="TTM104" s="1"/>
      <c r="TTN104" s="1"/>
      <c r="TTO104" s="1"/>
      <c r="TTP104" s="1"/>
      <c r="TTQ104" s="1"/>
      <c r="TTR104" s="1"/>
      <c r="TTS104" s="1"/>
      <c r="TTT104" s="1"/>
      <c r="TTU104" s="1"/>
      <c r="TTV104" s="1"/>
      <c r="TTW104" s="1"/>
      <c r="TTX104" s="1"/>
      <c r="TTY104" s="1"/>
      <c r="TTZ104" s="1"/>
      <c r="TUA104" s="1"/>
      <c r="TUB104" s="1"/>
      <c r="TUC104" s="1"/>
      <c r="TUD104" s="1"/>
      <c r="TUE104" s="1"/>
      <c r="TUF104" s="1"/>
      <c r="TUG104" s="1"/>
      <c r="TUH104" s="1"/>
      <c r="TUI104" s="1"/>
      <c r="TUJ104" s="1"/>
      <c r="TUK104" s="1"/>
      <c r="TUL104" s="1"/>
      <c r="TUM104" s="1"/>
      <c r="TUN104" s="1"/>
      <c r="TUO104" s="1"/>
      <c r="TUP104" s="1"/>
      <c r="TUQ104" s="1"/>
      <c r="TUR104" s="1"/>
      <c r="TUS104" s="1"/>
      <c r="TUT104" s="1"/>
      <c r="TUU104" s="1"/>
      <c r="TUV104" s="1"/>
      <c r="TUW104" s="1"/>
      <c r="TUX104" s="1"/>
      <c r="TUY104" s="1"/>
      <c r="TUZ104" s="1"/>
      <c r="TVA104" s="1"/>
      <c r="TVB104" s="1"/>
      <c r="TVC104" s="1"/>
      <c r="TVD104" s="1"/>
      <c r="TVE104" s="1"/>
      <c r="TVF104" s="1"/>
      <c r="TVG104" s="1"/>
      <c r="TVH104" s="1"/>
      <c r="TVI104" s="1"/>
      <c r="TVJ104" s="1"/>
      <c r="TVK104" s="1"/>
      <c r="TVL104" s="1"/>
      <c r="TVM104" s="1"/>
      <c r="TVN104" s="1"/>
      <c r="TVO104" s="1"/>
      <c r="TVP104" s="1"/>
      <c r="TVQ104" s="1"/>
      <c r="TVR104" s="1"/>
      <c r="TVS104" s="1"/>
      <c r="TVT104" s="1"/>
      <c r="TVU104" s="1"/>
      <c r="TVV104" s="1"/>
      <c r="TVW104" s="1"/>
      <c r="TVX104" s="1"/>
      <c r="TVY104" s="1"/>
      <c r="TVZ104" s="1"/>
      <c r="TWA104" s="1"/>
      <c r="TWB104" s="1"/>
      <c r="TWC104" s="1"/>
      <c r="TWD104" s="1"/>
      <c r="TWE104" s="1"/>
      <c r="TWF104" s="1"/>
      <c r="TWG104" s="1"/>
      <c r="TWH104" s="1"/>
      <c r="TWI104" s="1"/>
      <c r="TWJ104" s="1"/>
      <c r="TWK104" s="1"/>
      <c r="TWL104" s="1"/>
      <c r="TWM104" s="1"/>
      <c r="TWN104" s="1"/>
      <c r="TWO104" s="1"/>
      <c r="TWP104" s="1"/>
      <c r="TWQ104" s="1"/>
      <c r="TWR104" s="1"/>
      <c r="TWS104" s="1"/>
      <c r="TWT104" s="1"/>
      <c r="TWU104" s="1"/>
      <c r="TWV104" s="1"/>
      <c r="TWW104" s="1"/>
      <c r="TWX104" s="1"/>
      <c r="TWY104" s="1"/>
      <c r="TWZ104" s="1"/>
      <c r="TXA104" s="1"/>
      <c r="TXB104" s="1"/>
      <c r="TXC104" s="1"/>
      <c r="TXD104" s="1"/>
      <c r="TXE104" s="1"/>
      <c r="TXF104" s="1"/>
      <c r="TXG104" s="1"/>
      <c r="TXH104" s="1"/>
      <c r="TXI104" s="1"/>
      <c r="TXJ104" s="1"/>
      <c r="TXK104" s="1"/>
      <c r="TXL104" s="1"/>
      <c r="TXM104" s="1"/>
      <c r="TXN104" s="1"/>
      <c r="TXO104" s="1"/>
      <c r="TXP104" s="1"/>
      <c r="TXQ104" s="1"/>
      <c r="TXR104" s="1"/>
      <c r="TXS104" s="1"/>
      <c r="TXT104" s="1"/>
      <c r="TXU104" s="1"/>
      <c r="TXV104" s="1"/>
      <c r="TXW104" s="1"/>
      <c r="TXX104" s="1"/>
      <c r="TXY104" s="1"/>
      <c r="TXZ104" s="1"/>
      <c r="TYA104" s="1"/>
      <c r="TYB104" s="1"/>
      <c r="TYC104" s="1"/>
      <c r="TYD104" s="1"/>
      <c r="TYE104" s="1"/>
      <c r="TYF104" s="1"/>
      <c r="TYG104" s="1"/>
      <c r="TYH104" s="1"/>
      <c r="TYI104" s="1"/>
      <c r="TYJ104" s="1"/>
      <c r="TYK104" s="1"/>
      <c r="TYL104" s="1"/>
      <c r="TYM104" s="1"/>
      <c r="TYN104" s="1"/>
      <c r="TYO104" s="1"/>
      <c r="TYP104" s="1"/>
      <c r="TYQ104" s="1"/>
      <c r="TYR104" s="1"/>
      <c r="TYS104" s="1"/>
      <c r="TYT104" s="1"/>
      <c r="TYU104" s="1"/>
      <c r="TYV104" s="1"/>
      <c r="TYW104" s="1"/>
      <c r="TYX104" s="1"/>
      <c r="TYY104" s="1"/>
      <c r="TYZ104" s="1"/>
      <c r="TZA104" s="1"/>
      <c r="TZB104" s="1"/>
      <c r="TZC104" s="1"/>
      <c r="TZD104" s="1"/>
      <c r="TZE104" s="1"/>
      <c r="TZF104" s="1"/>
      <c r="TZG104" s="1"/>
      <c r="TZH104" s="1"/>
      <c r="TZI104" s="1"/>
      <c r="TZJ104" s="1"/>
      <c r="TZK104" s="1"/>
      <c r="TZL104" s="1"/>
      <c r="TZM104" s="1"/>
      <c r="TZN104" s="1"/>
      <c r="TZO104" s="1"/>
      <c r="TZP104" s="1"/>
      <c r="TZQ104" s="1"/>
      <c r="TZR104" s="1"/>
      <c r="TZS104" s="1"/>
      <c r="TZT104" s="1"/>
      <c r="TZU104" s="1"/>
      <c r="TZV104" s="1"/>
      <c r="TZW104" s="1"/>
      <c r="TZX104" s="1"/>
      <c r="TZY104" s="1"/>
      <c r="TZZ104" s="1"/>
      <c r="UAA104" s="1"/>
      <c r="UAB104" s="1"/>
      <c r="UAC104" s="1"/>
      <c r="UAD104" s="1"/>
      <c r="UAE104" s="1"/>
      <c r="UAF104" s="1"/>
      <c r="UAG104" s="1"/>
      <c r="UAH104" s="1"/>
      <c r="UAI104" s="1"/>
      <c r="UAJ104" s="1"/>
      <c r="UAK104" s="1"/>
      <c r="UAL104" s="1"/>
      <c r="UAM104" s="1"/>
      <c r="UAN104" s="1"/>
      <c r="UAO104" s="1"/>
      <c r="UAP104" s="1"/>
      <c r="UAQ104" s="1"/>
      <c r="UAR104" s="1"/>
      <c r="UAS104" s="1"/>
      <c r="UAT104" s="1"/>
      <c r="UAU104" s="1"/>
      <c r="UAV104" s="1"/>
      <c r="UAW104" s="1"/>
      <c r="UAX104" s="1"/>
      <c r="UAY104" s="1"/>
      <c r="UAZ104" s="1"/>
      <c r="UBA104" s="1"/>
      <c r="UBB104" s="1"/>
      <c r="UBC104" s="1"/>
      <c r="UBD104" s="1"/>
      <c r="UBE104" s="1"/>
      <c r="UBF104" s="1"/>
      <c r="UBG104" s="1"/>
      <c r="UBH104" s="1"/>
      <c r="UBI104" s="1"/>
      <c r="UBJ104" s="1"/>
      <c r="UBK104" s="1"/>
      <c r="UBL104" s="1"/>
      <c r="UBM104" s="1"/>
      <c r="UBN104" s="1"/>
      <c r="UBO104" s="1"/>
      <c r="UBP104" s="1"/>
      <c r="UBQ104" s="1"/>
      <c r="UBR104" s="1"/>
      <c r="UBS104" s="1"/>
      <c r="UBT104" s="1"/>
      <c r="UBU104" s="1"/>
      <c r="UBV104" s="1"/>
      <c r="UBW104" s="1"/>
      <c r="UBX104" s="1"/>
      <c r="UBY104" s="1"/>
      <c r="UBZ104" s="1"/>
      <c r="UCA104" s="1"/>
      <c r="UCB104" s="1"/>
      <c r="UCC104" s="1"/>
      <c r="UCD104" s="1"/>
      <c r="UCE104" s="1"/>
      <c r="UCF104" s="1"/>
      <c r="UCG104" s="1"/>
      <c r="UCH104" s="1"/>
      <c r="UCI104" s="1"/>
      <c r="UCJ104" s="1"/>
      <c r="UCK104" s="1"/>
      <c r="UCL104" s="1"/>
      <c r="UCM104" s="1"/>
      <c r="UCN104" s="1"/>
      <c r="UCO104" s="1"/>
      <c r="UCP104" s="1"/>
      <c r="UCQ104" s="1"/>
      <c r="UCR104" s="1"/>
      <c r="UCS104" s="1"/>
      <c r="UCT104" s="1"/>
      <c r="UCU104" s="1"/>
      <c r="UCV104" s="1"/>
      <c r="UCW104" s="1"/>
      <c r="UCX104" s="1"/>
      <c r="UCY104" s="1"/>
      <c r="UCZ104" s="1"/>
      <c r="UDA104" s="1"/>
      <c r="UDB104" s="1"/>
      <c r="UDC104" s="1"/>
      <c r="UDD104" s="1"/>
      <c r="UDE104" s="1"/>
      <c r="UDF104" s="1"/>
      <c r="UDG104" s="1"/>
      <c r="UDH104" s="1"/>
      <c r="UDI104" s="1"/>
      <c r="UDJ104" s="1"/>
      <c r="UDK104" s="1"/>
      <c r="UDL104" s="1"/>
      <c r="UDM104" s="1"/>
      <c r="UDN104" s="1"/>
      <c r="UDO104" s="1"/>
      <c r="UDP104" s="1"/>
      <c r="UDQ104" s="1"/>
      <c r="UDR104" s="1"/>
      <c r="UDS104" s="1"/>
      <c r="UDT104" s="1"/>
      <c r="UDU104" s="1"/>
      <c r="UDV104" s="1"/>
      <c r="UDW104" s="1"/>
      <c r="UDX104" s="1"/>
      <c r="UDY104" s="1"/>
      <c r="UDZ104" s="1"/>
      <c r="UEA104" s="1"/>
      <c r="UEB104" s="1"/>
      <c r="UEC104" s="1"/>
      <c r="UED104" s="1"/>
      <c r="UEE104" s="1"/>
      <c r="UEF104" s="1"/>
      <c r="UEG104" s="1"/>
      <c r="UEH104" s="1"/>
      <c r="UEI104" s="1"/>
      <c r="UEJ104" s="1"/>
      <c r="UEK104" s="1"/>
      <c r="UEL104" s="1"/>
      <c r="UEM104" s="1"/>
      <c r="UEN104" s="1"/>
      <c r="UEO104" s="1"/>
      <c r="UEP104" s="1"/>
      <c r="UEQ104" s="1"/>
      <c r="UER104" s="1"/>
      <c r="UES104" s="1"/>
      <c r="UET104" s="1"/>
      <c r="UEU104" s="1"/>
      <c r="UEV104" s="1"/>
      <c r="UEW104" s="1"/>
      <c r="UEX104" s="1"/>
      <c r="UEY104" s="1"/>
      <c r="UEZ104" s="1"/>
      <c r="UFA104" s="1"/>
      <c r="UFB104" s="1"/>
      <c r="UFC104" s="1"/>
      <c r="UFD104" s="1"/>
      <c r="UFE104" s="1"/>
      <c r="UFF104" s="1"/>
      <c r="UFG104" s="1"/>
      <c r="UFH104" s="1"/>
      <c r="UFI104" s="1"/>
      <c r="UFJ104" s="1"/>
      <c r="UFK104" s="1"/>
      <c r="UFL104" s="1"/>
      <c r="UFM104" s="1"/>
      <c r="UFN104" s="1"/>
      <c r="UFO104" s="1"/>
      <c r="UFP104" s="1"/>
      <c r="UFQ104" s="1"/>
      <c r="UFR104" s="1"/>
      <c r="UFS104" s="1"/>
      <c r="UFT104" s="1"/>
      <c r="UFU104" s="1"/>
      <c r="UFV104" s="1"/>
      <c r="UFW104" s="1"/>
      <c r="UFX104" s="1"/>
      <c r="UFY104" s="1"/>
      <c r="UFZ104" s="1"/>
      <c r="UGA104" s="1"/>
      <c r="UGB104" s="1"/>
      <c r="UGC104" s="1"/>
      <c r="UGD104" s="1"/>
      <c r="UGE104" s="1"/>
      <c r="UGF104" s="1"/>
      <c r="UGG104" s="1"/>
      <c r="UGH104" s="1"/>
      <c r="UGI104" s="1"/>
      <c r="UGJ104" s="1"/>
      <c r="UGK104" s="1"/>
      <c r="UGL104" s="1"/>
      <c r="UGM104" s="1"/>
      <c r="UGN104" s="1"/>
      <c r="UGO104" s="1"/>
      <c r="UGP104" s="1"/>
      <c r="UGQ104" s="1"/>
      <c r="UGR104" s="1"/>
      <c r="UGS104" s="1"/>
      <c r="UGT104" s="1"/>
      <c r="UGU104" s="1"/>
      <c r="UGV104" s="1"/>
      <c r="UGW104" s="1"/>
      <c r="UGX104" s="1"/>
      <c r="UGY104" s="1"/>
      <c r="UGZ104" s="1"/>
      <c r="UHA104" s="1"/>
      <c r="UHB104" s="1"/>
      <c r="UHC104" s="1"/>
      <c r="UHD104" s="1"/>
      <c r="UHE104" s="1"/>
      <c r="UHF104" s="1"/>
      <c r="UHG104" s="1"/>
      <c r="UHH104" s="1"/>
      <c r="UHI104" s="1"/>
      <c r="UHJ104" s="1"/>
      <c r="UHK104" s="1"/>
      <c r="UHL104" s="1"/>
      <c r="UHM104" s="1"/>
      <c r="UHN104" s="1"/>
      <c r="UHO104" s="1"/>
      <c r="UHP104" s="1"/>
      <c r="UHQ104" s="1"/>
      <c r="UHR104" s="1"/>
      <c r="UHS104" s="1"/>
      <c r="UHT104" s="1"/>
      <c r="UHU104" s="1"/>
      <c r="UHV104" s="1"/>
      <c r="UHW104" s="1"/>
      <c r="UHX104" s="1"/>
      <c r="UHY104" s="1"/>
      <c r="UHZ104" s="1"/>
      <c r="UIA104" s="1"/>
      <c r="UIB104" s="1"/>
      <c r="UIC104" s="1"/>
      <c r="UID104" s="1"/>
      <c r="UIE104" s="1"/>
      <c r="UIF104" s="1"/>
      <c r="UIG104" s="1"/>
      <c r="UIH104" s="1"/>
      <c r="UII104" s="1"/>
      <c r="UIJ104" s="1"/>
      <c r="UIK104" s="1"/>
      <c r="UIL104" s="1"/>
      <c r="UIM104" s="1"/>
      <c r="UIN104" s="1"/>
      <c r="UIO104" s="1"/>
      <c r="UIP104" s="1"/>
      <c r="UIQ104" s="1"/>
      <c r="UIR104" s="1"/>
      <c r="UIS104" s="1"/>
      <c r="UIT104" s="1"/>
      <c r="UIU104" s="1"/>
      <c r="UIV104" s="1"/>
      <c r="UIW104" s="1"/>
      <c r="UIX104" s="1"/>
      <c r="UIY104" s="1"/>
      <c r="UIZ104" s="1"/>
      <c r="UJA104" s="1"/>
      <c r="UJB104" s="1"/>
      <c r="UJC104" s="1"/>
      <c r="UJD104" s="1"/>
      <c r="UJE104" s="1"/>
      <c r="UJF104" s="1"/>
      <c r="UJG104" s="1"/>
      <c r="UJH104" s="1"/>
      <c r="UJI104" s="1"/>
      <c r="UJJ104" s="1"/>
      <c r="UJK104" s="1"/>
      <c r="UJL104" s="1"/>
      <c r="UJM104" s="1"/>
      <c r="UJN104" s="1"/>
      <c r="UJO104" s="1"/>
      <c r="UJP104" s="1"/>
      <c r="UJQ104" s="1"/>
      <c r="UJR104" s="1"/>
      <c r="UJS104" s="1"/>
      <c r="UJT104" s="1"/>
      <c r="UJU104" s="1"/>
      <c r="UJV104" s="1"/>
      <c r="UJW104" s="1"/>
      <c r="UJX104" s="1"/>
      <c r="UJY104" s="1"/>
      <c r="UJZ104" s="1"/>
      <c r="UKA104" s="1"/>
      <c r="UKB104" s="1"/>
      <c r="UKC104" s="1"/>
      <c r="UKD104" s="1"/>
      <c r="UKE104" s="1"/>
      <c r="UKF104" s="1"/>
      <c r="UKG104" s="1"/>
      <c r="UKH104" s="1"/>
      <c r="UKI104" s="1"/>
      <c r="UKJ104" s="1"/>
      <c r="UKK104" s="1"/>
      <c r="UKL104" s="1"/>
      <c r="UKM104" s="1"/>
      <c r="UKN104" s="1"/>
      <c r="UKO104" s="1"/>
      <c r="UKP104" s="1"/>
      <c r="UKQ104" s="1"/>
      <c r="UKR104" s="1"/>
      <c r="UKS104" s="1"/>
      <c r="UKT104" s="1"/>
      <c r="UKU104" s="1"/>
      <c r="UKV104" s="1"/>
      <c r="UKW104" s="1"/>
      <c r="UKX104" s="1"/>
      <c r="UKY104" s="1"/>
      <c r="UKZ104" s="1"/>
      <c r="ULA104" s="1"/>
      <c r="ULB104" s="1"/>
      <c r="ULC104" s="1"/>
      <c r="ULD104" s="1"/>
      <c r="ULE104" s="1"/>
      <c r="ULF104" s="1"/>
      <c r="ULG104" s="1"/>
      <c r="ULH104" s="1"/>
      <c r="ULI104" s="1"/>
      <c r="ULJ104" s="1"/>
      <c r="ULK104" s="1"/>
      <c r="ULL104" s="1"/>
      <c r="ULM104" s="1"/>
      <c r="ULN104" s="1"/>
      <c r="ULO104" s="1"/>
      <c r="ULP104" s="1"/>
      <c r="ULQ104" s="1"/>
      <c r="ULR104" s="1"/>
      <c r="ULS104" s="1"/>
      <c r="ULT104" s="1"/>
      <c r="ULU104" s="1"/>
      <c r="ULV104" s="1"/>
      <c r="ULW104" s="1"/>
      <c r="ULX104" s="1"/>
      <c r="ULY104" s="1"/>
      <c r="ULZ104" s="1"/>
      <c r="UMA104" s="1"/>
      <c r="UMB104" s="1"/>
      <c r="UMC104" s="1"/>
      <c r="UMD104" s="1"/>
      <c r="UME104" s="1"/>
      <c r="UMF104" s="1"/>
      <c r="UMG104" s="1"/>
      <c r="UMH104" s="1"/>
      <c r="UMI104" s="1"/>
      <c r="UMJ104" s="1"/>
      <c r="UMK104" s="1"/>
      <c r="UML104" s="1"/>
      <c r="UMM104" s="1"/>
      <c r="UMN104" s="1"/>
      <c r="UMO104" s="1"/>
      <c r="UMP104" s="1"/>
      <c r="UMQ104" s="1"/>
      <c r="UMR104" s="1"/>
      <c r="UMS104" s="1"/>
      <c r="UMT104" s="1"/>
      <c r="UMU104" s="1"/>
      <c r="UMV104" s="1"/>
      <c r="UMW104" s="1"/>
      <c r="UMX104" s="1"/>
      <c r="UMY104" s="1"/>
      <c r="UMZ104" s="1"/>
      <c r="UNA104" s="1"/>
      <c r="UNB104" s="1"/>
      <c r="UNC104" s="1"/>
      <c r="UND104" s="1"/>
      <c r="UNE104" s="1"/>
      <c r="UNF104" s="1"/>
      <c r="UNG104" s="1"/>
      <c r="UNH104" s="1"/>
      <c r="UNI104" s="1"/>
      <c r="UNJ104" s="1"/>
      <c r="UNK104" s="1"/>
      <c r="UNL104" s="1"/>
      <c r="UNM104" s="1"/>
      <c r="UNN104" s="1"/>
      <c r="UNO104" s="1"/>
      <c r="UNP104" s="1"/>
      <c r="UNQ104" s="1"/>
      <c r="UNR104" s="1"/>
      <c r="UNS104" s="1"/>
      <c r="UNT104" s="1"/>
      <c r="UNU104" s="1"/>
      <c r="UNV104" s="1"/>
      <c r="UNW104" s="1"/>
      <c r="UNX104" s="1"/>
      <c r="UNY104" s="1"/>
      <c r="UNZ104" s="1"/>
      <c r="UOA104" s="1"/>
      <c r="UOB104" s="1"/>
      <c r="UOC104" s="1"/>
      <c r="UOD104" s="1"/>
      <c r="UOE104" s="1"/>
      <c r="UOF104" s="1"/>
      <c r="UOG104" s="1"/>
      <c r="UOH104" s="1"/>
      <c r="UOI104" s="1"/>
      <c r="UOJ104" s="1"/>
      <c r="UOK104" s="1"/>
      <c r="UOL104" s="1"/>
      <c r="UOM104" s="1"/>
      <c r="UON104" s="1"/>
      <c r="UOO104" s="1"/>
      <c r="UOP104" s="1"/>
      <c r="UOQ104" s="1"/>
      <c r="UOR104" s="1"/>
      <c r="UOS104" s="1"/>
      <c r="UOT104" s="1"/>
      <c r="UOU104" s="1"/>
      <c r="UOV104" s="1"/>
      <c r="UOW104" s="1"/>
      <c r="UOX104" s="1"/>
      <c r="UOY104" s="1"/>
      <c r="UOZ104" s="1"/>
      <c r="UPA104" s="1"/>
      <c r="UPB104" s="1"/>
      <c r="UPC104" s="1"/>
      <c r="UPD104" s="1"/>
      <c r="UPE104" s="1"/>
      <c r="UPF104" s="1"/>
      <c r="UPG104" s="1"/>
      <c r="UPH104" s="1"/>
      <c r="UPI104" s="1"/>
      <c r="UPJ104" s="1"/>
      <c r="UPK104" s="1"/>
      <c r="UPL104" s="1"/>
      <c r="UPM104" s="1"/>
      <c r="UPN104" s="1"/>
      <c r="UPO104" s="1"/>
      <c r="UPP104" s="1"/>
      <c r="UPQ104" s="1"/>
      <c r="UPR104" s="1"/>
      <c r="UPS104" s="1"/>
      <c r="UPT104" s="1"/>
      <c r="UPU104" s="1"/>
      <c r="UPV104" s="1"/>
      <c r="UPW104" s="1"/>
      <c r="UPX104" s="1"/>
      <c r="UPY104" s="1"/>
      <c r="UPZ104" s="1"/>
      <c r="UQA104" s="1"/>
      <c r="UQB104" s="1"/>
      <c r="UQC104" s="1"/>
      <c r="UQD104" s="1"/>
      <c r="UQE104" s="1"/>
      <c r="UQF104" s="1"/>
      <c r="UQG104" s="1"/>
      <c r="UQH104" s="1"/>
      <c r="UQI104" s="1"/>
      <c r="UQJ104" s="1"/>
      <c r="UQK104" s="1"/>
      <c r="UQL104" s="1"/>
      <c r="UQM104" s="1"/>
      <c r="UQN104" s="1"/>
      <c r="UQO104" s="1"/>
      <c r="UQP104" s="1"/>
      <c r="UQQ104" s="1"/>
      <c r="UQR104" s="1"/>
      <c r="UQS104" s="1"/>
      <c r="UQT104" s="1"/>
      <c r="UQU104" s="1"/>
      <c r="UQV104" s="1"/>
      <c r="UQW104" s="1"/>
      <c r="UQX104" s="1"/>
      <c r="UQY104" s="1"/>
      <c r="UQZ104" s="1"/>
      <c r="URA104" s="1"/>
      <c r="URB104" s="1"/>
      <c r="URC104" s="1"/>
      <c r="URD104" s="1"/>
      <c r="URE104" s="1"/>
      <c r="URF104" s="1"/>
      <c r="URG104" s="1"/>
      <c r="URH104" s="1"/>
      <c r="URI104" s="1"/>
      <c r="URJ104" s="1"/>
      <c r="URK104" s="1"/>
      <c r="URL104" s="1"/>
      <c r="URM104" s="1"/>
      <c r="URN104" s="1"/>
      <c r="URO104" s="1"/>
      <c r="URP104" s="1"/>
      <c r="URQ104" s="1"/>
      <c r="URR104" s="1"/>
      <c r="URS104" s="1"/>
      <c r="URT104" s="1"/>
      <c r="URU104" s="1"/>
      <c r="URV104" s="1"/>
      <c r="URW104" s="1"/>
      <c r="URX104" s="1"/>
      <c r="URY104" s="1"/>
      <c r="URZ104" s="1"/>
      <c r="USA104" s="1"/>
      <c r="USB104" s="1"/>
      <c r="USC104" s="1"/>
      <c r="USD104" s="1"/>
      <c r="USE104" s="1"/>
      <c r="USF104" s="1"/>
      <c r="USG104" s="1"/>
      <c r="USH104" s="1"/>
      <c r="USI104" s="1"/>
      <c r="USJ104" s="1"/>
      <c r="USK104" s="1"/>
      <c r="USL104" s="1"/>
      <c r="USM104" s="1"/>
      <c r="USN104" s="1"/>
      <c r="USO104" s="1"/>
      <c r="USP104" s="1"/>
      <c r="USQ104" s="1"/>
      <c r="USR104" s="1"/>
      <c r="USS104" s="1"/>
      <c r="UST104" s="1"/>
      <c r="USU104" s="1"/>
      <c r="USV104" s="1"/>
      <c r="USW104" s="1"/>
      <c r="USX104" s="1"/>
      <c r="USY104" s="1"/>
      <c r="USZ104" s="1"/>
      <c r="UTA104" s="1"/>
      <c r="UTB104" s="1"/>
      <c r="UTC104" s="1"/>
      <c r="UTD104" s="1"/>
      <c r="UTE104" s="1"/>
      <c r="UTF104" s="1"/>
      <c r="UTG104" s="1"/>
      <c r="UTH104" s="1"/>
      <c r="UTI104" s="1"/>
      <c r="UTJ104" s="1"/>
      <c r="UTK104" s="1"/>
      <c r="UTL104" s="1"/>
      <c r="UTM104" s="1"/>
      <c r="UTN104" s="1"/>
      <c r="UTO104" s="1"/>
      <c r="UTP104" s="1"/>
      <c r="UTQ104" s="1"/>
      <c r="UTR104" s="1"/>
      <c r="UTS104" s="1"/>
      <c r="UTT104" s="1"/>
      <c r="UTU104" s="1"/>
      <c r="UTV104" s="1"/>
      <c r="UTW104" s="1"/>
      <c r="UTX104" s="1"/>
      <c r="UTY104" s="1"/>
      <c r="UTZ104" s="1"/>
      <c r="UUA104" s="1"/>
      <c r="UUB104" s="1"/>
      <c r="UUC104" s="1"/>
      <c r="UUD104" s="1"/>
      <c r="UUE104" s="1"/>
      <c r="UUF104" s="1"/>
      <c r="UUG104" s="1"/>
      <c r="UUH104" s="1"/>
      <c r="UUI104" s="1"/>
      <c r="UUJ104" s="1"/>
      <c r="UUK104" s="1"/>
      <c r="UUL104" s="1"/>
      <c r="UUM104" s="1"/>
      <c r="UUN104" s="1"/>
      <c r="UUO104" s="1"/>
      <c r="UUP104" s="1"/>
      <c r="UUQ104" s="1"/>
      <c r="UUR104" s="1"/>
      <c r="UUS104" s="1"/>
      <c r="UUT104" s="1"/>
      <c r="UUU104" s="1"/>
      <c r="UUV104" s="1"/>
      <c r="UUW104" s="1"/>
      <c r="UUX104" s="1"/>
      <c r="UUY104" s="1"/>
      <c r="UUZ104" s="1"/>
      <c r="UVA104" s="1"/>
      <c r="UVB104" s="1"/>
      <c r="UVC104" s="1"/>
      <c r="UVD104" s="1"/>
      <c r="UVE104" s="1"/>
      <c r="UVF104" s="1"/>
      <c r="UVG104" s="1"/>
      <c r="UVH104" s="1"/>
      <c r="UVI104" s="1"/>
      <c r="UVJ104" s="1"/>
      <c r="UVK104" s="1"/>
      <c r="UVL104" s="1"/>
      <c r="UVM104" s="1"/>
      <c r="UVN104" s="1"/>
      <c r="UVO104" s="1"/>
      <c r="UVP104" s="1"/>
      <c r="UVQ104" s="1"/>
      <c r="UVR104" s="1"/>
      <c r="UVS104" s="1"/>
      <c r="UVT104" s="1"/>
      <c r="UVU104" s="1"/>
      <c r="UVV104" s="1"/>
      <c r="UVW104" s="1"/>
      <c r="UVX104" s="1"/>
      <c r="UVY104" s="1"/>
      <c r="UVZ104" s="1"/>
      <c r="UWA104" s="1"/>
      <c r="UWB104" s="1"/>
      <c r="UWC104" s="1"/>
      <c r="UWD104" s="1"/>
      <c r="UWE104" s="1"/>
      <c r="UWF104" s="1"/>
      <c r="UWG104" s="1"/>
      <c r="UWH104" s="1"/>
      <c r="UWI104" s="1"/>
      <c r="UWJ104" s="1"/>
      <c r="UWK104" s="1"/>
      <c r="UWL104" s="1"/>
      <c r="UWM104" s="1"/>
      <c r="UWN104" s="1"/>
      <c r="UWO104" s="1"/>
      <c r="UWP104" s="1"/>
      <c r="UWQ104" s="1"/>
      <c r="UWR104" s="1"/>
      <c r="UWS104" s="1"/>
      <c r="UWT104" s="1"/>
      <c r="UWU104" s="1"/>
      <c r="UWV104" s="1"/>
      <c r="UWW104" s="1"/>
      <c r="UWX104" s="1"/>
      <c r="UWY104" s="1"/>
      <c r="UWZ104" s="1"/>
      <c r="UXA104" s="1"/>
      <c r="UXB104" s="1"/>
      <c r="UXC104" s="1"/>
      <c r="UXD104" s="1"/>
      <c r="UXE104" s="1"/>
      <c r="UXF104" s="1"/>
      <c r="UXG104" s="1"/>
      <c r="UXH104" s="1"/>
      <c r="UXI104" s="1"/>
      <c r="UXJ104" s="1"/>
      <c r="UXK104" s="1"/>
      <c r="UXL104" s="1"/>
      <c r="UXM104" s="1"/>
      <c r="UXN104" s="1"/>
      <c r="UXO104" s="1"/>
      <c r="UXP104" s="1"/>
      <c r="UXQ104" s="1"/>
      <c r="UXR104" s="1"/>
      <c r="UXS104" s="1"/>
      <c r="UXT104" s="1"/>
      <c r="UXU104" s="1"/>
      <c r="UXV104" s="1"/>
      <c r="UXW104" s="1"/>
      <c r="UXX104" s="1"/>
      <c r="UXY104" s="1"/>
      <c r="UXZ104" s="1"/>
      <c r="UYA104" s="1"/>
      <c r="UYB104" s="1"/>
      <c r="UYC104" s="1"/>
      <c r="UYD104" s="1"/>
      <c r="UYE104" s="1"/>
      <c r="UYF104" s="1"/>
      <c r="UYG104" s="1"/>
      <c r="UYH104" s="1"/>
      <c r="UYI104" s="1"/>
      <c r="UYJ104" s="1"/>
      <c r="UYK104" s="1"/>
      <c r="UYL104" s="1"/>
      <c r="UYM104" s="1"/>
      <c r="UYN104" s="1"/>
      <c r="UYO104" s="1"/>
      <c r="UYP104" s="1"/>
      <c r="UYQ104" s="1"/>
      <c r="UYR104" s="1"/>
      <c r="UYS104" s="1"/>
      <c r="UYT104" s="1"/>
      <c r="UYU104" s="1"/>
      <c r="UYV104" s="1"/>
      <c r="UYW104" s="1"/>
      <c r="UYX104" s="1"/>
      <c r="UYY104" s="1"/>
      <c r="UYZ104" s="1"/>
      <c r="UZA104" s="1"/>
      <c r="UZB104" s="1"/>
      <c r="UZC104" s="1"/>
      <c r="UZD104" s="1"/>
      <c r="UZE104" s="1"/>
      <c r="UZF104" s="1"/>
      <c r="UZG104" s="1"/>
      <c r="UZH104" s="1"/>
      <c r="UZI104" s="1"/>
      <c r="UZJ104" s="1"/>
      <c r="UZK104" s="1"/>
      <c r="UZL104" s="1"/>
      <c r="UZM104" s="1"/>
      <c r="UZN104" s="1"/>
      <c r="UZO104" s="1"/>
      <c r="UZP104" s="1"/>
      <c r="UZQ104" s="1"/>
      <c r="UZR104" s="1"/>
      <c r="UZS104" s="1"/>
      <c r="UZT104" s="1"/>
      <c r="UZU104" s="1"/>
      <c r="UZV104" s="1"/>
      <c r="UZW104" s="1"/>
      <c r="UZX104" s="1"/>
      <c r="UZY104" s="1"/>
      <c r="UZZ104" s="1"/>
      <c r="VAA104" s="1"/>
      <c r="VAB104" s="1"/>
      <c r="VAC104" s="1"/>
      <c r="VAD104" s="1"/>
      <c r="VAE104" s="1"/>
      <c r="VAF104" s="1"/>
      <c r="VAG104" s="1"/>
      <c r="VAH104" s="1"/>
      <c r="VAI104" s="1"/>
      <c r="VAJ104" s="1"/>
      <c r="VAK104" s="1"/>
      <c r="VAL104" s="1"/>
      <c r="VAM104" s="1"/>
      <c r="VAN104" s="1"/>
      <c r="VAO104" s="1"/>
      <c r="VAP104" s="1"/>
      <c r="VAQ104" s="1"/>
      <c r="VAR104" s="1"/>
      <c r="VAS104" s="1"/>
      <c r="VAT104" s="1"/>
      <c r="VAU104" s="1"/>
      <c r="VAV104" s="1"/>
      <c r="VAW104" s="1"/>
      <c r="VAX104" s="1"/>
      <c r="VAY104" s="1"/>
      <c r="VAZ104" s="1"/>
      <c r="VBA104" s="1"/>
      <c r="VBB104" s="1"/>
      <c r="VBC104" s="1"/>
      <c r="VBD104" s="1"/>
      <c r="VBE104" s="1"/>
      <c r="VBF104" s="1"/>
      <c r="VBG104" s="1"/>
      <c r="VBH104" s="1"/>
      <c r="VBI104" s="1"/>
      <c r="VBJ104" s="1"/>
      <c r="VBK104" s="1"/>
      <c r="VBL104" s="1"/>
      <c r="VBM104" s="1"/>
      <c r="VBN104" s="1"/>
      <c r="VBO104" s="1"/>
      <c r="VBP104" s="1"/>
      <c r="VBQ104" s="1"/>
      <c r="VBR104" s="1"/>
      <c r="VBS104" s="1"/>
      <c r="VBT104" s="1"/>
      <c r="VBU104" s="1"/>
      <c r="VBV104" s="1"/>
      <c r="VBW104" s="1"/>
      <c r="VBX104" s="1"/>
      <c r="VBY104" s="1"/>
      <c r="VBZ104" s="1"/>
      <c r="VCA104" s="1"/>
      <c r="VCB104" s="1"/>
      <c r="VCC104" s="1"/>
      <c r="VCD104" s="1"/>
      <c r="VCE104" s="1"/>
      <c r="VCF104" s="1"/>
      <c r="VCG104" s="1"/>
      <c r="VCH104" s="1"/>
      <c r="VCI104" s="1"/>
      <c r="VCJ104" s="1"/>
      <c r="VCK104" s="1"/>
      <c r="VCL104" s="1"/>
      <c r="VCM104" s="1"/>
      <c r="VCN104" s="1"/>
      <c r="VCO104" s="1"/>
      <c r="VCP104" s="1"/>
      <c r="VCQ104" s="1"/>
      <c r="VCR104" s="1"/>
      <c r="VCS104" s="1"/>
      <c r="VCT104" s="1"/>
      <c r="VCU104" s="1"/>
      <c r="VCV104" s="1"/>
      <c r="VCW104" s="1"/>
      <c r="VCX104" s="1"/>
      <c r="VCY104" s="1"/>
      <c r="VCZ104" s="1"/>
      <c r="VDA104" s="1"/>
      <c r="VDB104" s="1"/>
      <c r="VDC104" s="1"/>
      <c r="VDD104" s="1"/>
      <c r="VDE104" s="1"/>
      <c r="VDF104" s="1"/>
      <c r="VDG104" s="1"/>
      <c r="VDH104" s="1"/>
      <c r="VDI104" s="1"/>
      <c r="VDJ104" s="1"/>
      <c r="VDK104" s="1"/>
      <c r="VDL104" s="1"/>
      <c r="VDM104" s="1"/>
      <c r="VDN104" s="1"/>
      <c r="VDO104" s="1"/>
      <c r="VDP104" s="1"/>
      <c r="VDQ104" s="1"/>
      <c r="VDR104" s="1"/>
      <c r="VDS104" s="1"/>
      <c r="VDT104" s="1"/>
      <c r="VDU104" s="1"/>
      <c r="VDV104" s="1"/>
      <c r="VDW104" s="1"/>
      <c r="VDX104" s="1"/>
      <c r="VDY104" s="1"/>
      <c r="VDZ104" s="1"/>
      <c r="VEA104" s="1"/>
      <c r="VEB104" s="1"/>
      <c r="VEC104" s="1"/>
      <c r="VED104" s="1"/>
      <c r="VEE104" s="1"/>
      <c r="VEF104" s="1"/>
      <c r="VEG104" s="1"/>
      <c r="VEH104" s="1"/>
      <c r="VEI104" s="1"/>
      <c r="VEJ104" s="1"/>
      <c r="VEK104" s="1"/>
      <c r="VEL104" s="1"/>
      <c r="VEM104" s="1"/>
      <c r="VEN104" s="1"/>
      <c r="VEO104" s="1"/>
      <c r="VEP104" s="1"/>
      <c r="VEQ104" s="1"/>
      <c r="VER104" s="1"/>
      <c r="VES104" s="1"/>
      <c r="VET104" s="1"/>
      <c r="VEU104" s="1"/>
      <c r="VEV104" s="1"/>
      <c r="VEW104" s="1"/>
      <c r="VEX104" s="1"/>
      <c r="VEY104" s="1"/>
      <c r="VEZ104" s="1"/>
      <c r="VFA104" s="1"/>
      <c r="VFB104" s="1"/>
      <c r="VFC104" s="1"/>
      <c r="VFD104" s="1"/>
      <c r="VFE104" s="1"/>
      <c r="VFF104" s="1"/>
      <c r="VFG104" s="1"/>
      <c r="VFH104" s="1"/>
      <c r="VFI104" s="1"/>
      <c r="VFJ104" s="1"/>
      <c r="VFK104" s="1"/>
      <c r="VFL104" s="1"/>
      <c r="VFM104" s="1"/>
      <c r="VFN104" s="1"/>
      <c r="VFO104" s="1"/>
      <c r="VFP104" s="1"/>
      <c r="VFQ104" s="1"/>
      <c r="VFR104" s="1"/>
      <c r="VFS104" s="1"/>
      <c r="VFT104" s="1"/>
      <c r="VFU104" s="1"/>
      <c r="VFV104" s="1"/>
      <c r="VFW104" s="1"/>
      <c r="VFX104" s="1"/>
      <c r="VFY104" s="1"/>
      <c r="VFZ104" s="1"/>
      <c r="VGA104" s="1"/>
      <c r="VGB104" s="1"/>
      <c r="VGC104" s="1"/>
      <c r="VGD104" s="1"/>
      <c r="VGE104" s="1"/>
      <c r="VGF104" s="1"/>
      <c r="VGG104" s="1"/>
      <c r="VGH104" s="1"/>
      <c r="VGI104" s="1"/>
      <c r="VGJ104" s="1"/>
      <c r="VGK104" s="1"/>
      <c r="VGL104" s="1"/>
      <c r="VGM104" s="1"/>
      <c r="VGN104" s="1"/>
      <c r="VGO104" s="1"/>
      <c r="VGP104" s="1"/>
      <c r="VGQ104" s="1"/>
      <c r="VGR104" s="1"/>
      <c r="VGS104" s="1"/>
      <c r="VGT104" s="1"/>
      <c r="VGU104" s="1"/>
      <c r="VGV104" s="1"/>
      <c r="VGW104" s="1"/>
      <c r="VGX104" s="1"/>
      <c r="VGY104" s="1"/>
      <c r="VGZ104" s="1"/>
      <c r="VHA104" s="1"/>
      <c r="VHB104" s="1"/>
      <c r="VHC104" s="1"/>
      <c r="VHD104" s="1"/>
      <c r="VHE104" s="1"/>
      <c r="VHF104" s="1"/>
      <c r="VHG104" s="1"/>
      <c r="VHH104" s="1"/>
      <c r="VHI104" s="1"/>
      <c r="VHJ104" s="1"/>
      <c r="VHK104" s="1"/>
      <c r="VHL104" s="1"/>
      <c r="VHM104" s="1"/>
      <c r="VHN104" s="1"/>
      <c r="VHO104" s="1"/>
      <c r="VHP104" s="1"/>
      <c r="VHQ104" s="1"/>
      <c r="VHR104" s="1"/>
      <c r="VHS104" s="1"/>
      <c r="VHT104" s="1"/>
      <c r="VHU104" s="1"/>
      <c r="VHV104" s="1"/>
      <c r="VHW104" s="1"/>
      <c r="VHX104" s="1"/>
      <c r="VHY104" s="1"/>
      <c r="VHZ104" s="1"/>
      <c r="VIA104" s="1"/>
      <c r="VIB104" s="1"/>
      <c r="VIC104" s="1"/>
      <c r="VID104" s="1"/>
      <c r="VIE104" s="1"/>
      <c r="VIF104" s="1"/>
      <c r="VIG104" s="1"/>
      <c r="VIH104" s="1"/>
      <c r="VII104" s="1"/>
      <c r="VIJ104" s="1"/>
      <c r="VIK104" s="1"/>
      <c r="VIL104" s="1"/>
      <c r="VIM104" s="1"/>
      <c r="VIN104" s="1"/>
      <c r="VIO104" s="1"/>
      <c r="VIP104" s="1"/>
      <c r="VIQ104" s="1"/>
      <c r="VIR104" s="1"/>
      <c r="VIS104" s="1"/>
      <c r="VIT104" s="1"/>
      <c r="VIU104" s="1"/>
      <c r="VIV104" s="1"/>
      <c r="VIW104" s="1"/>
      <c r="VIX104" s="1"/>
      <c r="VIY104" s="1"/>
      <c r="VIZ104" s="1"/>
      <c r="VJA104" s="1"/>
      <c r="VJB104" s="1"/>
      <c r="VJC104" s="1"/>
      <c r="VJD104" s="1"/>
      <c r="VJE104" s="1"/>
      <c r="VJF104" s="1"/>
      <c r="VJG104" s="1"/>
      <c r="VJH104" s="1"/>
      <c r="VJI104" s="1"/>
      <c r="VJJ104" s="1"/>
      <c r="VJK104" s="1"/>
      <c r="VJL104" s="1"/>
      <c r="VJM104" s="1"/>
      <c r="VJN104" s="1"/>
      <c r="VJO104" s="1"/>
      <c r="VJP104" s="1"/>
      <c r="VJQ104" s="1"/>
      <c r="VJR104" s="1"/>
      <c r="VJS104" s="1"/>
      <c r="VJT104" s="1"/>
      <c r="VJU104" s="1"/>
      <c r="VJV104" s="1"/>
      <c r="VJW104" s="1"/>
      <c r="VJX104" s="1"/>
      <c r="VJY104" s="1"/>
      <c r="VJZ104" s="1"/>
      <c r="VKA104" s="1"/>
      <c r="VKB104" s="1"/>
      <c r="VKC104" s="1"/>
      <c r="VKD104" s="1"/>
      <c r="VKE104" s="1"/>
      <c r="VKF104" s="1"/>
      <c r="VKG104" s="1"/>
      <c r="VKH104" s="1"/>
      <c r="VKI104" s="1"/>
      <c r="VKJ104" s="1"/>
      <c r="VKK104" s="1"/>
      <c r="VKL104" s="1"/>
      <c r="VKM104" s="1"/>
      <c r="VKN104" s="1"/>
      <c r="VKO104" s="1"/>
      <c r="VKP104" s="1"/>
      <c r="VKQ104" s="1"/>
      <c r="VKR104" s="1"/>
      <c r="VKS104" s="1"/>
      <c r="VKT104" s="1"/>
      <c r="VKU104" s="1"/>
      <c r="VKV104" s="1"/>
      <c r="VKW104" s="1"/>
      <c r="VKX104" s="1"/>
      <c r="VKY104" s="1"/>
      <c r="VKZ104" s="1"/>
      <c r="VLA104" s="1"/>
      <c r="VLB104" s="1"/>
      <c r="VLC104" s="1"/>
      <c r="VLD104" s="1"/>
      <c r="VLE104" s="1"/>
      <c r="VLF104" s="1"/>
      <c r="VLG104" s="1"/>
      <c r="VLH104" s="1"/>
      <c r="VLI104" s="1"/>
      <c r="VLJ104" s="1"/>
      <c r="VLK104" s="1"/>
      <c r="VLL104" s="1"/>
      <c r="VLM104" s="1"/>
      <c r="VLN104" s="1"/>
      <c r="VLO104" s="1"/>
      <c r="VLP104" s="1"/>
      <c r="VLQ104" s="1"/>
      <c r="VLR104" s="1"/>
      <c r="VLS104" s="1"/>
      <c r="VLT104" s="1"/>
      <c r="VLU104" s="1"/>
      <c r="VLV104" s="1"/>
      <c r="VLW104" s="1"/>
      <c r="VLX104" s="1"/>
      <c r="VLY104" s="1"/>
      <c r="VLZ104" s="1"/>
      <c r="VMA104" s="1"/>
      <c r="VMB104" s="1"/>
      <c r="VMC104" s="1"/>
      <c r="VMD104" s="1"/>
      <c r="VME104" s="1"/>
      <c r="VMF104" s="1"/>
      <c r="VMG104" s="1"/>
      <c r="VMH104" s="1"/>
      <c r="VMI104" s="1"/>
      <c r="VMJ104" s="1"/>
      <c r="VMK104" s="1"/>
      <c r="VML104" s="1"/>
      <c r="VMM104" s="1"/>
      <c r="VMN104" s="1"/>
      <c r="VMO104" s="1"/>
      <c r="VMP104" s="1"/>
      <c r="VMQ104" s="1"/>
      <c r="VMR104" s="1"/>
      <c r="VMS104" s="1"/>
      <c r="VMT104" s="1"/>
      <c r="VMU104" s="1"/>
      <c r="VMV104" s="1"/>
      <c r="VMW104" s="1"/>
      <c r="VMX104" s="1"/>
      <c r="VMY104" s="1"/>
      <c r="VMZ104" s="1"/>
      <c r="VNA104" s="1"/>
      <c r="VNB104" s="1"/>
      <c r="VNC104" s="1"/>
      <c r="VND104" s="1"/>
      <c r="VNE104" s="1"/>
      <c r="VNF104" s="1"/>
      <c r="VNG104" s="1"/>
      <c r="VNH104" s="1"/>
      <c r="VNI104" s="1"/>
      <c r="VNJ104" s="1"/>
      <c r="VNK104" s="1"/>
      <c r="VNL104" s="1"/>
      <c r="VNM104" s="1"/>
      <c r="VNN104" s="1"/>
      <c r="VNO104" s="1"/>
      <c r="VNP104" s="1"/>
      <c r="VNQ104" s="1"/>
      <c r="VNR104" s="1"/>
      <c r="VNS104" s="1"/>
      <c r="VNT104" s="1"/>
      <c r="VNU104" s="1"/>
      <c r="VNV104" s="1"/>
      <c r="VNW104" s="1"/>
      <c r="VNX104" s="1"/>
      <c r="VNY104" s="1"/>
      <c r="VNZ104" s="1"/>
      <c r="VOA104" s="1"/>
      <c r="VOB104" s="1"/>
      <c r="VOC104" s="1"/>
      <c r="VOD104" s="1"/>
      <c r="VOE104" s="1"/>
      <c r="VOF104" s="1"/>
      <c r="VOG104" s="1"/>
      <c r="VOH104" s="1"/>
      <c r="VOI104" s="1"/>
      <c r="VOJ104" s="1"/>
      <c r="VOK104" s="1"/>
      <c r="VOL104" s="1"/>
      <c r="VOM104" s="1"/>
      <c r="VON104" s="1"/>
      <c r="VOO104" s="1"/>
      <c r="VOP104" s="1"/>
      <c r="VOQ104" s="1"/>
      <c r="VOR104" s="1"/>
      <c r="VOS104" s="1"/>
      <c r="VOT104" s="1"/>
      <c r="VOU104" s="1"/>
      <c r="VOV104" s="1"/>
      <c r="VOW104" s="1"/>
      <c r="VOX104" s="1"/>
      <c r="VOY104" s="1"/>
      <c r="VOZ104" s="1"/>
      <c r="VPA104" s="1"/>
      <c r="VPB104" s="1"/>
      <c r="VPC104" s="1"/>
      <c r="VPD104" s="1"/>
      <c r="VPE104" s="1"/>
      <c r="VPF104" s="1"/>
      <c r="VPG104" s="1"/>
      <c r="VPH104" s="1"/>
      <c r="VPI104" s="1"/>
      <c r="VPJ104" s="1"/>
      <c r="VPK104" s="1"/>
      <c r="VPL104" s="1"/>
      <c r="VPM104" s="1"/>
      <c r="VPN104" s="1"/>
      <c r="VPO104" s="1"/>
      <c r="VPP104" s="1"/>
      <c r="VPQ104" s="1"/>
      <c r="VPR104" s="1"/>
      <c r="VPS104" s="1"/>
      <c r="VPT104" s="1"/>
      <c r="VPU104" s="1"/>
      <c r="VPV104" s="1"/>
      <c r="VPW104" s="1"/>
      <c r="VPX104" s="1"/>
      <c r="VPY104" s="1"/>
      <c r="VPZ104" s="1"/>
      <c r="VQA104" s="1"/>
      <c r="VQB104" s="1"/>
      <c r="VQC104" s="1"/>
      <c r="VQD104" s="1"/>
      <c r="VQE104" s="1"/>
      <c r="VQF104" s="1"/>
      <c r="VQG104" s="1"/>
      <c r="VQH104" s="1"/>
      <c r="VQI104" s="1"/>
      <c r="VQJ104" s="1"/>
      <c r="VQK104" s="1"/>
      <c r="VQL104" s="1"/>
      <c r="VQM104" s="1"/>
      <c r="VQN104" s="1"/>
      <c r="VQO104" s="1"/>
      <c r="VQP104" s="1"/>
      <c r="VQQ104" s="1"/>
      <c r="VQR104" s="1"/>
      <c r="VQS104" s="1"/>
      <c r="VQT104" s="1"/>
      <c r="VQU104" s="1"/>
      <c r="VQV104" s="1"/>
      <c r="VQW104" s="1"/>
      <c r="VQX104" s="1"/>
      <c r="VQY104" s="1"/>
      <c r="VQZ104" s="1"/>
      <c r="VRA104" s="1"/>
      <c r="VRB104" s="1"/>
      <c r="VRC104" s="1"/>
      <c r="VRD104" s="1"/>
      <c r="VRE104" s="1"/>
      <c r="VRF104" s="1"/>
      <c r="VRG104" s="1"/>
      <c r="VRH104" s="1"/>
      <c r="VRI104" s="1"/>
      <c r="VRJ104" s="1"/>
      <c r="VRK104" s="1"/>
      <c r="VRL104" s="1"/>
      <c r="VRM104" s="1"/>
      <c r="VRN104" s="1"/>
      <c r="VRO104" s="1"/>
      <c r="VRP104" s="1"/>
      <c r="VRQ104" s="1"/>
      <c r="VRR104" s="1"/>
      <c r="VRS104" s="1"/>
      <c r="VRT104" s="1"/>
      <c r="VRU104" s="1"/>
      <c r="VRV104" s="1"/>
      <c r="VRW104" s="1"/>
      <c r="VRX104" s="1"/>
      <c r="VRY104" s="1"/>
      <c r="VRZ104" s="1"/>
      <c r="VSA104" s="1"/>
      <c r="VSB104" s="1"/>
      <c r="VSC104" s="1"/>
      <c r="VSD104" s="1"/>
      <c r="VSE104" s="1"/>
      <c r="VSF104" s="1"/>
      <c r="VSG104" s="1"/>
      <c r="VSH104" s="1"/>
      <c r="VSI104" s="1"/>
      <c r="VSJ104" s="1"/>
      <c r="VSK104" s="1"/>
      <c r="VSL104" s="1"/>
      <c r="VSM104" s="1"/>
      <c r="VSN104" s="1"/>
      <c r="VSO104" s="1"/>
      <c r="VSP104" s="1"/>
      <c r="VSQ104" s="1"/>
      <c r="VSR104" s="1"/>
      <c r="VSS104" s="1"/>
      <c r="VST104" s="1"/>
      <c r="VSU104" s="1"/>
      <c r="VSV104" s="1"/>
      <c r="VSW104" s="1"/>
      <c r="VSX104" s="1"/>
      <c r="VSY104" s="1"/>
      <c r="VSZ104" s="1"/>
      <c r="VTA104" s="1"/>
      <c r="VTB104" s="1"/>
      <c r="VTC104" s="1"/>
      <c r="VTD104" s="1"/>
      <c r="VTE104" s="1"/>
      <c r="VTF104" s="1"/>
      <c r="VTG104" s="1"/>
      <c r="VTH104" s="1"/>
      <c r="VTI104" s="1"/>
      <c r="VTJ104" s="1"/>
      <c r="VTK104" s="1"/>
      <c r="VTL104" s="1"/>
      <c r="VTM104" s="1"/>
      <c r="VTN104" s="1"/>
      <c r="VTO104" s="1"/>
      <c r="VTP104" s="1"/>
      <c r="VTQ104" s="1"/>
      <c r="VTR104" s="1"/>
      <c r="VTS104" s="1"/>
      <c r="VTT104" s="1"/>
      <c r="VTU104" s="1"/>
      <c r="VTV104" s="1"/>
      <c r="VTW104" s="1"/>
      <c r="VTX104" s="1"/>
      <c r="VTY104" s="1"/>
      <c r="VTZ104" s="1"/>
      <c r="VUA104" s="1"/>
      <c r="VUB104" s="1"/>
      <c r="VUC104" s="1"/>
      <c r="VUD104" s="1"/>
      <c r="VUE104" s="1"/>
      <c r="VUF104" s="1"/>
      <c r="VUG104" s="1"/>
      <c r="VUH104" s="1"/>
      <c r="VUI104" s="1"/>
      <c r="VUJ104" s="1"/>
      <c r="VUK104" s="1"/>
      <c r="VUL104" s="1"/>
      <c r="VUM104" s="1"/>
      <c r="VUN104" s="1"/>
      <c r="VUO104" s="1"/>
      <c r="VUP104" s="1"/>
      <c r="VUQ104" s="1"/>
      <c r="VUR104" s="1"/>
      <c r="VUS104" s="1"/>
      <c r="VUT104" s="1"/>
      <c r="VUU104" s="1"/>
      <c r="VUV104" s="1"/>
      <c r="VUW104" s="1"/>
      <c r="VUX104" s="1"/>
      <c r="VUY104" s="1"/>
      <c r="VUZ104" s="1"/>
      <c r="VVA104" s="1"/>
      <c r="VVB104" s="1"/>
      <c r="VVC104" s="1"/>
      <c r="VVD104" s="1"/>
      <c r="VVE104" s="1"/>
      <c r="VVF104" s="1"/>
      <c r="VVG104" s="1"/>
      <c r="VVH104" s="1"/>
      <c r="VVI104" s="1"/>
      <c r="VVJ104" s="1"/>
      <c r="VVK104" s="1"/>
      <c r="VVL104" s="1"/>
      <c r="VVM104" s="1"/>
      <c r="VVN104" s="1"/>
      <c r="VVO104" s="1"/>
      <c r="VVP104" s="1"/>
      <c r="VVQ104" s="1"/>
      <c r="VVR104" s="1"/>
      <c r="VVS104" s="1"/>
      <c r="VVT104" s="1"/>
      <c r="VVU104" s="1"/>
      <c r="VVV104" s="1"/>
      <c r="VVW104" s="1"/>
      <c r="VVX104" s="1"/>
      <c r="VVY104" s="1"/>
      <c r="VVZ104" s="1"/>
      <c r="VWA104" s="1"/>
      <c r="VWB104" s="1"/>
      <c r="VWC104" s="1"/>
      <c r="VWD104" s="1"/>
      <c r="VWE104" s="1"/>
      <c r="VWF104" s="1"/>
      <c r="VWG104" s="1"/>
      <c r="VWH104" s="1"/>
      <c r="VWI104" s="1"/>
      <c r="VWJ104" s="1"/>
      <c r="VWK104" s="1"/>
      <c r="VWL104" s="1"/>
      <c r="VWM104" s="1"/>
      <c r="VWN104" s="1"/>
      <c r="VWO104" s="1"/>
      <c r="VWP104" s="1"/>
      <c r="VWQ104" s="1"/>
      <c r="VWR104" s="1"/>
      <c r="VWS104" s="1"/>
      <c r="VWT104" s="1"/>
      <c r="VWU104" s="1"/>
      <c r="VWV104" s="1"/>
      <c r="VWW104" s="1"/>
      <c r="VWX104" s="1"/>
      <c r="VWY104" s="1"/>
      <c r="VWZ104" s="1"/>
      <c r="VXA104" s="1"/>
      <c r="VXB104" s="1"/>
      <c r="VXC104" s="1"/>
      <c r="VXD104" s="1"/>
      <c r="VXE104" s="1"/>
      <c r="VXF104" s="1"/>
      <c r="VXG104" s="1"/>
      <c r="VXH104" s="1"/>
      <c r="VXI104" s="1"/>
      <c r="VXJ104" s="1"/>
      <c r="VXK104" s="1"/>
      <c r="VXL104" s="1"/>
      <c r="VXM104" s="1"/>
      <c r="VXN104" s="1"/>
      <c r="VXO104" s="1"/>
      <c r="VXP104" s="1"/>
      <c r="VXQ104" s="1"/>
      <c r="VXR104" s="1"/>
      <c r="VXS104" s="1"/>
      <c r="VXT104" s="1"/>
      <c r="VXU104" s="1"/>
      <c r="VXV104" s="1"/>
      <c r="VXW104" s="1"/>
      <c r="VXX104" s="1"/>
      <c r="VXY104" s="1"/>
      <c r="VXZ104" s="1"/>
      <c r="VYA104" s="1"/>
      <c r="VYB104" s="1"/>
      <c r="VYC104" s="1"/>
      <c r="VYD104" s="1"/>
      <c r="VYE104" s="1"/>
      <c r="VYF104" s="1"/>
      <c r="VYG104" s="1"/>
      <c r="VYH104" s="1"/>
      <c r="VYI104" s="1"/>
      <c r="VYJ104" s="1"/>
      <c r="VYK104" s="1"/>
      <c r="VYL104" s="1"/>
      <c r="VYM104" s="1"/>
      <c r="VYN104" s="1"/>
      <c r="VYO104" s="1"/>
      <c r="VYP104" s="1"/>
      <c r="VYQ104" s="1"/>
      <c r="VYR104" s="1"/>
      <c r="VYS104" s="1"/>
      <c r="VYT104" s="1"/>
      <c r="VYU104" s="1"/>
      <c r="VYV104" s="1"/>
      <c r="VYW104" s="1"/>
      <c r="VYX104" s="1"/>
      <c r="VYY104" s="1"/>
      <c r="VYZ104" s="1"/>
      <c r="VZA104" s="1"/>
      <c r="VZB104" s="1"/>
      <c r="VZC104" s="1"/>
      <c r="VZD104" s="1"/>
      <c r="VZE104" s="1"/>
      <c r="VZF104" s="1"/>
      <c r="VZG104" s="1"/>
      <c r="VZH104" s="1"/>
      <c r="VZI104" s="1"/>
      <c r="VZJ104" s="1"/>
      <c r="VZK104" s="1"/>
      <c r="VZL104" s="1"/>
      <c r="VZM104" s="1"/>
      <c r="VZN104" s="1"/>
      <c r="VZO104" s="1"/>
      <c r="VZP104" s="1"/>
      <c r="VZQ104" s="1"/>
      <c r="VZR104" s="1"/>
      <c r="VZS104" s="1"/>
      <c r="VZT104" s="1"/>
      <c r="VZU104" s="1"/>
      <c r="VZV104" s="1"/>
      <c r="VZW104" s="1"/>
      <c r="VZX104" s="1"/>
      <c r="VZY104" s="1"/>
      <c r="VZZ104" s="1"/>
      <c r="WAA104" s="1"/>
      <c r="WAB104" s="1"/>
      <c r="WAC104" s="1"/>
      <c r="WAD104" s="1"/>
      <c r="WAE104" s="1"/>
      <c r="WAF104" s="1"/>
      <c r="WAG104" s="1"/>
      <c r="WAH104" s="1"/>
      <c r="WAI104" s="1"/>
      <c r="WAJ104" s="1"/>
      <c r="WAK104" s="1"/>
      <c r="WAL104" s="1"/>
      <c r="WAM104" s="1"/>
      <c r="WAN104" s="1"/>
      <c r="WAO104" s="1"/>
      <c r="WAP104" s="1"/>
      <c r="WAQ104" s="1"/>
      <c r="WAR104" s="1"/>
      <c r="WAS104" s="1"/>
      <c r="WAT104" s="1"/>
      <c r="WAU104" s="1"/>
      <c r="WAV104" s="1"/>
      <c r="WAW104" s="1"/>
      <c r="WAX104" s="1"/>
      <c r="WAY104" s="1"/>
      <c r="WAZ104" s="1"/>
      <c r="WBA104" s="1"/>
      <c r="WBB104" s="1"/>
      <c r="WBC104" s="1"/>
      <c r="WBD104" s="1"/>
      <c r="WBE104" s="1"/>
      <c r="WBF104" s="1"/>
      <c r="WBG104" s="1"/>
      <c r="WBH104" s="1"/>
      <c r="WBI104" s="1"/>
      <c r="WBJ104" s="1"/>
      <c r="WBK104" s="1"/>
      <c r="WBL104" s="1"/>
      <c r="WBM104" s="1"/>
      <c r="WBN104" s="1"/>
      <c r="WBO104" s="1"/>
      <c r="WBP104" s="1"/>
      <c r="WBQ104" s="1"/>
      <c r="WBR104" s="1"/>
      <c r="WBS104" s="1"/>
      <c r="WBT104" s="1"/>
      <c r="WBU104" s="1"/>
      <c r="WBV104" s="1"/>
      <c r="WBW104" s="1"/>
      <c r="WBX104" s="1"/>
      <c r="WBY104" s="1"/>
      <c r="WBZ104" s="1"/>
      <c r="WCA104" s="1"/>
      <c r="WCB104" s="1"/>
      <c r="WCC104" s="1"/>
      <c r="WCD104" s="1"/>
      <c r="WCE104" s="1"/>
      <c r="WCF104" s="1"/>
      <c r="WCG104" s="1"/>
      <c r="WCH104" s="1"/>
      <c r="WCI104" s="1"/>
      <c r="WCJ104" s="1"/>
      <c r="WCK104" s="1"/>
      <c r="WCL104" s="1"/>
      <c r="WCM104" s="1"/>
      <c r="WCN104" s="1"/>
      <c r="WCO104" s="1"/>
      <c r="WCP104" s="1"/>
      <c r="WCQ104" s="1"/>
      <c r="WCR104" s="1"/>
      <c r="WCS104" s="1"/>
      <c r="WCT104" s="1"/>
      <c r="WCU104" s="1"/>
      <c r="WCV104" s="1"/>
      <c r="WCW104" s="1"/>
      <c r="WCX104" s="1"/>
      <c r="WCY104" s="1"/>
      <c r="WCZ104" s="1"/>
      <c r="WDA104" s="1"/>
      <c r="WDB104" s="1"/>
      <c r="WDC104" s="1"/>
      <c r="WDD104" s="1"/>
      <c r="WDE104" s="1"/>
      <c r="WDF104" s="1"/>
      <c r="WDG104" s="1"/>
      <c r="WDH104" s="1"/>
      <c r="WDI104" s="1"/>
      <c r="WDJ104" s="1"/>
      <c r="WDK104" s="1"/>
      <c r="WDL104" s="1"/>
      <c r="WDM104" s="1"/>
      <c r="WDN104" s="1"/>
      <c r="WDO104" s="1"/>
      <c r="WDP104" s="1"/>
      <c r="WDQ104" s="1"/>
      <c r="WDR104" s="1"/>
      <c r="WDS104" s="1"/>
      <c r="WDT104" s="1"/>
      <c r="WDU104" s="1"/>
      <c r="WDV104" s="1"/>
      <c r="WDW104" s="1"/>
      <c r="WDX104" s="1"/>
      <c r="WDY104" s="1"/>
      <c r="WDZ104" s="1"/>
      <c r="WEA104" s="1"/>
      <c r="WEB104" s="1"/>
      <c r="WEC104" s="1"/>
      <c r="WED104" s="1"/>
      <c r="WEE104" s="1"/>
      <c r="WEF104" s="1"/>
      <c r="WEG104" s="1"/>
      <c r="WEH104" s="1"/>
      <c r="WEI104" s="1"/>
      <c r="WEJ104" s="1"/>
      <c r="WEK104" s="1"/>
      <c r="WEL104" s="1"/>
      <c r="WEM104" s="1"/>
      <c r="WEN104" s="1"/>
      <c r="WEO104" s="1"/>
      <c r="WEP104" s="1"/>
      <c r="WEQ104" s="1"/>
      <c r="WER104" s="1"/>
      <c r="WES104" s="1"/>
      <c r="WET104" s="1"/>
      <c r="WEU104" s="1"/>
      <c r="WEV104" s="1"/>
      <c r="WEW104" s="1"/>
      <c r="WEX104" s="1"/>
      <c r="WEY104" s="1"/>
      <c r="WEZ104" s="1"/>
      <c r="WFA104" s="1"/>
      <c r="WFB104" s="1"/>
      <c r="WFC104" s="1"/>
      <c r="WFD104" s="1"/>
      <c r="WFE104" s="1"/>
      <c r="WFF104" s="1"/>
      <c r="WFG104" s="1"/>
      <c r="WFH104" s="1"/>
      <c r="WFI104" s="1"/>
      <c r="WFJ104" s="1"/>
      <c r="WFK104" s="1"/>
      <c r="WFL104" s="1"/>
      <c r="WFM104" s="1"/>
      <c r="WFN104" s="1"/>
      <c r="WFO104" s="1"/>
      <c r="WFP104" s="1"/>
      <c r="WFQ104" s="1"/>
      <c r="WFR104" s="1"/>
      <c r="WFS104" s="1"/>
      <c r="WFT104" s="1"/>
      <c r="WFU104" s="1"/>
      <c r="WFV104" s="1"/>
      <c r="WFW104" s="1"/>
      <c r="WFX104" s="1"/>
      <c r="WFY104" s="1"/>
      <c r="WFZ104" s="1"/>
      <c r="WGA104" s="1"/>
      <c r="WGB104" s="1"/>
      <c r="WGC104" s="1"/>
      <c r="WGD104" s="1"/>
      <c r="WGE104" s="1"/>
      <c r="WGF104" s="1"/>
      <c r="WGG104" s="1"/>
      <c r="WGH104" s="1"/>
      <c r="WGI104" s="1"/>
      <c r="WGJ104" s="1"/>
      <c r="WGK104" s="1"/>
      <c r="WGL104" s="1"/>
      <c r="WGM104" s="1"/>
      <c r="WGN104" s="1"/>
      <c r="WGO104" s="1"/>
      <c r="WGP104" s="1"/>
      <c r="WGQ104" s="1"/>
      <c r="WGR104" s="1"/>
      <c r="WGS104" s="1"/>
      <c r="WGT104" s="1"/>
      <c r="WGU104" s="1"/>
      <c r="WGV104" s="1"/>
      <c r="WGW104" s="1"/>
      <c r="WGX104" s="1"/>
      <c r="WGY104" s="1"/>
      <c r="WGZ104" s="1"/>
      <c r="WHA104" s="1"/>
      <c r="WHB104" s="1"/>
      <c r="WHC104" s="1"/>
      <c r="WHD104" s="1"/>
      <c r="WHE104" s="1"/>
      <c r="WHF104" s="1"/>
      <c r="WHG104" s="1"/>
      <c r="WHH104" s="1"/>
      <c r="WHI104" s="1"/>
      <c r="WHJ104" s="1"/>
      <c r="WHK104" s="1"/>
      <c r="WHL104" s="1"/>
      <c r="WHM104" s="1"/>
      <c r="WHN104" s="1"/>
      <c r="WHO104" s="1"/>
      <c r="WHP104" s="1"/>
      <c r="WHQ104" s="1"/>
      <c r="WHR104" s="1"/>
      <c r="WHS104" s="1"/>
      <c r="WHT104" s="1"/>
      <c r="WHU104" s="1"/>
      <c r="WHV104" s="1"/>
      <c r="WHW104" s="1"/>
      <c r="WHX104" s="1"/>
      <c r="WHY104" s="1"/>
      <c r="WHZ104" s="1"/>
      <c r="WIA104" s="1"/>
      <c r="WIB104" s="1"/>
      <c r="WIC104" s="1"/>
      <c r="WID104" s="1"/>
      <c r="WIE104" s="1"/>
      <c r="WIF104" s="1"/>
      <c r="WIG104" s="1"/>
      <c r="WIH104" s="1"/>
      <c r="WII104" s="1"/>
      <c r="WIJ104" s="1"/>
      <c r="WIK104" s="1"/>
      <c r="WIL104" s="1"/>
      <c r="WIM104" s="1"/>
      <c r="WIN104" s="1"/>
      <c r="WIO104" s="1"/>
      <c r="WIP104" s="1"/>
      <c r="WIQ104" s="1"/>
      <c r="WIR104" s="1"/>
      <c r="WIS104" s="1"/>
      <c r="WIT104" s="1"/>
      <c r="WIU104" s="1"/>
      <c r="WIV104" s="1"/>
      <c r="WIW104" s="1"/>
      <c r="WIX104" s="1"/>
      <c r="WIY104" s="1"/>
      <c r="WIZ104" s="1"/>
      <c r="WJA104" s="1"/>
      <c r="WJB104" s="1"/>
      <c r="WJC104" s="1"/>
      <c r="WJD104" s="1"/>
      <c r="WJE104" s="1"/>
      <c r="WJF104" s="1"/>
      <c r="WJG104" s="1"/>
      <c r="WJH104" s="1"/>
      <c r="WJI104" s="1"/>
      <c r="WJJ104" s="1"/>
      <c r="WJK104" s="1"/>
      <c r="WJL104" s="1"/>
      <c r="WJM104" s="1"/>
      <c r="WJN104" s="1"/>
      <c r="WJO104" s="1"/>
      <c r="WJP104" s="1"/>
      <c r="WJQ104" s="1"/>
      <c r="WJR104" s="1"/>
      <c r="WJS104" s="1"/>
      <c r="WJT104" s="1"/>
      <c r="WJU104" s="1"/>
      <c r="WJV104" s="1"/>
      <c r="WJW104" s="1"/>
      <c r="WJX104" s="1"/>
      <c r="WJY104" s="1"/>
      <c r="WJZ104" s="1"/>
      <c r="WKA104" s="1"/>
      <c r="WKB104" s="1"/>
      <c r="WKC104" s="1"/>
      <c r="WKD104" s="1"/>
      <c r="WKE104" s="1"/>
      <c r="WKF104" s="1"/>
      <c r="WKG104" s="1"/>
      <c r="WKH104" s="1"/>
      <c r="WKI104" s="1"/>
      <c r="WKJ104" s="1"/>
      <c r="WKK104" s="1"/>
      <c r="WKL104" s="1"/>
      <c r="WKM104" s="1"/>
      <c r="WKN104" s="1"/>
      <c r="WKO104" s="1"/>
      <c r="WKP104" s="1"/>
      <c r="WKQ104" s="1"/>
      <c r="WKR104" s="1"/>
      <c r="WKS104" s="1"/>
      <c r="WKT104" s="1"/>
      <c r="WKU104" s="1"/>
      <c r="WKV104" s="1"/>
      <c r="WKW104" s="1"/>
      <c r="WKX104" s="1"/>
      <c r="WKY104" s="1"/>
      <c r="WKZ104" s="1"/>
      <c r="WLA104" s="1"/>
      <c r="WLB104" s="1"/>
      <c r="WLC104" s="1"/>
      <c r="WLD104" s="1"/>
      <c r="WLE104" s="1"/>
      <c r="WLF104" s="1"/>
      <c r="WLG104" s="1"/>
      <c r="WLH104" s="1"/>
      <c r="WLI104" s="1"/>
      <c r="WLJ104" s="1"/>
      <c r="WLK104" s="1"/>
      <c r="WLL104" s="1"/>
      <c r="WLM104" s="1"/>
      <c r="WLN104" s="1"/>
      <c r="WLO104" s="1"/>
      <c r="WLP104" s="1"/>
      <c r="WLQ104" s="1"/>
      <c r="WLR104" s="1"/>
      <c r="WLS104" s="1"/>
      <c r="WLT104" s="1"/>
      <c r="WLU104" s="1"/>
      <c r="WLV104" s="1"/>
      <c r="WLW104" s="1"/>
      <c r="WLX104" s="1"/>
      <c r="WLY104" s="1"/>
      <c r="WLZ104" s="1"/>
      <c r="WMA104" s="1"/>
      <c r="WMB104" s="1"/>
      <c r="WMC104" s="1"/>
      <c r="WMD104" s="1"/>
      <c r="WME104" s="1"/>
      <c r="WMF104" s="1"/>
      <c r="WMG104" s="1"/>
      <c r="WMH104" s="1"/>
      <c r="WMI104" s="1"/>
      <c r="WMJ104" s="1"/>
      <c r="WMK104" s="1"/>
      <c r="WML104" s="1"/>
      <c r="WMM104" s="1"/>
      <c r="WMN104" s="1"/>
      <c r="WMO104" s="1"/>
      <c r="WMP104" s="1"/>
      <c r="WMQ104" s="1"/>
      <c r="WMR104" s="1"/>
      <c r="WMS104" s="1"/>
      <c r="WMT104" s="1"/>
      <c r="WMU104" s="1"/>
      <c r="WMV104" s="1"/>
      <c r="WMW104" s="1"/>
      <c r="WMX104" s="1"/>
      <c r="WMY104" s="1"/>
      <c r="WMZ104" s="1"/>
      <c r="WNA104" s="1"/>
      <c r="WNB104" s="1"/>
      <c r="WNC104" s="1"/>
      <c r="WND104" s="1"/>
      <c r="WNE104" s="1"/>
      <c r="WNF104" s="1"/>
      <c r="WNG104" s="1"/>
      <c r="WNH104" s="1"/>
      <c r="WNI104" s="1"/>
      <c r="WNJ104" s="1"/>
      <c r="WNK104" s="1"/>
      <c r="WNL104" s="1"/>
      <c r="WNM104" s="1"/>
      <c r="WNN104" s="1"/>
      <c r="WNO104" s="1"/>
      <c r="WNP104" s="1"/>
      <c r="WNQ104" s="1"/>
      <c r="WNR104" s="1"/>
      <c r="WNS104" s="1"/>
      <c r="WNT104" s="1"/>
      <c r="WNU104" s="1"/>
      <c r="WNV104" s="1"/>
      <c r="WNW104" s="1"/>
      <c r="WNX104" s="1"/>
      <c r="WNY104" s="1"/>
      <c r="WNZ104" s="1"/>
      <c r="WOA104" s="1"/>
      <c r="WOB104" s="1"/>
      <c r="WOC104" s="1"/>
      <c r="WOD104" s="1"/>
      <c r="WOE104" s="1"/>
      <c r="WOF104" s="1"/>
      <c r="WOG104" s="1"/>
      <c r="WOH104" s="1"/>
      <c r="WOI104" s="1"/>
      <c r="WOJ104" s="1"/>
      <c r="WOK104" s="1"/>
      <c r="WOL104" s="1"/>
      <c r="WOM104" s="1"/>
      <c r="WON104" s="1"/>
      <c r="WOO104" s="1"/>
      <c r="WOP104" s="1"/>
      <c r="WOQ104" s="1"/>
      <c r="WOR104" s="1"/>
      <c r="WOS104" s="1"/>
      <c r="WOT104" s="1"/>
      <c r="WOU104" s="1"/>
      <c r="WOV104" s="1"/>
      <c r="WOW104" s="1"/>
      <c r="WOX104" s="1"/>
      <c r="WOY104" s="1"/>
      <c r="WOZ104" s="1"/>
      <c r="WPA104" s="1"/>
      <c r="WPB104" s="1"/>
      <c r="WPC104" s="1"/>
      <c r="WPD104" s="1"/>
      <c r="WPE104" s="1"/>
      <c r="WPF104" s="1"/>
      <c r="WPG104" s="1"/>
      <c r="WPH104" s="1"/>
      <c r="WPI104" s="1"/>
      <c r="WPJ104" s="1"/>
      <c r="WPK104" s="1"/>
      <c r="WPL104" s="1"/>
      <c r="WPM104" s="1"/>
      <c r="WPN104" s="1"/>
      <c r="WPO104" s="1"/>
      <c r="WPP104" s="1"/>
      <c r="WPQ104" s="1"/>
      <c r="WPR104" s="1"/>
      <c r="WPS104" s="1"/>
      <c r="WPT104" s="1"/>
      <c r="WPU104" s="1"/>
      <c r="WPV104" s="1"/>
      <c r="WPW104" s="1"/>
      <c r="WPX104" s="1"/>
      <c r="WPY104" s="1"/>
      <c r="WPZ104" s="1"/>
      <c r="WQA104" s="1"/>
      <c r="WQB104" s="1"/>
      <c r="WQC104" s="1"/>
      <c r="WQD104" s="1"/>
      <c r="WQE104" s="1"/>
      <c r="WQF104" s="1"/>
      <c r="WQG104" s="1"/>
      <c r="WQH104" s="1"/>
      <c r="WQI104" s="1"/>
      <c r="WQJ104" s="1"/>
      <c r="WQK104" s="1"/>
      <c r="WQL104" s="1"/>
      <c r="WQM104" s="1"/>
      <c r="WQN104" s="1"/>
      <c r="WQO104" s="1"/>
      <c r="WQP104" s="1"/>
      <c r="WQQ104" s="1"/>
      <c r="WQR104" s="1"/>
      <c r="WQS104" s="1"/>
      <c r="WQT104" s="1"/>
      <c r="WQU104" s="1"/>
      <c r="WQV104" s="1"/>
      <c r="WQW104" s="1"/>
      <c r="WQX104" s="1"/>
      <c r="WQY104" s="1"/>
      <c r="WQZ104" s="1"/>
      <c r="WRA104" s="1"/>
      <c r="WRB104" s="1"/>
      <c r="WRC104" s="1"/>
      <c r="WRD104" s="1"/>
      <c r="WRE104" s="1"/>
      <c r="WRF104" s="1"/>
      <c r="WRG104" s="1"/>
      <c r="WRH104" s="1"/>
      <c r="WRI104" s="1"/>
      <c r="WRJ104" s="1"/>
      <c r="WRK104" s="1"/>
      <c r="WRL104" s="1"/>
      <c r="WRM104" s="1"/>
      <c r="WRN104" s="1"/>
      <c r="WRO104" s="1"/>
      <c r="WRP104" s="1"/>
      <c r="WRQ104" s="1"/>
      <c r="WRR104" s="1"/>
      <c r="WRS104" s="1"/>
      <c r="WRT104" s="1"/>
      <c r="WRU104" s="1"/>
      <c r="WRV104" s="1"/>
      <c r="WRW104" s="1"/>
      <c r="WRX104" s="1"/>
      <c r="WRY104" s="1"/>
      <c r="WRZ104" s="1"/>
      <c r="WSA104" s="1"/>
      <c r="WSB104" s="1"/>
      <c r="WSC104" s="1"/>
      <c r="WSD104" s="1"/>
      <c r="WSE104" s="1"/>
      <c r="WSF104" s="1"/>
      <c r="WSG104" s="1"/>
      <c r="WSH104" s="1"/>
      <c r="WSI104" s="1"/>
      <c r="WSJ104" s="1"/>
      <c r="WSK104" s="1"/>
      <c r="WSL104" s="1"/>
      <c r="WSM104" s="1"/>
      <c r="WSN104" s="1"/>
      <c r="WSO104" s="1"/>
      <c r="WSP104" s="1"/>
      <c r="WSQ104" s="1"/>
      <c r="WSR104" s="1"/>
      <c r="WSS104" s="1"/>
      <c r="WST104" s="1"/>
      <c r="WSU104" s="1"/>
      <c r="WSV104" s="1"/>
      <c r="WSW104" s="1"/>
      <c r="WSX104" s="1"/>
      <c r="WSY104" s="1"/>
      <c r="WSZ104" s="1"/>
      <c r="WTA104" s="1"/>
      <c r="WTB104" s="1"/>
      <c r="WTC104" s="1"/>
      <c r="WTD104" s="1"/>
      <c r="WTE104" s="1"/>
      <c r="WTF104" s="1"/>
      <c r="WTG104" s="1"/>
      <c r="WTH104" s="1"/>
      <c r="WTI104" s="1"/>
      <c r="WTJ104" s="1"/>
      <c r="WTK104" s="1"/>
      <c r="WTL104" s="1"/>
      <c r="WTM104" s="1"/>
      <c r="WTN104" s="1"/>
      <c r="WTO104" s="1"/>
      <c r="WTP104" s="1"/>
      <c r="WTQ104" s="1"/>
      <c r="WTR104" s="1"/>
      <c r="WTS104" s="1"/>
      <c r="WTT104" s="1"/>
      <c r="WTU104" s="1"/>
      <c r="WTV104" s="1"/>
      <c r="WTW104" s="1"/>
      <c r="WTX104" s="1"/>
      <c r="WTY104" s="1"/>
      <c r="WTZ104" s="1"/>
      <c r="WUA104" s="1"/>
      <c r="WUB104" s="1"/>
      <c r="WUC104" s="1"/>
      <c r="WUD104" s="1"/>
      <c r="WUE104" s="1"/>
      <c r="WUF104" s="1"/>
      <c r="WUG104" s="1"/>
      <c r="WUH104" s="1"/>
      <c r="WUI104" s="1"/>
      <c r="WUJ104" s="1"/>
      <c r="WUK104" s="1"/>
      <c r="WUL104" s="1"/>
      <c r="WUM104" s="1"/>
      <c r="WUN104" s="1"/>
      <c r="WUO104" s="1"/>
      <c r="WUP104" s="1"/>
      <c r="WUQ104" s="1"/>
      <c r="WUR104" s="1"/>
      <c r="WUS104" s="1"/>
      <c r="WUT104" s="1"/>
      <c r="WUU104" s="1"/>
      <c r="WUV104" s="1"/>
      <c r="WUW104" s="1"/>
      <c r="WUX104" s="1"/>
      <c r="WUY104" s="1"/>
      <c r="WUZ104" s="1"/>
      <c r="WVA104" s="1"/>
      <c r="WVB104" s="1"/>
      <c r="WVC104" s="1"/>
      <c r="WVD104" s="1"/>
      <c r="WVE104" s="1"/>
      <c r="WVF104" s="1"/>
      <c r="WVG104" s="1"/>
      <c r="WVH104" s="1"/>
      <c r="WVI104" s="1"/>
      <c r="WVJ104" s="1"/>
      <c r="WVK104" s="1"/>
      <c r="WVL104" s="1"/>
      <c r="WVM104" s="1"/>
      <c r="WVN104" s="1"/>
      <c r="WVO104" s="1"/>
      <c r="WVP104" s="1"/>
      <c r="WVQ104" s="1"/>
      <c r="WVR104" s="1"/>
      <c r="WVS104" s="1"/>
      <c r="WVT104" s="1"/>
      <c r="WVU104" s="1"/>
      <c r="WVV104" s="1"/>
      <c r="WVW104" s="1"/>
      <c r="WVX104" s="1"/>
      <c r="WVY104" s="1"/>
      <c r="WVZ104" s="1"/>
      <c r="WWA104" s="1"/>
      <c r="WWB104" s="1"/>
      <c r="WWC104" s="1"/>
      <c r="WWD104" s="1"/>
      <c r="WWE104" s="1"/>
      <c r="WWF104" s="1"/>
      <c r="WWG104" s="1"/>
      <c r="WWH104" s="1"/>
      <c r="WWI104" s="1"/>
      <c r="WWJ104" s="1"/>
      <c r="WWK104" s="1"/>
      <c r="WWL104" s="1"/>
      <c r="WWM104" s="1"/>
      <c r="WWN104" s="1"/>
      <c r="WWO104" s="1"/>
      <c r="WWP104" s="1"/>
      <c r="WWQ104" s="1"/>
      <c r="WWR104" s="1"/>
      <c r="WWS104" s="1"/>
      <c r="WWT104" s="1"/>
      <c r="WWU104" s="1"/>
      <c r="WWV104" s="1"/>
      <c r="WWW104" s="1"/>
      <c r="WWX104" s="1"/>
      <c r="WWY104" s="1"/>
      <c r="WWZ104" s="1"/>
      <c r="WXA104" s="1"/>
      <c r="WXB104" s="1"/>
      <c r="WXC104" s="1"/>
      <c r="WXD104" s="1"/>
      <c r="WXE104" s="1"/>
      <c r="WXF104" s="1"/>
      <c r="WXG104" s="1"/>
      <c r="WXH104" s="1"/>
      <c r="WXI104" s="1"/>
      <c r="WXJ104" s="1"/>
      <c r="WXK104" s="1"/>
      <c r="WXL104" s="1"/>
      <c r="WXM104" s="1"/>
      <c r="WXN104" s="1"/>
      <c r="WXO104" s="1"/>
      <c r="WXP104" s="1"/>
      <c r="WXQ104" s="1"/>
      <c r="WXR104" s="1"/>
      <c r="WXS104" s="1"/>
      <c r="WXT104" s="1"/>
      <c r="WXU104" s="1"/>
      <c r="WXV104" s="1"/>
      <c r="WXW104" s="1"/>
      <c r="WXX104" s="1"/>
      <c r="WXY104" s="1"/>
      <c r="WXZ104" s="1"/>
      <c r="WYA104" s="1"/>
      <c r="WYB104" s="1"/>
      <c r="WYC104" s="1"/>
      <c r="WYD104" s="1"/>
      <c r="WYE104" s="1"/>
      <c r="WYF104" s="1"/>
      <c r="WYG104" s="1"/>
      <c r="WYH104" s="1"/>
      <c r="WYI104" s="1"/>
      <c r="WYJ104" s="1"/>
      <c r="WYK104" s="1"/>
      <c r="WYL104" s="1"/>
      <c r="WYM104" s="1"/>
      <c r="WYN104" s="1"/>
      <c r="WYO104" s="1"/>
      <c r="WYP104" s="1"/>
      <c r="WYQ104" s="1"/>
      <c r="WYR104" s="1"/>
      <c r="WYS104" s="1"/>
      <c r="WYT104" s="1"/>
      <c r="WYU104" s="1"/>
      <c r="WYV104" s="1"/>
      <c r="WYW104" s="1"/>
      <c r="WYX104" s="1"/>
      <c r="WYY104" s="1"/>
      <c r="WYZ104" s="1"/>
      <c r="WZA104" s="1"/>
      <c r="WZB104" s="1"/>
      <c r="WZC104" s="1"/>
      <c r="WZD104" s="1"/>
      <c r="WZE104" s="1"/>
      <c r="WZF104" s="1"/>
      <c r="WZG104" s="1"/>
      <c r="WZH104" s="1"/>
      <c r="WZI104" s="1"/>
      <c r="WZJ104" s="1"/>
      <c r="WZK104" s="1"/>
      <c r="WZL104" s="1"/>
      <c r="WZM104" s="1"/>
      <c r="WZN104" s="1"/>
      <c r="WZO104" s="1"/>
      <c r="WZP104" s="1"/>
      <c r="WZQ104" s="1"/>
      <c r="WZR104" s="1"/>
      <c r="WZS104" s="1"/>
      <c r="WZT104" s="1"/>
      <c r="WZU104" s="1"/>
      <c r="WZV104" s="1"/>
      <c r="WZW104" s="1"/>
      <c r="WZX104" s="1"/>
      <c r="WZY104" s="1"/>
      <c r="WZZ104" s="1"/>
      <c r="XAA104" s="1"/>
      <c r="XAB104" s="1"/>
      <c r="XAC104" s="1"/>
      <c r="XAD104" s="1"/>
      <c r="XAE104" s="1"/>
      <c r="XAF104" s="1"/>
      <c r="XAG104" s="1"/>
      <c r="XAH104" s="1"/>
      <c r="XAI104" s="1"/>
      <c r="XAJ104" s="1"/>
      <c r="XAK104" s="1"/>
      <c r="XAL104" s="1"/>
      <c r="XAM104" s="1"/>
      <c r="XAN104" s="1"/>
      <c r="XAO104" s="1"/>
      <c r="XAP104" s="1"/>
      <c r="XAQ104" s="1"/>
      <c r="XAR104" s="1"/>
      <c r="XAS104" s="1"/>
      <c r="XAT104" s="1"/>
      <c r="XAU104" s="1"/>
      <c r="XAV104" s="1"/>
      <c r="XAW104" s="1"/>
      <c r="XAX104" s="1"/>
      <c r="XAY104" s="1"/>
      <c r="XAZ104" s="1"/>
      <c r="XBA104" s="1"/>
      <c r="XBB104" s="1"/>
      <c r="XBC104" s="1"/>
      <c r="XBD104" s="1"/>
      <c r="XBE104" s="1"/>
      <c r="XBF104" s="1"/>
      <c r="XBG104" s="1"/>
      <c r="XBH104" s="1"/>
      <c r="XBI104" s="1"/>
      <c r="XBJ104" s="1"/>
      <c r="XBK104" s="1"/>
      <c r="XBL104" s="1"/>
      <c r="XBM104" s="1"/>
      <c r="XBN104" s="1"/>
      <c r="XBO104" s="1"/>
      <c r="XBP104" s="1"/>
      <c r="XBQ104" s="1"/>
      <c r="XBR104" s="1"/>
      <c r="XBS104" s="1"/>
      <c r="XBT104" s="1"/>
    </row>
    <row r="105" spans="1:16296" x14ac:dyDescent="0.3">
      <c r="A105" s="313"/>
      <c r="B105" s="34" t="s">
        <v>578</v>
      </c>
      <c r="C105" s="24">
        <v>26</v>
      </c>
      <c r="D105" s="119">
        <f t="shared" si="12"/>
        <v>26</v>
      </c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  <c r="AS105" s="116"/>
      <c r="AT105" s="116"/>
      <c r="AU105" s="116"/>
      <c r="AV105" s="116"/>
      <c r="AW105" s="116"/>
      <c r="AX105" s="116"/>
      <c r="AY105" s="116"/>
      <c r="AZ105" s="116"/>
      <c r="BA105" s="116"/>
      <c r="BB105" s="116"/>
      <c r="BC105" s="116"/>
      <c r="BD105" s="116"/>
      <c r="BE105" s="116"/>
      <c r="BF105" s="116"/>
      <c r="BG105" s="116"/>
      <c r="BH105" s="116"/>
      <c r="BI105" s="116"/>
      <c r="BJ105" s="116"/>
      <c r="BK105" s="116"/>
      <c r="BL105" s="116"/>
      <c r="BM105" s="116"/>
      <c r="BN105" s="116"/>
      <c r="BO105" s="116"/>
      <c r="BP105" s="116"/>
      <c r="BQ105" s="108">
        <f t="shared" si="8"/>
        <v>0</v>
      </c>
      <c r="BR105" s="108">
        <f t="shared" si="9"/>
        <v>0</v>
      </c>
      <c r="BS105" s="11">
        <v>1.92</v>
      </c>
      <c r="BT105" s="24">
        <f t="shared" si="10"/>
        <v>49.92</v>
      </c>
      <c r="BU105" s="24">
        <v>103000</v>
      </c>
      <c r="BV105" s="18">
        <f t="shared" si="11"/>
        <v>5141760</v>
      </c>
      <c r="BW105" s="18"/>
    </row>
    <row r="106" spans="1:16296" x14ac:dyDescent="0.3">
      <c r="A106" s="313"/>
      <c r="B106" s="34" t="s">
        <v>579</v>
      </c>
      <c r="C106" s="24">
        <v>154</v>
      </c>
      <c r="D106" s="119">
        <f t="shared" si="12"/>
        <v>154</v>
      </c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  <c r="AT106" s="116"/>
      <c r="AU106" s="116"/>
      <c r="AV106" s="116"/>
      <c r="AW106" s="116"/>
      <c r="AX106" s="116"/>
      <c r="AY106" s="116"/>
      <c r="AZ106" s="116"/>
      <c r="BA106" s="116"/>
      <c r="BB106" s="116"/>
      <c r="BC106" s="116"/>
      <c r="BD106" s="116"/>
      <c r="BE106" s="116"/>
      <c r="BF106" s="116"/>
      <c r="BG106" s="116"/>
      <c r="BH106" s="116"/>
      <c r="BI106" s="116"/>
      <c r="BJ106" s="116"/>
      <c r="BK106" s="116"/>
      <c r="BL106" s="116"/>
      <c r="BM106" s="116"/>
      <c r="BN106" s="116"/>
      <c r="BO106" s="116"/>
      <c r="BP106" s="116"/>
      <c r="BQ106" s="108">
        <f t="shared" si="8"/>
        <v>0</v>
      </c>
      <c r="BR106" s="108">
        <f t="shared" si="9"/>
        <v>0</v>
      </c>
      <c r="BS106" s="11">
        <v>1.92</v>
      </c>
      <c r="BT106" s="24">
        <f t="shared" si="10"/>
        <v>295.68</v>
      </c>
      <c r="BU106" s="24">
        <v>104500</v>
      </c>
      <c r="BV106" s="18">
        <f t="shared" si="11"/>
        <v>30898560</v>
      </c>
      <c r="BW106" s="18"/>
    </row>
    <row r="107" spans="1:16296" x14ac:dyDescent="0.3">
      <c r="A107" s="313"/>
      <c r="B107" s="34" t="s">
        <v>580</v>
      </c>
      <c r="C107" s="24">
        <v>16.329999999999998</v>
      </c>
      <c r="D107" s="119">
        <f t="shared" si="12"/>
        <v>16.329999999999998</v>
      </c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  <c r="AU107" s="116"/>
      <c r="AV107" s="116"/>
      <c r="AW107" s="116"/>
      <c r="AX107" s="116"/>
      <c r="AY107" s="116"/>
      <c r="AZ107" s="116"/>
      <c r="BA107" s="116"/>
      <c r="BB107" s="116"/>
      <c r="BC107" s="116"/>
      <c r="BD107" s="116"/>
      <c r="BE107" s="116"/>
      <c r="BF107" s="116"/>
      <c r="BG107" s="116"/>
      <c r="BH107" s="116"/>
      <c r="BI107" s="116"/>
      <c r="BJ107" s="148"/>
      <c r="BK107" s="116"/>
      <c r="BL107" s="116"/>
      <c r="BM107" s="116"/>
      <c r="BN107" s="116"/>
      <c r="BO107" s="116"/>
      <c r="BP107" s="116"/>
      <c r="BQ107" s="108">
        <f t="shared" si="8"/>
        <v>0</v>
      </c>
      <c r="BR107" s="108">
        <f t="shared" si="9"/>
        <v>0</v>
      </c>
      <c r="BS107" s="11">
        <v>1.92</v>
      </c>
      <c r="BT107" s="24">
        <f t="shared" si="10"/>
        <v>31.353599999999997</v>
      </c>
      <c r="BU107" s="24">
        <v>108000</v>
      </c>
      <c r="BV107" s="18">
        <f t="shared" si="11"/>
        <v>3386188.8</v>
      </c>
      <c r="BW107" s="18"/>
    </row>
    <row r="108" spans="1:16296" ht="20.25" customHeight="1" x14ac:dyDescent="0.3">
      <c r="A108" s="313"/>
      <c r="B108" s="34" t="s">
        <v>581</v>
      </c>
      <c r="C108" s="24">
        <v>0</v>
      </c>
      <c r="D108" s="119">
        <f t="shared" si="12"/>
        <v>15</v>
      </c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>
        <v>15</v>
      </c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  <c r="AT108" s="116"/>
      <c r="AU108" s="116"/>
      <c r="AV108" s="116"/>
      <c r="AW108" s="116"/>
      <c r="AX108" s="116"/>
      <c r="AY108" s="116"/>
      <c r="AZ108" s="116"/>
      <c r="BA108" s="116"/>
      <c r="BB108" s="116"/>
      <c r="BC108" s="116"/>
      <c r="BD108" s="116"/>
      <c r="BE108" s="116"/>
      <c r="BF108" s="116"/>
      <c r="BG108" s="116"/>
      <c r="BH108" s="116"/>
      <c r="BI108" s="116"/>
      <c r="BJ108" s="116"/>
      <c r="BK108" s="116"/>
      <c r="BL108" s="116"/>
      <c r="BM108" s="116"/>
      <c r="BN108" s="116"/>
      <c r="BO108" s="116"/>
      <c r="BP108" s="116"/>
      <c r="BQ108" s="108">
        <f t="shared" si="8"/>
        <v>15</v>
      </c>
      <c r="BR108" s="108">
        <f t="shared" si="9"/>
        <v>0</v>
      </c>
      <c r="BS108" s="11">
        <v>1.92</v>
      </c>
      <c r="BT108" s="24">
        <f t="shared" si="10"/>
        <v>28.799999999999997</v>
      </c>
      <c r="BU108" s="24">
        <v>103000</v>
      </c>
      <c r="BV108" s="18">
        <f t="shared" si="11"/>
        <v>2966399.9999999995</v>
      </c>
      <c r="BW108" s="18"/>
    </row>
    <row r="109" spans="1:16296" x14ac:dyDescent="0.3">
      <c r="A109" s="313"/>
      <c r="B109" s="34" t="s">
        <v>582</v>
      </c>
      <c r="C109" s="24">
        <v>27</v>
      </c>
      <c r="D109" s="119">
        <f t="shared" si="12"/>
        <v>27</v>
      </c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  <c r="AS109" s="116"/>
      <c r="AT109" s="116"/>
      <c r="AU109" s="116"/>
      <c r="AV109" s="116"/>
      <c r="AW109" s="116"/>
      <c r="AX109" s="116"/>
      <c r="AY109" s="116"/>
      <c r="AZ109" s="116"/>
      <c r="BA109" s="116"/>
      <c r="BB109" s="116"/>
      <c r="BC109" s="116"/>
      <c r="BD109" s="116"/>
      <c r="BE109" s="116"/>
      <c r="BF109" s="116"/>
      <c r="BG109" s="116"/>
      <c r="BH109" s="116"/>
      <c r="BI109" s="116"/>
      <c r="BJ109" s="116"/>
      <c r="BK109" s="116"/>
      <c r="BL109" s="116"/>
      <c r="BM109" s="116"/>
      <c r="BN109" s="116"/>
      <c r="BO109" s="116"/>
      <c r="BP109" s="116"/>
      <c r="BQ109" s="108">
        <f t="shared" si="8"/>
        <v>0</v>
      </c>
      <c r="BR109" s="108">
        <f t="shared" si="9"/>
        <v>0</v>
      </c>
      <c r="BS109" s="11">
        <v>1.92</v>
      </c>
      <c r="BT109" s="24">
        <f t="shared" si="10"/>
        <v>51.839999999999996</v>
      </c>
      <c r="BU109" s="24">
        <v>103000</v>
      </c>
      <c r="BV109" s="18">
        <f t="shared" si="11"/>
        <v>5339520</v>
      </c>
      <c r="BW109" s="18"/>
    </row>
    <row r="110" spans="1:16296" x14ac:dyDescent="0.3">
      <c r="A110" s="313"/>
      <c r="B110" s="34" t="s">
        <v>583</v>
      </c>
      <c r="C110" s="24">
        <v>219</v>
      </c>
      <c r="D110" s="119">
        <f t="shared" si="12"/>
        <v>180</v>
      </c>
      <c r="E110" s="116"/>
      <c r="F110" s="116">
        <v>40</v>
      </c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>
        <v>1</v>
      </c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6"/>
      <c r="AU110" s="116"/>
      <c r="AV110" s="116"/>
      <c r="AW110" s="116"/>
      <c r="AX110" s="116"/>
      <c r="AY110" s="116"/>
      <c r="AZ110" s="116"/>
      <c r="BA110" s="116"/>
      <c r="BB110" s="116"/>
      <c r="BC110" s="116"/>
      <c r="BD110" s="116"/>
      <c r="BE110" s="116"/>
      <c r="BF110" s="116"/>
      <c r="BG110" s="116"/>
      <c r="BH110" s="116"/>
      <c r="BI110" s="116"/>
      <c r="BJ110" s="116"/>
      <c r="BK110" s="116"/>
      <c r="BL110" s="116"/>
      <c r="BM110" s="116"/>
      <c r="BN110" s="116"/>
      <c r="BO110" s="116"/>
      <c r="BP110" s="116"/>
      <c r="BQ110" s="108">
        <f t="shared" si="8"/>
        <v>1</v>
      </c>
      <c r="BR110" s="108">
        <f t="shared" si="9"/>
        <v>40</v>
      </c>
      <c r="BS110" s="11">
        <v>1.92</v>
      </c>
      <c r="BT110" s="24">
        <f t="shared" si="10"/>
        <v>345.59999999999997</v>
      </c>
      <c r="BU110" s="24">
        <v>103000</v>
      </c>
      <c r="BV110" s="18">
        <f t="shared" si="11"/>
        <v>35596800</v>
      </c>
      <c r="BW110" s="18"/>
    </row>
    <row r="111" spans="1:16296" x14ac:dyDescent="0.3">
      <c r="A111" s="313"/>
      <c r="B111" s="34" t="s">
        <v>584</v>
      </c>
      <c r="C111" s="24">
        <v>74</v>
      </c>
      <c r="D111" s="119">
        <f t="shared" si="12"/>
        <v>74</v>
      </c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  <c r="AO111" s="116"/>
      <c r="AP111" s="116"/>
      <c r="AQ111" s="116"/>
      <c r="AR111" s="116"/>
      <c r="AS111" s="116"/>
      <c r="AT111" s="116"/>
      <c r="AU111" s="116"/>
      <c r="AV111" s="116"/>
      <c r="AW111" s="116"/>
      <c r="AX111" s="116"/>
      <c r="AY111" s="116"/>
      <c r="AZ111" s="116"/>
      <c r="BA111" s="116"/>
      <c r="BB111" s="116"/>
      <c r="BC111" s="116"/>
      <c r="BD111" s="116"/>
      <c r="BE111" s="116"/>
      <c r="BF111" s="116"/>
      <c r="BG111" s="116"/>
      <c r="BH111" s="116"/>
      <c r="BI111" s="116"/>
      <c r="BJ111" s="116"/>
      <c r="BK111" s="116"/>
      <c r="BL111" s="116"/>
      <c r="BM111" s="116"/>
      <c r="BN111" s="116"/>
      <c r="BO111" s="116"/>
      <c r="BP111" s="116"/>
      <c r="BQ111" s="108">
        <f t="shared" si="8"/>
        <v>0</v>
      </c>
      <c r="BR111" s="108">
        <f t="shared" si="9"/>
        <v>0</v>
      </c>
      <c r="BS111" s="11">
        <v>1.92</v>
      </c>
      <c r="BT111" s="24">
        <f t="shared" si="10"/>
        <v>142.07999999999998</v>
      </c>
      <c r="BU111" s="24">
        <v>145500</v>
      </c>
      <c r="BV111" s="18">
        <f t="shared" si="11"/>
        <v>20672639.999999996</v>
      </c>
      <c r="BW111" s="18"/>
    </row>
    <row r="112" spans="1:16296" x14ac:dyDescent="0.3">
      <c r="A112" s="313"/>
      <c r="B112" s="34" t="s">
        <v>12177</v>
      </c>
      <c r="C112" s="24">
        <v>10</v>
      </c>
      <c r="D112" s="119">
        <f t="shared" si="12"/>
        <v>10</v>
      </c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  <c r="AT112" s="116"/>
      <c r="AU112" s="116"/>
      <c r="AV112" s="116"/>
      <c r="AW112" s="116"/>
      <c r="AX112" s="116"/>
      <c r="AY112" s="116"/>
      <c r="AZ112" s="116"/>
      <c r="BA112" s="116"/>
      <c r="BB112" s="116"/>
      <c r="BC112" s="116"/>
      <c r="BD112" s="116"/>
      <c r="BE112" s="116"/>
      <c r="BF112" s="116"/>
      <c r="BG112" s="116"/>
      <c r="BH112" s="116"/>
      <c r="BI112" s="116"/>
      <c r="BJ112" s="116"/>
      <c r="BK112" s="116"/>
      <c r="BL112" s="116"/>
      <c r="BM112" s="116"/>
      <c r="BN112" s="116"/>
      <c r="BO112" s="116"/>
      <c r="BP112" s="116"/>
      <c r="BQ112" s="108">
        <f t="shared" si="8"/>
        <v>0</v>
      </c>
      <c r="BR112" s="108">
        <f t="shared" si="9"/>
        <v>0</v>
      </c>
      <c r="BS112" s="11">
        <v>1.92</v>
      </c>
      <c r="BT112" s="24">
        <f t="shared" si="10"/>
        <v>19.2</v>
      </c>
      <c r="BU112" s="24">
        <v>103000</v>
      </c>
      <c r="BV112" s="18">
        <f t="shared" si="11"/>
        <v>1977600</v>
      </c>
      <c r="BW112" s="18"/>
    </row>
    <row r="113" spans="1:75" x14ac:dyDescent="0.3">
      <c r="A113" s="313"/>
      <c r="B113" s="34" t="s">
        <v>585</v>
      </c>
      <c r="C113" s="24">
        <v>11</v>
      </c>
      <c r="D113" s="119">
        <f t="shared" si="12"/>
        <v>11</v>
      </c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6"/>
      <c r="AT113" s="116"/>
      <c r="AU113" s="116"/>
      <c r="AV113" s="116"/>
      <c r="AW113" s="116"/>
      <c r="AX113" s="116"/>
      <c r="AY113" s="116"/>
      <c r="AZ113" s="116"/>
      <c r="BA113" s="116"/>
      <c r="BB113" s="116"/>
      <c r="BC113" s="116"/>
      <c r="BD113" s="116"/>
      <c r="BE113" s="116"/>
      <c r="BF113" s="116"/>
      <c r="BG113" s="116"/>
      <c r="BH113" s="116"/>
      <c r="BI113" s="116"/>
      <c r="BJ113" s="116"/>
      <c r="BK113" s="116"/>
      <c r="BL113" s="116"/>
      <c r="BM113" s="116"/>
      <c r="BN113" s="116"/>
      <c r="BO113" s="116"/>
      <c r="BP113" s="116"/>
      <c r="BQ113" s="108">
        <f t="shared" si="8"/>
        <v>0</v>
      </c>
      <c r="BR113" s="108">
        <f t="shared" si="9"/>
        <v>0</v>
      </c>
      <c r="BS113" s="11">
        <v>1.92</v>
      </c>
      <c r="BT113" s="24">
        <f t="shared" si="10"/>
        <v>21.119999999999997</v>
      </c>
      <c r="BU113" s="24">
        <v>103000</v>
      </c>
      <c r="BV113" s="18">
        <f t="shared" si="11"/>
        <v>2175359.9999999995</v>
      </c>
      <c r="BW113" s="18"/>
    </row>
    <row r="114" spans="1:75" x14ac:dyDescent="0.3">
      <c r="A114" s="313"/>
      <c r="B114" s="34" t="s">
        <v>576</v>
      </c>
      <c r="C114" s="24">
        <v>185.32999999999998</v>
      </c>
      <c r="D114" s="119">
        <f t="shared" si="12"/>
        <v>197.32999999999998</v>
      </c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>
        <v>12</v>
      </c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6"/>
      <c r="AT114" s="116"/>
      <c r="AU114" s="116"/>
      <c r="AV114" s="116"/>
      <c r="AW114" s="116"/>
      <c r="AX114" s="116"/>
      <c r="AY114" s="116"/>
      <c r="AZ114" s="116"/>
      <c r="BA114" s="116"/>
      <c r="BB114" s="116"/>
      <c r="BC114" s="116"/>
      <c r="BD114" s="116"/>
      <c r="BE114" s="116"/>
      <c r="BF114" s="116"/>
      <c r="BG114" s="116"/>
      <c r="BH114" s="116"/>
      <c r="BI114" s="116"/>
      <c r="BJ114" s="116"/>
      <c r="BK114" s="116"/>
      <c r="BL114" s="116"/>
      <c r="BM114" s="116"/>
      <c r="BN114" s="116"/>
      <c r="BO114" s="116"/>
      <c r="BP114" s="116"/>
      <c r="BQ114" s="108">
        <f t="shared" si="8"/>
        <v>12</v>
      </c>
      <c r="BR114" s="108">
        <f t="shared" si="9"/>
        <v>0</v>
      </c>
      <c r="BS114" s="11">
        <v>1.92</v>
      </c>
      <c r="BT114" s="24">
        <f t="shared" si="10"/>
        <v>378.87359999999995</v>
      </c>
      <c r="BU114" s="24">
        <v>108000</v>
      </c>
      <c r="BV114" s="18">
        <f t="shared" si="11"/>
        <v>40918348.799999997</v>
      </c>
      <c r="BW114" s="18"/>
    </row>
    <row r="115" spans="1:75" x14ac:dyDescent="0.3">
      <c r="A115" s="313"/>
      <c r="B115" s="34" t="s">
        <v>586</v>
      </c>
      <c r="C115" s="24">
        <v>45</v>
      </c>
      <c r="D115" s="119">
        <f t="shared" si="12"/>
        <v>45</v>
      </c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116"/>
      <c r="AP115" s="116"/>
      <c r="AQ115" s="116"/>
      <c r="AR115" s="116"/>
      <c r="AS115" s="116"/>
      <c r="AT115" s="116"/>
      <c r="AU115" s="116"/>
      <c r="AV115" s="116"/>
      <c r="AW115" s="116"/>
      <c r="AX115" s="116"/>
      <c r="AY115" s="116"/>
      <c r="AZ115" s="116"/>
      <c r="BA115" s="116"/>
      <c r="BB115" s="116"/>
      <c r="BC115" s="116"/>
      <c r="BD115" s="116"/>
      <c r="BE115" s="116"/>
      <c r="BF115" s="116"/>
      <c r="BG115" s="116"/>
      <c r="BH115" s="116"/>
      <c r="BI115" s="116"/>
      <c r="BJ115" s="116"/>
      <c r="BK115" s="116"/>
      <c r="BL115" s="116"/>
      <c r="BM115" s="116"/>
      <c r="BN115" s="116"/>
      <c r="BO115" s="116"/>
      <c r="BP115" s="116"/>
      <c r="BQ115" s="108">
        <f t="shared" si="8"/>
        <v>0</v>
      </c>
      <c r="BR115" s="108">
        <f t="shared" si="9"/>
        <v>0</v>
      </c>
      <c r="BS115" s="11">
        <v>1.92</v>
      </c>
      <c r="BT115" s="24">
        <f t="shared" si="10"/>
        <v>86.399999999999991</v>
      </c>
      <c r="BU115" s="24">
        <v>108000</v>
      </c>
      <c r="BV115" s="18">
        <f t="shared" si="11"/>
        <v>9331200</v>
      </c>
      <c r="BW115" s="18"/>
    </row>
    <row r="116" spans="1:75" ht="15.75" customHeight="1" x14ac:dyDescent="0.3">
      <c r="A116" s="313"/>
      <c r="B116" s="34" t="s">
        <v>12176</v>
      </c>
      <c r="C116" s="24">
        <v>6</v>
      </c>
      <c r="D116" s="119">
        <f t="shared" si="12"/>
        <v>6</v>
      </c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08">
        <f t="shared" si="8"/>
        <v>0</v>
      </c>
      <c r="BR116" s="108">
        <f t="shared" si="9"/>
        <v>0</v>
      </c>
      <c r="BS116" s="11">
        <v>1.92</v>
      </c>
      <c r="BT116" s="24">
        <f t="shared" si="10"/>
        <v>11.52</v>
      </c>
      <c r="BU116" s="24">
        <v>108000</v>
      </c>
      <c r="BV116" s="18">
        <f t="shared" si="11"/>
        <v>1244160</v>
      </c>
      <c r="BW116" s="18"/>
    </row>
    <row r="117" spans="1:75" ht="0.75" customHeight="1" x14ac:dyDescent="0.3">
      <c r="A117" s="313"/>
      <c r="B117" s="34" t="s">
        <v>588</v>
      </c>
      <c r="C117" s="24">
        <v>5</v>
      </c>
      <c r="D117" s="119">
        <f t="shared" si="12"/>
        <v>5</v>
      </c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6"/>
      <c r="AU117" s="116"/>
      <c r="AV117" s="116"/>
      <c r="AW117" s="116"/>
      <c r="AX117" s="116"/>
      <c r="AY117" s="116"/>
      <c r="AZ117" s="116"/>
      <c r="BA117" s="116"/>
      <c r="BB117" s="116"/>
      <c r="BC117" s="116"/>
      <c r="BD117" s="116"/>
      <c r="BE117" s="116"/>
      <c r="BF117" s="116"/>
      <c r="BG117" s="116"/>
      <c r="BH117" s="116"/>
      <c r="BI117" s="116"/>
      <c r="BJ117" s="116"/>
      <c r="BK117" s="116"/>
      <c r="BL117" s="116"/>
      <c r="BM117" s="116"/>
      <c r="BN117" s="116"/>
      <c r="BO117" s="116"/>
      <c r="BP117" s="116"/>
      <c r="BQ117" s="108">
        <f t="shared" si="8"/>
        <v>0</v>
      </c>
      <c r="BR117" s="108">
        <f t="shared" si="9"/>
        <v>0</v>
      </c>
      <c r="BS117" s="11">
        <v>1.92</v>
      </c>
      <c r="BT117" s="24">
        <f t="shared" si="10"/>
        <v>9.6</v>
      </c>
      <c r="BU117" s="24">
        <v>83000</v>
      </c>
      <c r="BV117" s="18">
        <f t="shared" si="11"/>
        <v>796800</v>
      </c>
      <c r="BW117" s="18"/>
    </row>
    <row r="118" spans="1:75" x14ac:dyDescent="0.3">
      <c r="A118" s="313"/>
      <c r="B118" s="34" t="s">
        <v>587</v>
      </c>
      <c r="C118" s="24">
        <v>65</v>
      </c>
      <c r="D118" s="119">
        <f t="shared" si="12"/>
        <v>65</v>
      </c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6"/>
      <c r="BD118" s="116"/>
      <c r="BE118" s="116"/>
      <c r="BF118" s="116"/>
      <c r="BG118" s="116"/>
      <c r="BH118" s="116"/>
      <c r="BI118" s="116"/>
      <c r="BJ118" s="116"/>
      <c r="BK118" s="116"/>
      <c r="BL118" s="116"/>
      <c r="BM118" s="116"/>
      <c r="BN118" s="116"/>
      <c r="BO118" s="116"/>
      <c r="BP118" s="116"/>
      <c r="BQ118" s="108">
        <f t="shared" si="8"/>
        <v>0</v>
      </c>
      <c r="BR118" s="108">
        <f t="shared" si="9"/>
        <v>0</v>
      </c>
      <c r="BS118" s="11">
        <v>1.92</v>
      </c>
      <c r="BT118" s="24">
        <f t="shared" si="10"/>
        <v>124.8</v>
      </c>
      <c r="BU118" s="24">
        <v>108000</v>
      </c>
      <c r="BV118" s="18">
        <f t="shared" si="11"/>
        <v>13478400</v>
      </c>
      <c r="BW118" s="18"/>
    </row>
    <row r="119" spans="1:75" x14ac:dyDescent="0.3">
      <c r="A119" s="313"/>
      <c r="B119" s="34" t="s">
        <v>589</v>
      </c>
      <c r="C119" s="24">
        <v>327.7</v>
      </c>
      <c r="D119" s="119">
        <f t="shared" si="12"/>
        <v>98.699999999999989</v>
      </c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>
        <v>35</v>
      </c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>
        <v>6</v>
      </c>
      <c r="AS119" s="116"/>
      <c r="AT119" s="116"/>
      <c r="AU119" s="116"/>
      <c r="AV119" s="116"/>
      <c r="AW119" s="116"/>
      <c r="AX119" s="116"/>
      <c r="AY119" s="116"/>
      <c r="AZ119" s="116">
        <v>82</v>
      </c>
      <c r="BA119" s="116"/>
      <c r="BB119" s="116"/>
      <c r="BC119" s="116"/>
      <c r="BD119" s="116"/>
      <c r="BE119" s="116"/>
      <c r="BF119" s="116">
        <v>36</v>
      </c>
      <c r="BG119" s="116"/>
      <c r="BH119" s="116"/>
      <c r="BI119" s="116"/>
      <c r="BJ119" s="116">
        <v>73</v>
      </c>
      <c r="BK119" s="116"/>
      <c r="BL119" s="116"/>
      <c r="BM119" s="116"/>
      <c r="BN119" s="116"/>
      <c r="BO119" s="116">
        <v>3</v>
      </c>
      <c r="BP119" s="116"/>
      <c r="BQ119" s="108">
        <f t="shared" si="8"/>
        <v>3</v>
      </c>
      <c r="BR119" s="108">
        <f t="shared" si="9"/>
        <v>232</v>
      </c>
      <c r="BS119" s="11">
        <v>1.92</v>
      </c>
      <c r="BT119" s="24">
        <f t="shared" si="10"/>
        <v>189.50399999999996</v>
      </c>
      <c r="BU119" s="24">
        <v>103000</v>
      </c>
      <c r="BV119" s="18">
        <f t="shared" si="11"/>
        <v>19518911.999999996</v>
      </c>
      <c r="BW119" s="18"/>
    </row>
    <row r="120" spans="1:75" x14ac:dyDescent="0.3">
      <c r="A120" s="313"/>
      <c r="B120" s="34" t="s">
        <v>12191</v>
      </c>
      <c r="C120" s="24">
        <v>414</v>
      </c>
      <c r="D120" s="119">
        <f t="shared" si="12"/>
        <v>279</v>
      </c>
      <c r="E120" s="116"/>
      <c r="F120" s="116">
        <v>80</v>
      </c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>
        <v>6</v>
      </c>
      <c r="BA120" s="116"/>
      <c r="BB120" s="116"/>
      <c r="BC120" s="116"/>
      <c r="BD120" s="116"/>
      <c r="BE120" s="116"/>
      <c r="BF120" s="116">
        <v>4</v>
      </c>
      <c r="BG120" s="116"/>
      <c r="BH120" s="116"/>
      <c r="BI120" s="116"/>
      <c r="BJ120" s="116">
        <f>7+10</f>
        <v>17</v>
      </c>
      <c r="BK120" s="116"/>
      <c r="BL120" s="116">
        <v>25</v>
      </c>
      <c r="BM120" s="116"/>
      <c r="BN120" s="116"/>
      <c r="BO120" s="116"/>
      <c r="BP120" s="116">
        <v>3</v>
      </c>
      <c r="BQ120" s="108">
        <f t="shared" si="8"/>
        <v>0</v>
      </c>
      <c r="BR120" s="108">
        <f t="shared" si="9"/>
        <v>135</v>
      </c>
      <c r="BS120" s="11">
        <v>1.92</v>
      </c>
      <c r="BT120" s="24">
        <f t="shared" si="10"/>
        <v>535.67999999999995</v>
      </c>
      <c r="BU120" s="24">
        <v>76800</v>
      </c>
      <c r="BV120" s="18">
        <f t="shared" si="11"/>
        <v>41140223.999999993</v>
      </c>
      <c r="BW120" s="18"/>
    </row>
    <row r="121" spans="1:75" x14ac:dyDescent="0.3">
      <c r="A121" s="313"/>
      <c r="B121" s="34" t="s">
        <v>590</v>
      </c>
      <c r="C121" s="24">
        <v>5</v>
      </c>
      <c r="D121" s="119">
        <f t="shared" si="12"/>
        <v>2</v>
      </c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>
        <v>3</v>
      </c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  <c r="AU121" s="116"/>
      <c r="AV121" s="116"/>
      <c r="AW121" s="116"/>
      <c r="AX121" s="116"/>
      <c r="AY121" s="116"/>
      <c r="AZ121" s="116"/>
      <c r="BA121" s="116"/>
      <c r="BB121" s="116"/>
      <c r="BC121" s="116"/>
      <c r="BD121" s="116"/>
      <c r="BE121" s="116"/>
      <c r="BF121" s="116"/>
      <c r="BG121" s="116"/>
      <c r="BH121" s="116"/>
      <c r="BI121" s="116"/>
      <c r="BJ121" s="116"/>
      <c r="BK121" s="116"/>
      <c r="BL121" s="116"/>
      <c r="BM121" s="116"/>
      <c r="BN121" s="116"/>
      <c r="BO121" s="116"/>
      <c r="BP121" s="116"/>
      <c r="BQ121" s="108">
        <f t="shared" si="8"/>
        <v>0</v>
      </c>
      <c r="BR121" s="108">
        <f t="shared" si="9"/>
        <v>3</v>
      </c>
      <c r="BS121" s="11">
        <v>1.92</v>
      </c>
      <c r="BT121" s="24">
        <f t="shared" si="10"/>
        <v>3.84</v>
      </c>
      <c r="BU121" s="24">
        <v>108000</v>
      </c>
      <c r="BV121" s="18">
        <f t="shared" si="11"/>
        <v>414720</v>
      </c>
      <c r="BW121" s="18"/>
    </row>
    <row r="122" spans="1:75" x14ac:dyDescent="0.3">
      <c r="A122" s="313"/>
      <c r="B122" s="50" t="s">
        <v>12182</v>
      </c>
      <c r="C122" s="24">
        <v>198</v>
      </c>
      <c r="D122" s="119">
        <f t="shared" si="12"/>
        <v>198</v>
      </c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6"/>
      <c r="AT122" s="116"/>
      <c r="AU122" s="116"/>
      <c r="AV122" s="116"/>
      <c r="AW122" s="116"/>
      <c r="AX122" s="116"/>
      <c r="AY122" s="116"/>
      <c r="AZ122" s="116"/>
      <c r="BA122" s="116"/>
      <c r="BB122" s="116"/>
      <c r="BC122" s="116"/>
      <c r="BD122" s="116"/>
      <c r="BE122" s="116"/>
      <c r="BF122" s="116"/>
      <c r="BG122" s="116"/>
      <c r="BH122" s="116"/>
      <c r="BI122" s="116"/>
      <c r="BJ122" s="116"/>
      <c r="BK122" s="116"/>
      <c r="BL122" s="116"/>
      <c r="BM122" s="116"/>
      <c r="BN122" s="116"/>
      <c r="BO122" s="116"/>
      <c r="BP122" s="116"/>
      <c r="BQ122" s="108">
        <f t="shared" si="8"/>
        <v>0</v>
      </c>
      <c r="BR122" s="108">
        <f t="shared" si="9"/>
        <v>0</v>
      </c>
      <c r="BS122" s="11">
        <v>1.92</v>
      </c>
      <c r="BT122" s="24">
        <f t="shared" si="10"/>
        <v>380.15999999999997</v>
      </c>
      <c r="BU122" s="24">
        <v>111000</v>
      </c>
      <c r="BV122" s="18">
        <f t="shared" si="11"/>
        <v>42197760</v>
      </c>
      <c r="BW122" s="18"/>
    </row>
    <row r="123" spans="1:75" x14ac:dyDescent="0.3">
      <c r="A123" s="313"/>
      <c r="B123" s="34" t="s">
        <v>591</v>
      </c>
      <c r="C123" s="24">
        <v>55.7</v>
      </c>
      <c r="D123" s="119">
        <f t="shared" si="12"/>
        <v>50.7</v>
      </c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>
        <v>2</v>
      </c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>
        <v>3</v>
      </c>
      <c r="AS123" s="116"/>
      <c r="AT123" s="116"/>
      <c r="AU123" s="116"/>
      <c r="AV123" s="116"/>
      <c r="AW123" s="116"/>
      <c r="AX123" s="116"/>
      <c r="AY123" s="116"/>
      <c r="AZ123" s="116"/>
      <c r="BA123" s="116"/>
      <c r="BB123" s="116"/>
      <c r="BC123" s="116"/>
      <c r="BD123" s="116"/>
      <c r="BE123" s="116"/>
      <c r="BF123" s="116"/>
      <c r="BG123" s="116"/>
      <c r="BH123" s="116"/>
      <c r="BI123" s="116"/>
      <c r="BJ123" s="116"/>
      <c r="BK123" s="116"/>
      <c r="BL123" s="116"/>
      <c r="BM123" s="116"/>
      <c r="BN123" s="116"/>
      <c r="BO123" s="116"/>
      <c r="BP123" s="116"/>
      <c r="BQ123" s="108">
        <f t="shared" si="8"/>
        <v>0</v>
      </c>
      <c r="BR123" s="108">
        <f t="shared" si="9"/>
        <v>5</v>
      </c>
      <c r="BS123" s="11">
        <v>1.92</v>
      </c>
      <c r="BT123" s="24">
        <f t="shared" si="10"/>
        <v>97.344000000000008</v>
      </c>
      <c r="BU123" s="24">
        <v>135000</v>
      </c>
      <c r="BV123" s="18">
        <f t="shared" si="11"/>
        <v>13141440.000000002</v>
      </c>
      <c r="BW123" s="18"/>
    </row>
    <row r="124" spans="1:75" ht="20.25" hidden="1" customHeight="1" x14ac:dyDescent="0.3">
      <c r="A124" s="313"/>
      <c r="B124" s="34" t="s">
        <v>592</v>
      </c>
      <c r="C124" s="24">
        <v>0</v>
      </c>
      <c r="D124" s="119">
        <f t="shared" si="12"/>
        <v>0</v>
      </c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  <c r="AT124" s="116"/>
      <c r="AU124" s="116"/>
      <c r="AV124" s="116"/>
      <c r="AW124" s="116"/>
      <c r="AX124" s="116"/>
      <c r="AY124" s="116"/>
      <c r="AZ124" s="116"/>
      <c r="BA124" s="116"/>
      <c r="BB124" s="116"/>
      <c r="BC124" s="116"/>
      <c r="BD124" s="116"/>
      <c r="BE124" s="116"/>
      <c r="BF124" s="116"/>
      <c r="BG124" s="116"/>
      <c r="BH124" s="116"/>
      <c r="BI124" s="116"/>
      <c r="BJ124" s="116"/>
      <c r="BK124" s="116"/>
      <c r="BL124" s="116"/>
      <c r="BM124" s="116"/>
      <c r="BN124" s="116"/>
      <c r="BO124" s="116"/>
      <c r="BP124" s="116"/>
      <c r="BQ124" s="108">
        <f t="shared" si="8"/>
        <v>0</v>
      </c>
      <c r="BR124" s="108">
        <f t="shared" si="9"/>
        <v>0</v>
      </c>
      <c r="BS124" s="11">
        <v>1.92</v>
      </c>
      <c r="BT124" s="24">
        <f t="shared" si="10"/>
        <v>0</v>
      </c>
      <c r="BU124" s="24">
        <v>110000</v>
      </c>
      <c r="BV124" s="18">
        <f t="shared" si="11"/>
        <v>0</v>
      </c>
      <c r="BW124" s="18"/>
    </row>
    <row r="125" spans="1:75" hidden="1" x14ac:dyDescent="0.3">
      <c r="A125" s="313"/>
      <c r="B125" s="34" t="s">
        <v>593</v>
      </c>
      <c r="C125" s="24">
        <v>0</v>
      </c>
      <c r="D125" s="119">
        <f t="shared" si="12"/>
        <v>0</v>
      </c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/>
      <c r="BI125" s="116"/>
      <c r="BJ125" s="116"/>
      <c r="BK125" s="116"/>
      <c r="BL125" s="116"/>
      <c r="BM125" s="116"/>
      <c r="BN125" s="116"/>
      <c r="BO125" s="116"/>
      <c r="BP125" s="116"/>
      <c r="BQ125" s="108">
        <f t="shared" si="8"/>
        <v>0</v>
      </c>
      <c r="BR125" s="108">
        <f t="shared" si="9"/>
        <v>0</v>
      </c>
      <c r="BS125" s="11">
        <v>1.92</v>
      </c>
      <c r="BT125" s="24">
        <f t="shared" si="10"/>
        <v>0</v>
      </c>
      <c r="BU125" s="24">
        <v>115600</v>
      </c>
      <c r="BV125" s="18">
        <f t="shared" si="11"/>
        <v>0</v>
      </c>
      <c r="BW125" s="18"/>
    </row>
    <row r="126" spans="1:75" x14ac:dyDescent="0.3">
      <c r="A126" s="12"/>
      <c r="B126" s="34"/>
      <c r="C126" s="24">
        <v>0</v>
      </c>
      <c r="D126" s="119">
        <f t="shared" si="12"/>
        <v>0</v>
      </c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6"/>
      <c r="AT126" s="116"/>
      <c r="AU126" s="116"/>
      <c r="AV126" s="116"/>
      <c r="AW126" s="116"/>
      <c r="AX126" s="116"/>
      <c r="AY126" s="116"/>
      <c r="AZ126" s="116"/>
      <c r="BA126" s="116"/>
      <c r="BB126" s="116"/>
      <c r="BC126" s="116"/>
      <c r="BD126" s="116"/>
      <c r="BE126" s="116"/>
      <c r="BF126" s="116"/>
      <c r="BG126" s="116"/>
      <c r="BH126" s="116"/>
      <c r="BI126" s="116"/>
      <c r="BJ126" s="116"/>
      <c r="BK126" s="116"/>
      <c r="BL126" s="116"/>
      <c r="BM126" s="116"/>
      <c r="BN126" s="116"/>
      <c r="BO126" s="116"/>
      <c r="BP126" s="116"/>
      <c r="BQ126" s="108">
        <f t="shared" si="8"/>
        <v>0</v>
      </c>
      <c r="BR126" s="108">
        <f t="shared" si="9"/>
        <v>0</v>
      </c>
      <c r="BS126" s="11"/>
      <c r="BT126" s="24">
        <f t="shared" si="10"/>
        <v>0</v>
      </c>
      <c r="BU126" s="24"/>
      <c r="BV126" s="18">
        <f t="shared" si="11"/>
        <v>0</v>
      </c>
      <c r="BW126" s="18"/>
    </row>
    <row r="127" spans="1:75" x14ac:dyDescent="0.3">
      <c r="A127" s="310" t="s">
        <v>284</v>
      </c>
      <c r="B127" s="21" t="s">
        <v>12154</v>
      </c>
      <c r="C127" s="24">
        <v>148</v>
      </c>
      <c r="D127" s="119">
        <f t="shared" si="12"/>
        <v>97</v>
      </c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>
        <v>2</v>
      </c>
      <c r="AO127" s="116"/>
      <c r="AP127" s="116"/>
      <c r="AQ127" s="116"/>
      <c r="AR127" s="116"/>
      <c r="AS127" s="116"/>
      <c r="AT127" s="116"/>
      <c r="AU127" s="116"/>
      <c r="AV127" s="116"/>
      <c r="AW127" s="116"/>
      <c r="AX127" s="116"/>
      <c r="AY127" s="116"/>
      <c r="AZ127" s="116"/>
      <c r="BA127" s="116"/>
      <c r="BB127" s="116">
        <v>48</v>
      </c>
      <c r="BC127" s="116"/>
      <c r="BD127" s="116"/>
      <c r="BE127" s="116"/>
      <c r="BF127" s="116"/>
      <c r="BG127" s="116"/>
      <c r="BH127" s="116"/>
      <c r="BI127" s="116"/>
      <c r="BJ127" s="116"/>
      <c r="BK127" s="116"/>
      <c r="BL127" s="116"/>
      <c r="BM127" s="116"/>
      <c r="BN127" s="116"/>
      <c r="BO127" s="116"/>
      <c r="BP127" s="116">
        <v>1</v>
      </c>
      <c r="BQ127" s="108">
        <f t="shared" si="8"/>
        <v>0</v>
      </c>
      <c r="BR127" s="108">
        <f t="shared" si="9"/>
        <v>51</v>
      </c>
      <c r="BS127" s="11">
        <v>2.16</v>
      </c>
      <c r="BT127" s="24">
        <f t="shared" si="10"/>
        <v>209.52</v>
      </c>
      <c r="BU127" s="24">
        <v>140000</v>
      </c>
      <c r="BV127" s="18">
        <f t="shared" si="11"/>
        <v>29332800</v>
      </c>
      <c r="BW127" s="18"/>
    </row>
    <row r="128" spans="1:75" x14ac:dyDescent="0.3">
      <c r="A128" s="311"/>
      <c r="B128" s="21" t="s">
        <v>12155</v>
      </c>
      <c r="C128" s="24">
        <v>44</v>
      </c>
      <c r="D128" s="119">
        <f t="shared" si="12"/>
        <v>41</v>
      </c>
      <c r="E128" s="116"/>
      <c r="F128" s="116"/>
      <c r="G128" s="116"/>
      <c r="H128" s="116"/>
      <c r="I128" s="116"/>
      <c r="J128" s="116">
        <v>2</v>
      </c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6"/>
      <c r="AU128" s="116"/>
      <c r="AV128" s="116"/>
      <c r="AW128" s="116"/>
      <c r="AX128" s="116"/>
      <c r="AY128" s="116"/>
      <c r="AZ128" s="116"/>
      <c r="BA128" s="116"/>
      <c r="BB128" s="116"/>
      <c r="BC128" s="116"/>
      <c r="BD128" s="116"/>
      <c r="BE128" s="116"/>
      <c r="BF128" s="116"/>
      <c r="BG128" s="116"/>
      <c r="BH128" s="116"/>
      <c r="BI128" s="116"/>
      <c r="BJ128" s="116"/>
      <c r="BK128" s="116"/>
      <c r="BL128" s="116"/>
      <c r="BM128" s="116"/>
      <c r="BN128" s="116"/>
      <c r="BO128" s="116"/>
      <c r="BP128" s="116">
        <v>1</v>
      </c>
      <c r="BQ128" s="108">
        <f t="shared" ref="BQ128:BQ147" si="13">+E128+G128+I128+K128+M128+O128+Q128+S128+U128+W128+Y128+AA128+AC128+AE128+AG128+AI128+AK128+AM128+AO128+AQ128+AS128+AU128+AW128+AY128+BA128+BC128+BE128+BG128+BI128+BK128+BM128+BO128</f>
        <v>0</v>
      </c>
      <c r="BR128" s="108">
        <f t="shared" ref="BR128:BR147" si="14">+F128+H128+J128+L128+N128+P128+R128+T128+V128+X128+Z128+AB128+AD128+AF128+AH128+AJ128+AL128+AN128+AP128+AR128+AT128+AV128+AX128+AZ128+BB128+BD128+BF128+BH128+BJ128+BL128+BN128+BP128</f>
        <v>3</v>
      </c>
      <c r="BS128" s="11">
        <v>2.16</v>
      </c>
      <c r="BT128" s="24">
        <f t="shared" si="10"/>
        <v>88.56</v>
      </c>
      <c r="BU128" s="24">
        <v>140000</v>
      </c>
      <c r="BV128" s="18">
        <f t="shared" si="11"/>
        <v>12398400</v>
      </c>
      <c r="BW128" s="18"/>
    </row>
    <row r="129" spans="1:75" ht="18" hidden="1" customHeight="1" x14ac:dyDescent="0.3">
      <c r="A129" s="311"/>
      <c r="B129" s="21" t="s">
        <v>2180</v>
      </c>
      <c r="C129" s="24">
        <v>0</v>
      </c>
      <c r="D129" s="119">
        <f t="shared" si="12"/>
        <v>0</v>
      </c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6"/>
      <c r="AT129" s="116"/>
      <c r="AU129" s="116"/>
      <c r="AV129" s="116"/>
      <c r="AW129" s="116"/>
      <c r="AX129" s="116"/>
      <c r="AY129" s="116"/>
      <c r="AZ129" s="116"/>
      <c r="BA129" s="116"/>
      <c r="BB129" s="116"/>
      <c r="BC129" s="116"/>
      <c r="BD129" s="116"/>
      <c r="BE129" s="116"/>
      <c r="BF129" s="116"/>
      <c r="BG129" s="116"/>
      <c r="BH129" s="116"/>
      <c r="BI129" s="116"/>
      <c r="BJ129" s="116"/>
      <c r="BK129" s="116"/>
      <c r="BL129" s="116"/>
      <c r="BM129" s="116"/>
      <c r="BN129" s="116"/>
      <c r="BO129" s="116"/>
      <c r="BP129" s="116"/>
      <c r="BQ129" s="108">
        <f t="shared" si="13"/>
        <v>0</v>
      </c>
      <c r="BR129" s="108">
        <f t="shared" si="14"/>
        <v>0</v>
      </c>
      <c r="BS129" s="11">
        <v>2.16</v>
      </c>
      <c r="BT129" s="24">
        <f t="shared" si="10"/>
        <v>0</v>
      </c>
      <c r="BU129" s="24">
        <v>140000</v>
      </c>
      <c r="BV129" s="18">
        <f t="shared" si="11"/>
        <v>0</v>
      </c>
      <c r="BW129" s="18"/>
    </row>
    <row r="130" spans="1:75" x14ac:dyDescent="0.3">
      <c r="A130" s="312"/>
      <c r="B130" s="21" t="s">
        <v>12158</v>
      </c>
      <c r="C130" s="24">
        <v>106</v>
      </c>
      <c r="D130" s="119">
        <f t="shared" si="12"/>
        <v>55</v>
      </c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>
        <v>50</v>
      </c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  <c r="AS130" s="116"/>
      <c r="AT130" s="116"/>
      <c r="AU130" s="116"/>
      <c r="AV130" s="116"/>
      <c r="AW130" s="116"/>
      <c r="AX130" s="116"/>
      <c r="AY130" s="116"/>
      <c r="AZ130" s="116"/>
      <c r="BA130" s="116"/>
      <c r="BB130" s="116"/>
      <c r="BC130" s="116"/>
      <c r="BD130" s="116"/>
      <c r="BE130" s="116"/>
      <c r="BF130" s="116"/>
      <c r="BG130" s="116"/>
      <c r="BH130" s="116"/>
      <c r="BI130" s="116"/>
      <c r="BJ130" s="116"/>
      <c r="BK130" s="116"/>
      <c r="BL130" s="116"/>
      <c r="BM130" s="116"/>
      <c r="BN130" s="116"/>
      <c r="BO130" s="116"/>
      <c r="BP130" s="116">
        <v>1</v>
      </c>
      <c r="BQ130" s="108">
        <f t="shared" si="13"/>
        <v>0</v>
      </c>
      <c r="BR130" s="108">
        <f t="shared" si="14"/>
        <v>51</v>
      </c>
      <c r="BS130" s="11">
        <v>2.16</v>
      </c>
      <c r="BT130" s="24">
        <f t="shared" ref="BT130:BT147" si="15">+BS130*D130</f>
        <v>118.80000000000001</v>
      </c>
      <c r="BU130" s="24">
        <v>140000</v>
      </c>
      <c r="BV130" s="18">
        <f t="shared" ref="BV130:BV147" si="16">+BU130*BT130</f>
        <v>16632000.000000002</v>
      </c>
      <c r="BW130" s="18"/>
    </row>
    <row r="131" spans="1:75" x14ac:dyDescent="0.3">
      <c r="A131" s="319"/>
      <c r="B131" s="320"/>
      <c r="C131" s="24"/>
      <c r="D131" s="119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6"/>
      <c r="AS131" s="116"/>
      <c r="AT131" s="116"/>
      <c r="AU131" s="116"/>
      <c r="AV131" s="116"/>
      <c r="AW131" s="116"/>
      <c r="AX131" s="116"/>
      <c r="AY131" s="116"/>
      <c r="AZ131" s="116"/>
      <c r="BA131" s="116"/>
      <c r="BB131" s="116"/>
      <c r="BC131" s="116"/>
      <c r="BD131" s="116"/>
      <c r="BE131" s="116"/>
      <c r="BF131" s="116"/>
      <c r="BG131" s="116"/>
      <c r="BH131" s="116"/>
      <c r="BI131" s="116"/>
      <c r="BJ131" s="116"/>
      <c r="BK131" s="116"/>
      <c r="BL131" s="116"/>
      <c r="BM131" s="116"/>
      <c r="BN131" s="116"/>
      <c r="BO131" s="116"/>
      <c r="BP131" s="116"/>
      <c r="BQ131" s="108"/>
      <c r="BR131" s="108"/>
      <c r="BS131" s="11"/>
      <c r="BT131" s="24"/>
      <c r="BU131" s="24"/>
      <c r="BV131" s="18"/>
      <c r="BW131" s="18"/>
    </row>
    <row r="132" spans="1:75" ht="18" customHeight="1" x14ac:dyDescent="0.3">
      <c r="A132" s="316" t="s">
        <v>4340</v>
      </c>
      <c r="B132" s="11" t="s">
        <v>12212</v>
      </c>
      <c r="C132" s="24">
        <v>35.5</v>
      </c>
      <c r="D132" s="119">
        <f t="shared" si="12"/>
        <v>1031.5</v>
      </c>
      <c r="E132" s="116"/>
      <c r="F132" s="116"/>
      <c r="G132" s="116"/>
      <c r="H132" s="116"/>
      <c r="I132" s="116">
        <v>344</v>
      </c>
      <c r="J132" s="116">
        <v>63</v>
      </c>
      <c r="K132" s="116"/>
      <c r="L132" s="116">
        <v>5</v>
      </c>
      <c r="M132" s="116"/>
      <c r="N132" s="116"/>
      <c r="O132" s="116"/>
      <c r="P132" s="116"/>
      <c r="Q132" s="116"/>
      <c r="R132" s="116"/>
      <c r="S132" s="116"/>
      <c r="T132" s="116"/>
      <c r="U132" s="116"/>
      <c r="V132" s="116">
        <v>42</v>
      </c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>
        <v>1</v>
      </c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  <c r="AR132" s="116">
        <v>50</v>
      </c>
      <c r="AS132" s="116">
        <v>731</v>
      </c>
      <c r="AT132" s="116"/>
      <c r="AU132" s="116"/>
      <c r="AV132" s="116"/>
      <c r="AW132" s="116"/>
      <c r="AX132" s="116"/>
      <c r="AY132" s="116"/>
      <c r="AZ132" s="116">
        <v>129</v>
      </c>
      <c r="BA132" s="116">
        <v>215</v>
      </c>
      <c r="BB132" s="116"/>
      <c r="BC132" s="116"/>
      <c r="BD132" s="116"/>
      <c r="BE132" s="116"/>
      <c r="BF132" s="116"/>
      <c r="BG132" s="116"/>
      <c r="BH132" s="116"/>
      <c r="BI132" s="116"/>
      <c r="BJ132" s="116"/>
      <c r="BK132" s="116"/>
      <c r="BL132" s="116"/>
      <c r="BM132" s="116"/>
      <c r="BN132" s="116"/>
      <c r="BO132" s="116"/>
      <c r="BP132" s="116">
        <v>6</v>
      </c>
      <c r="BQ132" s="108">
        <f t="shared" si="13"/>
        <v>1291</v>
      </c>
      <c r="BR132" s="108">
        <f t="shared" si="14"/>
        <v>295</v>
      </c>
      <c r="BS132" s="11">
        <v>2</v>
      </c>
      <c r="BT132" s="24">
        <f t="shared" si="15"/>
        <v>2063</v>
      </c>
      <c r="BU132" s="24">
        <v>127000</v>
      </c>
      <c r="BV132" s="18">
        <f t="shared" si="16"/>
        <v>262001000</v>
      </c>
      <c r="BW132" s="18"/>
    </row>
    <row r="133" spans="1:75" ht="18.75" customHeight="1" x14ac:dyDescent="0.3">
      <c r="A133" s="317"/>
      <c r="B133" s="124" t="s">
        <v>12205</v>
      </c>
      <c r="C133" s="24">
        <v>303</v>
      </c>
      <c r="D133" s="119">
        <f t="shared" si="12"/>
        <v>299</v>
      </c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>
        <v>4</v>
      </c>
      <c r="AS133" s="116"/>
      <c r="AT133" s="116"/>
      <c r="AU133" s="116"/>
      <c r="AV133" s="116"/>
      <c r="AW133" s="116"/>
      <c r="AX133" s="116"/>
      <c r="AY133" s="116"/>
      <c r="AZ133" s="116"/>
      <c r="BA133" s="116"/>
      <c r="BB133" s="116"/>
      <c r="BC133" s="116"/>
      <c r="BD133" s="116"/>
      <c r="BE133" s="116"/>
      <c r="BF133" s="116"/>
      <c r="BG133" s="116"/>
      <c r="BH133" s="116"/>
      <c r="BI133" s="116"/>
      <c r="BJ133" s="116"/>
      <c r="BK133" s="116"/>
      <c r="BL133" s="116"/>
      <c r="BM133" s="116"/>
      <c r="BN133" s="116"/>
      <c r="BO133" s="116"/>
      <c r="BP133" s="116"/>
      <c r="BQ133" s="108">
        <f t="shared" si="13"/>
        <v>0</v>
      </c>
      <c r="BR133" s="108">
        <f t="shared" si="14"/>
        <v>4</v>
      </c>
      <c r="BS133" s="11">
        <v>2</v>
      </c>
      <c r="BT133" s="24">
        <f t="shared" si="15"/>
        <v>598</v>
      </c>
      <c r="BU133" s="24">
        <v>90000</v>
      </c>
      <c r="BV133" s="18">
        <f t="shared" si="16"/>
        <v>53820000</v>
      </c>
      <c r="BW133" s="18"/>
    </row>
    <row r="134" spans="1:75" x14ac:dyDescent="0.3">
      <c r="A134" s="317"/>
      <c r="B134" s="11" t="s">
        <v>12213</v>
      </c>
      <c r="C134" s="24">
        <v>168</v>
      </c>
      <c r="D134" s="119">
        <f t="shared" si="12"/>
        <v>371</v>
      </c>
      <c r="E134" s="116"/>
      <c r="F134" s="116"/>
      <c r="G134" s="116"/>
      <c r="H134" s="116"/>
      <c r="I134" s="116"/>
      <c r="J134" s="116"/>
      <c r="K134" s="116"/>
      <c r="L134" s="116">
        <v>5</v>
      </c>
      <c r="M134" s="116"/>
      <c r="N134" s="116"/>
      <c r="O134" s="116"/>
      <c r="P134" s="116"/>
      <c r="Q134" s="116"/>
      <c r="R134" s="116">
        <v>1</v>
      </c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  <c r="AT134" s="116"/>
      <c r="AU134" s="116"/>
      <c r="AV134" s="116"/>
      <c r="AW134" s="116"/>
      <c r="AX134" s="116"/>
      <c r="AY134" s="116"/>
      <c r="AZ134" s="116"/>
      <c r="BA134" s="116">
        <v>215</v>
      </c>
      <c r="BB134" s="116"/>
      <c r="BC134" s="116"/>
      <c r="BD134" s="116"/>
      <c r="BE134" s="116"/>
      <c r="BF134" s="116"/>
      <c r="BG134" s="116"/>
      <c r="BH134" s="116"/>
      <c r="BI134" s="116"/>
      <c r="BJ134" s="116"/>
      <c r="BK134" s="116"/>
      <c r="BL134" s="116"/>
      <c r="BM134" s="116"/>
      <c r="BN134" s="116"/>
      <c r="BO134" s="116"/>
      <c r="BP134" s="116">
        <v>6</v>
      </c>
      <c r="BQ134" s="108">
        <f t="shared" si="13"/>
        <v>215</v>
      </c>
      <c r="BR134" s="108">
        <f t="shared" si="14"/>
        <v>12</v>
      </c>
      <c r="BS134" s="11">
        <v>2</v>
      </c>
      <c r="BT134" s="24">
        <f t="shared" si="15"/>
        <v>742</v>
      </c>
      <c r="BU134" s="24">
        <v>127000</v>
      </c>
      <c r="BV134" s="18">
        <f t="shared" si="16"/>
        <v>94234000</v>
      </c>
      <c r="BW134" s="18"/>
    </row>
    <row r="135" spans="1:75" x14ac:dyDescent="0.3">
      <c r="A135" s="317"/>
      <c r="B135" s="124" t="s">
        <v>12206</v>
      </c>
      <c r="C135" s="24">
        <v>78</v>
      </c>
      <c r="D135" s="119">
        <f t="shared" si="12"/>
        <v>78</v>
      </c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116"/>
      <c r="AS135" s="116"/>
      <c r="AT135" s="116"/>
      <c r="AU135" s="116"/>
      <c r="AV135" s="116"/>
      <c r="AW135" s="116"/>
      <c r="AX135" s="116"/>
      <c r="AY135" s="116"/>
      <c r="AZ135" s="116"/>
      <c r="BA135" s="116"/>
      <c r="BB135" s="116"/>
      <c r="BC135" s="116"/>
      <c r="BD135" s="116"/>
      <c r="BE135" s="116"/>
      <c r="BF135" s="116"/>
      <c r="BG135" s="116"/>
      <c r="BH135" s="116"/>
      <c r="BI135" s="116"/>
      <c r="BJ135" s="116"/>
      <c r="BK135" s="116"/>
      <c r="BL135" s="116"/>
      <c r="BM135" s="116"/>
      <c r="BN135" s="116"/>
      <c r="BO135" s="116"/>
      <c r="BP135" s="116"/>
      <c r="BQ135" s="108">
        <f t="shared" si="13"/>
        <v>0</v>
      </c>
      <c r="BR135" s="108">
        <f t="shared" si="14"/>
        <v>0</v>
      </c>
      <c r="BS135" s="11">
        <v>2</v>
      </c>
      <c r="BT135" s="24">
        <f t="shared" si="15"/>
        <v>156</v>
      </c>
      <c r="BU135" s="24">
        <v>90000</v>
      </c>
      <c r="BV135" s="18">
        <f t="shared" si="16"/>
        <v>14040000</v>
      </c>
      <c r="BW135" s="18"/>
    </row>
    <row r="136" spans="1:75" x14ac:dyDescent="0.3">
      <c r="A136" s="317"/>
      <c r="B136" s="124" t="s">
        <v>12207</v>
      </c>
      <c r="C136" s="24">
        <v>213</v>
      </c>
      <c r="D136" s="119">
        <f t="shared" si="12"/>
        <v>213</v>
      </c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  <c r="AS136" s="116"/>
      <c r="AT136" s="116"/>
      <c r="AU136" s="116"/>
      <c r="AV136" s="116"/>
      <c r="AW136" s="116"/>
      <c r="AX136" s="116"/>
      <c r="AY136" s="116"/>
      <c r="AZ136" s="116"/>
      <c r="BA136" s="116"/>
      <c r="BB136" s="116"/>
      <c r="BC136" s="116"/>
      <c r="BD136" s="116"/>
      <c r="BE136" s="116"/>
      <c r="BF136" s="116"/>
      <c r="BG136" s="116"/>
      <c r="BH136" s="116"/>
      <c r="BI136" s="116"/>
      <c r="BJ136" s="116"/>
      <c r="BK136" s="116"/>
      <c r="BL136" s="116"/>
      <c r="BM136" s="116"/>
      <c r="BN136" s="116"/>
      <c r="BO136" s="116"/>
      <c r="BP136" s="116"/>
      <c r="BQ136" s="108">
        <f t="shared" si="13"/>
        <v>0</v>
      </c>
      <c r="BR136" s="108">
        <f t="shared" si="14"/>
        <v>0</v>
      </c>
      <c r="BS136" s="11">
        <v>2</v>
      </c>
      <c r="BT136" s="24">
        <f t="shared" si="15"/>
        <v>426</v>
      </c>
      <c r="BU136" s="24">
        <v>90000</v>
      </c>
      <c r="BV136" s="18">
        <f t="shared" si="16"/>
        <v>38340000</v>
      </c>
      <c r="BW136" s="18"/>
    </row>
    <row r="137" spans="1:75" x14ac:dyDescent="0.3">
      <c r="A137" s="317"/>
      <c r="B137" s="11" t="s">
        <v>12146</v>
      </c>
      <c r="C137" s="24">
        <v>310</v>
      </c>
      <c r="D137" s="119">
        <f t="shared" si="12"/>
        <v>304</v>
      </c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6"/>
      <c r="AR137" s="116"/>
      <c r="AS137" s="116"/>
      <c r="AT137" s="116"/>
      <c r="AU137" s="116"/>
      <c r="AV137" s="116"/>
      <c r="AW137" s="116"/>
      <c r="AX137" s="116"/>
      <c r="AY137" s="116"/>
      <c r="AZ137" s="116"/>
      <c r="BA137" s="116"/>
      <c r="BB137" s="116"/>
      <c r="BC137" s="116"/>
      <c r="BD137" s="116"/>
      <c r="BE137" s="116"/>
      <c r="BF137" s="116"/>
      <c r="BG137" s="116"/>
      <c r="BH137" s="116"/>
      <c r="BI137" s="116"/>
      <c r="BJ137" s="116"/>
      <c r="BK137" s="116"/>
      <c r="BL137" s="116"/>
      <c r="BM137" s="116"/>
      <c r="BN137" s="116"/>
      <c r="BO137" s="116"/>
      <c r="BP137" s="116">
        <v>6</v>
      </c>
      <c r="BQ137" s="108">
        <f t="shared" si="13"/>
        <v>0</v>
      </c>
      <c r="BR137" s="108">
        <f t="shared" si="14"/>
        <v>6</v>
      </c>
      <c r="BS137" s="11">
        <v>2</v>
      </c>
      <c r="BT137" s="24">
        <f t="shared" si="15"/>
        <v>608</v>
      </c>
      <c r="BU137" s="24">
        <v>131000</v>
      </c>
      <c r="BV137" s="18">
        <f t="shared" si="16"/>
        <v>79648000</v>
      </c>
      <c r="BW137" s="18"/>
    </row>
    <row r="138" spans="1:75" x14ac:dyDescent="0.3">
      <c r="A138" s="317"/>
      <c r="B138" s="124" t="s">
        <v>12203</v>
      </c>
      <c r="C138" s="24">
        <v>729</v>
      </c>
      <c r="D138" s="119">
        <f t="shared" si="12"/>
        <v>729</v>
      </c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  <c r="AS138" s="116"/>
      <c r="AT138" s="116"/>
      <c r="AU138" s="116"/>
      <c r="AV138" s="116"/>
      <c r="AW138" s="116"/>
      <c r="AX138" s="116"/>
      <c r="AY138" s="116"/>
      <c r="AZ138" s="116"/>
      <c r="BA138" s="116"/>
      <c r="BB138" s="116"/>
      <c r="BC138" s="116"/>
      <c r="BD138" s="116"/>
      <c r="BE138" s="116"/>
      <c r="BF138" s="116"/>
      <c r="BG138" s="116"/>
      <c r="BH138" s="116"/>
      <c r="BI138" s="116"/>
      <c r="BJ138" s="116"/>
      <c r="BK138" s="116"/>
      <c r="BL138" s="116"/>
      <c r="BM138" s="116"/>
      <c r="BN138" s="116"/>
      <c r="BO138" s="116"/>
      <c r="BP138" s="116"/>
      <c r="BQ138" s="108">
        <f t="shared" si="13"/>
        <v>0</v>
      </c>
      <c r="BR138" s="108">
        <f t="shared" si="14"/>
        <v>0</v>
      </c>
      <c r="BS138" s="11">
        <v>2</v>
      </c>
      <c r="BT138" s="24">
        <f t="shared" si="15"/>
        <v>1458</v>
      </c>
      <c r="BU138" s="24">
        <v>90000</v>
      </c>
      <c r="BV138" s="18">
        <f t="shared" si="16"/>
        <v>131220000</v>
      </c>
      <c r="BW138" s="18"/>
    </row>
    <row r="139" spans="1:75" x14ac:dyDescent="0.3">
      <c r="A139" s="317"/>
      <c r="B139" s="124" t="s">
        <v>12153</v>
      </c>
      <c r="C139" s="24">
        <v>807</v>
      </c>
      <c r="D139" s="119">
        <f t="shared" si="12"/>
        <v>690</v>
      </c>
      <c r="E139" s="116"/>
      <c r="F139" s="116"/>
      <c r="G139" s="116"/>
      <c r="H139" s="116">
        <v>25</v>
      </c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>
        <f>37+3</f>
        <v>40</v>
      </c>
      <c r="AA139" s="116"/>
      <c r="AB139" s="116"/>
      <c r="AC139" s="116"/>
      <c r="AD139" s="116">
        <v>46</v>
      </c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  <c r="AR139" s="116"/>
      <c r="AS139" s="116"/>
      <c r="AT139" s="116"/>
      <c r="AU139" s="116"/>
      <c r="AV139" s="116"/>
      <c r="AW139" s="116"/>
      <c r="AX139" s="116"/>
      <c r="AY139" s="116"/>
      <c r="AZ139" s="116"/>
      <c r="BA139" s="116"/>
      <c r="BB139" s="116"/>
      <c r="BC139" s="116"/>
      <c r="BD139" s="116"/>
      <c r="BE139" s="116"/>
      <c r="BF139" s="116"/>
      <c r="BG139" s="116"/>
      <c r="BH139" s="116"/>
      <c r="BI139" s="116"/>
      <c r="BJ139" s="116"/>
      <c r="BK139" s="116"/>
      <c r="BL139" s="116"/>
      <c r="BM139" s="116"/>
      <c r="BN139" s="116"/>
      <c r="BO139" s="116"/>
      <c r="BP139" s="116">
        <v>6</v>
      </c>
      <c r="BQ139" s="108">
        <f t="shared" si="13"/>
        <v>0</v>
      </c>
      <c r="BR139" s="108">
        <f t="shared" si="14"/>
        <v>117</v>
      </c>
      <c r="BS139" s="11">
        <v>2</v>
      </c>
      <c r="BT139" s="24">
        <f t="shared" si="15"/>
        <v>1380</v>
      </c>
      <c r="BU139" s="24">
        <v>131000</v>
      </c>
      <c r="BV139" s="18">
        <f t="shared" si="16"/>
        <v>180780000</v>
      </c>
      <c r="BW139" s="18"/>
    </row>
    <row r="140" spans="1:75" x14ac:dyDescent="0.3">
      <c r="A140" s="318"/>
      <c r="B140" s="124" t="s">
        <v>12204</v>
      </c>
      <c r="C140" s="24">
        <v>574</v>
      </c>
      <c r="D140" s="119">
        <f t="shared" ref="D140:D147" si="17">+C140+BQ140-BR140</f>
        <v>480</v>
      </c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>
        <v>45</v>
      </c>
      <c r="AI140" s="116"/>
      <c r="AJ140" s="116">
        <v>49</v>
      </c>
      <c r="AK140" s="116"/>
      <c r="AL140" s="116"/>
      <c r="AM140" s="116"/>
      <c r="AN140" s="116"/>
      <c r="AO140" s="116"/>
      <c r="AP140" s="116"/>
      <c r="AQ140" s="116"/>
      <c r="AR140" s="116"/>
      <c r="AS140" s="116"/>
      <c r="AT140" s="116"/>
      <c r="AU140" s="116"/>
      <c r="AV140" s="116"/>
      <c r="AW140" s="116"/>
      <c r="AX140" s="116"/>
      <c r="AY140" s="116"/>
      <c r="AZ140" s="116"/>
      <c r="BA140" s="116"/>
      <c r="BB140" s="116"/>
      <c r="BC140" s="116"/>
      <c r="BD140" s="116"/>
      <c r="BE140" s="116"/>
      <c r="BF140" s="116"/>
      <c r="BG140" s="116"/>
      <c r="BH140" s="116"/>
      <c r="BI140" s="116"/>
      <c r="BJ140" s="116"/>
      <c r="BK140" s="116"/>
      <c r="BL140" s="116"/>
      <c r="BM140" s="116"/>
      <c r="BN140" s="116"/>
      <c r="BO140" s="116"/>
      <c r="BP140" s="116"/>
      <c r="BQ140" s="108">
        <f t="shared" si="13"/>
        <v>0</v>
      </c>
      <c r="BR140" s="108">
        <f t="shared" si="14"/>
        <v>94</v>
      </c>
      <c r="BS140" s="11">
        <v>2</v>
      </c>
      <c r="BT140" s="24">
        <f t="shared" si="15"/>
        <v>960</v>
      </c>
      <c r="BU140" s="24">
        <v>90000</v>
      </c>
      <c r="BV140" s="18">
        <f t="shared" si="16"/>
        <v>86400000</v>
      </c>
      <c r="BW140" s="18"/>
    </row>
    <row r="141" spans="1:75" ht="0.75" customHeight="1" x14ac:dyDescent="0.3">
      <c r="A141" s="57"/>
      <c r="B141" s="11"/>
      <c r="C141" s="24">
        <v>0</v>
      </c>
      <c r="D141" s="119">
        <f t="shared" si="17"/>
        <v>0</v>
      </c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6"/>
      <c r="AT141" s="116"/>
      <c r="AU141" s="116"/>
      <c r="AV141" s="116"/>
      <c r="AW141" s="116"/>
      <c r="AX141" s="116"/>
      <c r="AY141" s="116"/>
      <c r="AZ141" s="116"/>
      <c r="BA141" s="116"/>
      <c r="BB141" s="116"/>
      <c r="BC141" s="116"/>
      <c r="BD141" s="116"/>
      <c r="BE141" s="116"/>
      <c r="BF141" s="116"/>
      <c r="BG141" s="116"/>
      <c r="BH141" s="116"/>
      <c r="BI141" s="116"/>
      <c r="BJ141" s="116"/>
      <c r="BK141" s="116"/>
      <c r="BL141" s="116"/>
      <c r="BM141" s="116"/>
      <c r="BN141" s="116"/>
      <c r="BO141" s="116"/>
      <c r="BP141" s="116"/>
      <c r="BQ141" s="108">
        <f t="shared" si="13"/>
        <v>0</v>
      </c>
      <c r="BR141" s="108">
        <f t="shared" si="14"/>
        <v>0</v>
      </c>
      <c r="BS141" s="11">
        <v>2</v>
      </c>
      <c r="BT141" s="24">
        <f t="shared" si="15"/>
        <v>0</v>
      </c>
      <c r="BU141" s="24"/>
      <c r="BV141" s="18">
        <f t="shared" si="16"/>
        <v>0</v>
      </c>
      <c r="BW141" s="18"/>
    </row>
    <row r="142" spans="1:75" ht="24.75" hidden="1" customHeight="1" x14ac:dyDescent="0.3">
      <c r="A142" s="57"/>
      <c r="B142" s="11" t="s">
        <v>12194</v>
      </c>
      <c r="C142" s="24">
        <v>240</v>
      </c>
      <c r="D142" s="119">
        <f t="shared" si="17"/>
        <v>0</v>
      </c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>
        <v>240</v>
      </c>
      <c r="AO142" s="116"/>
      <c r="AP142" s="116"/>
      <c r="AQ142" s="116"/>
      <c r="AR142" s="116"/>
      <c r="AS142" s="116"/>
      <c r="AT142" s="116"/>
      <c r="AU142" s="116"/>
      <c r="AV142" s="116"/>
      <c r="AW142" s="116"/>
      <c r="AX142" s="116"/>
      <c r="AY142" s="116"/>
      <c r="AZ142" s="116"/>
      <c r="BA142" s="116"/>
      <c r="BB142" s="116"/>
      <c r="BC142" s="116"/>
      <c r="BD142" s="116"/>
      <c r="BE142" s="116"/>
      <c r="BF142" s="116"/>
      <c r="BG142" s="116"/>
      <c r="BH142" s="116"/>
      <c r="BI142" s="116"/>
      <c r="BJ142" s="116"/>
      <c r="BK142" s="116"/>
      <c r="BL142" s="116"/>
      <c r="BM142" s="116"/>
      <c r="BN142" s="116"/>
      <c r="BO142" s="116"/>
      <c r="BP142" s="116"/>
      <c r="BQ142" s="108">
        <f t="shared" si="13"/>
        <v>0</v>
      </c>
      <c r="BR142" s="108">
        <f t="shared" si="14"/>
        <v>240</v>
      </c>
      <c r="BS142" s="11">
        <v>1.44</v>
      </c>
      <c r="BT142" s="24">
        <f t="shared" si="15"/>
        <v>0</v>
      </c>
      <c r="BU142" s="24">
        <v>70000</v>
      </c>
      <c r="BV142" s="18">
        <f t="shared" si="16"/>
        <v>0</v>
      </c>
      <c r="BW142" s="18"/>
    </row>
    <row r="143" spans="1:75" ht="21.75" customHeight="1" x14ac:dyDescent="0.3">
      <c r="A143" s="57"/>
      <c r="B143" s="11"/>
      <c r="C143" s="24">
        <v>0</v>
      </c>
      <c r="D143" s="119">
        <f t="shared" si="17"/>
        <v>0</v>
      </c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s="116"/>
      <c r="AV143" s="116"/>
      <c r="AW143" s="116"/>
      <c r="AX143" s="116"/>
      <c r="AY143" s="116"/>
      <c r="AZ143" s="116"/>
      <c r="BA143" s="116"/>
      <c r="BB143" s="116"/>
      <c r="BC143" s="116"/>
      <c r="BD143" s="116"/>
      <c r="BE143" s="116"/>
      <c r="BF143" s="116"/>
      <c r="BG143" s="116"/>
      <c r="BH143" s="116"/>
      <c r="BI143" s="116"/>
      <c r="BJ143" s="116"/>
      <c r="BK143" s="116"/>
      <c r="BL143" s="116"/>
      <c r="BM143" s="116"/>
      <c r="BN143" s="116"/>
      <c r="BO143" s="116"/>
      <c r="BP143" s="116"/>
      <c r="BQ143" s="108">
        <f t="shared" si="13"/>
        <v>0</v>
      </c>
      <c r="BR143" s="108">
        <f t="shared" si="14"/>
        <v>0</v>
      </c>
      <c r="BS143" s="11"/>
      <c r="BT143" s="24">
        <f t="shared" si="15"/>
        <v>0</v>
      </c>
      <c r="BU143" s="24"/>
      <c r="BV143" s="18">
        <f t="shared" si="16"/>
        <v>0</v>
      </c>
      <c r="BW143" s="18"/>
    </row>
    <row r="144" spans="1:75" x14ac:dyDescent="0.3">
      <c r="A144" s="310" t="s">
        <v>4342</v>
      </c>
      <c r="B144" s="11" t="s">
        <v>12161</v>
      </c>
      <c r="C144" s="24">
        <v>241</v>
      </c>
      <c r="D144" s="119">
        <f t="shared" si="17"/>
        <v>196</v>
      </c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6"/>
      <c r="AT144" s="116"/>
      <c r="AU144" s="116"/>
      <c r="AV144" s="116"/>
      <c r="AW144" s="116"/>
      <c r="AX144" s="116"/>
      <c r="AY144" s="116"/>
      <c r="AZ144" s="116"/>
      <c r="BA144" s="116"/>
      <c r="BB144" s="116"/>
      <c r="BC144" s="116"/>
      <c r="BD144" s="116"/>
      <c r="BE144" s="116"/>
      <c r="BF144" s="116"/>
      <c r="BG144" s="116"/>
      <c r="BH144" s="116">
        <v>45</v>
      </c>
      <c r="BI144" s="116"/>
      <c r="BJ144" s="116"/>
      <c r="BK144" s="116"/>
      <c r="BL144" s="116"/>
      <c r="BM144" s="116"/>
      <c r="BN144" s="116"/>
      <c r="BO144" s="116"/>
      <c r="BP144" s="116"/>
      <c r="BQ144" s="108">
        <f t="shared" si="13"/>
        <v>0</v>
      </c>
      <c r="BR144" s="108">
        <f t="shared" si="14"/>
        <v>45</v>
      </c>
      <c r="BS144" s="11">
        <v>1.44</v>
      </c>
      <c r="BT144" s="24">
        <f t="shared" si="15"/>
        <v>282.24</v>
      </c>
      <c r="BU144" s="24">
        <v>94500</v>
      </c>
      <c r="BV144" s="18">
        <f t="shared" si="16"/>
        <v>26671680</v>
      </c>
      <c r="BW144" s="18"/>
    </row>
    <row r="145" spans="1:75" x14ac:dyDescent="0.3">
      <c r="A145" s="311"/>
      <c r="B145" s="11" t="s">
        <v>12162</v>
      </c>
      <c r="C145" s="24">
        <v>139</v>
      </c>
      <c r="D145" s="119">
        <f t="shared" si="17"/>
        <v>139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08">
        <f t="shared" si="13"/>
        <v>0</v>
      </c>
      <c r="BR145" s="108">
        <f t="shared" si="14"/>
        <v>0</v>
      </c>
      <c r="BS145" s="11">
        <v>1.44</v>
      </c>
      <c r="BT145" s="24">
        <f t="shared" si="15"/>
        <v>200.16</v>
      </c>
      <c r="BU145" s="24">
        <v>94500</v>
      </c>
      <c r="BV145" s="18">
        <f t="shared" si="16"/>
        <v>18915120</v>
      </c>
      <c r="BW145" s="18"/>
    </row>
    <row r="146" spans="1:75" x14ac:dyDescent="0.3">
      <c r="A146" s="312"/>
      <c r="B146" s="11" t="s">
        <v>12163</v>
      </c>
      <c r="C146" s="24">
        <v>139</v>
      </c>
      <c r="D146" s="119">
        <f t="shared" si="17"/>
        <v>139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08">
        <f t="shared" si="13"/>
        <v>0</v>
      </c>
      <c r="BR146" s="108">
        <f t="shared" si="14"/>
        <v>0</v>
      </c>
      <c r="BS146" s="11">
        <v>1.44</v>
      </c>
      <c r="BT146" s="24">
        <f t="shared" si="15"/>
        <v>200.16</v>
      </c>
      <c r="BU146" s="24">
        <v>94500</v>
      </c>
      <c r="BV146" s="18">
        <f t="shared" si="16"/>
        <v>18915120</v>
      </c>
      <c r="BW146" s="18"/>
    </row>
    <row r="147" spans="1:75" x14ac:dyDescent="0.3">
      <c r="A147" s="57"/>
      <c r="B147" s="11"/>
      <c r="C147" s="24">
        <v>0</v>
      </c>
      <c r="D147" s="119">
        <f t="shared" si="17"/>
        <v>0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08">
        <f t="shared" si="13"/>
        <v>0</v>
      </c>
      <c r="BR147" s="108">
        <f t="shared" si="14"/>
        <v>0</v>
      </c>
      <c r="BS147" s="11">
        <v>1.44</v>
      </c>
      <c r="BT147" s="24">
        <f t="shared" si="15"/>
        <v>0</v>
      </c>
      <c r="BU147" s="24">
        <v>94500</v>
      </c>
      <c r="BV147" s="18">
        <f t="shared" si="16"/>
        <v>0</v>
      </c>
      <c r="BW147" s="18"/>
    </row>
  </sheetData>
  <mergeCells count="46">
    <mergeCell ref="BM1:BN1"/>
    <mergeCell ref="BQ1:BR1"/>
    <mergeCell ref="BC1:BD1"/>
    <mergeCell ref="BE1:BF1"/>
    <mergeCell ref="BG1:BH1"/>
    <mergeCell ref="BI1:BJ1"/>
    <mergeCell ref="BK1:BL1"/>
    <mergeCell ref="BO1:BP1"/>
    <mergeCell ref="AS1:AT1"/>
    <mergeCell ref="AU1:AV1"/>
    <mergeCell ref="AW1:AX1"/>
    <mergeCell ref="AY1:AZ1"/>
    <mergeCell ref="BA1:BB1"/>
    <mergeCell ref="AI1:AJ1"/>
    <mergeCell ref="AK1:AL1"/>
    <mergeCell ref="AM1:AN1"/>
    <mergeCell ref="AO1:AP1"/>
    <mergeCell ref="AQ1:AR1"/>
    <mergeCell ref="Y1:Z1"/>
    <mergeCell ref="AA1:AB1"/>
    <mergeCell ref="AC1:AD1"/>
    <mergeCell ref="AE1:AF1"/>
    <mergeCell ref="AG1:AH1"/>
    <mergeCell ref="O1:P1"/>
    <mergeCell ref="Q1:R1"/>
    <mergeCell ref="S1:T1"/>
    <mergeCell ref="U1:V1"/>
    <mergeCell ref="W1:X1"/>
    <mergeCell ref="E1:F1"/>
    <mergeCell ref="G1:H1"/>
    <mergeCell ref="I1:J1"/>
    <mergeCell ref="K1:L1"/>
    <mergeCell ref="M1:N1"/>
    <mergeCell ref="A144:A146"/>
    <mergeCell ref="A101:A125"/>
    <mergeCell ref="A2:B2"/>
    <mergeCell ref="A55:A70"/>
    <mergeCell ref="A72:A99"/>
    <mergeCell ref="A36:A44"/>
    <mergeCell ref="A46:A53"/>
    <mergeCell ref="A5:A8"/>
    <mergeCell ref="A33:A34"/>
    <mergeCell ref="A10:A31"/>
    <mergeCell ref="A132:A140"/>
    <mergeCell ref="A127:A130"/>
    <mergeCell ref="A131:B131"/>
  </mergeCells>
  <pageMargins left="0.25" right="0.24" top="0.16" bottom="0.24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1"/>
  <sheetViews>
    <sheetView workbookViewId="0">
      <pane xSplit="4" ySplit="4" topLeftCell="O54" activePane="bottomRight" state="frozen"/>
      <selection pane="topRight" activeCell="E1" sqref="E1"/>
      <selection pane="bottomLeft" activeCell="A5" sqref="A5"/>
      <selection pane="bottomRight" activeCell="P58" sqref="P58"/>
    </sheetView>
  </sheetViews>
  <sheetFormatPr defaultRowHeight="15.75" x14ac:dyDescent="0.25"/>
  <cols>
    <col min="1" max="1" width="14.7109375" style="233" customWidth="1"/>
    <col min="2" max="2" width="40.85546875" style="58" customWidth="1"/>
    <col min="3" max="3" width="20" style="233" hidden="1" customWidth="1"/>
    <col min="4" max="4" width="17.42578125" style="233" customWidth="1"/>
    <col min="5" max="68" width="9.42578125" style="233" customWidth="1"/>
    <col min="69" max="69" width="13.5703125" style="234" customWidth="1"/>
    <col min="70" max="70" width="11.7109375" style="234" customWidth="1"/>
    <col min="71" max="71" width="7.140625" style="58" customWidth="1"/>
    <col min="72" max="72" width="12.7109375" style="235" customWidth="1"/>
    <col min="73" max="73" width="17.28515625" style="236" customWidth="1"/>
    <col min="74" max="74" width="18.7109375" style="236" customWidth="1"/>
    <col min="75" max="76" width="18" style="58" customWidth="1"/>
    <col min="77" max="77" width="15.7109375" style="58" bestFit="1" customWidth="1"/>
    <col min="78" max="16384" width="9.140625" style="58"/>
  </cols>
  <sheetData>
    <row r="1" spans="1:77" ht="38.25" customHeight="1" x14ac:dyDescent="0.25">
      <c r="A1" s="187"/>
      <c r="B1" s="188" t="s">
        <v>12142</v>
      </c>
      <c r="C1" s="189" t="s">
        <v>12304</v>
      </c>
      <c r="D1" s="190" t="s">
        <v>12305</v>
      </c>
      <c r="E1" s="324">
        <v>1</v>
      </c>
      <c r="F1" s="325"/>
      <c r="G1" s="324">
        <f>1+E1</f>
        <v>2</v>
      </c>
      <c r="H1" s="325"/>
      <c r="I1" s="324">
        <f>1+G1</f>
        <v>3</v>
      </c>
      <c r="J1" s="325"/>
      <c r="K1" s="324">
        <f>1+I1</f>
        <v>4</v>
      </c>
      <c r="L1" s="325"/>
      <c r="M1" s="324">
        <v>5</v>
      </c>
      <c r="N1" s="325"/>
      <c r="O1" s="324">
        <f>1+M1</f>
        <v>6</v>
      </c>
      <c r="P1" s="325"/>
      <c r="Q1" s="324">
        <f>1+O1</f>
        <v>7</v>
      </c>
      <c r="R1" s="325"/>
      <c r="S1" s="324">
        <f>1+Q1</f>
        <v>8</v>
      </c>
      <c r="T1" s="325"/>
      <c r="U1" s="324">
        <f>1+S1</f>
        <v>9</v>
      </c>
      <c r="V1" s="325"/>
      <c r="W1" s="324">
        <f>1+U1</f>
        <v>10</v>
      </c>
      <c r="X1" s="325"/>
      <c r="Y1" s="324">
        <f>1+W1</f>
        <v>11</v>
      </c>
      <c r="Z1" s="325"/>
      <c r="AA1" s="324">
        <f>1+Y1</f>
        <v>12</v>
      </c>
      <c r="AB1" s="325"/>
      <c r="AC1" s="324">
        <f>1+AA1</f>
        <v>13</v>
      </c>
      <c r="AD1" s="325"/>
      <c r="AE1" s="324">
        <f>1+AC1</f>
        <v>14</v>
      </c>
      <c r="AF1" s="325"/>
      <c r="AG1" s="324">
        <f>1+AE1</f>
        <v>15</v>
      </c>
      <c r="AH1" s="325"/>
      <c r="AI1" s="324">
        <f>1+AG1</f>
        <v>16</v>
      </c>
      <c r="AJ1" s="325"/>
      <c r="AK1" s="324">
        <f>1+AI1</f>
        <v>17</v>
      </c>
      <c r="AL1" s="325"/>
      <c r="AM1" s="324">
        <f>1+AK1</f>
        <v>18</v>
      </c>
      <c r="AN1" s="325"/>
      <c r="AO1" s="324">
        <f>1+AM1</f>
        <v>19</v>
      </c>
      <c r="AP1" s="325"/>
      <c r="AQ1" s="324">
        <f>1+AO1</f>
        <v>20</v>
      </c>
      <c r="AR1" s="325"/>
      <c r="AS1" s="324">
        <f>1+AQ1</f>
        <v>21</v>
      </c>
      <c r="AT1" s="325"/>
      <c r="AU1" s="324">
        <f>1+AS1</f>
        <v>22</v>
      </c>
      <c r="AV1" s="325"/>
      <c r="AW1" s="324">
        <f>1+AU1</f>
        <v>23</v>
      </c>
      <c r="AX1" s="325"/>
      <c r="AY1" s="324">
        <f>1+AW1</f>
        <v>24</v>
      </c>
      <c r="AZ1" s="325"/>
      <c r="BA1" s="324">
        <f>1+AY1</f>
        <v>25</v>
      </c>
      <c r="BB1" s="325"/>
      <c r="BC1" s="324">
        <f>1+BA1</f>
        <v>26</v>
      </c>
      <c r="BD1" s="325"/>
      <c r="BE1" s="324">
        <f>1+BC1</f>
        <v>27</v>
      </c>
      <c r="BF1" s="325"/>
      <c r="BG1" s="324">
        <f>1+BE1</f>
        <v>28</v>
      </c>
      <c r="BH1" s="325"/>
      <c r="BI1" s="324">
        <f>1+BG1</f>
        <v>29</v>
      </c>
      <c r="BJ1" s="325"/>
      <c r="BK1" s="324">
        <f>1+BI1</f>
        <v>30</v>
      </c>
      <c r="BL1" s="325"/>
      <c r="BM1" s="324">
        <f>1+BK1</f>
        <v>31</v>
      </c>
      <c r="BN1" s="325"/>
      <c r="BO1" s="326" t="s">
        <v>12167</v>
      </c>
      <c r="BP1" s="327"/>
      <c r="BQ1" s="328" t="s">
        <v>12139</v>
      </c>
      <c r="BR1" s="328"/>
      <c r="BS1" s="188" t="s">
        <v>408</v>
      </c>
      <c r="BT1" s="191" t="s">
        <v>405</v>
      </c>
      <c r="BU1" s="192" t="s">
        <v>595</v>
      </c>
      <c r="BV1" s="193" t="s">
        <v>407</v>
      </c>
      <c r="BW1" s="194"/>
      <c r="BY1" s="195"/>
    </row>
    <row r="2" spans="1:77" ht="27.75" customHeight="1" x14ac:dyDescent="0.25">
      <c r="A2" s="196" t="s">
        <v>412</v>
      </c>
      <c r="B2" s="197"/>
      <c r="C2" s="198">
        <f>SUM(C5:C140)</f>
        <v>10903.003999999999</v>
      </c>
      <c r="D2" s="198">
        <f>SUM(D5:D140)</f>
        <v>10663.004000000001</v>
      </c>
      <c r="E2" s="199" t="s">
        <v>12140</v>
      </c>
      <c r="F2" s="199" t="s">
        <v>12141</v>
      </c>
      <c r="G2" s="199" t="s">
        <v>12140</v>
      </c>
      <c r="H2" s="199" t="s">
        <v>12141</v>
      </c>
      <c r="I2" s="199" t="s">
        <v>12140</v>
      </c>
      <c r="J2" s="199" t="s">
        <v>12141</v>
      </c>
      <c r="K2" s="199" t="s">
        <v>12140</v>
      </c>
      <c r="L2" s="199" t="s">
        <v>12141</v>
      </c>
      <c r="M2" s="199" t="s">
        <v>12140</v>
      </c>
      <c r="N2" s="199" t="s">
        <v>12141</v>
      </c>
      <c r="O2" s="199" t="s">
        <v>12140</v>
      </c>
      <c r="P2" s="199" t="s">
        <v>12141</v>
      </c>
      <c r="Q2" s="199" t="s">
        <v>12140</v>
      </c>
      <c r="R2" s="199" t="s">
        <v>12141</v>
      </c>
      <c r="S2" s="199" t="s">
        <v>12140</v>
      </c>
      <c r="T2" s="199" t="s">
        <v>12141</v>
      </c>
      <c r="U2" s="199" t="s">
        <v>12140</v>
      </c>
      <c r="V2" s="199" t="s">
        <v>12141</v>
      </c>
      <c r="W2" s="199" t="s">
        <v>12140</v>
      </c>
      <c r="X2" s="199" t="s">
        <v>12141</v>
      </c>
      <c r="Y2" s="199" t="s">
        <v>12140</v>
      </c>
      <c r="Z2" s="199" t="s">
        <v>12141</v>
      </c>
      <c r="AA2" s="199" t="s">
        <v>12140</v>
      </c>
      <c r="AB2" s="199" t="s">
        <v>12141</v>
      </c>
      <c r="AC2" s="199" t="s">
        <v>12140</v>
      </c>
      <c r="AD2" s="199" t="s">
        <v>12141</v>
      </c>
      <c r="AE2" s="199" t="s">
        <v>12140</v>
      </c>
      <c r="AF2" s="199" t="s">
        <v>12141</v>
      </c>
      <c r="AG2" s="199" t="s">
        <v>12140</v>
      </c>
      <c r="AH2" s="199" t="s">
        <v>12141</v>
      </c>
      <c r="AI2" s="199" t="s">
        <v>12140</v>
      </c>
      <c r="AJ2" s="199" t="s">
        <v>12141</v>
      </c>
      <c r="AK2" s="199" t="s">
        <v>12140</v>
      </c>
      <c r="AL2" s="199" t="s">
        <v>12141</v>
      </c>
      <c r="AM2" s="199" t="s">
        <v>12140</v>
      </c>
      <c r="AN2" s="199" t="s">
        <v>12141</v>
      </c>
      <c r="AO2" s="199" t="s">
        <v>12140</v>
      </c>
      <c r="AP2" s="199" t="s">
        <v>12141</v>
      </c>
      <c r="AQ2" s="199" t="s">
        <v>12140</v>
      </c>
      <c r="AR2" s="199" t="s">
        <v>12141</v>
      </c>
      <c r="AS2" s="199" t="s">
        <v>12140</v>
      </c>
      <c r="AT2" s="199" t="s">
        <v>12141</v>
      </c>
      <c r="AU2" s="199" t="s">
        <v>12140</v>
      </c>
      <c r="AV2" s="199" t="s">
        <v>12141</v>
      </c>
      <c r="AW2" s="199" t="s">
        <v>12140</v>
      </c>
      <c r="AX2" s="199" t="s">
        <v>12141</v>
      </c>
      <c r="AY2" s="199" t="s">
        <v>12140</v>
      </c>
      <c r="AZ2" s="199" t="s">
        <v>12141</v>
      </c>
      <c r="BA2" s="199" t="s">
        <v>12140</v>
      </c>
      <c r="BB2" s="199" t="s">
        <v>12141</v>
      </c>
      <c r="BC2" s="199" t="s">
        <v>12140</v>
      </c>
      <c r="BD2" s="199" t="s">
        <v>12141</v>
      </c>
      <c r="BE2" s="199" t="s">
        <v>12140</v>
      </c>
      <c r="BF2" s="199" t="s">
        <v>12141</v>
      </c>
      <c r="BG2" s="199" t="s">
        <v>12140</v>
      </c>
      <c r="BH2" s="199" t="s">
        <v>12141</v>
      </c>
      <c r="BI2" s="199" t="s">
        <v>12140</v>
      </c>
      <c r="BJ2" s="199" t="s">
        <v>12141</v>
      </c>
      <c r="BK2" s="199" t="s">
        <v>12140</v>
      </c>
      <c r="BL2" s="199" t="s">
        <v>12141</v>
      </c>
      <c r="BM2" s="199" t="s">
        <v>12140</v>
      </c>
      <c r="BN2" s="199" t="s">
        <v>12141</v>
      </c>
      <c r="BO2" s="199" t="s">
        <v>12140</v>
      </c>
      <c r="BP2" s="199" t="s">
        <v>12141</v>
      </c>
      <c r="BQ2" s="199" t="s">
        <v>12140</v>
      </c>
      <c r="BR2" s="199" t="s">
        <v>12141</v>
      </c>
      <c r="BS2" s="199"/>
      <c r="BT2" s="200">
        <f>SUM(BT5:BT121)</f>
        <v>18435.463400000008</v>
      </c>
      <c r="BU2" s="200"/>
      <c r="BV2" s="200">
        <f>SUM(BV5:BV121)</f>
        <v>1846810436.4000001</v>
      </c>
      <c r="BW2" s="201"/>
    </row>
    <row r="3" spans="1:77" ht="27.75" customHeight="1" x14ac:dyDescent="0.25">
      <c r="A3" s="202"/>
      <c r="B3" s="203"/>
      <c r="C3" s="204"/>
      <c r="D3" s="204"/>
      <c r="E3" s="204">
        <f t="shared" ref="E3:AJ3" si="0">SUM(E4:E121)</f>
        <v>1</v>
      </c>
      <c r="F3" s="204">
        <f t="shared" si="0"/>
        <v>33</v>
      </c>
      <c r="G3" s="204">
        <f t="shared" si="0"/>
        <v>0</v>
      </c>
      <c r="H3" s="204">
        <f t="shared" si="0"/>
        <v>90</v>
      </c>
      <c r="I3" s="204">
        <f t="shared" si="0"/>
        <v>0</v>
      </c>
      <c r="J3" s="204">
        <f t="shared" si="0"/>
        <v>6</v>
      </c>
      <c r="K3" s="204">
        <f t="shared" si="0"/>
        <v>0</v>
      </c>
      <c r="L3" s="204">
        <f t="shared" si="0"/>
        <v>29</v>
      </c>
      <c r="M3" s="204">
        <f t="shared" si="0"/>
        <v>1</v>
      </c>
      <c r="N3" s="204">
        <f t="shared" si="0"/>
        <v>83</v>
      </c>
      <c r="O3" s="204">
        <f t="shared" si="0"/>
        <v>0</v>
      </c>
      <c r="P3" s="204">
        <f t="shared" si="0"/>
        <v>1</v>
      </c>
      <c r="Q3" s="204">
        <f t="shared" si="0"/>
        <v>0</v>
      </c>
      <c r="R3" s="204">
        <f t="shared" si="0"/>
        <v>0</v>
      </c>
      <c r="S3" s="204">
        <f t="shared" si="0"/>
        <v>0</v>
      </c>
      <c r="T3" s="204">
        <f t="shared" si="0"/>
        <v>0</v>
      </c>
      <c r="U3" s="204">
        <f t="shared" si="0"/>
        <v>0</v>
      </c>
      <c r="V3" s="204">
        <f t="shared" si="0"/>
        <v>0</v>
      </c>
      <c r="W3" s="204">
        <f t="shared" si="0"/>
        <v>0</v>
      </c>
      <c r="X3" s="204">
        <f t="shared" si="0"/>
        <v>0</v>
      </c>
      <c r="Y3" s="204">
        <f t="shared" si="0"/>
        <v>0</v>
      </c>
      <c r="Z3" s="204">
        <f t="shared" si="0"/>
        <v>0</v>
      </c>
      <c r="AA3" s="204">
        <f t="shared" si="0"/>
        <v>0</v>
      </c>
      <c r="AB3" s="204">
        <f t="shared" si="0"/>
        <v>0</v>
      </c>
      <c r="AC3" s="204">
        <f t="shared" si="0"/>
        <v>0</v>
      </c>
      <c r="AD3" s="204">
        <f t="shared" si="0"/>
        <v>0</v>
      </c>
      <c r="AE3" s="204">
        <f t="shared" si="0"/>
        <v>0</v>
      </c>
      <c r="AF3" s="204">
        <f t="shared" si="0"/>
        <v>0</v>
      </c>
      <c r="AG3" s="204">
        <f t="shared" si="0"/>
        <v>0</v>
      </c>
      <c r="AH3" s="204">
        <f t="shared" si="0"/>
        <v>0</v>
      </c>
      <c r="AI3" s="204">
        <f t="shared" si="0"/>
        <v>0</v>
      </c>
      <c r="AJ3" s="204">
        <f t="shared" si="0"/>
        <v>0</v>
      </c>
      <c r="AK3" s="204">
        <f t="shared" ref="AK3:BP3" si="1">SUM(AK4:AK121)</f>
        <v>0</v>
      </c>
      <c r="AL3" s="204">
        <f t="shared" si="1"/>
        <v>0</v>
      </c>
      <c r="AM3" s="204">
        <f t="shared" si="1"/>
        <v>0</v>
      </c>
      <c r="AN3" s="204">
        <f t="shared" si="1"/>
        <v>0</v>
      </c>
      <c r="AO3" s="204">
        <f t="shared" si="1"/>
        <v>0</v>
      </c>
      <c r="AP3" s="204">
        <f t="shared" si="1"/>
        <v>0</v>
      </c>
      <c r="AQ3" s="204">
        <f t="shared" si="1"/>
        <v>0</v>
      </c>
      <c r="AR3" s="204">
        <f t="shared" si="1"/>
        <v>0</v>
      </c>
      <c r="AS3" s="204">
        <f t="shared" si="1"/>
        <v>0</v>
      </c>
      <c r="AT3" s="204">
        <f t="shared" si="1"/>
        <v>0</v>
      </c>
      <c r="AU3" s="204">
        <f t="shared" si="1"/>
        <v>0</v>
      </c>
      <c r="AV3" s="204">
        <f t="shared" si="1"/>
        <v>0</v>
      </c>
      <c r="AW3" s="204">
        <f t="shared" si="1"/>
        <v>0</v>
      </c>
      <c r="AX3" s="204">
        <f t="shared" si="1"/>
        <v>0</v>
      </c>
      <c r="AY3" s="204">
        <f t="shared" si="1"/>
        <v>0</v>
      </c>
      <c r="AZ3" s="204">
        <f t="shared" si="1"/>
        <v>0</v>
      </c>
      <c r="BA3" s="204">
        <f t="shared" si="1"/>
        <v>0</v>
      </c>
      <c r="BB3" s="204">
        <f t="shared" si="1"/>
        <v>0</v>
      </c>
      <c r="BC3" s="204">
        <f t="shared" si="1"/>
        <v>0</v>
      </c>
      <c r="BD3" s="204">
        <f t="shared" si="1"/>
        <v>0</v>
      </c>
      <c r="BE3" s="204">
        <f t="shared" si="1"/>
        <v>0</v>
      </c>
      <c r="BF3" s="204">
        <f t="shared" si="1"/>
        <v>0</v>
      </c>
      <c r="BG3" s="204">
        <f t="shared" si="1"/>
        <v>0</v>
      </c>
      <c r="BH3" s="204">
        <f t="shared" si="1"/>
        <v>0</v>
      </c>
      <c r="BI3" s="204">
        <f t="shared" si="1"/>
        <v>0</v>
      </c>
      <c r="BJ3" s="204">
        <f t="shared" si="1"/>
        <v>0</v>
      </c>
      <c r="BK3" s="204">
        <f t="shared" si="1"/>
        <v>0</v>
      </c>
      <c r="BL3" s="204">
        <f t="shared" si="1"/>
        <v>0</v>
      </c>
      <c r="BM3" s="204">
        <f t="shared" si="1"/>
        <v>0</v>
      </c>
      <c r="BN3" s="204">
        <f t="shared" si="1"/>
        <v>0</v>
      </c>
      <c r="BO3" s="204">
        <f t="shared" si="1"/>
        <v>0</v>
      </c>
      <c r="BP3" s="204">
        <f t="shared" si="1"/>
        <v>0</v>
      </c>
      <c r="BQ3" s="204">
        <f>+E3+G3+I3+K3+M3+O3+Q3+S3+U3+W3+Y3+AA3+AC3+AE3+AG3+AI3+AK3+AM3+AO3+AQ3+AS3+AU3+AW3+AY3+BA3+BC3+BE3+BG3+BI3+BK3+BM3+BO3</f>
        <v>2</v>
      </c>
      <c r="BR3" s="204">
        <f>+F3+H3+J3+L3+N3+P3+R3+T3+V3+X3+Z3+AB3+AD3+AF3+AH3+AJ3+AL3+AN3+AP3+AR3+AT3+AV3+AX3+AZ3+BB3+BD3+BF3+BH3+BJ3+BL3+BN3+BP3</f>
        <v>242</v>
      </c>
      <c r="BS3" s="204"/>
      <c r="BT3" s="205"/>
      <c r="BU3" s="204"/>
      <c r="BV3" s="206"/>
      <c r="BW3" s="194"/>
    </row>
    <row r="4" spans="1:77" ht="15" customHeight="1" x14ac:dyDescent="0.25">
      <c r="A4" s="207"/>
      <c r="B4" s="208"/>
      <c r="C4" s="209"/>
      <c r="D4" s="209"/>
      <c r="E4" s="209">
        <v>0</v>
      </c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09"/>
      <c r="AV4" s="209"/>
      <c r="AW4" s="209"/>
      <c r="AX4" s="209"/>
      <c r="AY4" s="209"/>
      <c r="AZ4" s="209"/>
      <c r="BA4" s="209"/>
      <c r="BB4" s="209"/>
      <c r="BC4" s="209"/>
      <c r="BD4" s="209"/>
      <c r="BE4" s="209"/>
      <c r="BF4" s="209"/>
      <c r="BG4" s="209"/>
      <c r="BH4" s="209"/>
      <c r="BI4" s="209"/>
      <c r="BJ4" s="209"/>
      <c r="BK4" s="209"/>
      <c r="BL4" s="209"/>
      <c r="BM4" s="209"/>
      <c r="BN4" s="209"/>
      <c r="BO4" s="209"/>
      <c r="BP4" s="209"/>
      <c r="BQ4" s="204">
        <f>+E4+G4+I4+K4+M4+O4+Q4+S4+U4+W4+Y4+AA4+AC4+AE4+AG4+AI4+AK4+AM4+AO4+AQ4+AS4+AU4+AW4+AY4+BA4+BC4+BE4+BG4+BI4+BK4+BM4+BO4</f>
        <v>0</v>
      </c>
      <c r="BR4" s="204">
        <f t="shared" ref="BR4:BR57" si="2">+F4+H4+J4+L4+N4+P4+R4+T4+V4+X4+Z4+AB4+AD4+AF4+AH4+AJ4+AL4+AN4+AP4+AR4+AT4+AV4+AX4+AZ4+BB4+BD4+BF4+BH4+BJ4+BL4+BN4+BP4</f>
        <v>0</v>
      </c>
      <c r="BS4" s="210"/>
      <c r="BT4" s="211"/>
      <c r="BU4" s="210"/>
      <c r="BV4" s="212"/>
      <c r="BW4" s="194"/>
    </row>
    <row r="5" spans="1:77" ht="15.75" customHeight="1" x14ac:dyDescent="0.25">
      <c r="A5" s="321" t="s">
        <v>220</v>
      </c>
      <c r="B5" s="213" t="s">
        <v>529</v>
      </c>
      <c r="C5" s="214">
        <v>212</v>
      </c>
      <c r="D5" s="215">
        <f>C5+BQ5-BR5</f>
        <v>195</v>
      </c>
      <c r="E5" s="209"/>
      <c r="F5" s="209"/>
      <c r="G5" s="209"/>
      <c r="H5" s="209"/>
      <c r="I5" s="209"/>
      <c r="J5" s="209"/>
      <c r="K5" s="209"/>
      <c r="L5" s="209"/>
      <c r="M5" s="209"/>
      <c r="N5" s="209">
        <v>17</v>
      </c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4">
        <f t="shared" ref="BQ5:BR68" si="3">+E5+G5+I5+K5+M5+O5+Q5+S5+U5+W5+Y5+AA5+AC5+AE5+AG5+AI5+AK5+AM5+AO5+AQ5+AS5+AU5+AW5+AY5+BA5+BC5+BE5+BG5+BI5+BK5+BM5+BO5</f>
        <v>0</v>
      </c>
      <c r="BR5" s="204">
        <f t="shared" si="2"/>
        <v>17</v>
      </c>
      <c r="BS5" s="194">
        <v>1.44</v>
      </c>
      <c r="BT5" s="216">
        <f>+BS5*D5</f>
        <v>280.8</v>
      </c>
      <c r="BU5" s="217">
        <v>88000</v>
      </c>
      <c r="BV5" s="218">
        <f>+BU5*BT5</f>
        <v>24710400</v>
      </c>
      <c r="BW5" s="194"/>
    </row>
    <row r="6" spans="1:77" ht="15.75" customHeight="1" x14ac:dyDescent="0.25">
      <c r="A6" s="323"/>
      <c r="B6" s="213" t="s">
        <v>509</v>
      </c>
      <c r="C6" s="214">
        <v>53</v>
      </c>
      <c r="D6" s="215">
        <f>C6+BQ6-BR6</f>
        <v>53</v>
      </c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4">
        <f t="shared" si="3"/>
        <v>0</v>
      </c>
      <c r="BR6" s="204">
        <f t="shared" si="2"/>
        <v>0</v>
      </c>
      <c r="BS6" s="194">
        <v>1.44</v>
      </c>
      <c r="BT6" s="216">
        <f t="shared" ref="BT6:BT69" si="4">+BS6*D6</f>
        <v>76.319999999999993</v>
      </c>
      <c r="BU6" s="217">
        <v>88000</v>
      </c>
      <c r="BV6" s="218">
        <f t="shared" ref="BV6:BV69" si="5">+BU6*BT6</f>
        <v>6716159.9999999991</v>
      </c>
      <c r="BW6" s="194"/>
    </row>
    <row r="7" spans="1:77" ht="15.75" customHeight="1" x14ac:dyDescent="0.25">
      <c r="A7" s="322"/>
      <c r="B7" s="213" t="s">
        <v>510</v>
      </c>
      <c r="C7" s="214">
        <v>16</v>
      </c>
      <c r="D7" s="215">
        <f t="shared" ref="D7:D11" si="6">C7+BQ7-BR7</f>
        <v>16</v>
      </c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  <c r="AA7" s="209"/>
      <c r="AB7" s="209"/>
      <c r="AC7" s="209"/>
      <c r="AD7" s="209"/>
      <c r="AE7" s="209"/>
      <c r="AF7" s="209"/>
      <c r="AG7" s="209"/>
      <c r="AH7" s="209"/>
      <c r="AI7" s="209"/>
      <c r="AJ7" s="209"/>
      <c r="AK7" s="209"/>
      <c r="AL7" s="209"/>
      <c r="AM7" s="209"/>
      <c r="AN7" s="209"/>
      <c r="AO7" s="209"/>
      <c r="AP7" s="209"/>
      <c r="AQ7" s="209"/>
      <c r="AR7" s="209"/>
      <c r="AS7" s="209"/>
      <c r="AT7" s="209"/>
      <c r="AU7" s="209"/>
      <c r="AV7" s="209"/>
      <c r="AW7" s="209"/>
      <c r="AX7" s="209"/>
      <c r="AY7" s="209"/>
      <c r="AZ7" s="209"/>
      <c r="BA7" s="209"/>
      <c r="BB7" s="209"/>
      <c r="BC7" s="209"/>
      <c r="BD7" s="209"/>
      <c r="BE7" s="209"/>
      <c r="BF7" s="209"/>
      <c r="BG7" s="209"/>
      <c r="BH7" s="209"/>
      <c r="BI7" s="209"/>
      <c r="BJ7" s="209"/>
      <c r="BK7" s="209"/>
      <c r="BL7" s="209"/>
      <c r="BM7" s="209"/>
      <c r="BN7" s="209"/>
      <c r="BO7" s="209"/>
      <c r="BP7" s="209"/>
      <c r="BQ7" s="204">
        <f t="shared" si="3"/>
        <v>0</v>
      </c>
      <c r="BR7" s="204">
        <f t="shared" si="2"/>
        <v>0</v>
      </c>
      <c r="BS7" s="194">
        <v>1.44</v>
      </c>
      <c r="BT7" s="216">
        <f t="shared" si="4"/>
        <v>23.04</v>
      </c>
      <c r="BU7" s="217">
        <v>88000</v>
      </c>
      <c r="BV7" s="218">
        <f t="shared" si="5"/>
        <v>2027520</v>
      </c>
      <c r="BW7" s="194"/>
    </row>
    <row r="8" spans="1:77" ht="15.75" customHeight="1" x14ac:dyDescent="0.25">
      <c r="A8" s="219"/>
      <c r="B8" s="213"/>
      <c r="C8" s="214">
        <v>0</v>
      </c>
      <c r="D8" s="215">
        <f t="shared" si="6"/>
        <v>0</v>
      </c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4">
        <f t="shared" si="3"/>
        <v>0</v>
      </c>
      <c r="BR8" s="204">
        <f t="shared" si="2"/>
        <v>0</v>
      </c>
      <c r="BS8" s="194">
        <v>1.44</v>
      </c>
      <c r="BT8" s="216">
        <f t="shared" si="4"/>
        <v>0</v>
      </c>
      <c r="BU8" s="217">
        <v>88000</v>
      </c>
      <c r="BV8" s="218">
        <f t="shared" si="5"/>
        <v>0</v>
      </c>
      <c r="BW8" s="194"/>
    </row>
    <row r="9" spans="1:77" ht="15.75" customHeight="1" x14ac:dyDescent="0.25">
      <c r="A9" s="321" t="s">
        <v>526</v>
      </c>
      <c r="B9" s="213" t="s">
        <v>12156</v>
      </c>
      <c r="C9" s="214">
        <v>6</v>
      </c>
      <c r="D9" s="215">
        <f t="shared" si="6"/>
        <v>6</v>
      </c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  <c r="AA9" s="209"/>
      <c r="AB9" s="209"/>
      <c r="AC9" s="209"/>
      <c r="AD9" s="209"/>
      <c r="AE9" s="209"/>
      <c r="AF9" s="209"/>
      <c r="AG9" s="209"/>
      <c r="AH9" s="209"/>
      <c r="AI9" s="209"/>
      <c r="AJ9" s="209"/>
      <c r="AK9" s="209"/>
      <c r="AL9" s="209"/>
      <c r="AM9" s="209"/>
      <c r="AN9" s="209"/>
      <c r="AO9" s="209"/>
      <c r="AP9" s="209"/>
      <c r="AQ9" s="209"/>
      <c r="AR9" s="209"/>
      <c r="AS9" s="209"/>
      <c r="AT9" s="209"/>
      <c r="AU9" s="209"/>
      <c r="AV9" s="209"/>
      <c r="AW9" s="209"/>
      <c r="AX9" s="209"/>
      <c r="AY9" s="209"/>
      <c r="AZ9" s="209"/>
      <c r="BA9" s="209"/>
      <c r="BB9" s="209"/>
      <c r="BC9" s="209"/>
      <c r="BD9" s="209"/>
      <c r="BE9" s="209"/>
      <c r="BF9" s="209"/>
      <c r="BG9" s="209"/>
      <c r="BH9" s="209"/>
      <c r="BI9" s="209"/>
      <c r="BJ9" s="209"/>
      <c r="BK9" s="209"/>
      <c r="BL9" s="209"/>
      <c r="BM9" s="209"/>
      <c r="BN9" s="209"/>
      <c r="BO9" s="209"/>
      <c r="BP9" s="209"/>
      <c r="BQ9" s="204">
        <f t="shared" si="3"/>
        <v>0</v>
      </c>
      <c r="BR9" s="204">
        <f t="shared" si="2"/>
        <v>0</v>
      </c>
      <c r="BS9" s="194">
        <v>1.92</v>
      </c>
      <c r="BT9" s="216">
        <f t="shared" si="4"/>
        <v>11.52</v>
      </c>
      <c r="BU9" s="217">
        <v>105000</v>
      </c>
      <c r="BV9" s="218">
        <f t="shared" si="5"/>
        <v>1209600</v>
      </c>
      <c r="BW9" s="194"/>
    </row>
    <row r="10" spans="1:77" ht="15.75" customHeight="1" x14ac:dyDescent="0.25">
      <c r="A10" s="323"/>
      <c r="B10" s="213"/>
      <c r="C10" s="214">
        <v>0</v>
      </c>
      <c r="D10" s="215">
        <f t="shared" si="6"/>
        <v>0</v>
      </c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209"/>
      <c r="AN10" s="209"/>
      <c r="AO10" s="209"/>
      <c r="AP10" s="209"/>
      <c r="AQ10" s="209"/>
      <c r="AR10" s="209"/>
      <c r="AS10" s="209"/>
      <c r="AT10" s="209"/>
      <c r="AU10" s="209"/>
      <c r="AV10" s="209"/>
      <c r="AW10" s="209"/>
      <c r="AX10" s="209"/>
      <c r="AY10" s="209"/>
      <c r="AZ10" s="209"/>
      <c r="BA10" s="209"/>
      <c r="BB10" s="209"/>
      <c r="BC10" s="209"/>
      <c r="BD10" s="209"/>
      <c r="BE10" s="209"/>
      <c r="BF10" s="209"/>
      <c r="BG10" s="209"/>
      <c r="BH10" s="209"/>
      <c r="BI10" s="209"/>
      <c r="BJ10" s="209"/>
      <c r="BK10" s="209"/>
      <c r="BL10" s="209"/>
      <c r="BM10" s="209"/>
      <c r="BN10" s="209"/>
      <c r="BO10" s="209"/>
      <c r="BP10" s="209"/>
      <c r="BQ10" s="204">
        <f t="shared" si="3"/>
        <v>0</v>
      </c>
      <c r="BR10" s="204">
        <f t="shared" si="2"/>
        <v>0</v>
      </c>
      <c r="BS10" s="194">
        <v>1.92</v>
      </c>
      <c r="BT10" s="216">
        <f t="shared" si="4"/>
        <v>0</v>
      </c>
      <c r="BU10" s="217"/>
      <c r="BV10" s="218">
        <f t="shared" si="5"/>
        <v>0</v>
      </c>
      <c r="BW10" s="194"/>
    </row>
    <row r="11" spans="1:77" ht="15.75" customHeight="1" x14ac:dyDescent="0.25">
      <c r="A11" s="323"/>
      <c r="B11" s="213" t="s">
        <v>512</v>
      </c>
      <c r="C11" s="214">
        <v>111</v>
      </c>
      <c r="D11" s="215">
        <f t="shared" si="6"/>
        <v>111</v>
      </c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209"/>
      <c r="AN11" s="209"/>
      <c r="AO11" s="209"/>
      <c r="AP11" s="209"/>
      <c r="AQ11" s="209"/>
      <c r="AR11" s="209"/>
      <c r="AS11" s="209"/>
      <c r="AT11" s="209"/>
      <c r="AU11" s="209"/>
      <c r="AV11" s="209"/>
      <c r="AW11" s="209"/>
      <c r="AX11" s="209"/>
      <c r="AY11" s="209"/>
      <c r="AZ11" s="209"/>
      <c r="BA11" s="209"/>
      <c r="BB11" s="209"/>
      <c r="BC11" s="209"/>
      <c r="BD11" s="209"/>
      <c r="BE11" s="209"/>
      <c r="BF11" s="209"/>
      <c r="BG11" s="209"/>
      <c r="BH11" s="209"/>
      <c r="BI11" s="209"/>
      <c r="BJ11" s="209"/>
      <c r="BK11" s="209"/>
      <c r="BL11" s="209"/>
      <c r="BM11" s="209"/>
      <c r="BN11" s="209"/>
      <c r="BO11" s="209"/>
      <c r="BP11" s="209"/>
      <c r="BQ11" s="204">
        <f t="shared" si="3"/>
        <v>0</v>
      </c>
      <c r="BR11" s="204">
        <f t="shared" si="2"/>
        <v>0</v>
      </c>
      <c r="BS11" s="194">
        <v>1.92</v>
      </c>
      <c r="BT11" s="216">
        <f t="shared" si="4"/>
        <v>213.12</v>
      </c>
      <c r="BU11" s="217">
        <v>101000</v>
      </c>
      <c r="BV11" s="218">
        <f t="shared" si="5"/>
        <v>21525120</v>
      </c>
      <c r="BW11" s="194"/>
    </row>
    <row r="12" spans="1:77" ht="15.75" customHeight="1" x14ac:dyDescent="0.25">
      <c r="A12" s="323"/>
      <c r="B12" s="213" t="s">
        <v>513</v>
      </c>
      <c r="C12" s="214">
        <v>48.67</v>
      </c>
      <c r="D12" s="215">
        <f>+C12+BQ12-BR12</f>
        <v>14.670000000000002</v>
      </c>
      <c r="E12" s="209"/>
      <c r="F12" s="209">
        <v>21</v>
      </c>
      <c r="G12" s="209"/>
      <c r="H12" s="209">
        <v>13</v>
      </c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09"/>
      <c r="AX12" s="209"/>
      <c r="AY12" s="209"/>
      <c r="AZ12" s="209"/>
      <c r="BA12" s="209"/>
      <c r="BB12" s="209"/>
      <c r="BC12" s="209"/>
      <c r="BD12" s="209"/>
      <c r="BE12" s="209"/>
      <c r="BF12" s="209"/>
      <c r="BG12" s="209"/>
      <c r="BH12" s="209"/>
      <c r="BI12" s="209"/>
      <c r="BJ12" s="209"/>
      <c r="BK12" s="209"/>
      <c r="BL12" s="209"/>
      <c r="BM12" s="209"/>
      <c r="BN12" s="209"/>
      <c r="BO12" s="209"/>
      <c r="BP12" s="209"/>
      <c r="BQ12" s="204">
        <f t="shared" si="3"/>
        <v>0</v>
      </c>
      <c r="BR12" s="204">
        <f t="shared" si="2"/>
        <v>34</v>
      </c>
      <c r="BS12" s="194">
        <v>1.92</v>
      </c>
      <c r="BT12" s="216">
        <f t="shared" si="4"/>
        <v>28.166400000000003</v>
      </c>
      <c r="BU12" s="217">
        <v>106000</v>
      </c>
      <c r="BV12" s="218">
        <f t="shared" si="5"/>
        <v>2985638.4000000004</v>
      </c>
      <c r="BW12" s="194"/>
    </row>
    <row r="13" spans="1:77" ht="15" customHeight="1" x14ac:dyDescent="0.25">
      <c r="A13" s="323"/>
      <c r="B13" s="213" t="s">
        <v>514</v>
      </c>
      <c r="C13" s="214">
        <v>40</v>
      </c>
      <c r="D13" s="215">
        <f t="shared" ref="D13:D60" si="7">+C13+BQ13-BR13</f>
        <v>40</v>
      </c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4">
        <f t="shared" si="3"/>
        <v>0</v>
      </c>
      <c r="BR13" s="204">
        <f t="shared" si="2"/>
        <v>0</v>
      </c>
      <c r="BS13" s="194">
        <v>1.92</v>
      </c>
      <c r="BT13" s="216">
        <f t="shared" si="4"/>
        <v>76.8</v>
      </c>
      <c r="BU13" s="217">
        <v>106000</v>
      </c>
      <c r="BV13" s="218">
        <f t="shared" si="5"/>
        <v>8140800</v>
      </c>
      <c r="BW13" s="194"/>
    </row>
    <row r="14" spans="1:77" ht="15.75" customHeight="1" x14ac:dyDescent="0.25">
      <c r="A14" s="323"/>
      <c r="B14" s="213"/>
      <c r="C14" s="214"/>
      <c r="D14" s="215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209"/>
      <c r="AX14" s="209"/>
      <c r="AY14" s="209"/>
      <c r="AZ14" s="209"/>
      <c r="BA14" s="209"/>
      <c r="BB14" s="209"/>
      <c r="BC14" s="209"/>
      <c r="BD14" s="209"/>
      <c r="BE14" s="209"/>
      <c r="BF14" s="209"/>
      <c r="BG14" s="209"/>
      <c r="BH14" s="209"/>
      <c r="BI14" s="209"/>
      <c r="BJ14" s="209"/>
      <c r="BK14" s="209"/>
      <c r="BL14" s="209"/>
      <c r="BM14" s="209"/>
      <c r="BN14" s="209"/>
      <c r="BO14" s="209"/>
      <c r="BP14" s="209"/>
      <c r="BQ14" s="204">
        <f t="shared" si="3"/>
        <v>0</v>
      </c>
      <c r="BR14" s="204">
        <f t="shared" si="2"/>
        <v>0</v>
      </c>
      <c r="BS14" s="194">
        <v>1.92</v>
      </c>
      <c r="BT14" s="216">
        <f t="shared" si="4"/>
        <v>0</v>
      </c>
      <c r="BU14" s="217"/>
      <c r="BV14" s="218">
        <f t="shared" si="5"/>
        <v>0</v>
      </c>
      <c r="BW14" s="194"/>
    </row>
    <row r="15" spans="1:77" ht="15.75" customHeight="1" x14ac:dyDescent="0.25">
      <c r="A15" s="323"/>
      <c r="B15" s="213" t="s">
        <v>515</v>
      </c>
      <c r="C15" s="214">
        <v>89</v>
      </c>
      <c r="D15" s="215">
        <f t="shared" si="7"/>
        <v>71</v>
      </c>
      <c r="E15" s="209"/>
      <c r="F15" s="209"/>
      <c r="G15" s="209"/>
      <c r="H15" s="209"/>
      <c r="I15" s="209"/>
      <c r="J15" s="209"/>
      <c r="K15" s="209"/>
      <c r="L15" s="209"/>
      <c r="M15" s="209"/>
      <c r="N15" s="209">
        <v>18</v>
      </c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  <c r="AK15" s="209"/>
      <c r="AL15" s="209"/>
      <c r="AM15" s="209"/>
      <c r="AN15" s="209"/>
      <c r="AO15" s="209"/>
      <c r="AP15" s="209"/>
      <c r="AQ15" s="209"/>
      <c r="AR15" s="209"/>
      <c r="AS15" s="209"/>
      <c r="AT15" s="209"/>
      <c r="AU15" s="209"/>
      <c r="AV15" s="209"/>
      <c r="AW15" s="209"/>
      <c r="AX15" s="209"/>
      <c r="AY15" s="209"/>
      <c r="AZ15" s="209"/>
      <c r="BA15" s="209"/>
      <c r="BB15" s="209"/>
      <c r="BC15" s="209"/>
      <c r="BD15" s="209"/>
      <c r="BE15" s="209"/>
      <c r="BF15" s="209"/>
      <c r="BG15" s="209"/>
      <c r="BH15" s="209"/>
      <c r="BI15" s="209"/>
      <c r="BJ15" s="209"/>
      <c r="BK15" s="209"/>
      <c r="BL15" s="209"/>
      <c r="BM15" s="209"/>
      <c r="BN15" s="209"/>
      <c r="BO15" s="209"/>
      <c r="BP15" s="209"/>
      <c r="BQ15" s="204">
        <f t="shared" si="3"/>
        <v>0</v>
      </c>
      <c r="BR15" s="204">
        <f t="shared" si="2"/>
        <v>18</v>
      </c>
      <c r="BS15" s="194">
        <v>1.92</v>
      </c>
      <c r="BT15" s="216">
        <f t="shared" si="4"/>
        <v>136.32</v>
      </c>
      <c r="BU15" s="217">
        <v>101000</v>
      </c>
      <c r="BV15" s="218">
        <f t="shared" si="5"/>
        <v>13768320</v>
      </c>
      <c r="BW15" s="194"/>
    </row>
    <row r="16" spans="1:77" ht="15.75" customHeight="1" x14ac:dyDescent="0.25">
      <c r="A16" s="323"/>
      <c r="B16" s="213" t="s">
        <v>516</v>
      </c>
      <c r="C16" s="214">
        <v>6</v>
      </c>
      <c r="D16" s="215">
        <f t="shared" si="7"/>
        <v>4</v>
      </c>
      <c r="E16" s="209"/>
      <c r="F16" s="209"/>
      <c r="G16" s="209"/>
      <c r="H16" s="209"/>
      <c r="I16" s="209"/>
      <c r="J16" s="209"/>
      <c r="K16" s="209"/>
      <c r="L16" s="209"/>
      <c r="M16" s="209"/>
      <c r="N16" s="209">
        <v>2</v>
      </c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09"/>
      <c r="AX16" s="209"/>
      <c r="AY16" s="209"/>
      <c r="AZ16" s="209"/>
      <c r="BA16" s="209"/>
      <c r="BB16" s="209"/>
      <c r="BC16" s="209"/>
      <c r="BD16" s="209"/>
      <c r="BE16" s="209"/>
      <c r="BF16" s="209"/>
      <c r="BG16" s="209"/>
      <c r="BH16" s="209"/>
      <c r="BI16" s="209"/>
      <c r="BJ16" s="209"/>
      <c r="BK16" s="209"/>
      <c r="BL16" s="209"/>
      <c r="BM16" s="209"/>
      <c r="BN16" s="209"/>
      <c r="BO16" s="209"/>
      <c r="BP16" s="209"/>
      <c r="BQ16" s="204">
        <f t="shared" si="3"/>
        <v>0</v>
      </c>
      <c r="BR16" s="204">
        <f t="shared" si="2"/>
        <v>2</v>
      </c>
      <c r="BS16" s="194">
        <v>1.92</v>
      </c>
      <c r="BT16" s="216">
        <f t="shared" si="4"/>
        <v>7.68</v>
      </c>
      <c r="BU16" s="217">
        <v>106000</v>
      </c>
      <c r="BV16" s="218">
        <f t="shared" si="5"/>
        <v>814080</v>
      </c>
      <c r="BW16" s="194"/>
    </row>
    <row r="17" spans="1:75" ht="15.75" customHeight="1" x14ac:dyDescent="0.25">
      <c r="A17" s="323"/>
      <c r="B17" s="213"/>
      <c r="C17" s="214">
        <v>0</v>
      </c>
      <c r="D17" s="215">
        <f t="shared" si="7"/>
        <v>0</v>
      </c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09"/>
      <c r="BK17" s="209"/>
      <c r="BL17" s="209"/>
      <c r="BM17" s="209"/>
      <c r="BN17" s="209"/>
      <c r="BO17" s="209"/>
      <c r="BP17" s="209"/>
      <c r="BQ17" s="204">
        <f t="shared" si="3"/>
        <v>0</v>
      </c>
      <c r="BR17" s="204">
        <f t="shared" si="2"/>
        <v>0</v>
      </c>
      <c r="BS17" s="194">
        <v>1.92</v>
      </c>
      <c r="BT17" s="216">
        <f t="shared" si="4"/>
        <v>0</v>
      </c>
      <c r="BU17" s="217"/>
      <c r="BV17" s="218">
        <f t="shared" si="5"/>
        <v>0</v>
      </c>
      <c r="BW17" s="194"/>
    </row>
    <row r="18" spans="1:75" ht="15" customHeight="1" x14ac:dyDescent="0.25">
      <c r="A18" s="323"/>
      <c r="B18" s="213" t="s">
        <v>517</v>
      </c>
      <c r="C18" s="214">
        <v>90</v>
      </c>
      <c r="D18" s="215">
        <f t="shared" si="7"/>
        <v>90</v>
      </c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09"/>
      <c r="AX18" s="209"/>
      <c r="AY18" s="209"/>
      <c r="AZ18" s="209"/>
      <c r="BA18" s="209"/>
      <c r="BB18" s="209"/>
      <c r="BC18" s="209"/>
      <c r="BD18" s="209"/>
      <c r="BE18" s="209"/>
      <c r="BF18" s="209"/>
      <c r="BG18" s="209"/>
      <c r="BH18" s="209"/>
      <c r="BI18" s="209"/>
      <c r="BJ18" s="209"/>
      <c r="BK18" s="209"/>
      <c r="BL18" s="209"/>
      <c r="BM18" s="209"/>
      <c r="BN18" s="209"/>
      <c r="BO18" s="209"/>
      <c r="BP18" s="209"/>
      <c r="BQ18" s="204">
        <f t="shared" si="3"/>
        <v>0</v>
      </c>
      <c r="BR18" s="204">
        <f t="shared" si="2"/>
        <v>0</v>
      </c>
      <c r="BS18" s="194">
        <v>1.92</v>
      </c>
      <c r="BT18" s="216">
        <f t="shared" si="4"/>
        <v>172.79999999999998</v>
      </c>
      <c r="BU18" s="217">
        <v>101000</v>
      </c>
      <c r="BV18" s="218">
        <f t="shared" si="5"/>
        <v>17452800</v>
      </c>
      <c r="BW18" s="194"/>
    </row>
    <row r="19" spans="1:75" ht="15.75" customHeight="1" x14ac:dyDescent="0.25">
      <c r="A19" s="323"/>
      <c r="B19" s="213" t="s">
        <v>518</v>
      </c>
      <c r="C19" s="214">
        <v>19</v>
      </c>
      <c r="D19" s="215">
        <f t="shared" si="7"/>
        <v>19</v>
      </c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09"/>
      <c r="AN19" s="209"/>
      <c r="AO19" s="209"/>
      <c r="AP19" s="209"/>
      <c r="AQ19" s="209"/>
      <c r="AR19" s="209"/>
      <c r="AS19" s="209"/>
      <c r="AT19" s="209"/>
      <c r="AU19" s="209"/>
      <c r="AV19" s="209"/>
      <c r="AW19" s="209"/>
      <c r="AX19" s="209"/>
      <c r="AY19" s="209"/>
      <c r="AZ19" s="209"/>
      <c r="BA19" s="209"/>
      <c r="BB19" s="209"/>
      <c r="BC19" s="209"/>
      <c r="BD19" s="209"/>
      <c r="BE19" s="209"/>
      <c r="BF19" s="209"/>
      <c r="BG19" s="209"/>
      <c r="BH19" s="209"/>
      <c r="BI19" s="209"/>
      <c r="BJ19" s="209"/>
      <c r="BK19" s="209"/>
      <c r="BL19" s="209"/>
      <c r="BM19" s="209"/>
      <c r="BN19" s="209"/>
      <c r="BO19" s="209"/>
      <c r="BP19" s="209"/>
      <c r="BQ19" s="204">
        <f t="shared" si="3"/>
        <v>0</v>
      </c>
      <c r="BR19" s="204">
        <f t="shared" si="2"/>
        <v>0</v>
      </c>
      <c r="BS19" s="194">
        <v>1.92</v>
      </c>
      <c r="BT19" s="216">
        <f t="shared" si="4"/>
        <v>36.479999999999997</v>
      </c>
      <c r="BU19" s="217">
        <v>106000</v>
      </c>
      <c r="BV19" s="218">
        <f t="shared" si="5"/>
        <v>3866879.9999999995</v>
      </c>
      <c r="BW19" s="194"/>
    </row>
    <row r="20" spans="1:75" ht="15.75" customHeight="1" x14ac:dyDescent="0.25">
      <c r="A20" s="323"/>
      <c r="B20" s="213"/>
      <c r="C20" s="214">
        <v>0</v>
      </c>
      <c r="D20" s="215">
        <f t="shared" si="7"/>
        <v>0</v>
      </c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09"/>
      <c r="AX20" s="209"/>
      <c r="AY20" s="209"/>
      <c r="AZ20" s="209"/>
      <c r="BA20" s="209"/>
      <c r="BB20" s="209"/>
      <c r="BC20" s="209"/>
      <c r="BD20" s="209"/>
      <c r="BE20" s="209"/>
      <c r="BF20" s="209"/>
      <c r="BG20" s="209"/>
      <c r="BH20" s="209"/>
      <c r="BI20" s="209"/>
      <c r="BJ20" s="209"/>
      <c r="BK20" s="209"/>
      <c r="BL20" s="209"/>
      <c r="BM20" s="209"/>
      <c r="BN20" s="209"/>
      <c r="BO20" s="209"/>
      <c r="BP20" s="209"/>
      <c r="BQ20" s="204">
        <f t="shared" si="3"/>
        <v>0</v>
      </c>
      <c r="BR20" s="204">
        <f t="shared" si="2"/>
        <v>0</v>
      </c>
      <c r="BS20" s="194">
        <v>1.92</v>
      </c>
      <c r="BT20" s="216">
        <f t="shared" si="4"/>
        <v>0</v>
      </c>
      <c r="BU20" s="217"/>
      <c r="BV20" s="218">
        <f t="shared" si="5"/>
        <v>0</v>
      </c>
      <c r="BW20" s="194"/>
    </row>
    <row r="21" spans="1:75" ht="15.75" customHeight="1" x14ac:dyDescent="0.25">
      <c r="A21" s="323"/>
      <c r="B21" s="213" t="s">
        <v>519</v>
      </c>
      <c r="C21" s="214">
        <v>187</v>
      </c>
      <c r="D21" s="215">
        <f t="shared" si="7"/>
        <v>187</v>
      </c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  <c r="AX21" s="209"/>
      <c r="AY21" s="209"/>
      <c r="AZ21" s="209"/>
      <c r="BA21" s="209"/>
      <c r="BB21" s="209"/>
      <c r="BC21" s="209"/>
      <c r="BD21" s="209"/>
      <c r="BE21" s="209"/>
      <c r="BF21" s="209"/>
      <c r="BG21" s="209"/>
      <c r="BH21" s="209"/>
      <c r="BI21" s="209"/>
      <c r="BJ21" s="209"/>
      <c r="BK21" s="209"/>
      <c r="BL21" s="209"/>
      <c r="BM21" s="209"/>
      <c r="BN21" s="209"/>
      <c r="BO21" s="209"/>
      <c r="BP21" s="209"/>
      <c r="BQ21" s="204">
        <f t="shared" si="3"/>
        <v>0</v>
      </c>
      <c r="BR21" s="204">
        <f t="shared" si="2"/>
        <v>0</v>
      </c>
      <c r="BS21" s="194">
        <v>1.92</v>
      </c>
      <c r="BT21" s="216">
        <f t="shared" si="4"/>
        <v>359.03999999999996</v>
      </c>
      <c r="BU21" s="217">
        <v>101000</v>
      </c>
      <c r="BV21" s="218">
        <f t="shared" si="5"/>
        <v>36263040</v>
      </c>
      <c r="BW21" s="194"/>
    </row>
    <row r="22" spans="1:75" ht="15.75" customHeight="1" x14ac:dyDescent="0.25">
      <c r="A22" s="323"/>
      <c r="B22" s="213" t="s">
        <v>520</v>
      </c>
      <c r="C22" s="214">
        <v>63.170000000000016</v>
      </c>
      <c r="D22" s="215">
        <f t="shared" si="7"/>
        <v>63.170000000000016</v>
      </c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209"/>
      <c r="BF22" s="209"/>
      <c r="BG22" s="209"/>
      <c r="BH22" s="209"/>
      <c r="BI22" s="209"/>
      <c r="BJ22" s="209"/>
      <c r="BK22" s="209"/>
      <c r="BL22" s="209"/>
      <c r="BM22" s="209"/>
      <c r="BN22" s="209"/>
      <c r="BO22" s="209"/>
      <c r="BP22" s="209"/>
      <c r="BQ22" s="204">
        <f t="shared" si="3"/>
        <v>0</v>
      </c>
      <c r="BR22" s="204">
        <f t="shared" si="2"/>
        <v>0</v>
      </c>
      <c r="BS22" s="194">
        <v>1.92</v>
      </c>
      <c r="BT22" s="216">
        <f t="shared" si="4"/>
        <v>121.28640000000003</v>
      </c>
      <c r="BU22" s="217">
        <v>106000</v>
      </c>
      <c r="BV22" s="218">
        <f t="shared" si="5"/>
        <v>12856358.400000002</v>
      </c>
      <c r="BW22" s="194"/>
    </row>
    <row r="23" spans="1:75" ht="15.75" customHeight="1" x14ac:dyDescent="0.25">
      <c r="A23" s="323"/>
      <c r="B23" s="213" t="s">
        <v>521</v>
      </c>
      <c r="C23" s="214">
        <v>32.659999999999997</v>
      </c>
      <c r="D23" s="215">
        <f t="shared" si="7"/>
        <v>32.659999999999997</v>
      </c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09"/>
      <c r="BA23" s="209"/>
      <c r="BB23" s="209"/>
      <c r="BC23" s="209"/>
      <c r="BD23" s="209"/>
      <c r="BE23" s="209"/>
      <c r="BF23" s="209"/>
      <c r="BG23" s="209"/>
      <c r="BH23" s="209"/>
      <c r="BI23" s="209"/>
      <c r="BJ23" s="209"/>
      <c r="BK23" s="209"/>
      <c r="BL23" s="209"/>
      <c r="BM23" s="209"/>
      <c r="BN23" s="209"/>
      <c r="BO23" s="209"/>
      <c r="BP23" s="209"/>
      <c r="BQ23" s="204">
        <f t="shared" si="3"/>
        <v>0</v>
      </c>
      <c r="BR23" s="204">
        <f t="shared" si="2"/>
        <v>0</v>
      </c>
      <c r="BS23" s="194">
        <v>1.92</v>
      </c>
      <c r="BT23" s="216">
        <f t="shared" si="4"/>
        <v>62.707199999999993</v>
      </c>
      <c r="BU23" s="217">
        <v>106000</v>
      </c>
      <c r="BV23" s="218">
        <f t="shared" si="5"/>
        <v>6646963.1999999993</v>
      </c>
      <c r="BW23" s="194"/>
    </row>
    <row r="24" spans="1:75" ht="15.75" customHeight="1" x14ac:dyDescent="0.25">
      <c r="A24" s="323"/>
      <c r="B24" s="213"/>
      <c r="C24" s="214">
        <v>0</v>
      </c>
      <c r="D24" s="215">
        <f t="shared" si="7"/>
        <v>0</v>
      </c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09"/>
      <c r="AX24" s="209"/>
      <c r="AY24" s="209"/>
      <c r="AZ24" s="209"/>
      <c r="BA24" s="209"/>
      <c r="BB24" s="209"/>
      <c r="BC24" s="209"/>
      <c r="BD24" s="209"/>
      <c r="BE24" s="209"/>
      <c r="BF24" s="209"/>
      <c r="BG24" s="209"/>
      <c r="BH24" s="209"/>
      <c r="BI24" s="209"/>
      <c r="BJ24" s="209"/>
      <c r="BK24" s="209"/>
      <c r="BL24" s="209"/>
      <c r="BM24" s="209"/>
      <c r="BN24" s="209"/>
      <c r="BO24" s="209"/>
      <c r="BP24" s="209"/>
      <c r="BQ24" s="204">
        <f t="shared" si="3"/>
        <v>0</v>
      </c>
      <c r="BR24" s="204">
        <f t="shared" si="2"/>
        <v>0</v>
      </c>
      <c r="BS24" s="194">
        <v>1.92</v>
      </c>
      <c r="BT24" s="216">
        <f t="shared" si="4"/>
        <v>0</v>
      </c>
      <c r="BU24" s="217"/>
      <c r="BV24" s="218">
        <f t="shared" si="5"/>
        <v>0</v>
      </c>
      <c r="BW24" s="194"/>
    </row>
    <row r="25" spans="1:75" ht="15.75" customHeight="1" x14ac:dyDescent="0.25">
      <c r="A25" s="323"/>
      <c r="B25" s="213" t="s">
        <v>12229</v>
      </c>
      <c r="C25" s="214">
        <v>71</v>
      </c>
      <c r="D25" s="215">
        <f t="shared" si="7"/>
        <v>71</v>
      </c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9"/>
      <c r="AU25" s="209"/>
      <c r="AV25" s="209"/>
      <c r="AW25" s="209"/>
      <c r="AX25" s="209"/>
      <c r="AY25" s="209"/>
      <c r="AZ25" s="209"/>
      <c r="BA25" s="209"/>
      <c r="BB25" s="209"/>
      <c r="BC25" s="209"/>
      <c r="BD25" s="209"/>
      <c r="BE25" s="209"/>
      <c r="BF25" s="209"/>
      <c r="BG25" s="209"/>
      <c r="BH25" s="209"/>
      <c r="BI25" s="209"/>
      <c r="BJ25" s="209"/>
      <c r="BK25" s="209"/>
      <c r="BL25" s="209"/>
      <c r="BM25" s="209"/>
      <c r="BN25" s="209"/>
      <c r="BO25" s="209"/>
      <c r="BP25" s="209"/>
      <c r="BQ25" s="204">
        <f t="shared" si="3"/>
        <v>0</v>
      </c>
      <c r="BR25" s="204">
        <f t="shared" si="2"/>
        <v>0</v>
      </c>
      <c r="BS25" s="194">
        <v>1.92</v>
      </c>
      <c r="BT25" s="216">
        <f t="shared" si="4"/>
        <v>136.32</v>
      </c>
      <c r="BU25" s="217">
        <v>101000</v>
      </c>
      <c r="BV25" s="218">
        <f t="shared" si="5"/>
        <v>13768320</v>
      </c>
      <c r="BW25" s="194"/>
    </row>
    <row r="26" spans="1:75" ht="15.75" customHeight="1" x14ac:dyDescent="0.25">
      <c r="A26" s="323"/>
      <c r="B26" s="213" t="s">
        <v>522</v>
      </c>
      <c r="C26" s="214">
        <v>4</v>
      </c>
      <c r="D26" s="215">
        <f t="shared" si="7"/>
        <v>4</v>
      </c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09"/>
      <c r="AX26" s="209"/>
      <c r="AY26" s="209"/>
      <c r="AZ26" s="209"/>
      <c r="BA26" s="209"/>
      <c r="BB26" s="209"/>
      <c r="BC26" s="209"/>
      <c r="BD26" s="209"/>
      <c r="BE26" s="209"/>
      <c r="BF26" s="209"/>
      <c r="BG26" s="209"/>
      <c r="BH26" s="209"/>
      <c r="BI26" s="209"/>
      <c r="BJ26" s="209"/>
      <c r="BK26" s="209"/>
      <c r="BL26" s="209"/>
      <c r="BM26" s="209"/>
      <c r="BN26" s="209"/>
      <c r="BO26" s="209"/>
      <c r="BP26" s="209"/>
      <c r="BQ26" s="204">
        <f t="shared" si="3"/>
        <v>0</v>
      </c>
      <c r="BR26" s="204">
        <f t="shared" si="2"/>
        <v>0</v>
      </c>
      <c r="BS26" s="194">
        <v>1.92</v>
      </c>
      <c r="BT26" s="216">
        <f t="shared" si="4"/>
        <v>7.68</v>
      </c>
      <c r="BU26" s="217">
        <v>106000</v>
      </c>
      <c r="BV26" s="218">
        <f t="shared" si="5"/>
        <v>814080</v>
      </c>
      <c r="BW26" s="194"/>
    </row>
    <row r="27" spans="1:75" ht="15.75" customHeight="1" x14ac:dyDescent="0.25">
      <c r="A27" s="322"/>
      <c r="B27" s="213" t="s">
        <v>524</v>
      </c>
      <c r="C27" s="214">
        <v>20</v>
      </c>
      <c r="D27" s="215">
        <f t="shared" si="7"/>
        <v>9</v>
      </c>
      <c r="E27" s="209">
        <v>1</v>
      </c>
      <c r="F27" s="209">
        <v>12</v>
      </c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209"/>
      <c r="AO27" s="209"/>
      <c r="AP27" s="209"/>
      <c r="AQ27" s="209"/>
      <c r="AR27" s="209"/>
      <c r="AS27" s="209"/>
      <c r="AT27" s="209"/>
      <c r="AU27" s="209"/>
      <c r="AV27" s="209"/>
      <c r="AW27" s="209"/>
      <c r="AX27" s="209"/>
      <c r="AY27" s="209"/>
      <c r="AZ27" s="209"/>
      <c r="BA27" s="209"/>
      <c r="BB27" s="209"/>
      <c r="BC27" s="209"/>
      <c r="BD27" s="209"/>
      <c r="BE27" s="209"/>
      <c r="BF27" s="209"/>
      <c r="BG27" s="209"/>
      <c r="BH27" s="209"/>
      <c r="BI27" s="209"/>
      <c r="BJ27" s="209"/>
      <c r="BK27" s="209"/>
      <c r="BL27" s="209"/>
      <c r="BM27" s="209"/>
      <c r="BN27" s="209"/>
      <c r="BO27" s="209"/>
      <c r="BP27" s="209"/>
      <c r="BQ27" s="204">
        <f t="shared" si="3"/>
        <v>1</v>
      </c>
      <c r="BR27" s="204">
        <f t="shared" si="2"/>
        <v>12</v>
      </c>
      <c r="BS27" s="194">
        <v>1.92</v>
      </c>
      <c r="BT27" s="216">
        <f t="shared" si="4"/>
        <v>17.28</v>
      </c>
      <c r="BU27" s="217">
        <v>106000</v>
      </c>
      <c r="BV27" s="218">
        <f t="shared" si="5"/>
        <v>1831680.0000000002</v>
      </c>
      <c r="BW27" s="194"/>
    </row>
    <row r="28" spans="1:75" x14ac:dyDescent="0.25">
      <c r="A28" s="220"/>
      <c r="B28" s="221"/>
      <c r="C28" s="214"/>
      <c r="D28" s="215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09"/>
      <c r="BB28" s="209"/>
      <c r="BC28" s="209"/>
      <c r="BD28" s="209"/>
      <c r="BE28" s="209"/>
      <c r="BF28" s="209"/>
      <c r="BG28" s="209"/>
      <c r="BH28" s="209"/>
      <c r="BI28" s="209"/>
      <c r="BJ28" s="209"/>
      <c r="BK28" s="209"/>
      <c r="BL28" s="209"/>
      <c r="BM28" s="209"/>
      <c r="BN28" s="209"/>
      <c r="BO28" s="209"/>
      <c r="BP28" s="209"/>
      <c r="BQ28" s="204">
        <f t="shared" si="3"/>
        <v>0</v>
      </c>
      <c r="BR28" s="204">
        <f t="shared" si="2"/>
        <v>0</v>
      </c>
      <c r="BS28" s="194">
        <v>1.92</v>
      </c>
      <c r="BT28" s="216">
        <f t="shared" si="4"/>
        <v>0</v>
      </c>
      <c r="BU28" s="217"/>
      <c r="BV28" s="218">
        <f t="shared" si="5"/>
        <v>0</v>
      </c>
      <c r="BW28" s="194"/>
    </row>
    <row r="29" spans="1:75" ht="18" customHeight="1" x14ac:dyDescent="0.25">
      <c r="A29" s="321" t="s">
        <v>525</v>
      </c>
      <c r="B29" s="213" t="s">
        <v>528</v>
      </c>
      <c r="C29" s="214">
        <v>41.33</v>
      </c>
      <c r="D29" s="215">
        <f t="shared" si="7"/>
        <v>41.33</v>
      </c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09"/>
      <c r="AL29" s="209"/>
      <c r="AM29" s="209"/>
      <c r="AN29" s="209"/>
      <c r="AO29" s="209"/>
      <c r="AP29" s="209"/>
      <c r="AQ29" s="209"/>
      <c r="AR29" s="209"/>
      <c r="AS29" s="209"/>
      <c r="AT29" s="209"/>
      <c r="AU29" s="209"/>
      <c r="AV29" s="209"/>
      <c r="AW29" s="209"/>
      <c r="AX29" s="209"/>
      <c r="AY29" s="209"/>
      <c r="AZ29" s="209"/>
      <c r="BA29" s="209"/>
      <c r="BB29" s="209"/>
      <c r="BC29" s="209"/>
      <c r="BD29" s="209"/>
      <c r="BE29" s="209"/>
      <c r="BF29" s="209"/>
      <c r="BG29" s="209"/>
      <c r="BH29" s="209"/>
      <c r="BI29" s="209"/>
      <c r="BJ29" s="209"/>
      <c r="BK29" s="209"/>
      <c r="BL29" s="209"/>
      <c r="BM29" s="209"/>
      <c r="BN29" s="209"/>
      <c r="BO29" s="209"/>
      <c r="BP29" s="209"/>
      <c r="BQ29" s="204">
        <f t="shared" si="3"/>
        <v>0</v>
      </c>
      <c r="BR29" s="204">
        <f t="shared" si="2"/>
        <v>0</v>
      </c>
      <c r="BS29" s="194">
        <v>1.92</v>
      </c>
      <c r="BT29" s="216">
        <f t="shared" si="4"/>
        <v>79.3536</v>
      </c>
      <c r="BU29" s="222">
        <v>106000</v>
      </c>
      <c r="BV29" s="218">
        <f t="shared" si="5"/>
        <v>8411481.5999999996</v>
      </c>
      <c r="BW29" s="194"/>
    </row>
    <row r="30" spans="1:75" ht="21" customHeight="1" x14ac:dyDescent="0.25">
      <c r="A30" s="322"/>
      <c r="B30" s="213" t="s">
        <v>527</v>
      </c>
      <c r="C30" s="214">
        <v>32</v>
      </c>
      <c r="D30" s="215">
        <f t="shared" si="7"/>
        <v>32</v>
      </c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09"/>
      <c r="BB30" s="209"/>
      <c r="BC30" s="209"/>
      <c r="BD30" s="209"/>
      <c r="BE30" s="209"/>
      <c r="BF30" s="209"/>
      <c r="BG30" s="209"/>
      <c r="BH30" s="209"/>
      <c r="BI30" s="209"/>
      <c r="BJ30" s="209"/>
      <c r="BK30" s="209"/>
      <c r="BL30" s="209"/>
      <c r="BM30" s="209"/>
      <c r="BN30" s="209"/>
      <c r="BO30" s="209"/>
      <c r="BP30" s="209"/>
      <c r="BQ30" s="204">
        <f t="shared" si="3"/>
        <v>0</v>
      </c>
      <c r="BR30" s="204">
        <f t="shared" si="2"/>
        <v>0</v>
      </c>
      <c r="BS30" s="194">
        <v>1.92</v>
      </c>
      <c r="BT30" s="216">
        <f t="shared" si="4"/>
        <v>61.44</v>
      </c>
      <c r="BU30" s="222">
        <v>106000</v>
      </c>
      <c r="BV30" s="218">
        <f t="shared" si="5"/>
        <v>6512640</v>
      </c>
      <c r="BW30" s="194"/>
    </row>
    <row r="31" spans="1:75" ht="18" customHeight="1" x14ac:dyDescent="0.25">
      <c r="A31" s="219"/>
      <c r="B31" s="213"/>
      <c r="C31" s="214">
        <v>0</v>
      </c>
      <c r="D31" s="215">
        <f t="shared" si="7"/>
        <v>0</v>
      </c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09"/>
      <c r="AN31" s="209"/>
      <c r="AO31" s="209"/>
      <c r="AP31" s="209"/>
      <c r="AQ31" s="209"/>
      <c r="AR31" s="209"/>
      <c r="AS31" s="209"/>
      <c r="AT31" s="209"/>
      <c r="AU31" s="209"/>
      <c r="AV31" s="209"/>
      <c r="AW31" s="209"/>
      <c r="AX31" s="209"/>
      <c r="AY31" s="209"/>
      <c r="AZ31" s="209"/>
      <c r="BA31" s="209"/>
      <c r="BB31" s="209"/>
      <c r="BC31" s="209"/>
      <c r="BD31" s="209"/>
      <c r="BE31" s="209"/>
      <c r="BF31" s="209"/>
      <c r="BG31" s="209"/>
      <c r="BH31" s="209"/>
      <c r="BI31" s="209"/>
      <c r="BJ31" s="209"/>
      <c r="BK31" s="209"/>
      <c r="BL31" s="209"/>
      <c r="BM31" s="209"/>
      <c r="BN31" s="209"/>
      <c r="BO31" s="209"/>
      <c r="BP31" s="209"/>
      <c r="BQ31" s="204">
        <f t="shared" si="3"/>
        <v>0</v>
      </c>
      <c r="BR31" s="204">
        <f t="shared" si="2"/>
        <v>0</v>
      </c>
      <c r="BS31" s="194">
        <v>1.92</v>
      </c>
      <c r="BT31" s="216">
        <f t="shared" si="4"/>
        <v>0</v>
      </c>
      <c r="BU31" s="217"/>
      <c r="BV31" s="218">
        <f t="shared" si="5"/>
        <v>0</v>
      </c>
      <c r="BW31" s="194"/>
    </row>
    <row r="32" spans="1:75" ht="18" customHeight="1" x14ac:dyDescent="0.25">
      <c r="A32" s="321" t="s">
        <v>228</v>
      </c>
      <c r="B32" s="213" t="s">
        <v>530</v>
      </c>
      <c r="C32" s="214">
        <v>0.33400000000000318</v>
      </c>
      <c r="D32" s="215">
        <f t="shared" si="7"/>
        <v>0.33400000000000318</v>
      </c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09"/>
      <c r="AX32" s="209"/>
      <c r="AY32" s="209"/>
      <c r="AZ32" s="209"/>
      <c r="BA32" s="209"/>
      <c r="BB32" s="209"/>
      <c r="BC32" s="209"/>
      <c r="BD32" s="209"/>
      <c r="BE32" s="209"/>
      <c r="BF32" s="209"/>
      <c r="BG32" s="209"/>
      <c r="BH32" s="209"/>
      <c r="BI32" s="209"/>
      <c r="BJ32" s="209"/>
      <c r="BK32" s="209"/>
      <c r="BL32" s="209"/>
      <c r="BM32" s="209"/>
      <c r="BN32" s="209"/>
      <c r="BO32" s="209"/>
      <c r="BP32" s="209"/>
      <c r="BQ32" s="204">
        <f t="shared" si="3"/>
        <v>0</v>
      </c>
      <c r="BR32" s="204">
        <f t="shared" si="2"/>
        <v>0</v>
      </c>
      <c r="BS32" s="194">
        <v>1.5</v>
      </c>
      <c r="BT32" s="216">
        <f t="shared" si="4"/>
        <v>0.50100000000000477</v>
      </c>
      <c r="BU32" s="217">
        <v>63000</v>
      </c>
      <c r="BV32" s="218">
        <f t="shared" si="5"/>
        <v>31563.000000000302</v>
      </c>
      <c r="BW32" s="194"/>
    </row>
    <row r="33" spans="1:75" ht="18" customHeight="1" x14ac:dyDescent="0.25">
      <c r="A33" s="323"/>
      <c r="B33" s="213" t="s">
        <v>531</v>
      </c>
      <c r="C33" s="214">
        <v>-0.30000000000001137</v>
      </c>
      <c r="D33" s="215">
        <f t="shared" si="7"/>
        <v>-0.30000000000001137</v>
      </c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09"/>
      <c r="AP33" s="209"/>
      <c r="AQ33" s="209"/>
      <c r="AR33" s="209"/>
      <c r="AS33" s="209"/>
      <c r="AT33" s="209"/>
      <c r="AU33" s="209"/>
      <c r="AV33" s="209"/>
      <c r="AW33" s="209"/>
      <c r="AX33" s="209"/>
      <c r="AY33" s="209"/>
      <c r="AZ33" s="209"/>
      <c r="BA33" s="209"/>
      <c r="BB33" s="209"/>
      <c r="BC33" s="209"/>
      <c r="BD33" s="209"/>
      <c r="BE33" s="209"/>
      <c r="BF33" s="209"/>
      <c r="BG33" s="209"/>
      <c r="BH33" s="209"/>
      <c r="BI33" s="209"/>
      <c r="BJ33" s="209"/>
      <c r="BK33" s="209"/>
      <c r="BL33" s="209"/>
      <c r="BM33" s="209"/>
      <c r="BN33" s="209"/>
      <c r="BO33" s="209"/>
      <c r="BP33" s="209"/>
      <c r="BQ33" s="204">
        <f t="shared" si="3"/>
        <v>0</v>
      </c>
      <c r="BR33" s="204">
        <f t="shared" si="2"/>
        <v>0</v>
      </c>
      <c r="BS33" s="194">
        <v>1.5</v>
      </c>
      <c r="BT33" s="216">
        <f t="shared" si="4"/>
        <v>-0.45000000000001705</v>
      </c>
      <c r="BU33" s="217">
        <v>63000</v>
      </c>
      <c r="BV33" s="218">
        <f t="shared" si="5"/>
        <v>-28350.000000001073</v>
      </c>
      <c r="BW33" s="194"/>
    </row>
    <row r="34" spans="1:75" ht="18" customHeight="1" x14ac:dyDescent="0.25">
      <c r="A34" s="323"/>
      <c r="B34" s="213" t="s">
        <v>532</v>
      </c>
      <c r="C34" s="214">
        <v>193.5</v>
      </c>
      <c r="D34" s="215">
        <f t="shared" si="7"/>
        <v>183.5</v>
      </c>
      <c r="E34" s="209"/>
      <c r="F34" s="209"/>
      <c r="G34" s="209"/>
      <c r="H34" s="209">
        <v>10</v>
      </c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09"/>
      <c r="AX34" s="209"/>
      <c r="AY34" s="209"/>
      <c r="AZ34" s="209"/>
      <c r="BA34" s="209"/>
      <c r="BB34" s="209"/>
      <c r="BC34" s="209"/>
      <c r="BD34" s="209"/>
      <c r="BE34" s="209"/>
      <c r="BF34" s="209"/>
      <c r="BG34" s="209"/>
      <c r="BH34" s="209"/>
      <c r="BI34" s="209"/>
      <c r="BJ34" s="209"/>
      <c r="BK34" s="209"/>
      <c r="BL34" s="209"/>
      <c r="BM34" s="209"/>
      <c r="BN34" s="209"/>
      <c r="BO34" s="209"/>
      <c r="BP34" s="209"/>
      <c r="BQ34" s="204">
        <f t="shared" si="3"/>
        <v>0</v>
      </c>
      <c r="BR34" s="204">
        <f t="shared" si="2"/>
        <v>10</v>
      </c>
      <c r="BS34" s="194">
        <v>1.5</v>
      </c>
      <c r="BT34" s="216">
        <f t="shared" si="4"/>
        <v>275.25</v>
      </c>
      <c r="BU34" s="217">
        <v>63000</v>
      </c>
      <c r="BV34" s="218">
        <f t="shared" si="5"/>
        <v>17340750</v>
      </c>
      <c r="BW34" s="194"/>
    </row>
    <row r="35" spans="1:75" ht="17.25" customHeight="1" x14ac:dyDescent="0.25">
      <c r="A35" s="323"/>
      <c r="B35" s="213" t="s">
        <v>2257</v>
      </c>
      <c r="C35" s="214">
        <v>3.0000000000001137</v>
      </c>
      <c r="D35" s="215">
        <f t="shared" si="7"/>
        <v>3.0000000000001137</v>
      </c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209"/>
      <c r="AU35" s="209"/>
      <c r="AV35" s="209"/>
      <c r="AW35" s="209"/>
      <c r="AX35" s="209"/>
      <c r="AY35" s="209"/>
      <c r="AZ35" s="209"/>
      <c r="BA35" s="209"/>
      <c r="BB35" s="209"/>
      <c r="BC35" s="209"/>
      <c r="BD35" s="209"/>
      <c r="BE35" s="209"/>
      <c r="BF35" s="209"/>
      <c r="BG35" s="209"/>
      <c r="BH35" s="209"/>
      <c r="BI35" s="209"/>
      <c r="BJ35" s="209"/>
      <c r="BK35" s="209"/>
      <c r="BL35" s="209"/>
      <c r="BM35" s="209"/>
      <c r="BN35" s="209"/>
      <c r="BO35" s="209"/>
      <c r="BP35" s="209"/>
      <c r="BQ35" s="204">
        <f t="shared" si="3"/>
        <v>0</v>
      </c>
      <c r="BR35" s="204">
        <f t="shared" si="2"/>
        <v>0</v>
      </c>
      <c r="BS35" s="194">
        <v>1.5</v>
      </c>
      <c r="BT35" s="216">
        <f t="shared" si="4"/>
        <v>4.5000000000001705</v>
      </c>
      <c r="BU35" s="217">
        <v>63000</v>
      </c>
      <c r="BV35" s="218">
        <f t="shared" si="5"/>
        <v>283500.00000001077</v>
      </c>
      <c r="BW35" s="194"/>
    </row>
    <row r="36" spans="1:75" ht="18" customHeight="1" x14ac:dyDescent="0.25">
      <c r="A36" s="322"/>
      <c r="B36" s="213" t="s">
        <v>535</v>
      </c>
      <c r="C36" s="214">
        <v>0.32999999999998408</v>
      </c>
      <c r="D36" s="215">
        <f t="shared" si="7"/>
        <v>0.32999999999998408</v>
      </c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09"/>
      <c r="AX36" s="209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  <c r="BM36" s="209"/>
      <c r="BN36" s="209"/>
      <c r="BO36" s="209"/>
      <c r="BP36" s="209"/>
      <c r="BQ36" s="204">
        <f t="shared" si="3"/>
        <v>0</v>
      </c>
      <c r="BR36" s="204">
        <f t="shared" si="2"/>
        <v>0</v>
      </c>
      <c r="BS36" s="194">
        <v>1.5</v>
      </c>
      <c r="BT36" s="216">
        <f t="shared" si="4"/>
        <v>0.49499999999997613</v>
      </c>
      <c r="BU36" s="217">
        <v>65000</v>
      </c>
      <c r="BV36" s="218">
        <f t="shared" si="5"/>
        <v>32174.999999998447</v>
      </c>
      <c r="BW36" s="194"/>
    </row>
    <row r="37" spans="1:75" ht="18" customHeight="1" x14ac:dyDescent="0.25">
      <c r="A37" s="219"/>
      <c r="B37" s="213" t="s">
        <v>533</v>
      </c>
      <c r="C37" s="214">
        <v>6.67</v>
      </c>
      <c r="D37" s="215">
        <f t="shared" si="7"/>
        <v>6.67</v>
      </c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  <c r="AG37" s="209"/>
      <c r="AH37" s="209"/>
      <c r="AI37" s="209"/>
      <c r="AJ37" s="209"/>
      <c r="AK37" s="209"/>
      <c r="AL37" s="209"/>
      <c r="AM37" s="209"/>
      <c r="AN37" s="209"/>
      <c r="AO37" s="209"/>
      <c r="AP37" s="209"/>
      <c r="AQ37" s="209"/>
      <c r="AR37" s="209"/>
      <c r="AS37" s="209"/>
      <c r="AT37" s="209"/>
      <c r="AU37" s="209"/>
      <c r="AV37" s="209"/>
      <c r="AW37" s="209"/>
      <c r="AX37" s="209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  <c r="BM37" s="209"/>
      <c r="BN37" s="209"/>
      <c r="BO37" s="209"/>
      <c r="BP37" s="209"/>
      <c r="BQ37" s="204">
        <f t="shared" si="3"/>
        <v>0</v>
      </c>
      <c r="BR37" s="204">
        <f t="shared" si="2"/>
        <v>0</v>
      </c>
      <c r="BS37" s="194">
        <v>1.5</v>
      </c>
      <c r="BT37" s="216">
        <f t="shared" si="4"/>
        <v>10.004999999999999</v>
      </c>
      <c r="BU37" s="217"/>
      <c r="BV37" s="218">
        <f t="shared" si="5"/>
        <v>0</v>
      </c>
      <c r="BW37" s="194"/>
    </row>
    <row r="38" spans="1:75" ht="18" customHeight="1" x14ac:dyDescent="0.25">
      <c r="A38" s="321" t="s">
        <v>223</v>
      </c>
      <c r="B38" s="213" t="s">
        <v>537</v>
      </c>
      <c r="C38" s="214">
        <v>22</v>
      </c>
      <c r="D38" s="215">
        <f t="shared" si="7"/>
        <v>22</v>
      </c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09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  <c r="BN38" s="209"/>
      <c r="BO38" s="209"/>
      <c r="BP38" s="209"/>
      <c r="BQ38" s="204">
        <f t="shared" si="3"/>
        <v>0</v>
      </c>
      <c r="BR38" s="204">
        <f t="shared" si="2"/>
        <v>0</v>
      </c>
      <c r="BS38" s="194">
        <v>1.5</v>
      </c>
      <c r="BT38" s="216">
        <f t="shared" si="4"/>
        <v>33</v>
      </c>
      <c r="BU38" s="217">
        <v>65000</v>
      </c>
      <c r="BV38" s="218">
        <f t="shared" si="5"/>
        <v>2145000</v>
      </c>
      <c r="BW38" s="194"/>
    </row>
    <row r="39" spans="1:75" ht="18" customHeight="1" x14ac:dyDescent="0.25">
      <c r="A39" s="323"/>
      <c r="B39" s="221" t="s">
        <v>538</v>
      </c>
      <c r="C39" s="214">
        <v>167</v>
      </c>
      <c r="D39" s="215">
        <f t="shared" si="7"/>
        <v>167</v>
      </c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9"/>
      <c r="AU39" s="209"/>
      <c r="AV39" s="209"/>
      <c r="AW39" s="209"/>
      <c r="AX39" s="209"/>
      <c r="AY39" s="209"/>
      <c r="AZ39" s="209"/>
      <c r="BA39" s="209"/>
      <c r="BB39" s="209"/>
      <c r="BC39" s="209"/>
      <c r="BD39" s="209"/>
      <c r="BE39" s="209"/>
      <c r="BF39" s="209"/>
      <c r="BG39" s="209"/>
      <c r="BH39" s="209"/>
      <c r="BI39" s="209"/>
      <c r="BJ39" s="209"/>
      <c r="BK39" s="209"/>
      <c r="BL39" s="209"/>
      <c r="BM39" s="209"/>
      <c r="BN39" s="209"/>
      <c r="BO39" s="209"/>
      <c r="BP39" s="209"/>
      <c r="BQ39" s="204">
        <f t="shared" si="3"/>
        <v>0</v>
      </c>
      <c r="BR39" s="204">
        <f t="shared" si="2"/>
        <v>0</v>
      </c>
      <c r="BS39" s="194">
        <v>1.5</v>
      </c>
      <c r="BT39" s="216">
        <f t="shared" si="4"/>
        <v>250.5</v>
      </c>
      <c r="BU39" s="217">
        <v>65000</v>
      </c>
      <c r="BV39" s="218">
        <f t="shared" si="5"/>
        <v>16282500</v>
      </c>
      <c r="BW39" s="194"/>
    </row>
    <row r="40" spans="1:75" ht="12.75" customHeight="1" x14ac:dyDescent="0.25">
      <c r="A40" s="323"/>
      <c r="B40" s="213" t="s">
        <v>539</v>
      </c>
      <c r="C40" s="214">
        <v>204</v>
      </c>
      <c r="D40" s="215">
        <f t="shared" si="7"/>
        <v>204</v>
      </c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09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  <c r="BN40" s="209"/>
      <c r="BO40" s="209"/>
      <c r="BP40" s="209"/>
      <c r="BQ40" s="204">
        <f t="shared" si="3"/>
        <v>0</v>
      </c>
      <c r="BR40" s="204">
        <f t="shared" si="2"/>
        <v>0</v>
      </c>
      <c r="BS40" s="194">
        <v>1.5</v>
      </c>
      <c r="BT40" s="216">
        <f t="shared" si="4"/>
        <v>306</v>
      </c>
      <c r="BU40" s="217">
        <v>65000</v>
      </c>
      <c r="BV40" s="218">
        <f t="shared" si="5"/>
        <v>19890000</v>
      </c>
      <c r="BW40" s="194"/>
    </row>
    <row r="41" spans="1:75" ht="22.5" customHeight="1" x14ac:dyDescent="0.25">
      <c r="A41" s="323"/>
      <c r="B41" s="213" t="s">
        <v>541</v>
      </c>
      <c r="C41" s="214">
        <v>65</v>
      </c>
      <c r="D41" s="215">
        <f t="shared" si="7"/>
        <v>65</v>
      </c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09"/>
      <c r="AW41" s="209"/>
      <c r="AX41" s="209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  <c r="BM41" s="209"/>
      <c r="BN41" s="209"/>
      <c r="BO41" s="209"/>
      <c r="BP41" s="209"/>
      <c r="BQ41" s="204">
        <f t="shared" si="3"/>
        <v>0</v>
      </c>
      <c r="BR41" s="204">
        <f t="shared" si="2"/>
        <v>0</v>
      </c>
      <c r="BS41" s="194">
        <v>1.5</v>
      </c>
      <c r="BT41" s="216">
        <f t="shared" si="4"/>
        <v>97.5</v>
      </c>
      <c r="BU41" s="217">
        <v>63000</v>
      </c>
      <c r="BV41" s="218">
        <f t="shared" si="5"/>
        <v>6142500</v>
      </c>
      <c r="BW41" s="194"/>
    </row>
    <row r="42" spans="1:75" ht="18" customHeight="1" x14ac:dyDescent="0.25">
      <c r="A42" s="323"/>
      <c r="B42" s="213" t="s">
        <v>226</v>
      </c>
      <c r="C42" s="214">
        <v>47</v>
      </c>
      <c r="D42" s="215">
        <f t="shared" si="7"/>
        <v>47</v>
      </c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09"/>
      <c r="AX42" s="209"/>
      <c r="AY42" s="209"/>
      <c r="AZ42" s="209"/>
      <c r="BA42" s="209"/>
      <c r="BB42" s="209"/>
      <c r="BC42" s="209"/>
      <c r="BD42" s="209"/>
      <c r="BE42" s="209"/>
      <c r="BF42" s="209"/>
      <c r="BG42" s="209"/>
      <c r="BH42" s="209"/>
      <c r="BI42" s="209"/>
      <c r="BJ42" s="209"/>
      <c r="BK42" s="209"/>
      <c r="BL42" s="209"/>
      <c r="BM42" s="209"/>
      <c r="BN42" s="209"/>
      <c r="BO42" s="209"/>
      <c r="BP42" s="209"/>
      <c r="BQ42" s="204">
        <f t="shared" si="3"/>
        <v>0</v>
      </c>
      <c r="BR42" s="204">
        <f t="shared" si="2"/>
        <v>0</v>
      </c>
      <c r="BS42" s="194">
        <v>1.5</v>
      </c>
      <c r="BT42" s="216">
        <f t="shared" si="4"/>
        <v>70.5</v>
      </c>
      <c r="BU42" s="217">
        <v>63000</v>
      </c>
      <c r="BV42" s="218">
        <f t="shared" si="5"/>
        <v>4441500</v>
      </c>
      <c r="BW42" s="194"/>
    </row>
    <row r="43" spans="1:75" ht="18" customHeight="1" x14ac:dyDescent="0.25">
      <c r="A43" s="322"/>
      <c r="B43" s="213" t="s">
        <v>227</v>
      </c>
      <c r="C43" s="214">
        <v>338</v>
      </c>
      <c r="D43" s="215">
        <f t="shared" si="7"/>
        <v>338</v>
      </c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  <c r="AF43" s="209"/>
      <c r="AG43" s="209"/>
      <c r="AH43" s="209"/>
      <c r="AI43" s="209"/>
      <c r="AJ43" s="209"/>
      <c r="AK43" s="209"/>
      <c r="AL43" s="209"/>
      <c r="AM43" s="209"/>
      <c r="AN43" s="209"/>
      <c r="AO43" s="209"/>
      <c r="AP43" s="209"/>
      <c r="AQ43" s="209"/>
      <c r="AR43" s="209"/>
      <c r="AS43" s="209"/>
      <c r="AT43" s="209"/>
      <c r="AU43" s="209"/>
      <c r="AV43" s="209"/>
      <c r="AW43" s="209"/>
      <c r="AX43" s="209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  <c r="BN43" s="209"/>
      <c r="BO43" s="209"/>
      <c r="BP43" s="209"/>
      <c r="BQ43" s="204">
        <f t="shared" si="3"/>
        <v>0</v>
      </c>
      <c r="BR43" s="204">
        <f t="shared" si="2"/>
        <v>0</v>
      </c>
      <c r="BS43" s="194">
        <v>1.5</v>
      </c>
      <c r="BT43" s="216">
        <f t="shared" si="4"/>
        <v>507</v>
      </c>
      <c r="BU43" s="217">
        <v>63000</v>
      </c>
      <c r="BV43" s="218">
        <f t="shared" si="5"/>
        <v>31941000</v>
      </c>
      <c r="BW43" s="194"/>
    </row>
    <row r="44" spans="1:75" ht="18" customHeight="1" x14ac:dyDescent="0.25">
      <c r="A44" s="219"/>
      <c r="B44" s="213"/>
      <c r="C44" s="214">
        <v>0</v>
      </c>
      <c r="D44" s="215">
        <f t="shared" si="7"/>
        <v>0</v>
      </c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09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  <c r="BN44" s="209"/>
      <c r="BO44" s="209"/>
      <c r="BP44" s="209"/>
      <c r="BQ44" s="204">
        <f t="shared" si="3"/>
        <v>0</v>
      </c>
      <c r="BR44" s="204">
        <f t="shared" si="2"/>
        <v>0</v>
      </c>
      <c r="BS44" s="194">
        <v>1.5</v>
      </c>
      <c r="BT44" s="216">
        <f t="shared" si="4"/>
        <v>0</v>
      </c>
      <c r="BU44" s="217"/>
      <c r="BV44" s="218">
        <f t="shared" si="5"/>
        <v>0</v>
      </c>
      <c r="BW44" s="194"/>
    </row>
    <row r="45" spans="1:75" ht="18" customHeight="1" x14ac:dyDescent="0.25">
      <c r="A45" s="321" t="s">
        <v>219</v>
      </c>
      <c r="B45" s="213" t="s">
        <v>12228</v>
      </c>
      <c r="C45" s="214">
        <v>293.75</v>
      </c>
      <c r="D45" s="215">
        <f t="shared" si="7"/>
        <v>293.75</v>
      </c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  <c r="AA45" s="209"/>
      <c r="AB45" s="209"/>
      <c r="AC45" s="209"/>
      <c r="AD45" s="209"/>
      <c r="AE45" s="209"/>
      <c r="AF45" s="209"/>
      <c r="AG45" s="209"/>
      <c r="AH45" s="209"/>
      <c r="AI45" s="209"/>
      <c r="AJ45" s="209"/>
      <c r="AK45" s="209"/>
      <c r="AL45" s="209"/>
      <c r="AM45" s="209"/>
      <c r="AN45" s="209"/>
      <c r="AO45" s="209"/>
      <c r="AP45" s="209"/>
      <c r="AQ45" s="209"/>
      <c r="AR45" s="209"/>
      <c r="AS45" s="209"/>
      <c r="AT45" s="209"/>
      <c r="AU45" s="209"/>
      <c r="AV45" s="209"/>
      <c r="AW45" s="209"/>
      <c r="AX45" s="209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  <c r="BM45" s="209"/>
      <c r="BN45" s="209"/>
      <c r="BO45" s="209"/>
      <c r="BP45" s="209"/>
      <c r="BQ45" s="204">
        <f t="shared" si="3"/>
        <v>0</v>
      </c>
      <c r="BR45" s="204">
        <f t="shared" si="2"/>
        <v>0</v>
      </c>
      <c r="BS45" s="194">
        <v>1.44</v>
      </c>
      <c r="BT45" s="216">
        <f t="shared" si="4"/>
        <v>423</v>
      </c>
      <c r="BU45" s="217">
        <v>72000</v>
      </c>
      <c r="BV45" s="218">
        <f t="shared" si="5"/>
        <v>30456000</v>
      </c>
      <c r="BW45" s="194"/>
    </row>
    <row r="46" spans="1:75" ht="21" customHeight="1" x14ac:dyDescent="0.25">
      <c r="A46" s="323"/>
      <c r="B46" s="213" t="s">
        <v>542</v>
      </c>
      <c r="C46" s="214">
        <v>218</v>
      </c>
      <c r="D46" s="215">
        <f t="shared" si="7"/>
        <v>213</v>
      </c>
      <c r="E46" s="209"/>
      <c r="F46" s="209"/>
      <c r="G46" s="209"/>
      <c r="H46" s="209"/>
      <c r="I46" s="209"/>
      <c r="J46" s="209"/>
      <c r="K46" s="209"/>
      <c r="L46" s="209">
        <v>5</v>
      </c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09"/>
      <c r="AX46" s="209"/>
      <c r="AY46" s="209"/>
      <c r="AZ46" s="209"/>
      <c r="BA46" s="209"/>
      <c r="BB46" s="209"/>
      <c r="BC46" s="209"/>
      <c r="BD46" s="209"/>
      <c r="BE46" s="209"/>
      <c r="BF46" s="209"/>
      <c r="BG46" s="209"/>
      <c r="BH46" s="209"/>
      <c r="BI46" s="209"/>
      <c r="BJ46" s="209"/>
      <c r="BK46" s="209"/>
      <c r="BL46" s="209"/>
      <c r="BM46" s="209"/>
      <c r="BN46" s="209"/>
      <c r="BO46" s="209"/>
      <c r="BP46" s="209"/>
      <c r="BQ46" s="204">
        <f t="shared" si="3"/>
        <v>0</v>
      </c>
      <c r="BR46" s="204">
        <f t="shared" si="2"/>
        <v>5</v>
      </c>
      <c r="BS46" s="194">
        <v>1.44</v>
      </c>
      <c r="BT46" s="216">
        <f t="shared" si="4"/>
        <v>306.71999999999997</v>
      </c>
      <c r="BU46" s="217">
        <v>72000</v>
      </c>
      <c r="BV46" s="218">
        <f t="shared" si="5"/>
        <v>22083839.999999996</v>
      </c>
      <c r="BW46" s="194"/>
    </row>
    <row r="47" spans="1:75" ht="18" customHeight="1" x14ac:dyDescent="0.25">
      <c r="A47" s="323"/>
      <c r="B47" s="213" t="s">
        <v>543</v>
      </c>
      <c r="C47" s="214">
        <v>20.25</v>
      </c>
      <c r="D47" s="215">
        <f t="shared" si="7"/>
        <v>15.25</v>
      </c>
      <c r="E47" s="209"/>
      <c r="F47" s="209"/>
      <c r="G47" s="209"/>
      <c r="H47" s="209">
        <v>5</v>
      </c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09"/>
      <c r="AP47" s="209"/>
      <c r="AQ47" s="209"/>
      <c r="AR47" s="209"/>
      <c r="AS47" s="209"/>
      <c r="AT47" s="209"/>
      <c r="AU47" s="209"/>
      <c r="AV47" s="209"/>
      <c r="AW47" s="209"/>
      <c r="AX47" s="209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  <c r="BM47" s="209"/>
      <c r="BN47" s="209"/>
      <c r="BO47" s="209"/>
      <c r="BP47" s="209"/>
      <c r="BQ47" s="204">
        <f t="shared" si="3"/>
        <v>0</v>
      </c>
      <c r="BR47" s="204">
        <f t="shared" si="2"/>
        <v>5</v>
      </c>
      <c r="BS47" s="194">
        <v>1.44</v>
      </c>
      <c r="BT47" s="216">
        <f t="shared" si="4"/>
        <v>21.96</v>
      </c>
      <c r="BU47" s="217">
        <v>72000</v>
      </c>
      <c r="BV47" s="218">
        <f t="shared" si="5"/>
        <v>1581120</v>
      </c>
      <c r="BW47" s="194"/>
    </row>
    <row r="48" spans="1:75" ht="18" customHeight="1" x14ac:dyDescent="0.25">
      <c r="A48" s="323"/>
      <c r="B48" s="213" t="s">
        <v>545</v>
      </c>
      <c r="C48" s="214">
        <v>14</v>
      </c>
      <c r="D48" s="215">
        <f t="shared" si="7"/>
        <v>14</v>
      </c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09"/>
      <c r="AX48" s="209"/>
      <c r="AY48" s="209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  <c r="BM48" s="209"/>
      <c r="BN48" s="209"/>
      <c r="BO48" s="209"/>
      <c r="BP48" s="209"/>
      <c r="BQ48" s="204">
        <f t="shared" si="3"/>
        <v>0</v>
      </c>
      <c r="BR48" s="204">
        <f t="shared" si="2"/>
        <v>0</v>
      </c>
      <c r="BS48" s="194">
        <v>1.44</v>
      </c>
      <c r="BT48" s="216">
        <f t="shared" si="4"/>
        <v>20.16</v>
      </c>
      <c r="BU48" s="217">
        <v>72000</v>
      </c>
      <c r="BV48" s="218">
        <f t="shared" si="5"/>
        <v>1451520</v>
      </c>
      <c r="BW48" s="194"/>
    </row>
    <row r="49" spans="1:75" ht="18" customHeight="1" x14ac:dyDescent="0.25">
      <c r="A49" s="323"/>
      <c r="B49" s="213" t="s">
        <v>546</v>
      </c>
      <c r="C49" s="214">
        <v>42</v>
      </c>
      <c r="D49" s="215">
        <f t="shared" si="7"/>
        <v>42</v>
      </c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09"/>
      <c r="AG49" s="209"/>
      <c r="AH49" s="209"/>
      <c r="AI49" s="209"/>
      <c r="AJ49" s="209"/>
      <c r="AK49" s="209"/>
      <c r="AL49" s="209"/>
      <c r="AM49" s="209"/>
      <c r="AN49" s="209"/>
      <c r="AO49" s="209"/>
      <c r="AP49" s="209"/>
      <c r="AQ49" s="209"/>
      <c r="AR49" s="209"/>
      <c r="AS49" s="209"/>
      <c r="AT49" s="209"/>
      <c r="AU49" s="209"/>
      <c r="AV49" s="209"/>
      <c r="AW49" s="209"/>
      <c r="AX49" s="209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09"/>
      <c r="BM49" s="209"/>
      <c r="BN49" s="209"/>
      <c r="BO49" s="209"/>
      <c r="BP49" s="209"/>
      <c r="BQ49" s="204">
        <f t="shared" si="3"/>
        <v>0</v>
      </c>
      <c r="BR49" s="204">
        <f t="shared" si="2"/>
        <v>0</v>
      </c>
      <c r="BS49" s="194">
        <v>1.44</v>
      </c>
      <c r="BT49" s="216">
        <f t="shared" si="4"/>
        <v>60.48</v>
      </c>
      <c r="BU49" s="217">
        <v>72000</v>
      </c>
      <c r="BV49" s="218">
        <f t="shared" si="5"/>
        <v>4354560</v>
      </c>
      <c r="BW49" s="194"/>
    </row>
    <row r="50" spans="1:75" ht="18" customHeight="1" x14ac:dyDescent="0.25">
      <c r="A50" s="323"/>
      <c r="B50" s="213" t="s">
        <v>547</v>
      </c>
      <c r="C50" s="214">
        <v>12</v>
      </c>
      <c r="D50" s="215">
        <f t="shared" si="7"/>
        <v>12</v>
      </c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09"/>
      <c r="AX50" s="209"/>
      <c r="AY50" s="209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  <c r="BL50" s="209"/>
      <c r="BM50" s="209"/>
      <c r="BN50" s="209"/>
      <c r="BO50" s="209"/>
      <c r="BP50" s="209"/>
      <c r="BQ50" s="204">
        <f t="shared" si="3"/>
        <v>0</v>
      </c>
      <c r="BR50" s="204">
        <f t="shared" si="2"/>
        <v>0</v>
      </c>
      <c r="BS50" s="194">
        <v>1.44</v>
      </c>
      <c r="BT50" s="216">
        <f t="shared" si="4"/>
        <v>17.28</v>
      </c>
      <c r="BU50" s="217">
        <v>72000</v>
      </c>
      <c r="BV50" s="218">
        <f t="shared" si="5"/>
        <v>1244160</v>
      </c>
      <c r="BW50" s="194"/>
    </row>
    <row r="51" spans="1:75" ht="18" customHeight="1" x14ac:dyDescent="0.25">
      <c r="A51" s="323"/>
      <c r="B51" s="213" t="s">
        <v>548</v>
      </c>
      <c r="C51" s="214">
        <v>25</v>
      </c>
      <c r="D51" s="215">
        <f t="shared" si="7"/>
        <v>25</v>
      </c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209"/>
      <c r="AE51" s="209"/>
      <c r="AF51" s="209"/>
      <c r="AG51" s="209"/>
      <c r="AH51" s="209"/>
      <c r="AI51" s="209"/>
      <c r="AJ51" s="209"/>
      <c r="AK51" s="209"/>
      <c r="AL51" s="209"/>
      <c r="AM51" s="209"/>
      <c r="AN51" s="209"/>
      <c r="AO51" s="209"/>
      <c r="AP51" s="209"/>
      <c r="AQ51" s="209"/>
      <c r="AR51" s="209"/>
      <c r="AS51" s="209"/>
      <c r="AT51" s="209"/>
      <c r="AU51" s="209"/>
      <c r="AV51" s="209"/>
      <c r="AW51" s="209"/>
      <c r="AX51" s="209"/>
      <c r="AY51" s="209"/>
      <c r="AZ51" s="209"/>
      <c r="BA51" s="209"/>
      <c r="BB51" s="209"/>
      <c r="BC51" s="209"/>
      <c r="BD51" s="209"/>
      <c r="BE51" s="209"/>
      <c r="BF51" s="209"/>
      <c r="BG51" s="209"/>
      <c r="BH51" s="209"/>
      <c r="BI51" s="209"/>
      <c r="BJ51" s="209"/>
      <c r="BK51" s="209"/>
      <c r="BL51" s="209"/>
      <c r="BM51" s="209"/>
      <c r="BN51" s="209"/>
      <c r="BO51" s="209"/>
      <c r="BP51" s="209"/>
      <c r="BQ51" s="204">
        <f t="shared" si="3"/>
        <v>0</v>
      </c>
      <c r="BR51" s="204">
        <f t="shared" si="2"/>
        <v>0</v>
      </c>
      <c r="BS51" s="194">
        <v>1.44</v>
      </c>
      <c r="BT51" s="216">
        <f t="shared" si="4"/>
        <v>36</v>
      </c>
      <c r="BU51" s="217">
        <v>72000</v>
      </c>
      <c r="BV51" s="218">
        <f t="shared" si="5"/>
        <v>2592000</v>
      </c>
      <c r="BW51" s="194"/>
    </row>
    <row r="52" spans="1:75" ht="18" customHeight="1" x14ac:dyDescent="0.25">
      <c r="A52" s="323"/>
      <c r="B52" s="213" t="s">
        <v>12238</v>
      </c>
      <c r="C52" s="214">
        <v>163</v>
      </c>
      <c r="D52" s="215">
        <f t="shared" si="7"/>
        <v>163</v>
      </c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09"/>
      <c r="AX52" s="209"/>
      <c r="AY52" s="209"/>
      <c r="AZ52" s="209"/>
      <c r="BA52" s="209"/>
      <c r="BB52" s="209"/>
      <c r="BC52" s="209"/>
      <c r="BD52" s="209"/>
      <c r="BE52" s="209"/>
      <c r="BF52" s="209"/>
      <c r="BG52" s="209"/>
      <c r="BH52" s="209"/>
      <c r="BI52" s="209"/>
      <c r="BJ52" s="209"/>
      <c r="BK52" s="209"/>
      <c r="BL52" s="209"/>
      <c r="BM52" s="209"/>
      <c r="BN52" s="209"/>
      <c r="BO52" s="209"/>
      <c r="BP52" s="209"/>
      <c r="BQ52" s="204">
        <f t="shared" si="3"/>
        <v>0</v>
      </c>
      <c r="BR52" s="204">
        <f t="shared" si="2"/>
        <v>0</v>
      </c>
      <c r="BS52" s="194">
        <v>1.44</v>
      </c>
      <c r="BT52" s="216">
        <f t="shared" si="4"/>
        <v>234.72</v>
      </c>
      <c r="BU52" s="217">
        <v>74000</v>
      </c>
      <c r="BV52" s="218">
        <f t="shared" si="5"/>
        <v>17369280</v>
      </c>
      <c r="BW52" s="194"/>
    </row>
    <row r="53" spans="1:75" ht="18" customHeight="1" x14ac:dyDescent="0.25">
      <c r="A53" s="323"/>
      <c r="B53" s="221" t="s">
        <v>12239</v>
      </c>
      <c r="C53" s="214">
        <v>156.75</v>
      </c>
      <c r="D53" s="215">
        <f t="shared" si="7"/>
        <v>132.75</v>
      </c>
      <c r="E53" s="209"/>
      <c r="F53" s="209"/>
      <c r="G53" s="209"/>
      <c r="H53" s="209"/>
      <c r="I53" s="209"/>
      <c r="J53" s="209"/>
      <c r="K53" s="209"/>
      <c r="L53" s="209">
        <v>24</v>
      </c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  <c r="AA53" s="209"/>
      <c r="AB53" s="209"/>
      <c r="AC53" s="209"/>
      <c r="AD53" s="209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09"/>
      <c r="AP53" s="209"/>
      <c r="AQ53" s="209"/>
      <c r="AR53" s="209"/>
      <c r="AS53" s="209"/>
      <c r="AT53" s="209"/>
      <c r="AU53" s="209"/>
      <c r="AV53" s="209"/>
      <c r="AW53" s="209"/>
      <c r="AX53" s="209"/>
      <c r="AY53" s="209"/>
      <c r="AZ53" s="209"/>
      <c r="BA53" s="209"/>
      <c r="BB53" s="209"/>
      <c r="BC53" s="209"/>
      <c r="BD53" s="209"/>
      <c r="BE53" s="209"/>
      <c r="BF53" s="209"/>
      <c r="BG53" s="209"/>
      <c r="BH53" s="209"/>
      <c r="BI53" s="209"/>
      <c r="BJ53" s="209"/>
      <c r="BK53" s="209"/>
      <c r="BL53" s="209"/>
      <c r="BM53" s="209"/>
      <c r="BN53" s="209"/>
      <c r="BO53" s="209"/>
      <c r="BP53" s="209"/>
      <c r="BQ53" s="204">
        <f t="shared" si="3"/>
        <v>0</v>
      </c>
      <c r="BR53" s="204">
        <f t="shared" si="2"/>
        <v>24</v>
      </c>
      <c r="BS53" s="194">
        <v>1.44</v>
      </c>
      <c r="BT53" s="216">
        <f t="shared" si="4"/>
        <v>191.16</v>
      </c>
      <c r="BU53" s="217">
        <v>74000</v>
      </c>
      <c r="BV53" s="218">
        <f t="shared" si="5"/>
        <v>14145840</v>
      </c>
      <c r="BW53" s="194"/>
    </row>
    <row r="54" spans="1:75" ht="18" customHeight="1" x14ac:dyDescent="0.25">
      <c r="A54" s="323"/>
      <c r="B54" s="213" t="s">
        <v>550</v>
      </c>
      <c r="C54" s="214">
        <v>62</v>
      </c>
      <c r="D54" s="215">
        <f t="shared" si="7"/>
        <v>62</v>
      </c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09"/>
      <c r="AX54" s="209"/>
      <c r="AY54" s="209"/>
      <c r="AZ54" s="209"/>
      <c r="BA54" s="209"/>
      <c r="BB54" s="209"/>
      <c r="BC54" s="209"/>
      <c r="BD54" s="209"/>
      <c r="BE54" s="209"/>
      <c r="BF54" s="209"/>
      <c r="BG54" s="209"/>
      <c r="BH54" s="209"/>
      <c r="BI54" s="209"/>
      <c r="BJ54" s="209"/>
      <c r="BK54" s="209"/>
      <c r="BL54" s="209"/>
      <c r="BM54" s="209"/>
      <c r="BN54" s="209"/>
      <c r="BO54" s="209"/>
      <c r="BP54" s="209"/>
      <c r="BQ54" s="204">
        <f t="shared" si="3"/>
        <v>0</v>
      </c>
      <c r="BR54" s="204">
        <f t="shared" si="2"/>
        <v>0</v>
      </c>
      <c r="BS54" s="194">
        <v>1.44</v>
      </c>
      <c r="BT54" s="216">
        <f t="shared" si="4"/>
        <v>89.28</v>
      </c>
      <c r="BU54" s="217">
        <v>80000</v>
      </c>
      <c r="BV54" s="218">
        <f t="shared" si="5"/>
        <v>7142400</v>
      </c>
      <c r="BW54" s="194"/>
    </row>
    <row r="55" spans="1:75" ht="18" customHeight="1" x14ac:dyDescent="0.25">
      <c r="A55" s="322"/>
      <c r="B55" s="213" t="s">
        <v>551</v>
      </c>
      <c r="C55" s="214">
        <v>79</v>
      </c>
      <c r="D55" s="215">
        <f t="shared" si="7"/>
        <v>79</v>
      </c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09"/>
      <c r="AQ55" s="209"/>
      <c r="AR55" s="209"/>
      <c r="AS55" s="209"/>
      <c r="AT55" s="209"/>
      <c r="AU55" s="209"/>
      <c r="AV55" s="209"/>
      <c r="AW55" s="209"/>
      <c r="AX55" s="209"/>
      <c r="AY55" s="209"/>
      <c r="AZ55" s="209"/>
      <c r="BA55" s="209"/>
      <c r="BB55" s="209"/>
      <c r="BC55" s="209"/>
      <c r="BD55" s="209"/>
      <c r="BE55" s="209"/>
      <c r="BF55" s="209"/>
      <c r="BG55" s="209"/>
      <c r="BH55" s="209"/>
      <c r="BI55" s="209"/>
      <c r="BJ55" s="209"/>
      <c r="BK55" s="209"/>
      <c r="BL55" s="209"/>
      <c r="BM55" s="209"/>
      <c r="BN55" s="209"/>
      <c r="BO55" s="209"/>
      <c r="BP55" s="209"/>
      <c r="BQ55" s="204">
        <f t="shared" si="3"/>
        <v>0</v>
      </c>
      <c r="BR55" s="204">
        <f t="shared" si="2"/>
        <v>0</v>
      </c>
      <c r="BS55" s="194">
        <v>1.44</v>
      </c>
      <c r="BT55" s="216">
        <f t="shared" si="4"/>
        <v>113.75999999999999</v>
      </c>
      <c r="BU55" s="217">
        <v>86000</v>
      </c>
      <c r="BV55" s="218">
        <f t="shared" si="5"/>
        <v>9783360</v>
      </c>
      <c r="BW55" s="194"/>
    </row>
    <row r="56" spans="1:75" ht="26.25" customHeight="1" x14ac:dyDescent="0.25">
      <c r="A56" s="219"/>
      <c r="B56" s="213"/>
      <c r="C56" s="214">
        <v>0</v>
      </c>
      <c r="D56" s="215">
        <f t="shared" si="7"/>
        <v>0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09"/>
      <c r="AK56" s="209"/>
      <c r="AL56" s="209"/>
      <c r="AM56" s="209"/>
      <c r="AN56" s="209"/>
      <c r="AO56" s="209"/>
      <c r="AP56" s="209"/>
      <c r="AQ56" s="209"/>
      <c r="AR56" s="209"/>
      <c r="AS56" s="209"/>
      <c r="AT56" s="209"/>
      <c r="AU56" s="209"/>
      <c r="AV56" s="209"/>
      <c r="AW56" s="209"/>
      <c r="AX56" s="209"/>
      <c r="AY56" s="209"/>
      <c r="AZ56" s="209"/>
      <c r="BA56" s="209"/>
      <c r="BB56" s="209"/>
      <c r="BC56" s="209"/>
      <c r="BD56" s="209"/>
      <c r="BE56" s="209"/>
      <c r="BF56" s="209"/>
      <c r="BG56" s="209"/>
      <c r="BH56" s="209"/>
      <c r="BI56" s="209"/>
      <c r="BJ56" s="209"/>
      <c r="BK56" s="209"/>
      <c r="BL56" s="209"/>
      <c r="BM56" s="209"/>
      <c r="BN56" s="209"/>
      <c r="BO56" s="209"/>
      <c r="BP56" s="209"/>
      <c r="BQ56" s="204">
        <f t="shared" si="3"/>
        <v>0</v>
      </c>
      <c r="BR56" s="204">
        <f t="shared" si="2"/>
        <v>0</v>
      </c>
      <c r="BS56" s="194"/>
      <c r="BT56" s="216">
        <f t="shared" si="4"/>
        <v>0</v>
      </c>
      <c r="BU56" s="217"/>
      <c r="BV56" s="218">
        <f t="shared" si="5"/>
        <v>0</v>
      </c>
      <c r="BW56" s="194"/>
    </row>
    <row r="57" spans="1:75" ht="18" customHeight="1" x14ac:dyDescent="0.25">
      <c r="A57" s="219" t="s">
        <v>229</v>
      </c>
      <c r="B57" s="213" t="s">
        <v>552</v>
      </c>
      <c r="C57" s="214">
        <v>52.75</v>
      </c>
      <c r="D57" s="215">
        <f t="shared" si="7"/>
        <v>51.75</v>
      </c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>
        <v>1</v>
      </c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  <c r="AI57" s="209"/>
      <c r="AJ57" s="209"/>
      <c r="AK57" s="209"/>
      <c r="AL57" s="209"/>
      <c r="AM57" s="209"/>
      <c r="AN57" s="209"/>
      <c r="AO57" s="209"/>
      <c r="AP57" s="209"/>
      <c r="AQ57" s="209"/>
      <c r="AR57" s="209"/>
      <c r="AS57" s="209"/>
      <c r="AT57" s="209"/>
      <c r="AU57" s="209"/>
      <c r="AV57" s="209"/>
      <c r="AW57" s="209"/>
      <c r="AX57" s="209"/>
      <c r="AY57" s="209"/>
      <c r="AZ57" s="209"/>
      <c r="BA57" s="209"/>
      <c r="BB57" s="209"/>
      <c r="BC57" s="209"/>
      <c r="BD57" s="209"/>
      <c r="BE57" s="209"/>
      <c r="BF57" s="209"/>
      <c r="BG57" s="209"/>
      <c r="BH57" s="209"/>
      <c r="BI57" s="209"/>
      <c r="BJ57" s="209"/>
      <c r="BK57" s="209"/>
      <c r="BL57" s="209"/>
      <c r="BM57" s="209"/>
      <c r="BN57" s="209"/>
      <c r="BO57" s="209"/>
      <c r="BP57" s="209"/>
      <c r="BQ57" s="204">
        <f t="shared" si="3"/>
        <v>0</v>
      </c>
      <c r="BR57" s="204">
        <f t="shared" si="2"/>
        <v>1</v>
      </c>
      <c r="BS57" s="194">
        <v>1.44</v>
      </c>
      <c r="BT57" s="216">
        <f t="shared" si="4"/>
        <v>74.52</v>
      </c>
      <c r="BU57" s="217">
        <v>93500</v>
      </c>
      <c r="BV57" s="218">
        <f t="shared" si="5"/>
        <v>6967620</v>
      </c>
      <c r="BW57" s="194"/>
    </row>
    <row r="58" spans="1:75" ht="18" customHeight="1" x14ac:dyDescent="0.25">
      <c r="A58" s="219"/>
      <c r="B58" s="223" t="s">
        <v>553</v>
      </c>
      <c r="C58" s="214">
        <v>270</v>
      </c>
      <c r="D58" s="215">
        <f t="shared" si="7"/>
        <v>263</v>
      </c>
      <c r="E58" s="209"/>
      <c r="F58" s="209"/>
      <c r="G58" s="209"/>
      <c r="H58" s="209"/>
      <c r="I58" s="209"/>
      <c r="J58" s="209">
        <v>6</v>
      </c>
      <c r="K58" s="209"/>
      <c r="L58" s="209"/>
      <c r="M58" s="209"/>
      <c r="N58" s="209">
        <v>1</v>
      </c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9"/>
      <c r="AO58" s="209"/>
      <c r="AP58" s="209"/>
      <c r="AQ58" s="209"/>
      <c r="AR58" s="209"/>
      <c r="AS58" s="209"/>
      <c r="AT58" s="209"/>
      <c r="AU58" s="209"/>
      <c r="AV58" s="209"/>
      <c r="AW58" s="209"/>
      <c r="AX58" s="209"/>
      <c r="AY58" s="209"/>
      <c r="AZ58" s="209"/>
      <c r="BA58" s="209"/>
      <c r="BB58" s="209"/>
      <c r="BC58" s="209"/>
      <c r="BD58" s="209"/>
      <c r="BE58" s="209"/>
      <c r="BF58" s="209"/>
      <c r="BG58" s="209"/>
      <c r="BH58" s="209"/>
      <c r="BI58" s="209"/>
      <c r="BJ58" s="209"/>
      <c r="BK58" s="209"/>
      <c r="BL58" s="209"/>
      <c r="BM58" s="209"/>
      <c r="BN58" s="209"/>
      <c r="BO58" s="209"/>
      <c r="BP58" s="209"/>
      <c r="BQ58" s="204">
        <f t="shared" si="3"/>
        <v>0</v>
      </c>
      <c r="BR58" s="204">
        <f t="shared" si="3"/>
        <v>7</v>
      </c>
      <c r="BS58" s="194">
        <v>1.44</v>
      </c>
      <c r="BT58" s="216">
        <f t="shared" si="4"/>
        <v>378.71999999999997</v>
      </c>
      <c r="BU58" s="217">
        <v>92000</v>
      </c>
      <c r="BV58" s="218">
        <f t="shared" si="5"/>
        <v>34842240</v>
      </c>
      <c r="BW58" s="194"/>
    </row>
    <row r="59" spans="1:75" ht="17.25" customHeight="1" x14ac:dyDescent="0.25">
      <c r="A59" s="219"/>
      <c r="B59" s="213" t="s">
        <v>2037</v>
      </c>
      <c r="C59" s="214">
        <v>300</v>
      </c>
      <c r="D59" s="215">
        <f t="shared" si="7"/>
        <v>300</v>
      </c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09"/>
      <c r="AB59" s="209"/>
      <c r="AC59" s="209"/>
      <c r="AD59" s="209"/>
      <c r="AE59" s="209"/>
      <c r="AF59" s="209"/>
      <c r="AG59" s="209"/>
      <c r="AH59" s="209"/>
      <c r="AI59" s="209"/>
      <c r="AJ59" s="209"/>
      <c r="AK59" s="209"/>
      <c r="AL59" s="209"/>
      <c r="AM59" s="209"/>
      <c r="AN59" s="209"/>
      <c r="AO59" s="209"/>
      <c r="AP59" s="209"/>
      <c r="AQ59" s="209"/>
      <c r="AR59" s="209"/>
      <c r="AS59" s="209"/>
      <c r="AT59" s="209"/>
      <c r="AU59" s="209"/>
      <c r="AV59" s="209"/>
      <c r="AW59" s="209"/>
      <c r="AX59" s="209"/>
      <c r="AY59" s="209"/>
      <c r="AZ59" s="209"/>
      <c r="BA59" s="209"/>
      <c r="BB59" s="209"/>
      <c r="BC59" s="209"/>
      <c r="BD59" s="209"/>
      <c r="BE59" s="209"/>
      <c r="BF59" s="209"/>
      <c r="BG59" s="209"/>
      <c r="BH59" s="209"/>
      <c r="BI59" s="209"/>
      <c r="BJ59" s="209"/>
      <c r="BK59" s="209"/>
      <c r="BL59" s="209"/>
      <c r="BM59" s="209"/>
      <c r="BN59" s="209"/>
      <c r="BO59" s="209"/>
      <c r="BP59" s="209"/>
      <c r="BQ59" s="204">
        <f t="shared" si="3"/>
        <v>0</v>
      </c>
      <c r="BR59" s="204">
        <f t="shared" si="3"/>
        <v>0</v>
      </c>
      <c r="BS59" s="194">
        <v>1.44</v>
      </c>
      <c r="BT59" s="216">
        <f t="shared" si="4"/>
        <v>432</v>
      </c>
      <c r="BU59" s="217">
        <v>92000</v>
      </c>
      <c r="BV59" s="218">
        <f t="shared" si="5"/>
        <v>39744000</v>
      </c>
      <c r="BW59" s="194"/>
    </row>
    <row r="60" spans="1:75" ht="18" customHeight="1" x14ac:dyDescent="0.25">
      <c r="A60" s="219"/>
      <c r="B60" s="213" t="s">
        <v>556</v>
      </c>
      <c r="C60" s="214">
        <v>33</v>
      </c>
      <c r="D60" s="215">
        <f t="shared" si="7"/>
        <v>33</v>
      </c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09"/>
      <c r="AB60" s="209"/>
      <c r="AC60" s="209"/>
      <c r="AD60" s="209"/>
      <c r="AE60" s="209"/>
      <c r="AF60" s="209"/>
      <c r="AG60" s="209"/>
      <c r="AH60" s="209"/>
      <c r="AI60" s="209"/>
      <c r="AJ60" s="209"/>
      <c r="AK60" s="209"/>
      <c r="AL60" s="209"/>
      <c r="AM60" s="209"/>
      <c r="AN60" s="209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09"/>
      <c r="BG60" s="209"/>
      <c r="BH60" s="209"/>
      <c r="BI60" s="209"/>
      <c r="BJ60" s="209"/>
      <c r="BK60" s="209"/>
      <c r="BL60" s="209"/>
      <c r="BM60" s="209"/>
      <c r="BN60" s="209"/>
      <c r="BO60" s="209"/>
      <c r="BP60" s="209"/>
      <c r="BQ60" s="204">
        <f t="shared" si="3"/>
        <v>0</v>
      </c>
      <c r="BR60" s="204">
        <f t="shared" si="3"/>
        <v>0</v>
      </c>
      <c r="BS60" s="194">
        <v>1.44</v>
      </c>
      <c r="BT60" s="216">
        <f t="shared" si="4"/>
        <v>47.519999999999996</v>
      </c>
      <c r="BU60" s="217">
        <v>92000</v>
      </c>
      <c r="BV60" s="218">
        <f t="shared" si="5"/>
        <v>4371840</v>
      </c>
      <c r="BW60" s="194"/>
    </row>
    <row r="61" spans="1:75" ht="18.75" customHeight="1" x14ac:dyDescent="0.25">
      <c r="A61" s="224"/>
      <c r="B61" s="213" t="s">
        <v>558</v>
      </c>
      <c r="C61" s="214">
        <v>36</v>
      </c>
      <c r="D61" s="215">
        <f t="shared" ref="D61:D117" si="8">+C61+BQ61-BR61</f>
        <v>36</v>
      </c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  <c r="AJ61" s="209"/>
      <c r="AK61" s="209"/>
      <c r="AL61" s="209"/>
      <c r="AM61" s="209"/>
      <c r="AN61" s="209"/>
      <c r="AO61" s="209"/>
      <c r="AP61" s="209"/>
      <c r="AQ61" s="209"/>
      <c r="AR61" s="209"/>
      <c r="AS61" s="209"/>
      <c r="AT61" s="209"/>
      <c r="AU61" s="209"/>
      <c r="AV61" s="209"/>
      <c r="AW61" s="209"/>
      <c r="AX61" s="209"/>
      <c r="AY61" s="209"/>
      <c r="AZ61" s="209"/>
      <c r="BA61" s="209"/>
      <c r="BB61" s="209"/>
      <c r="BC61" s="209"/>
      <c r="BD61" s="209"/>
      <c r="BE61" s="209"/>
      <c r="BF61" s="209"/>
      <c r="BG61" s="209"/>
      <c r="BH61" s="209"/>
      <c r="BI61" s="209"/>
      <c r="BJ61" s="209"/>
      <c r="BK61" s="209"/>
      <c r="BL61" s="209"/>
      <c r="BM61" s="209"/>
      <c r="BN61" s="209"/>
      <c r="BO61" s="209"/>
      <c r="BP61" s="209"/>
      <c r="BQ61" s="204">
        <f t="shared" si="3"/>
        <v>0</v>
      </c>
      <c r="BR61" s="204">
        <f t="shared" si="3"/>
        <v>0</v>
      </c>
      <c r="BS61" s="194">
        <v>1.44</v>
      </c>
      <c r="BT61" s="216">
        <f t="shared" si="4"/>
        <v>51.839999999999996</v>
      </c>
      <c r="BU61" s="217">
        <v>77000</v>
      </c>
      <c r="BV61" s="218">
        <f t="shared" si="5"/>
        <v>3991679.9999999995</v>
      </c>
      <c r="BW61" s="194"/>
    </row>
    <row r="62" spans="1:75" ht="21" customHeight="1" x14ac:dyDescent="0.25">
      <c r="A62" s="220"/>
      <c r="B62" s="220" t="s">
        <v>557</v>
      </c>
      <c r="C62" s="214">
        <v>65.5</v>
      </c>
      <c r="D62" s="215">
        <f t="shared" si="8"/>
        <v>65.5</v>
      </c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09"/>
      <c r="AK62" s="209"/>
      <c r="AL62" s="209"/>
      <c r="AM62" s="209"/>
      <c r="AN62" s="209"/>
      <c r="AO62" s="209"/>
      <c r="AP62" s="209"/>
      <c r="AQ62" s="209"/>
      <c r="AR62" s="209"/>
      <c r="AS62" s="209"/>
      <c r="AT62" s="209"/>
      <c r="AU62" s="209"/>
      <c r="AV62" s="209"/>
      <c r="AW62" s="209"/>
      <c r="AX62" s="209"/>
      <c r="AY62" s="209"/>
      <c r="AZ62" s="209"/>
      <c r="BA62" s="209"/>
      <c r="BB62" s="209"/>
      <c r="BC62" s="209"/>
      <c r="BD62" s="209"/>
      <c r="BE62" s="209"/>
      <c r="BF62" s="209"/>
      <c r="BG62" s="209"/>
      <c r="BH62" s="209"/>
      <c r="BI62" s="209"/>
      <c r="BJ62" s="209"/>
      <c r="BK62" s="209"/>
      <c r="BL62" s="209"/>
      <c r="BM62" s="209"/>
      <c r="BN62" s="209"/>
      <c r="BO62" s="209"/>
      <c r="BP62" s="209"/>
      <c r="BQ62" s="204">
        <f t="shared" si="3"/>
        <v>0</v>
      </c>
      <c r="BR62" s="204">
        <f t="shared" si="3"/>
        <v>0</v>
      </c>
      <c r="BS62" s="194">
        <v>1.44</v>
      </c>
      <c r="BT62" s="216">
        <f t="shared" si="4"/>
        <v>94.32</v>
      </c>
      <c r="BU62" s="217">
        <v>92000</v>
      </c>
      <c r="BV62" s="218">
        <f t="shared" si="5"/>
        <v>8677440</v>
      </c>
      <c r="BW62" s="194"/>
    </row>
    <row r="63" spans="1:75" ht="18" customHeight="1" x14ac:dyDescent="0.25">
      <c r="A63" s="219"/>
      <c r="B63" s="213" t="s">
        <v>559</v>
      </c>
      <c r="C63" s="214">
        <v>40</v>
      </c>
      <c r="D63" s="215">
        <f t="shared" si="8"/>
        <v>40</v>
      </c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09"/>
      <c r="AF63" s="209"/>
      <c r="AG63" s="209"/>
      <c r="AH63" s="209"/>
      <c r="AI63" s="209"/>
      <c r="AJ63" s="209"/>
      <c r="AK63" s="209"/>
      <c r="AL63" s="209"/>
      <c r="AM63" s="209"/>
      <c r="AN63" s="209"/>
      <c r="AO63" s="209"/>
      <c r="AP63" s="209"/>
      <c r="AQ63" s="209"/>
      <c r="AR63" s="209"/>
      <c r="AS63" s="209"/>
      <c r="AT63" s="209"/>
      <c r="AU63" s="209"/>
      <c r="AV63" s="209"/>
      <c r="AW63" s="209"/>
      <c r="AX63" s="209"/>
      <c r="AY63" s="209"/>
      <c r="AZ63" s="209"/>
      <c r="BA63" s="209"/>
      <c r="BB63" s="209"/>
      <c r="BC63" s="209"/>
      <c r="BD63" s="209"/>
      <c r="BE63" s="209"/>
      <c r="BF63" s="209"/>
      <c r="BG63" s="209"/>
      <c r="BH63" s="209"/>
      <c r="BI63" s="209"/>
      <c r="BJ63" s="209"/>
      <c r="BK63" s="209"/>
      <c r="BL63" s="209"/>
      <c r="BM63" s="209"/>
      <c r="BN63" s="209"/>
      <c r="BO63" s="209"/>
      <c r="BP63" s="209"/>
      <c r="BQ63" s="204">
        <f t="shared" si="3"/>
        <v>0</v>
      </c>
      <c r="BR63" s="204">
        <f t="shared" si="3"/>
        <v>0</v>
      </c>
      <c r="BS63" s="194">
        <v>1.44</v>
      </c>
      <c r="BT63" s="216">
        <f t="shared" si="4"/>
        <v>57.599999999999994</v>
      </c>
      <c r="BU63" s="217">
        <v>77000</v>
      </c>
      <c r="BV63" s="218">
        <f t="shared" si="5"/>
        <v>4435200</v>
      </c>
      <c r="BW63" s="194"/>
    </row>
    <row r="64" spans="1:75" ht="18" customHeight="1" x14ac:dyDescent="0.25">
      <c r="A64" s="219"/>
      <c r="B64" s="213" t="s">
        <v>560</v>
      </c>
      <c r="C64" s="214">
        <v>146</v>
      </c>
      <c r="D64" s="215">
        <f t="shared" si="8"/>
        <v>146</v>
      </c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09"/>
      <c r="AF64" s="209"/>
      <c r="AG64" s="209"/>
      <c r="AH64" s="209"/>
      <c r="AI64" s="209"/>
      <c r="AJ64" s="209"/>
      <c r="AK64" s="209"/>
      <c r="AL64" s="209"/>
      <c r="AM64" s="209"/>
      <c r="AN64" s="209"/>
      <c r="AO64" s="209"/>
      <c r="AP64" s="209"/>
      <c r="AQ64" s="209"/>
      <c r="AR64" s="209"/>
      <c r="AS64" s="209"/>
      <c r="AT64" s="209"/>
      <c r="AU64" s="209"/>
      <c r="AV64" s="209"/>
      <c r="AW64" s="209"/>
      <c r="AX64" s="209"/>
      <c r="AY64" s="209"/>
      <c r="AZ64" s="209"/>
      <c r="BA64" s="209"/>
      <c r="BB64" s="209"/>
      <c r="BC64" s="209"/>
      <c r="BD64" s="209"/>
      <c r="BE64" s="209"/>
      <c r="BF64" s="209"/>
      <c r="BG64" s="209"/>
      <c r="BH64" s="209"/>
      <c r="BI64" s="209"/>
      <c r="BJ64" s="209"/>
      <c r="BK64" s="209"/>
      <c r="BL64" s="209"/>
      <c r="BM64" s="209"/>
      <c r="BN64" s="209"/>
      <c r="BO64" s="209"/>
      <c r="BP64" s="209"/>
      <c r="BQ64" s="204">
        <f t="shared" si="3"/>
        <v>0</v>
      </c>
      <c r="BR64" s="204">
        <f t="shared" si="3"/>
        <v>0</v>
      </c>
      <c r="BS64" s="194">
        <v>1.44</v>
      </c>
      <c r="BT64" s="216">
        <f t="shared" si="4"/>
        <v>210.23999999999998</v>
      </c>
      <c r="BU64" s="217">
        <v>92000</v>
      </c>
      <c r="BV64" s="218">
        <f t="shared" si="5"/>
        <v>19342080</v>
      </c>
      <c r="BW64" s="194"/>
    </row>
    <row r="65" spans="1:75" ht="18" customHeight="1" x14ac:dyDescent="0.25">
      <c r="A65" s="219"/>
      <c r="B65" s="213" t="s">
        <v>561</v>
      </c>
      <c r="C65" s="214">
        <v>21.25</v>
      </c>
      <c r="D65" s="215">
        <f t="shared" si="8"/>
        <v>21.25</v>
      </c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09"/>
      <c r="AB65" s="209"/>
      <c r="AC65" s="209"/>
      <c r="AD65" s="209"/>
      <c r="AE65" s="209"/>
      <c r="AF65" s="209"/>
      <c r="AG65" s="209"/>
      <c r="AH65" s="209"/>
      <c r="AI65" s="209"/>
      <c r="AJ65" s="209"/>
      <c r="AK65" s="209"/>
      <c r="AL65" s="209"/>
      <c r="AM65" s="209"/>
      <c r="AN65" s="209"/>
      <c r="AO65" s="209"/>
      <c r="AP65" s="209"/>
      <c r="AQ65" s="209"/>
      <c r="AR65" s="209"/>
      <c r="AS65" s="209"/>
      <c r="AT65" s="209"/>
      <c r="AU65" s="209"/>
      <c r="AV65" s="209"/>
      <c r="AW65" s="209"/>
      <c r="AX65" s="209"/>
      <c r="AY65" s="209"/>
      <c r="AZ65" s="209"/>
      <c r="BA65" s="209"/>
      <c r="BB65" s="209"/>
      <c r="BC65" s="209"/>
      <c r="BD65" s="209"/>
      <c r="BE65" s="209"/>
      <c r="BF65" s="209"/>
      <c r="BG65" s="209"/>
      <c r="BH65" s="209"/>
      <c r="BI65" s="209"/>
      <c r="BJ65" s="209"/>
      <c r="BK65" s="209"/>
      <c r="BL65" s="209"/>
      <c r="BM65" s="209"/>
      <c r="BN65" s="209"/>
      <c r="BO65" s="209"/>
      <c r="BP65" s="209"/>
      <c r="BQ65" s="204">
        <f t="shared" si="3"/>
        <v>0</v>
      </c>
      <c r="BR65" s="204">
        <f t="shared" si="3"/>
        <v>0</v>
      </c>
      <c r="BS65" s="194">
        <v>1.44</v>
      </c>
      <c r="BT65" s="216">
        <f t="shared" si="4"/>
        <v>30.599999999999998</v>
      </c>
      <c r="BU65" s="217">
        <v>97000</v>
      </c>
      <c r="BV65" s="218">
        <f t="shared" si="5"/>
        <v>2968200</v>
      </c>
      <c r="BW65" s="194"/>
    </row>
    <row r="66" spans="1:75" ht="22.5" customHeight="1" x14ac:dyDescent="0.25">
      <c r="A66" s="219"/>
      <c r="B66" s="223" t="s">
        <v>12230</v>
      </c>
      <c r="C66" s="214">
        <v>137</v>
      </c>
      <c r="D66" s="215">
        <f t="shared" si="8"/>
        <v>137</v>
      </c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  <c r="AA66" s="209"/>
      <c r="AB66" s="209"/>
      <c r="AC66" s="209"/>
      <c r="AD66" s="209"/>
      <c r="AE66" s="209"/>
      <c r="AF66" s="209"/>
      <c r="AG66" s="209"/>
      <c r="AH66" s="209"/>
      <c r="AI66" s="209"/>
      <c r="AJ66" s="209"/>
      <c r="AK66" s="209"/>
      <c r="AL66" s="209"/>
      <c r="AM66" s="209"/>
      <c r="AN66" s="209"/>
      <c r="AO66" s="209"/>
      <c r="AP66" s="209"/>
      <c r="AQ66" s="209"/>
      <c r="AR66" s="209"/>
      <c r="AS66" s="209"/>
      <c r="AT66" s="209"/>
      <c r="AU66" s="209"/>
      <c r="AV66" s="209"/>
      <c r="AW66" s="209"/>
      <c r="AX66" s="209"/>
      <c r="AY66" s="209"/>
      <c r="AZ66" s="209"/>
      <c r="BA66" s="209"/>
      <c r="BB66" s="209"/>
      <c r="BC66" s="209"/>
      <c r="BD66" s="209"/>
      <c r="BE66" s="209"/>
      <c r="BF66" s="209"/>
      <c r="BG66" s="209"/>
      <c r="BH66" s="209"/>
      <c r="BI66" s="209"/>
      <c r="BJ66" s="209"/>
      <c r="BK66" s="209"/>
      <c r="BL66" s="209"/>
      <c r="BM66" s="209"/>
      <c r="BN66" s="209"/>
      <c r="BO66" s="209"/>
      <c r="BP66" s="209"/>
      <c r="BQ66" s="204">
        <f t="shared" si="3"/>
        <v>0</v>
      </c>
      <c r="BR66" s="204">
        <f t="shared" si="3"/>
        <v>0</v>
      </c>
      <c r="BS66" s="194">
        <v>1.44</v>
      </c>
      <c r="BT66" s="216">
        <f t="shared" si="4"/>
        <v>197.28</v>
      </c>
      <c r="BU66" s="217">
        <v>92000</v>
      </c>
      <c r="BV66" s="218">
        <f t="shared" si="5"/>
        <v>18149760</v>
      </c>
      <c r="BW66" s="194"/>
    </row>
    <row r="67" spans="1:75" ht="18" customHeight="1" x14ac:dyDescent="0.25">
      <c r="A67" s="219"/>
      <c r="B67" s="213" t="s">
        <v>563</v>
      </c>
      <c r="C67" s="214">
        <v>192.75</v>
      </c>
      <c r="D67" s="215">
        <f t="shared" si="8"/>
        <v>192.75</v>
      </c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209"/>
      <c r="AE67" s="209"/>
      <c r="AF67" s="209"/>
      <c r="AG67" s="209"/>
      <c r="AH67" s="209"/>
      <c r="AI67" s="209"/>
      <c r="AJ67" s="209"/>
      <c r="AK67" s="209"/>
      <c r="AL67" s="209"/>
      <c r="AM67" s="209"/>
      <c r="AN67" s="209"/>
      <c r="AO67" s="209"/>
      <c r="AP67" s="209"/>
      <c r="AQ67" s="209"/>
      <c r="AR67" s="209"/>
      <c r="AS67" s="209"/>
      <c r="AT67" s="209"/>
      <c r="AU67" s="209"/>
      <c r="AV67" s="209"/>
      <c r="AW67" s="209"/>
      <c r="AX67" s="209"/>
      <c r="AY67" s="209"/>
      <c r="AZ67" s="209"/>
      <c r="BA67" s="209"/>
      <c r="BB67" s="209"/>
      <c r="BC67" s="209"/>
      <c r="BD67" s="209"/>
      <c r="BE67" s="209"/>
      <c r="BF67" s="209"/>
      <c r="BG67" s="209"/>
      <c r="BH67" s="209"/>
      <c r="BI67" s="209"/>
      <c r="BJ67" s="209"/>
      <c r="BK67" s="209"/>
      <c r="BL67" s="209"/>
      <c r="BM67" s="209"/>
      <c r="BN67" s="209"/>
      <c r="BO67" s="209"/>
      <c r="BP67" s="209"/>
      <c r="BQ67" s="204">
        <f t="shared" si="3"/>
        <v>0</v>
      </c>
      <c r="BR67" s="204">
        <f t="shared" si="3"/>
        <v>0</v>
      </c>
      <c r="BS67" s="194">
        <v>1.44</v>
      </c>
      <c r="BT67" s="216">
        <f t="shared" si="4"/>
        <v>277.56</v>
      </c>
      <c r="BU67" s="217">
        <v>97000</v>
      </c>
      <c r="BV67" s="218">
        <f t="shared" si="5"/>
        <v>26923320</v>
      </c>
      <c r="BW67" s="194"/>
    </row>
    <row r="68" spans="1:75" ht="18" customHeight="1" x14ac:dyDescent="0.25">
      <c r="A68" s="219"/>
      <c r="B68" s="213" t="s">
        <v>565</v>
      </c>
      <c r="C68" s="214">
        <v>11</v>
      </c>
      <c r="D68" s="215">
        <f t="shared" si="8"/>
        <v>11</v>
      </c>
      <c r="E68" s="209"/>
      <c r="F68" s="209"/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  <c r="AA68" s="209"/>
      <c r="AB68" s="209"/>
      <c r="AC68" s="209"/>
      <c r="AD68" s="209"/>
      <c r="AE68" s="209"/>
      <c r="AF68" s="209"/>
      <c r="AG68" s="209"/>
      <c r="AH68" s="209"/>
      <c r="AI68" s="209"/>
      <c r="AJ68" s="209"/>
      <c r="AK68" s="209"/>
      <c r="AL68" s="209"/>
      <c r="AM68" s="209"/>
      <c r="AN68" s="209"/>
      <c r="AO68" s="209"/>
      <c r="AP68" s="209"/>
      <c r="AQ68" s="209"/>
      <c r="AR68" s="209"/>
      <c r="AS68" s="209"/>
      <c r="AT68" s="209"/>
      <c r="AU68" s="209"/>
      <c r="AV68" s="209"/>
      <c r="AW68" s="209"/>
      <c r="AX68" s="209"/>
      <c r="AY68" s="209"/>
      <c r="AZ68" s="209"/>
      <c r="BA68" s="209"/>
      <c r="BB68" s="209"/>
      <c r="BC68" s="209"/>
      <c r="BD68" s="209"/>
      <c r="BE68" s="209"/>
      <c r="BF68" s="209"/>
      <c r="BG68" s="209"/>
      <c r="BH68" s="209"/>
      <c r="BI68" s="209"/>
      <c r="BJ68" s="209"/>
      <c r="BK68" s="209"/>
      <c r="BL68" s="209"/>
      <c r="BM68" s="209"/>
      <c r="BN68" s="209"/>
      <c r="BO68" s="209"/>
      <c r="BP68" s="209"/>
      <c r="BQ68" s="204">
        <f t="shared" si="3"/>
        <v>0</v>
      </c>
      <c r="BR68" s="204">
        <f t="shared" si="3"/>
        <v>0</v>
      </c>
      <c r="BS68" s="194">
        <v>1.44</v>
      </c>
      <c r="BT68" s="216">
        <f t="shared" si="4"/>
        <v>15.84</v>
      </c>
      <c r="BU68" s="217">
        <v>82000</v>
      </c>
      <c r="BV68" s="218">
        <f t="shared" si="5"/>
        <v>1298880</v>
      </c>
      <c r="BW68" s="194"/>
    </row>
    <row r="69" spans="1:75" ht="18" customHeight="1" x14ac:dyDescent="0.25">
      <c r="A69" s="219"/>
      <c r="B69" s="223" t="s">
        <v>12231</v>
      </c>
      <c r="C69" s="214">
        <v>190</v>
      </c>
      <c r="D69" s="215">
        <f t="shared" si="8"/>
        <v>190</v>
      </c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09"/>
      <c r="AK69" s="209"/>
      <c r="AL69" s="209"/>
      <c r="AM69" s="209"/>
      <c r="AN69" s="209"/>
      <c r="AO69" s="209"/>
      <c r="AP69" s="209"/>
      <c r="AQ69" s="209"/>
      <c r="AR69" s="209"/>
      <c r="AS69" s="209"/>
      <c r="AT69" s="209"/>
      <c r="AU69" s="209"/>
      <c r="AV69" s="209"/>
      <c r="AW69" s="209"/>
      <c r="AX69" s="209"/>
      <c r="AY69" s="209"/>
      <c r="AZ69" s="209"/>
      <c r="BA69" s="209"/>
      <c r="BB69" s="209"/>
      <c r="BC69" s="209"/>
      <c r="BD69" s="209"/>
      <c r="BE69" s="209"/>
      <c r="BF69" s="209"/>
      <c r="BG69" s="209"/>
      <c r="BH69" s="209"/>
      <c r="BI69" s="209"/>
      <c r="BJ69" s="209"/>
      <c r="BK69" s="209"/>
      <c r="BL69" s="209"/>
      <c r="BM69" s="209"/>
      <c r="BN69" s="209"/>
      <c r="BO69" s="209"/>
      <c r="BP69" s="209"/>
      <c r="BQ69" s="204">
        <f t="shared" ref="BQ69:BR121" si="9">+E69+G69+I69+K69+M69+O69+Q69+S69+U69+W69+Y69+AA69+AC69+AE69+AG69+AI69+AK69+AM69+AO69+AQ69+AS69+AU69+AW69+AY69+BA69+BC69+BE69+BG69+BI69+BK69+BM69+BO69</f>
        <v>0</v>
      </c>
      <c r="BR69" s="204">
        <f t="shared" si="9"/>
        <v>0</v>
      </c>
      <c r="BS69" s="194">
        <v>1.44</v>
      </c>
      <c r="BT69" s="216">
        <f t="shared" si="4"/>
        <v>273.59999999999997</v>
      </c>
      <c r="BU69" s="217">
        <v>97000</v>
      </c>
      <c r="BV69" s="218">
        <f t="shared" si="5"/>
        <v>26539199.999999996</v>
      </c>
      <c r="BW69" s="194"/>
    </row>
    <row r="70" spans="1:75" ht="18" customHeight="1" x14ac:dyDescent="0.25">
      <c r="A70" s="219"/>
      <c r="B70" s="213" t="s">
        <v>564</v>
      </c>
      <c r="C70" s="214">
        <v>228</v>
      </c>
      <c r="D70" s="215">
        <f t="shared" si="8"/>
        <v>228</v>
      </c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09"/>
      <c r="AK70" s="209"/>
      <c r="AL70" s="209"/>
      <c r="AM70" s="209"/>
      <c r="AN70" s="209"/>
      <c r="AO70" s="209"/>
      <c r="AP70" s="209"/>
      <c r="AQ70" s="209"/>
      <c r="AR70" s="209"/>
      <c r="AS70" s="209"/>
      <c r="AT70" s="209"/>
      <c r="AU70" s="209"/>
      <c r="AV70" s="209"/>
      <c r="AW70" s="209"/>
      <c r="AX70" s="209"/>
      <c r="AY70" s="209"/>
      <c r="AZ70" s="209"/>
      <c r="BA70" s="209"/>
      <c r="BB70" s="209"/>
      <c r="BC70" s="209"/>
      <c r="BD70" s="209"/>
      <c r="BE70" s="209"/>
      <c r="BF70" s="209"/>
      <c r="BG70" s="209"/>
      <c r="BH70" s="209"/>
      <c r="BI70" s="209"/>
      <c r="BJ70" s="209"/>
      <c r="BK70" s="209"/>
      <c r="BL70" s="209"/>
      <c r="BM70" s="209"/>
      <c r="BN70" s="209"/>
      <c r="BO70" s="209"/>
      <c r="BP70" s="209"/>
      <c r="BQ70" s="204">
        <f t="shared" si="9"/>
        <v>0</v>
      </c>
      <c r="BR70" s="204">
        <f t="shared" si="9"/>
        <v>0</v>
      </c>
      <c r="BS70" s="194">
        <v>1.44</v>
      </c>
      <c r="BT70" s="216">
        <f t="shared" ref="BT70:BT121" si="10">+BS70*D70</f>
        <v>328.32</v>
      </c>
      <c r="BU70" s="217">
        <v>97000</v>
      </c>
      <c r="BV70" s="218">
        <f t="shared" ref="BV70:BV121" si="11">+BU70*BT70</f>
        <v>31847040</v>
      </c>
      <c r="BW70" s="194"/>
    </row>
    <row r="71" spans="1:75" ht="18" customHeight="1" x14ac:dyDescent="0.25">
      <c r="A71" s="220"/>
      <c r="B71" s="220" t="s">
        <v>567</v>
      </c>
      <c r="C71" s="214">
        <v>65</v>
      </c>
      <c r="D71" s="215">
        <f t="shared" si="8"/>
        <v>65</v>
      </c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09"/>
      <c r="AK71" s="209"/>
      <c r="AL71" s="209"/>
      <c r="AM71" s="209"/>
      <c r="AN71" s="209"/>
      <c r="AO71" s="209"/>
      <c r="AP71" s="209"/>
      <c r="AQ71" s="209"/>
      <c r="AR71" s="209"/>
      <c r="AS71" s="209"/>
      <c r="AT71" s="209"/>
      <c r="AU71" s="209"/>
      <c r="AV71" s="209"/>
      <c r="AW71" s="209"/>
      <c r="AX71" s="209"/>
      <c r="AY71" s="209"/>
      <c r="AZ71" s="209"/>
      <c r="BA71" s="209"/>
      <c r="BB71" s="209"/>
      <c r="BC71" s="209"/>
      <c r="BD71" s="209"/>
      <c r="BE71" s="209"/>
      <c r="BF71" s="209"/>
      <c r="BG71" s="209"/>
      <c r="BH71" s="209"/>
      <c r="BI71" s="209"/>
      <c r="BJ71" s="209"/>
      <c r="BK71" s="209"/>
      <c r="BL71" s="209"/>
      <c r="BM71" s="209"/>
      <c r="BN71" s="209"/>
      <c r="BO71" s="209"/>
      <c r="BP71" s="209"/>
      <c r="BQ71" s="204">
        <f t="shared" si="9"/>
        <v>0</v>
      </c>
      <c r="BR71" s="204">
        <f t="shared" si="9"/>
        <v>0</v>
      </c>
      <c r="BS71" s="194">
        <v>1.44</v>
      </c>
      <c r="BT71" s="216">
        <f t="shared" si="10"/>
        <v>93.6</v>
      </c>
      <c r="BU71" s="217">
        <v>82000</v>
      </c>
      <c r="BV71" s="218">
        <f t="shared" si="11"/>
        <v>7675199.9999999991</v>
      </c>
      <c r="BW71" s="225"/>
    </row>
    <row r="72" spans="1:75" ht="18" customHeight="1" x14ac:dyDescent="0.25">
      <c r="A72" s="219"/>
      <c r="B72" s="213" t="s">
        <v>566</v>
      </c>
      <c r="C72" s="214">
        <v>82</v>
      </c>
      <c r="D72" s="215">
        <f t="shared" si="8"/>
        <v>82</v>
      </c>
      <c r="E72" s="209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209"/>
      <c r="AE72" s="209"/>
      <c r="AF72" s="209"/>
      <c r="AG72" s="209"/>
      <c r="AH72" s="209"/>
      <c r="AI72" s="209"/>
      <c r="AJ72" s="209"/>
      <c r="AK72" s="209"/>
      <c r="AL72" s="209"/>
      <c r="AM72" s="209"/>
      <c r="AN72" s="209"/>
      <c r="AO72" s="209"/>
      <c r="AP72" s="209"/>
      <c r="AQ72" s="209"/>
      <c r="AR72" s="209"/>
      <c r="AS72" s="209"/>
      <c r="AT72" s="209"/>
      <c r="AU72" s="209"/>
      <c r="AV72" s="209"/>
      <c r="AW72" s="209"/>
      <c r="AX72" s="209"/>
      <c r="AY72" s="209"/>
      <c r="AZ72" s="209"/>
      <c r="BA72" s="209"/>
      <c r="BB72" s="209"/>
      <c r="BC72" s="209"/>
      <c r="BD72" s="209"/>
      <c r="BE72" s="209"/>
      <c r="BF72" s="209"/>
      <c r="BG72" s="209"/>
      <c r="BH72" s="209"/>
      <c r="BI72" s="209"/>
      <c r="BJ72" s="209"/>
      <c r="BK72" s="209"/>
      <c r="BL72" s="209"/>
      <c r="BM72" s="209"/>
      <c r="BN72" s="209"/>
      <c r="BO72" s="209"/>
      <c r="BP72" s="209"/>
      <c r="BQ72" s="204">
        <f t="shared" si="9"/>
        <v>0</v>
      </c>
      <c r="BR72" s="204">
        <f t="shared" si="9"/>
        <v>0</v>
      </c>
      <c r="BS72" s="194">
        <v>1.44</v>
      </c>
      <c r="BT72" s="216">
        <f t="shared" si="10"/>
        <v>118.08</v>
      </c>
      <c r="BU72" s="217">
        <v>97000</v>
      </c>
      <c r="BV72" s="218">
        <f t="shared" si="11"/>
        <v>11453760</v>
      </c>
      <c r="BW72" s="194"/>
    </row>
    <row r="73" spans="1:75" ht="18" customHeight="1" x14ac:dyDescent="0.25">
      <c r="A73" s="219"/>
      <c r="B73" s="213" t="s">
        <v>568</v>
      </c>
      <c r="C73" s="214">
        <v>110</v>
      </c>
      <c r="D73" s="215">
        <f t="shared" si="8"/>
        <v>110</v>
      </c>
      <c r="E73" s="209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9"/>
      <c r="AO73" s="209"/>
      <c r="AP73" s="209"/>
      <c r="AQ73" s="209"/>
      <c r="AR73" s="209"/>
      <c r="AS73" s="209"/>
      <c r="AT73" s="209"/>
      <c r="AU73" s="209"/>
      <c r="AV73" s="209"/>
      <c r="AW73" s="209"/>
      <c r="AX73" s="209"/>
      <c r="AY73" s="209"/>
      <c r="AZ73" s="209"/>
      <c r="BA73" s="209"/>
      <c r="BB73" s="209"/>
      <c r="BC73" s="209"/>
      <c r="BD73" s="209"/>
      <c r="BE73" s="209"/>
      <c r="BF73" s="209"/>
      <c r="BG73" s="209"/>
      <c r="BH73" s="209"/>
      <c r="BI73" s="209"/>
      <c r="BJ73" s="209"/>
      <c r="BK73" s="209"/>
      <c r="BL73" s="209"/>
      <c r="BM73" s="209"/>
      <c r="BN73" s="209"/>
      <c r="BO73" s="209"/>
      <c r="BP73" s="209"/>
      <c r="BQ73" s="204">
        <f t="shared" si="9"/>
        <v>0</v>
      </c>
      <c r="BR73" s="204">
        <f t="shared" si="9"/>
        <v>0</v>
      </c>
      <c r="BS73" s="194">
        <v>1.44</v>
      </c>
      <c r="BT73" s="216">
        <f t="shared" si="10"/>
        <v>158.4</v>
      </c>
      <c r="BU73" s="217">
        <v>82000</v>
      </c>
      <c r="BV73" s="218">
        <f t="shared" si="11"/>
        <v>12988800</v>
      </c>
      <c r="BW73" s="194"/>
    </row>
    <row r="74" spans="1:75" ht="18" customHeight="1" x14ac:dyDescent="0.25">
      <c r="A74" s="219"/>
      <c r="B74" s="226" t="s">
        <v>569</v>
      </c>
      <c r="C74" s="214">
        <v>113.75</v>
      </c>
      <c r="D74" s="215">
        <f t="shared" si="8"/>
        <v>113.75</v>
      </c>
      <c r="E74" s="209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09"/>
      <c r="AB74" s="209"/>
      <c r="AC74" s="209"/>
      <c r="AD74" s="209"/>
      <c r="AE74" s="209"/>
      <c r="AF74" s="209"/>
      <c r="AG74" s="209"/>
      <c r="AH74" s="209"/>
      <c r="AI74" s="209"/>
      <c r="AJ74" s="209"/>
      <c r="AK74" s="209"/>
      <c r="AL74" s="209"/>
      <c r="AM74" s="209"/>
      <c r="AN74" s="209"/>
      <c r="AO74" s="209"/>
      <c r="AP74" s="209"/>
      <c r="AQ74" s="209"/>
      <c r="AR74" s="209"/>
      <c r="AS74" s="209"/>
      <c r="AT74" s="209"/>
      <c r="AU74" s="209"/>
      <c r="AV74" s="209"/>
      <c r="AW74" s="209"/>
      <c r="AX74" s="209"/>
      <c r="AY74" s="209"/>
      <c r="AZ74" s="209"/>
      <c r="BA74" s="209"/>
      <c r="BB74" s="209"/>
      <c r="BC74" s="209"/>
      <c r="BD74" s="209"/>
      <c r="BE74" s="209"/>
      <c r="BF74" s="209"/>
      <c r="BG74" s="209"/>
      <c r="BH74" s="209"/>
      <c r="BI74" s="209"/>
      <c r="BJ74" s="209"/>
      <c r="BK74" s="209"/>
      <c r="BL74" s="209"/>
      <c r="BM74" s="209"/>
      <c r="BN74" s="209"/>
      <c r="BO74" s="209"/>
      <c r="BP74" s="209"/>
      <c r="BQ74" s="204">
        <f t="shared" si="9"/>
        <v>0</v>
      </c>
      <c r="BR74" s="204">
        <f t="shared" si="9"/>
        <v>0</v>
      </c>
      <c r="BS74" s="194">
        <v>1.44</v>
      </c>
      <c r="BT74" s="216">
        <f t="shared" si="10"/>
        <v>163.79999999999998</v>
      </c>
      <c r="BU74" s="217">
        <v>92000</v>
      </c>
      <c r="BV74" s="218">
        <f t="shared" si="11"/>
        <v>15069599.999999998</v>
      </c>
      <c r="BW74" s="194"/>
    </row>
    <row r="75" spans="1:75" ht="18" customHeight="1" x14ac:dyDescent="0.25">
      <c r="A75" s="219"/>
      <c r="B75" s="213" t="s">
        <v>570</v>
      </c>
      <c r="C75" s="214">
        <v>123</v>
      </c>
      <c r="D75" s="215">
        <f t="shared" si="8"/>
        <v>123</v>
      </c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  <c r="AA75" s="209"/>
      <c r="AB75" s="209"/>
      <c r="AC75" s="209"/>
      <c r="AD75" s="209"/>
      <c r="AE75" s="209"/>
      <c r="AF75" s="209"/>
      <c r="AG75" s="209"/>
      <c r="AH75" s="209"/>
      <c r="AI75" s="209"/>
      <c r="AJ75" s="209"/>
      <c r="AK75" s="209"/>
      <c r="AL75" s="209"/>
      <c r="AM75" s="209"/>
      <c r="AN75" s="209"/>
      <c r="AO75" s="209"/>
      <c r="AP75" s="209"/>
      <c r="AQ75" s="209"/>
      <c r="AR75" s="209"/>
      <c r="AS75" s="209"/>
      <c r="AT75" s="209"/>
      <c r="AU75" s="209"/>
      <c r="AV75" s="209"/>
      <c r="AW75" s="209"/>
      <c r="AX75" s="209"/>
      <c r="AY75" s="209"/>
      <c r="AZ75" s="209"/>
      <c r="BA75" s="209"/>
      <c r="BB75" s="209"/>
      <c r="BC75" s="209"/>
      <c r="BD75" s="209"/>
      <c r="BE75" s="209"/>
      <c r="BF75" s="209"/>
      <c r="BG75" s="209"/>
      <c r="BH75" s="209"/>
      <c r="BI75" s="209"/>
      <c r="BJ75" s="209"/>
      <c r="BK75" s="209"/>
      <c r="BL75" s="209"/>
      <c r="BM75" s="209"/>
      <c r="BN75" s="209"/>
      <c r="BO75" s="209"/>
      <c r="BP75" s="209"/>
      <c r="BQ75" s="204">
        <f t="shared" si="9"/>
        <v>0</v>
      </c>
      <c r="BR75" s="204">
        <f t="shared" si="9"/>
        <v>0</v>
      </c>
      <c r="BS75" s="194">
        <v>1.44</v>
      </c>
      <c r="BT75" s="216">
        <f t="shared" si="10"/>
        <v>177.12</v>
      </c>
      <c r="BU75" s="217">
        <v>129000</v>
      </c>
      <c r="BV75" s="218">
        <f t="shared" si="11"/>
        <v>22848480</v>
      </c>
      <c r="BW75" s="194"/>
    </row>
    <row r="76" spans="1:75" ht="18" customHeight="1" x14ac:dyDescent="0.25">
      <c r="A76" s="219"/>
      <c r="B76" s="226" t="s">
        <v>572</v>
      </c>
      <c r="C76" s="214">
        <v>38</v>
      </c>
      <c r="D76" s="215">
        <f t="shared" si="8"/>
        <v>38</v>
      </c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09"/>
      <c r="AG76" s="209"/>
      <c r="AH76" s="209"/>
      <c r="AI76" s="209"/>
      <c r="AJ76" s="209"/>
      <c r="AK76" s="209"/>
      <c r="AL76" s="209"/>
      <c r="AM76" s="209"/>
      <c r="AN76" s="209"/>
      <c r="AO76" s="209"/>
      <c r="AP76" s="209"/>
      <c r="AQ76" s="209"/>
      <c r="AR76" s="209"/>
      <c r="AS76" s="209"/>
      <c r="AT76" s="209"/>
      <c r="AU76" s="209"/>
      <c r="AV76" s="209"/>
      <c r="AW76" s="209"/>
      <c r="AX76" s="209"/>
      <c r="AY76" s="209"/>
      <c r="AZ76" s="209"/>
      <c r="BA76" s="209"/>
      <c r="BB76" s="209"/>
      <c r="BC76" s="209"/>
      <c r="BD76" s="209"/>
      <c r="BE76" s="209"/>
      <c r="BF76" s="209"/>
      <c r="BG76" s="209"/>
      <c r="BH76" s="209"/>
      <c r="BI76" s="209"/>
      <c r="BJ76" s="209"/>
      <c r="BK76" s="209"/>
      <c r="BL76" s="209"/>
      <c r="BM76" s="209"/>
      <c r="BN76" s="209"/>
      <c r="BO76" s="209"/>
      <c r="BP76" s="209"/>
      <c r="BQ76" s="204">
        <f t="shared" si="9"/>
        <v>0</v>
      </c>
      <c r="BR76" s="204">
        <f t="shared" si="9"/>
        <v>0</v>
      </c>
      <c r="BS76" s="194">
        <v>1.44</v>
      </c>
      <c r="BT76" s="216">
        <f t="shared" si="10"/>
        <v>54.72</v>
      </c>
      <c r="BU76" s="217">
        <v>129000</v>
      </c>
      <c r="BV76" s="218">
        <f t="shared" si="11"/>
        <v>7058880</v>
      </c>
      <c r="BW76" s="194"/>
    </row>
    <row r="77" spans="1:75" ht="18" customHeight="1" x14ac:dyDescent="0.25">
      <c r="A77" s="219"/>
      <c r="B77" s="213" t="s">
        <v>573</v>
      </c>
      <c r="C77" s="214">
        <v>9</v>
      </c>
      <c r="D77" s="215">
        <f t="shared" si="8"/>
        <v>9</v>
      </c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  <c r="AA77" s="209"/>
      <c r="AB77" s="209"/>
      <c r="AC77" s="209"/>
      <c r="AD77" s="209"/>
      <c r="AE77" s="209"/>
      <c r="AF77" s="209"/>
      <c r="AG77" s="209"/>
      <c r="AH77" s="209"/>
      <c r="AI77" s="209"/>
      <c r="AJ77" s="209"/>
      <c r="AK77" s="209"/>
      <c r="AL77" s="209"/>
      <c r="AM77" s="209"/>
      <c r="AN77" s="209"/>
      <c r="AO77" s="209"/>
      <c r="AP77" s="209"/>
      <c r="AQ77" s="209"/>
      <c r="AR77" s="209"/>
      <c r="AS77" s="209"/>
      <c r="AT77" s="209"/>
      <c r="AU77" s="209"/>
      <c r="AV77" s="209"/>
      <c r="AW77" s="209"/>
      <c r="AX77" s="209"/>
      <c r="AY77" s="209"/>
      <c r="AZ77" s="209"/>
      <c r="BA77" s="209"/>
      <c r="BB77" s="209"/>
      <c r="BC77" s="209"/>
      <c r="BD77" s="209"/>
      <c r="BE77" s="209"/>
      <c r="BF77" s="209"/>
      <c r="BG77" s="209"/>
      <c r="BH77" s="209"/>
      <c r="BI77" s="209"/>
      <c r="BJ77" s="209"/>
      <c r="BK77" s="209"/>
      <c r="BL77" s="209"/>
      <c r="BM77" s="209"/>
      <c r="BN77" s="209"/>
      <c r="BO77" s="209"/>
      <c r="BP77" s="209"/>
      <c r="BQ77" s="204">
        <f t="shared" si="9"/>
        <v>0</v>
      </c>
      <c r="BR77" s="204">
        <f t="shared" si="9"/>
        <v>0</v>
      </c>
      <c r="BS77" s="194">
        <v>1.44</v>
      </c>
      <c r="BT77" s="216">
        <f t="shared" si="10"/>
        <v>12.959999999999999</v>
      </c>
      <c r="BU77" s="217">
        <v>129000</v>
      </c>
      <c r="BV77" s="218">
        <f t="shared" si="11"/>
        <v>1671839.9999999998</v>
      </c>
      <c r="BW77" s="194"/>
    </row>
    <row r="78" spans="1:75" ht="18" customHeight="1" x14ac:dyDescent="0.25">
      <c r="A78" s="219"/>
      <c r="B78" s="213" t="s">
        <v>574</v>
      </c>
      <c r="C78" s="214">
        <v>20</v>
      </c>
      <c r="D78" s="215">
        <f t="shared" si="8"/>
        <v>20</v>
      </c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209"/>
      <c r="AE78" s="209"/>
      <c r="AF78" s="209"/>
      <c r="AG78" s="209"/>
      <c r="AH78" s="209"/>
      <c r="AI78" s="209"/>
      <c r="AJ78" s="209"/>
      <c r="AK78" s="209"/>
      <c r="AL78" s="209"/>
      <c r="AM78" s="209"/>
      <c r="AN78" s="209"/>
      <c r="AO78" s="209"/>
      <c r="AP78" s="209"/>
      <c r="AQ78" s="209"/>
      <c r="AR78" s="209"/>
      <c r="AS78" s="209"/>
      <c r="AT78" s="209"/>
      <c r="AU78" s="209"/>
      <c r="AV78" s="209"/>
      <c r="AW78" s="209"/>
      <c r="AX78" s="209"/>
      <c r="AY78" s="209"/>
      <c r="AZ78" s="209"/>
      <c r="BA78" s="209"/>
      <c r="BB78" s="209"/>
      <c r="BC78" s="209"/>
      <c r="BD78" s="209"/>
      <c r="BE78" s="209"/>
      <c r="BF78" s="209"/>
      <c r="BG78" s="209"/>
      <c r="BH78" s="209"/>
      <c r="BI78" s="209"/>
      <c r="BJ78" s="209"/>
      <c r="BK78" s="209"/>
      <c r="BL78" s="209"/>
      <c r="BM78" s="209"/>
      <c r="BN78" s="209"/>
      <c r="BO78" s="209"/>
      <c r="BP78" s="209"/>
      <c r="BQ78" s="204">
        <f t="shared" si="9"/>
        <v>0</v>
      </c>
      <c r="BR78" s="204">
        <f t="shared" si="9"/>
        <v>0</v>
      </c>
      <c r="BS78" s="194">
        <v>1.44</v>
      </c>
      <c r="BT78" s="216">
        <f t="shared" si="10"/>
        <v>28.799999999999997</v>
      </c>
      <c r="BU78" s="217">
        <v>114000</v>
      </c>
      <c r="BV78" s="218">
        <f t="shared" si="11"/>
        <v>3283199.9999999995</v>
      </c>
      <c r="BW78" s="194"/>
    </row>
    <row r="79" spans="1:75" ht="18" customHeight="1" x14ac:dyDescent="0.25">
      <c r="A79" s="219"/>
      <c r="B79" s="213" t="s">
        <v>12192</v>
      </c>
      <c r="C79" s="214">
        <v>171</v>
      </c>
      <c r="D79" s="215">
        <f t="shared" si="8"/>
        <v>171</v>
      </c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209"/>
      <c r="AE79" s="209"/>
      <c r="AF79" s="209"/>
      <c r="AG79" s="209"/>
      <c r="AH79" s="209"/>
      <c r="AI79" s="209"/>
      <c r="AJ79" s="209"/>
      <c r="AK79" s="209"/>
      <c r="AL79" s="209"/>
      <c r="AM79" s="209"/>
      <c r="AN79" s="209"/>
      <c r="AO79" s="209"/>
      <c r="AP79" s="209"/>
      <c r="AQ79" s="209"/>
      <c r="AR79" s="209"/>
      <c r="AS79" s="209"/>
      <c r="AT79" s="209"/>
      <c r="AU79" s="209"/>
      <c r="AV79" s="209"/>
      <c r="AW79" s="209"/>
      <c r="AX79" s="209"/>
      <c r="AY79" s="209"/>
      <c r="AZ79" s="209"/>
      <c r="BA79" s="209"/>
      <c r="BB79" s="209"/>
      <c r="BC79" s="209"/>
      <c r="BD79" s="209"/>
      <c r="BE79" s="209"/>
      <c r="BF79" s="209"/>
      <c r="BG79" s="209"/>
      <c r="BH79" s="209"/>
      <c r="BI79" s="209"/>
      <c r="BJ79" s="209"/>
      <c r="BK79" s="209"/>
      <c r="BL79" s="209"/>
      <c r="BM79" s="209"/>
      <c r="BN79" s="209"/>
      <c r="BO79" s="209"/>
      <c r="BP79" s="209"/>
      <c r="BQ79" s="204">
        <f t="shared" si="9"/>
        <v>0</v>
      </c>
      <c r="BR79" s="204">
        <f t="shared" si="9"/>
        <v>0</v>
      </c>
      <c r="BS79" s="194">
        <v>1.44</v>
      </c>
      <c r="BT79" s="216">
        <f t="shared" si="10"/>
        <v>246.23999999999998</v>
      </c>
      <c r="BU79" s="217">
        <v>104000</v>
      </c>
      <c r="BV79" s="218">
        <f t="shared" si="11"/>
        <v>25608959.999999996</v>
      </c>
      <c r="BW79" s="194"/>
    </row>
    <row r="80" spans="1:75" ht="18" customHeight="1" x14ac:dyDescent="0.25">
      <c r="A80" s="219"/>
      <c r="B80" s="223" t="s">
        <v>12299</v>
      </c>
      <c r="C80" s="214">
        <v>0</v>
      </c>
      <c r="D80" s="215">
        <f t="shared" si="8"/>
        <v>0</v>
      </c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209"/>
      <c r="AE80" s="209"/>
      <c r="AF80" s="209"/>
      <c r="AG80" s="209"/>
      <c r="AH80" s="209"/>
      <c r="AI80" s="209"/>
      <c r="AJ80" s="209"/>
      <c r="AK80" s="209"/>
      <c r="AL80" s="209"/>
      <c r="AM80" s="209"/>
      <c r="AN80" s="209"/>
      <c r="AO80" s="209"/>
      <c r="AP80" s="209"/>
      <c r="AQ80" s="209"/>
      <c r="AR80" s="209"/>
      <c r="AS80" s="209"/>
      <c r="AT80" s="209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209"/>
      <c r="BG80" s="209"/>
      <c r="BH80" s="209"/>
      <c r="BI80" s="209"/>
      <c r="BJ80" s="209"/>
      <c r="BK80" s="209"/>
      <c r="BL80" s="209"/>
      <c r="BM80" s="209"/>
      <c r="BN80" s="209"/>
      <c r="BO80" s="209"/>
      <c r="BP80" s="209"/>
      <c r="BQ80" s="204">
        <f t="shared" si="9"/>
        <v>0</v>
      </c>
      <c r="BR80" s="204">
        <f t="shared" si="9"/>
        <v>0</v>
      </c>
      <c r="BS80" s="194">
        <v>1.44</v>
      </c>
      <c r="BT80" s="216">
        <f t="shared" si="10"/>
        <v>0</v>
      </c>
      <c r="BU80" s="217"/>
      <c r="BV80" s="218">
        <f t="shared" si="11"/>
        <v>0</v>
      </c>
      <c r="BW80" s="194"/>
    </row>
    <row r="81" spans="1:75" ht="18" customHeight="1" x14ac:dyDescent="0.25">
      <c r="A81" s="220" t="s">
        <v>230</v>
      </c>
      <c r="B81" s="220" t="s">
        <v>575</v>
      </c>
      <c r="C81" s="214">
        <v>10</v>
      </c>
      <c r="D81" s="215">
        <f t="shared" si="8"/>
        <v>10</v>
      </c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209"/>
      <c r="AE81" s="209"/>
      <c r="AF81" s="209"/>
      <c r="AG81" s="209"/>
      <c r="AH81" s="209"/>
      <c r="AI81" s="209"/>
      <c r="AJ81" s="209"/>
      <c r="AK81" s="209"/>
      <c r="AL81" s="209"/>
      <c r="AM81" s="209"/>
      <c r="AN81" s="209"/>
      <c r="AO81" s="209"/>
      <c r="AP81" s="209"/>
      <c r="AQ81" s="209"/>
      <c r="AR81" s="209"/>
      <c r="AS81" s="209"/>
      <c r="AT81" s="209"/>
      <c r="AU81" s="209"/>
      <c r="AV81" s="209"/>
      <c r="AW81" s="209"/>
      <c r="AX81" s="209"/>
      <c r="AY81" s="209"/>
      <c r="AZ81" s="209"/>
      <c r="BA81" s="209"/>
      <c r="BB81" s="209"/>
      <c r="BC81" s="209"/>
      <c r="BD81" s="209"/>
      <c r="BE81" s="209"/>
      <c r="BF81" s="209"/>
      <c r="BG81" s="209"/>
      <c r="BH81" s="209"/>
      <c r="BI81" s="209"/>
      <c r="BJ81" s="209"/>
      <c r="BK81" s="209"/>
      <c r="BL81" s="209"/>
      <c r="BM81" s="209"/>
      <c r="BN81" s="209"/>
      <c r="BO81" s="209"/>
      <c r="BP81" s="209"/>
      <c r="BQ81" s="204">
        <f t="shared" si="9"/>
        <v>0</v>
      </c>
      <c r="BR81" s="204">
        <f t="shared" si="9"/>
        <v>0</v>
      </c>
      <c r="BS81" s="194">
        <v>1.92</v>
      </c>
      <c r="BT81" s="216">
        <f t="shared" si="10"/>
        <v>19.2</v>
      </c>
      <c r="BU81" s="217">
        <v>86000</v>
      </c>
      <c r="BV81" s="218">
        <f t="shared" si="11"/>
        <v>1651200</v>
      </c>
      <c r="BW81" s="194"/>
    </row>
    <row r="82" spans="1:75" ht="18" customHeight="1" x14ac:dyDescent="0.25">
      <c r="A82" s="219"/>
      <c r="B82" s="223" t="s">
        <v>12232</v>
      </c>
      <c r="C82" s="214">
        <v>10</v>
      </c>
      <c r="D82" s="215">
        <f t="shared" si="8"/>
        <v>10</v>
      </c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209"/>
      <c r="AE82" s="209"/>
      <c r="AF82" s="209"/>
      <c r="AG82" s="209"/>
      <c r="AH82" s="209"/>
      <c r="AI82" s="209"/>
      <c r="AJ82" s="209"/>
      <c r="AK82" s="209"/>
      <c r="AL82" s="209"/>
      <c r="AM82" s="209"/>
      <c r="AN82" s="209"/>
      <c r="AO82" s="209"/>
      <c r="AP82" s="209"/>
      <c r="AQ82" s="209"/>
      <c r="AR82" s="209"/>
      <c r="AS82" s="209"/>
      <c r="AT82" s="209"/>
      <c r="AU82" s="209"/>
      <c r="AV82" s="209"/>
      <c r="AW82" s="209"/>
      <c r="AX82" s="209"/>
      <c r="AY82" s="209"/>
      <c r="AZ82" s="209"/>
      <c r="BA82" s="209"/>
      <c r="BB82" s="209"/>
      <c r="BC82" s="209"/>
      <c r="BD82" s="209"/>
      <c r="BE82" s="209"/>
      <c r="BF82" s="209"/>
      <c r="BG82" s="209"/>
      <c r="BH82" s="209"/>
      <c r="BI82" s="209"/>
      <c r="BJ82" s="209"/>
      <c r="BK82" s="209"/>
      <c r="BL82" s="209"/>
      <c r="BM82" s="209"/>
      <c r="BN82" s="209"/>
      <c r="BO82" s="209"/>
      <c r="BP82" s="209"/>
      <c r="BQ82" s="204">
        <f t="shared" si="9"/>
        <v>0</v>
      </c>
      <c r="BR82" s="204">
        <f t="shared" si="9"/>
        <v>0</v>
      </c>
      <c r="BS82" s="194">
        <v>1.92</v>
      </c>
      <c r="BT82" s="216">
        <f t="shared" si="10"/>
        <v>19.2</v>
      </c>
      <c r="BU82" s="217">
        <v>106000</v>
      </c>
      <c r="BV82" s="218">
        <f t="shared" si="11"/>
        <v>2035200</v>
      </c>
      <c r="BW82" s="194"/>
    </row>
    <row r="83" spans="1:75" ht="18" customHeight="1" x14ac:dyDescent="0.25">
      <c r="A83" s="219"/>
      <c r="B83" s="213" t="s">
        <v>2059</v>
      </c>
      <c r="C83" s="214">
        <v>12</v>
      </c>
      <c r="D83" s="215">
        <f t="shared" si="8"/>
        <v>12</v>
      </c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  <c r="AA83" s="209"/>
      <c r="AB83" s="209"/>
      <c r="AC83" s="209"/>
      <c r="AD83" s="209"/>
      <c r="AE83" s="209"/>
      <c r="AF83" s="209"/>
      <c r="AG83" s="209"/>
      <c r="AH83" s="209"/>
      <c r="AI83" s="209"/>
      <c r="AJ83" s="209"/>
      <c r="AK83" s="209"/>
      <c r="AL83" s="209"/>
      <c r="AM83" s="209"/>
      <c r="AN83" s="209"/>
      <c r="AO83" s="209"/>
      <c r="AP83" s="209"/>
      <c r="AQ83" s="209"/>
      <c r="AR83" s="209"/>
      <c r="AS83" s="209"/>
      <c r="AT83" s="209"/>
      <c r="AU83" s="209"/>
      <c r="AV83" s="209"/>
      <c r="AW83" s="209"/>
      <c r="AX83" s="209"/>
      <c r="AY83" s="209"/>
      <c r="AZ83" s="209"/>
      <c r="BA83" s="209"/>
      <c r="BB83" s="209"/>
      <c r="BC83" s="209"/>
      <c r="BD83" s="209"/>
      <c r="BE83" s="209"/>
      <c r="BF83" s="209"/>
      <c r="BG83" s="209"/>
      <c r="BH83" s="209"/>
      <c r="BI83" s="209"/>
      <c r="BJ83" s="209"/>
      <c r="BK83" s="209"/>
      <c r="BL83" s="209"/>
      <c r="BM83" s="209"/>
      <c r="BN83" s="209"/>
      <c r="BO83" s="209"/>
      <c r="BP83" s="209"/>
      <c r="BQ83" s="204">
        <f t="shared" si="9"/>
        <v>0</v>
      </c>
      <c r="BR83" s="204">
        <f t="shared" si="9"/>
        <v>0</v>
      </c>
      <c r="BS83" s="194">
        <v>1.92</v>
      </c>
      <c r="BT83" s="216">
        <f t="shared" si="10"/>
        <v>23.04</v>
      </c>
      <c r="BU83" s="217">
        <v>106000</v>
      </c>
      <c r="BV83" s="218">
        <f t="shared" si="11"/>
        <v>2442240</v>
      </c>
      <c r="BW83" s="194"/>
    </row>
    <row r="84" spans="1:75" ht="18" customHeight="1" x14ac:dyDescent="0.25">
      <c r="A84" s="219"/>
      <c r="B84" s="226" t="s">
        <v>577</v>
      </c>
      <c r="C84" s="214">
        <v>8</v>
      </c>
      <c r="D84" s="215">
        <f t="shared" si="8"/>
        <v>8</v>
      </c>
      <c r="E84" s="209"/>
      <c r="F84" s="209"/>
      <c r="G84" s="209"/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  <c r="AA84" s="209"/>
      <c r="AB84" s="209"/>
      <c r="AC84" s="209"/>
      <c r="AD84" s="209"/>
      <c r="AE84" s="209"/>
      <c r="AF84" s="209"/>
      <c r="AG84" s="209"/>
      <c r="AH84" s="209"/>
      <c r="AI84" s="209"/>
      <c r="AJ84" s="209"/>
      <c r="AK84" s="209"/>
      <c r="AL84" s="209"/>
      <c r="AM84" s="209"/>
      <c r="AN84" s="209"/>
      <c r="AO84" s="209"/>
      <c r="AP84" s="209"/>
      <c r="AQ84" s="209"/>
      <c r="AR84" s="209"/>
      <c r="AS84" s="209"/>
      <c r="AT84" s="209"/>
      <c r="AU84" s="209"/>
      <c r="AV84" s="209"/>
      <c r="AW84" s="209"/>
      <c r="AX84" s="209"/>
      <c r="AY84" s="209"/>
      <c r="AZ84" s="209"/>
      <c r="BA84" s="209"/>
      <c r="BB84" s="209"/>
      <c r="BC84" s="209"/>
      <c r="BD84" s="209"/>
      <c r="BE84" s="209"/>
      <c r="BF84" s="209"/>
      <c r="BG84" s="209"/>
      <c r="BH84" s="209"/>
      <c r="BI84" s="209"/>
      <c r="BJ84" s="209"/>
      <c r="BK84" s="209"/>
      <c r="BL84" s="209"/>
      <c r="BM84" s="209"/>
      <c r="BN84" s="209"/>
      <c r="BO84" s="209"/>
      <c r="BP84" s="209"/>
      <c r="BQ84" s="204">
        <f t="shared" si="9"/>
        <v>0</v>
      </c>
      <c r="BR84" s="204">
        <f t="shared" si="9"/>
        <v>0</v>
      </c>
      <c r="BS84" s="194">
        <v>1.92</v>
      </c>
      <c r="BT84" s="216">
        <f t="shared" si="10"/>
        <v>15.36</v>
      </c>
      <c r="BU84" s="217">
        <v>111000</v>
      </c>
      <c r="BV84" s="218">
        <f t="shared" si="11"/>
        <v>1704960</v>
      </c>
      <c r="BW84" s="194"/>
    </row>
    <row r="85" spans="1:75" ht="18" customHeight="1" x14ac:dyDescent="0.25">
      <c r="A85" s="219"/>
      <c r="B85" s="213" t="s">
        <v>578</v>
      </c>
      <c r="C85" s="214">
        <v>26</v>
      </c>
      <c r="D85" s="215">
        <f t="shared" si="8"/>
        <v>26</v>
      </c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09"/>
      <c r="AG85" s="209"/>
      <c r="AH85" s="209"/>
      <c r="AI85" s="209"/>
      <c r="AJ85" s="209"/>
      <c r="AK85" s="209"/>
      <c r="AL85" s="209"/>
      <c r="AM85" s="209"/>
      <c r="AN85" s="209"/>
      <c r="AO85" s="209"/>
      <c r="AP85" s="209"/>
      <c r="AQ85" s="209"/>
      <c r="AR85" s="209"/>
      <c r="AS85" s="209"/>
      <c r="AT85" s="209"/>
      <c r="AU85" s="209"/>
      <c r="AV85" s="209"/>
      <c r="AW85" s="209"/>
      <c r="AX85" s="209"/>
      <c r="AY85" s="209"/>
      <c r="AZ85" s="209"/>
      <c r="BA85" s="209"/>
      <c r="BB85" s="209"/>
      <c r="BC85" s="209"/>
      <c r="BD85" s="209"/>
      <c r="BE85" s="209"/>
      <c r="BF85" s="209"/>
      <c r="BG85" s="209"/>
      <c r="BH85" s="209"/>
      <c r="BI85" s="209"/>
      <c r="BJ85" s="209"/>
      <c r="BK85" s="209"/>
      <c r="BL85" s="209"/>
      <c r="BM85" s="209"/>
      <c r="BN85" s="209"/>
      <c r="BO85" s="209"/>
      <c r="BP85" s="209"/>
      <c r="BQ85" s="204">
        <f t="shared" si="9"/>
        <v>0</v>
      </c>
      <c r="BR85" s="204">
        <f t="shared" si="9"/>
        <v>0</v>
      </c>
      <c r="BS85" s="194">
        <v>1.92</v>
      </c>
      <c r="BT85" s="216">
        <f t="shared" si="10"/>
        <v>49.92</v>
      </c>
      <c r="BU85" s="217">
        <v>106000</v>
      </c>
      <c r="BV85" s="218">
        <f t="shared" si="11"/>
        <v>5291520</v>
      </c>
      <c r="BW85" s="194"/>
    </row>
    <row r="86" spans="1:75" ht="18" customHeight="1" x14ac:dyDescent="0.25">
      <c r="A86" s="219"/>
      <c r="B86" s="213" t="s">
        <v>579</v>
      </c>
      <c r="C86" s="214">
        <v>154</v>
      </c>
      <c r="D86" s="215">
        <f t="shared" si="8"/>
        <v>154</v>
      </c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09"/>
      <c r="AG86" s="209"/>
      <c r="AH86" s="209"/>
      <c r="AI86" s="209"/>
      <c r="AJ86" s="209"/>
      <c r="AK86" s="209"/>
      <c r="AL86" s="209"/>
      <c r="AM86" s="209"/>
      <c r="AN86" s="209"/>
      <c r="AO86" s="209"/>
      <c r="AP86" s="209"/>
      <c r="AQ86" s="209"/>
      <c r="AR86" s="209"/>
      <c r="AS86" s="209"/>
      <c r="AT86" s="209"/>
      <c r="AU86" s="209"/>
      <c r="AV86" s="209"/>
      <c r="AW86" s="209"/>
      <c r="AX86" s="209"/>
      <c r="AY86" s="209"/>
      <c r="AZ86" s="209"/>
      <c r="BA86" s="209"/>
      <c r="BB86" s="209"/>
      <c r="BC86" s="209"/>
      <c r="BD86" s="209"/>
      <c r="BE86" s="209"/>
      <c r="BF86" s="209"/>
      <c r="BG86" s="209"/>
      <c r="BH86" s="209"/>
      <c r="BI86" s="209"/>
      <c r="BJ86" s="209"/>
      <c r="BK86" s="209"/>
      <c r="BL86" s="209"/>
      <c r="BM86" s="209"/>
      <c r="BN86" s="209"/>
      <c r="BO86" s="209"/>
      <c r="BP86" s="209"/>
      <c r="BQ86" s="204">
        <f t="shared" si="9"/>
        <v>0</v>
      </c>
      <c r="BR86" s="204">
        <f t="shared" si="9"/>
        <v>0</v>
      </c>
      <c r="BS86" s="194">
        <v>1.92</v>
      </c>
      <c r="BT86" s="216">
        <f t="shared" si="10"/>
        <v>295.68</v>
      </c>
      <c r="BU86" s="217">
        <v>106000</v>
      </c>
      <c r="BV86" s="218">
        <f t="shared" si="11"/>
        <v>31342080</v>
      </c>
      <c r="BW86" s="194"/>
    </row>
    <row r="87" spans="1:75" ht="18" customHeight="1" x14ac:dyDescent="0.25">
      <c r="A87" s="219"/>
      <c r="B87" s="213" t="s">
        <v>580</v>
      </c>
      <c r="C87" s="214">
        <v>16.329999999999998</v>
      </c>
      <c r="D87" s="215">
        <f t="shared" si="8"/>
        <v>16.329999999999998</v>
      </c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  <c r="AA87" s="209"/>
      <c r="AB87" s="209"/>
      <c r="AC87" s="209"/>
      <c r="AD87" s="209"/>
      <c r="AE87" s="209"/>
      <c r="AF87" s="209"/>
      <c r="AG87" s="209"/>
      <c r="AH87" s="209"/>
      <c r="AI87" s="209"/>
      <c r="AJ87" s="209"/>
      <c r="AK87" s="209"/>
      <c r="AL87" s="209"/>
      <c r="AM87" s="209"/>
      <c r="AN87" s="209"/>
      <c r="AO87" s="209"/>
      <c r="AP87" s="209"/>
      <c r="AQ87" s="209"/>
      <c r="AR87" s="209"/>
      <c r="AS87" s="209"/>
      <c r="AT87" s="209"/>
      <c r="AU87" s="209"/>
      <c r="AV87" s="209"/>
      <c r="AW87" s="209"/>
      <c r="AX87" s="209"/>
      <c r="AY87" s="209"/>
      <c r="AZ87" s="209"/>
      <c r="BA87" s="209"/>
      <c r="BB87" s="209"/>
      <c r="BC87" s="209"/>
      <c r="BD87" s="209"/>
      <c r="BE87" s="209"/>
      <c r="BF87" s="209"/>
      <c r="BG87" s="209"/>
      <c r="BH87" s="209"/>
      <c r="BI87" s="209"/>
      <c r="BJ87" s="209"/>
      <c r="BK87" s="209"/>
      <c r="BL87" s="209"/>
      <c r="BM87" s="209"/>
      <c r="BN87" s="209"/>
      <c r="BO87" s="209"/>
      <c r="BP87" s="209"/>
      <c r="BQ87" s="204">
        <f t="shared" si="9"/>
        <v>0</v>
      </c>
      <c r="BR87" s="204">
        <f t="shared" si="9"/>
        <v>0</v>
      </c>
      <c r="BS87" s="194">
        <v>1.92</v>
      </c>
      <c r="BT87" s="216">
        <f t="shared" si="10"/>
        <v>31.353599999999997</v>
      </c>
      <c r="BU87" s="217">
        <v>111000</v>
      </c>
      <c r="BV87" s="218">
        <f t="shared" si="11"/>
        <v>3480249.5999999996</v>
      </c>
      <c r="BW87" s="194"/>
    </row>
    <row r="88" spans="1:75" ht="18" customHeight="1" x14ac:dyDescent="0.25">
      <c r="A88" s="219"/>
      <c r="B88" s="227" t="s">
        <v>581</v>
      </c>
      <c r="C88" s="214">
        <v>15</v>
      </c>
      <c r="D88" s="215">
        <f t="shared" si="8"/>
        <v>15</v>
      </c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  <c r="AA88" s="209"/>
      <c r="AB88" s="209"/>
      <c r="AC88" s="209"/>
      <c r="AD88" s="209"/>
      <c r="AE88" s="209"/>
      <c r="AF88" s="209"/>
      <c r="AG88" s="209"/>
      <c r="AH88" s="209"/>
      <c r="AI88" s="209"/>
      <c r="AJ88" s="209"/>
      <c r="AK88" s="209"/>
      <c r="AL88" s="209"/>
      <c r="AM88" s="209"/>
      <c r="AN88" s="209"/>
      <c r="AO88" s="209"/>
      <c r="AP88" s="209"/>
      <c r="AQ88" s="209"/>
      <c r="AR88" s="209"/>
      <c r="AS88" s="209"/>
      <c r="AT88" s="209"/>
      <c r="AU88" s="209"/>
      <c r="AV88" s="209"/>
      <c r="AW88" s="209"/>
      <c r="AX88" s="209"/>
      <c r="AY88" s="209"/>
      <c r="AZ88" s="209"/>
      <c r="BA88" s="209"/>
      <c r="BB88" s="209"/>
      <c r="BC88" s="209"/>
      <c r="BD88" s="209"/>
      <c r="BE88" s="209"/>
      <c r="BF88" s="209"/>
      <c r="BG88" s="209"/>
      <c r="BH88" s="209"/>
      <c r="BI88" s="209"/>
      <c r="BJ88" s="209"/>
      <c r="BK88" s="209"/>
      <c r="BL88" s="209"/>
      <c r="BM88" s="209"/>
      <c r="BN88" s="209"/>
      <c r="BO88" s="209"/>
      <c r="BP88" s="209"/>
      <c r="BQ88" s="204">
        <f t="shared" si="9"/>
        <v>0</v>
      </c>
      <c r="BR88" s="204">
        <f t="shared" si="9"/>
        <v>0</v>
      </c>
      <c r="BS88" s="194">
        <v>1.92</v>
      </c>
      <c r="BT88" s="216">
        <f t="shared" si="10"/>
        <v>28.799999999999997</v>
      </c>
      <c r="BU88" s="217">
        <v>106000</v>
      </c>
      <c r="BV88" s="218">
        <f t="shared" si="11"/>
        <v>3052799.9999999995</v>
      </c>
      <c r="BW88" s="194"/>
    </row>
    <row r="89" spans="1:75" ht="18" customHeight="1" x14ac:dyDescent="0.25">
      <c r="A89" s="219"/>
      <c r="B89" s="213" t="s">
        <v>582</v>
      </c>
      <c r="C89" s="214">
        <v>27</v>
      </c>
      <c r="D89" s="215">
        <f t="shared" si="8"/>
        <v>27</v>
      </c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  <c r="AA89" s="209"/>
      <c r="AB89" s="209"/>
      <c r="AC89" s="209"/>
      <c r="AD89" s="209"/>
      <c r="AE89" s="209"/>
      <c r="AF89" s="209"/>
      <c r="AG89" s="209"/>
      <c r="AH89" s="209"/>
      <c r="AI89" s="209"/>
      <c r="AJ89" s="209"/>
      <c r="AK89" s="209"/>
      <c r="AL89" s="209"/>
      <c r="AM89" s="209"/>
      <c r="AN89" s="209"/>
      <c r="AO89" s="209"/>
      <c r="AP89" s="209"/>
      <c r="AQ89" s="209"/>
      <c r="AR89" s="209"/>
      <c r="AS89" s="209"/>
      <c r="AT89" s="209"/>
      <c r="AU89" s="209"/>
      <c r="AV89" s="209"/>
      <c r="AW89" s="209"/>
      <c r="AX89" s="209"/>
      <c r="AY89" s="209"/>
      <c r="AZ89" s="209"/>
      <c r="BA89" s="209"/>
      <c r="BB89" s="209"/>
      <c r="BC89" s="209"/>
      <c r="BD89" s="209"/>
      <c r="BE89" s="209"/>
      <c r="BF89" s="209"/>
      <c r="BG89" s="209"/>
      <c r="BH89" s="209"/>
      <c r="BI89" s="209"/>
      <c r="BJ89" s="209"/>
      <c r="BK89" s="209"/>
      <c r="BL89" s="209"/>
      <c r="BM89" s="209"/>
      <c r="BN89" s="209"/>
      <c r="BO89" s="209"/>
      <c r="BP89" s="209"/>
      <c r="BQ89" s="204">
        <f t="shared" si="9"/>
        <v>0</v>
      </c>
      <c r="BR89" s="204">
        <f t="shared" si="9"/>
        <v>0</v>
      </c>
      <c r="BS89" s="194">
        <v>1.92</v>
      </c>
      <c r="BT89" s="216">
        <f t="shared" si="10"/>
        <v>51.839999999999996</v>
      </c>
      <c r="BU89" s="217">
        <v>106000</v>
      </c>
      <c r="BV89" s="218">
        <f t="shared" si="11"/>
        <v>5495040</v>
      </c>
      <c r="BW89" s="194"/>
    </row>
    <row r="90" spans="1:75" ht="18" customHeight="1" x14ac:dyDescent="0.25">
      <c r="A90" s="219"/>
      <c r="B90" s="213" t="s">
        <v>583</v>
      </c>
      <c r="C90" s="214">
        <v>177</v>
      </c>
      <c r="D90" s="215">
        <f t="shared" si="8"/>
        <v>177</v>
      </c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  <c r="AA90" s="209"/>
      <c r="AB90" s="209"/>
      <c r="AC90" s="209"/>
      <c r="AD90" s="209"/>
      <c r="AE90" s="209"/>
      <c r="AF90" s="209"/>
      <c r="AG90" s="209"/>
      <c r="AH90" s="209"/>
      <c r="AI90" s="209"/>
      <c r="AJ90" s="209"/>
      <c r="AK90" s="209"/>
      <c r="AL90" s="209"/>
      <c r="AM90" s="209"/>
      <c r="AN90" s="209"/>
      <c r="AO90" s="209"/>
      <c r="AP90" s="209"/>
      <c r="AQ90" s="209"/>
      <c r="AR90" s="209"/>
      <c r="AS90" s="209"/>
      <c r="AT90" s="209"/>
      <c r="AU90" s="209"/>
      <c r="AV90" s="209"/>
      <c r="AW90" s="209"/>
      <c r="AX90" s="209"/>
      <c r="AY90" s="209"/>
      <c r="AZ90" s="209"/>
      <c r="BA90" s="209"/>
      <c r="BB90" s="209"/>
      <c r="BC90" s="209"/>
      <c r="BD90" s="209"/>
      <c r="BE90" s="209"/>
      <c r="BF90" s="209"/>
      <c r="BG90" s="209"/>
      <c r="BH90" s="209"/>
      <c r="BI90" s="209"/>
      <c r="BJ90" s="209"/>
      <c r="BK90" s="209"/>
      <c r="BL90" s="209"/>
      <c r="BM90" s="209"/>
      <c r="BN90" s="209"/>
      <c r="BO90" s="209"/>
      <c r="BP90" s="209"/>
      <c r="BQ90" s="204">
        <f t="shared" si="9"/>
        <v>0</v>
      </c>
      <c r="BR90" s="204">
        <f t="shared" si="9"/>
        <v>0</v>
      </c>
      <c r="BS90" s="194">
        <v>1.92</v>
      </c>
      <c r="BT90" s="216">
        <f t="shared" si="10"/>
        <v>339.84</v>
      </c>
      <c r="BU90" s="217">
        <v>106000</v>
      </c>
      <c r="BV90" s="218">
        <f t="shared" si="11"/>
        <v>36023040</v>
      </c>
      <c r="BW90" s="194"/>
    </row>
    <row r="91" spans="1:75" ht="18" customHeight="1" x14ac:dyDescent="0.25">
      <c r="A91" s="219"/>
      <c r="B91" s="213" t="s">
        <v>584</v>
      </c>
      <c r="C91" s="214">
        <v>22</v>
      </c>
      <c r="D91" s="215">
        <f t="shared" si="8"/>
        <v>22</v>
      </c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  <c r="AA91" s="209"/>
      <c r="AB91" s="209"/>
      <c r="AC91" s="209"/>
      <c r="AD91" s="209"/>
      <c r="AE91" s="209"/>
      <c r="AF91" s="209"/>
      <c r="AG91" s="209"/>
      <c r="AH91" s="209"/>
      <c r="AI91" s="209"/>
      <c r="AJ91" s="209"/>
      <c r="AK91" s="209"/>
      <c r="AL91" s="209"/>
      <c r="AM91" s="209"/>
      <c r="AN91" s="209"/>
      <c r="AO91" s="209"/>
      <c r="AP91" s="209"/>
      <c r="AQ91" s="209"/>
      <c r="AR91" s="209"/>
      <c r="AS91" s="209"/>
      <c r="AT91" s="209"/>
      <c r="AU91" s="209"/>
      <c r="AV91" s="209"/>
      <c r="AW91" s="209"/>
      <c r="AX91" s="209"/>
      <c r="AY91" s="209"/>
      <c r="AZ91" s="209"/>
      <c r="BA91" s="209"/>
      <c r="BB91" s="209"/>
      <c r="BC91" s="209"/>
      <c r="BD91" s="209"/>
      <c r="BE91" s="209"/>
      <c r="BF91" s="209"/>
      <c r="BG91" s="209"/>
      <c r="BH91" s="209"/>
      <c r="BI91" s="209"/>
      <c r="BJ91" s="209"/>
      <c r="BK91" s="209"/>
      <c r="BL91" s="209"/>
      <c r="BM91" s="209"/>
      <c r="BN91" s="209"/>
      <c r="BO91" s="209"/>
      <c r="BP91" s="209"/>
      <c r="BQ91" s="204">
        <f t="shared" si="9"/>
        <v>0</v>
      </c>
      <c r="BR91" s="204">
        <f t="shared" si="9"/>
        <v>0</v>
      </c>
      <c r="BS91" s="194">
        <v>1.92</v>
      </c>
      <c r="BT91" s="216">
        <f t="shared" si="10"/>
        <v>42.239999999999995</v>
      </c>
      <c r="BU91" s="217">
        <v>111000</v>
      </c>
      <c r="BV91" s="218">
        <f t="shared" si="11"/>
        <v>4688639.9999999991</v>
      </c>
      <c r="BW91" s="194"/>
    </row>
    <row r="92" spans="1:75" ht="18" customHeight="1" x14ac:dyDescent="0.25">
      <c r="A92" s="219"/>
      <c r="B92" s="228" t="s">
        <v>12233</v>
      </c>
      <c r="C92" s="214">
        <v>10</v>
      </c>
      <c r="D92" s="215">
        <f t="shared" si="8"/>
        <v>6</v>
      </c>
      <c r="E92" s="209"/>
      <c r="F92" s="209"/>
      <c r="G92" s="209"/>
      <c r="H92" s="209"/>
      <c r="I92" s="209"/>
      <c r="J92" s="209"/>
      <c r="K92" s="209"/>
      <c r="L92" s="209"/>
      <c r="M92" s="209"/>
      <c r="N92" s="209">
        <v>4</v>
      </c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  <c r="AA92" s="209"/>
      <c r="AB92" s="209"/>
      <c r="AC92" s="209"/>
      <c r="AD92" s="209"/>
      <c r="AE92" s="209"/>
      <c r="AF92" s="209"/>
      <c r="AG92" s="209"/>
      <c r="AH92" s="209"/>
      <c r="AI92" s="209"/>
      <c r="AJ92" s="209"/>
      <c r="AK92" s="209"/>
      <c r="AL92" s="209"/>
      <c r="AM92" s="209"/>
      <c r="AN92" s="209"/>
      <c r="AO92" s="209"/>
      <c r="AP92" s="209"/>
      <c r="AQ92" s="209"/>
      <c r="AR92" s="209"/>
      <c r="AS92" s="209"/>
      <c r="AT92" s="209"/>
      <c r="AU92" s="209"/>
      <c r="AV92" s="209"/>
      <c r="AW92" s="209"/>
      <c r="AX92" s="209"/>
      <c r="AY92" s="209"/>
      <c r="AZ92" s="209"/>
      <c r="BA92" s="209"/>
      <c r="BB92" s="209"/>
      <c r="BC92" s="209"/>
      <c r="BD92" s="209"/>
      <c r="BE92" s="209"/>
      <c r="BF92" s="209"/>
      <c r="BG92" s="209"/>
      <c r="BH92" s="209"/>
      <c r="BI92" s="209"/>
      <c r="BJ92" s="209"/>
      <c r="BK92" s="209"/>
      <c r="BL92" s="209"/>
      <c r="BM92" s="209"/>
      <c r="BN92" s="209"/>
      <c r="BO92" s="209"/>
      <c r="BP92" s="209"/>
      <c r="BQ92" s="204">
        <f t="shared" si="9"/>
        <v>0</v>
      </c>
      <c r="BR92" s="204">
        <f t="shared" si="9"/>
        <v>4</v>
      </c>
      <c r="BS92" s="194">
        <v>1.92</v>
      </c>
      <c r="BT92" s="216">
        <f t="shared" si="10"/>
        <v>11.52</v>
      </c>
      <c r="BU92" s="217">
        <v>106000</v>
      </c>
      <c r="BV92" s="218">
        <f t="shared" si="11"/>
        <v>1221120</v>
      </c>
      <c r="BW92" s="194"/>
    </row>
    <row r="93" spans="1:75" ht="18" customHeight="1" x14ac:dyDescent="0.25">
      <c r="A93" s="219"/>
      <c r="B93" s="213" t="s">
        <v>585</v>
      </c>
      <c r="C93" s="214">
        <v>11</v>
      </c>
      <c r="D93" s="215">
        <f t="shared" si="8"/>
        <v>11</v>
      </c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  <c r="AA93" s="209"/>
      <c r="AB93" s="209"/>
      <c r="AC93" s="209"/>
      <c r="AD93" s="209"/>
      <c r="AE93" s="209"/>
      <c r="AF93" s="209"/>
      <c r="AG93" s="209"/>
      <c r="AH93" s="209"/>
      <c r="AI93" s="209"/>
      <c r="AJ93" s="209"/>
      <c r="AK93" s="209"/>
      <c r="AL93" s="209"/>
      <c r="AM93" s="209"/>
      <c r="AN93" s="209"/>
      <c r="AO93" s="209"/>
      <c r="AP93" s="209"/>
      <c r="AQ93" s="209"/>
      <c r="AR93" s="209"/>
      <c r="AS93" s="209"/>
      <c r="AT93" s="209"/>
      <c r="AU93" s="209"/>
      <c r="AV93" s="209"/>
      <c r="AW93" s="209"/>
      <c r="AX93" s="209"/>
      <c r="AY93" s="209"/>
      <c r="AZ93" s="209"/>
      <c r="BA93" s="209"/>
      <c r="BB93" s="209"/>
      <c r="BC93" s="209"/>
      <c r="BD93" s="209"/>
      <c r="BE93" s="209"/>
      <c r="BF93" s="209"/>
      <c r="BG93" s="209"/>
      <c r="BH93" s="209"/>
      <c r="BI93" s="209"/>
      <c r="BJ93" s="209"/>
      <c r="BK93" s="209"/>
      <c r="BL93" s="209"/>
      <c r="BM93" s="209"/>
      <c r="BN93" s="209"/>
      <c r="BO93" s="209"/>
      <c r="BP93" s="209"/>
      <c r="BQ93" s="204">
        <f t="shared" si="9"/>
        <v>0</v>
      </c>
      <c r="BR93" s="204">
        <f t="shared" si="9"/>
        <v>0</v>
      </c>
      <c r="BS93" s="194">
        <v>1.92</v>
      </c>
      <c r="BT93" s="216">
        <f t="shared" si="10"/>
        <v>21.119999999999997</v>
      </c>
      <c r="BU93" s="217">
        <v>106000</v>
      </c>
      <c r="BV93" s="218">
        <f t="shared" si="11"/>
        <v>2238719.9999999995</v>
      </c>
      <c r="BW93" s="194"/>
    </row>
    <row r="94" spans="1:75" ht="18" customHeight="1" x14ac:dyDescent="0.25">
      <c r="A94" s="219"/>
      <c r="B94" s="226" t="s">
        <v>576</v>
      </c>
      <c r="C94" s="214">
        <v>121.32999999999998</v>
      </c>
      <c r="D94" s="215">
        <f t="shared" si="8"/>
        <v>118.32999999999998</v>
      </c>
      <c r="E94" s="209"/>
      <c r="F94" s="209"/>
      <c r="G94" s="209"/>
      <c r="H94" s="209">
        <v>3</v>
      </c>
      <c r="I94" s="209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  <c r="AA94" s="209"/>
      <c r="AB94" s="209"/>
      <c r="AC94" s="209"/>
      <c r="AD94" s="209"/>
      <c r="AE94" s="209"/>
      <c r="AF94" s="209"/>
      <c r="AG94" s="209"/>
      <c r="AH94" s="209"/>
      <c r="AI94" s="209"/>
      <c r="AJ94" s="209"/>
      <c r="AK94" s="209"/>
      <c r="AL94" s="209"/>
      <c r="AM94" s="209"/>
      <c r="AN94" s="209"/>
      <c r="AO94" s="209"/>
      <c r="AP94" s="209"/>
      <c r="AQ94" s="209"/>
      <c r="AR94" s="209"/>
      <c r="AS94" s="209"/>
      <c r="AT94" s="209"/>
      <c r="AU94" s="209"/>
      <c r="AV94" s="209"/>
      <c r="AW94" s="209"/>
      <c r="AX94" s="209"/>
      <c r="AY94" s="209"/>
      <c r="AZ94" s="209"/>
      <c r="BA94" s="209"/>
      <c r="BB94" s="209"/>
      <c r="BC94" s="209"/>
      <c r="BD94" s="209"/>
      <c r="BE94" s="209"/>
      <c r="BF94" s="209"/>
      <c r="BG94" s="209"/>
      <c r="BH94" s="209"/>
      <c r="BI94" s="209"/>
      <c r="BJ94" s="209"/>
      <c r="BK94" s="209"/>
      <c r="BL94" s="209"/>
      <c r="BM94" s="209"/>
      <c r="BN94" s="209"/>
      <c r="BO94" s="209"/>
      <c r="BP94" s="209"/>
      <c r="BQ94" s="204">
        <f t="shared" si="9"/>
        <v>0</v>
      </c>
      <c r="BR94" s="204">
        <f t="shared" si="9"/>
        <v>3</v>
      </c>
      <c r="BS94" s="194">
        <v>1.92</v>
      </c>
      <c r="BT94" s="216">
        <f t="shared" si="10"/>
        <v>227.19359999999998</v>
      </c>
      <c r="BU94" s="217">
        <v>111000</v>
      </c>
      <c r="BV94" s="218">
        <f t="shared" si="11"/>
        <v>25218489.599999998</v>
      </c>
      <c r="BW94" s="194"/>
    </row>
    <row r="95" spans="1:75" ht="18" customHeight="1" x14ac:dyDescent="0.25">
      <c r="A95" s="219"/>
      <c r="B95" s="213" t="s">
        <v>586</v>
      </c>
      <c r="C95" s="214">
        <v>45</v>
      </c>
      <c r="D95" s="215">
        <f t="shared" si="8"/>
        <v>45</v>
      </c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  <c r="AA95" s="209"/>
      <c r="AB95" s="209"/>
      <c r="AC95" s="209"/>
      <c r="AD95" s="209"/>
      <c r="AE95" s="209"/>
      <c r="AF95" s="209"/>
      <c r="AG95" s="209"/>
      <c r="AH95" s="209"/>
      <c r="AI95" s="209"/>
      <c r="AJ95" s="209"/>
      <c r="AK95" s="209"/>
      <c r="AL95" s="209"/>
      <c r="AM95" s="209"/>
      <c r="AN95" s="209"/>
      <c r="AO95" s="209"/>
      <c r="AP95" s="209"/>
      <c r="AQ95" s="209"/>
      <c r="AR95" s="209"/>
      <c r="AS95" s="209"/>
      <c r="AT95" s="209"/>
      <c r="AU95" s="209"/>
      <c r="AV95" s="209"/>
      <c r="AW95" s="209"/>
      <c r="AX95" s="209"/>
      <c r="AY95" s="209"/>
      <c r="AZ95" s="209"/>
      <c r="BA95" s="209"/>
      <c r="BB95" s="209"/>
      <c r="BC95" s="209"/>
      <c r="BD95" s="209"/>
      <c r="BE95" s="209"/>
      <c r="BF95" s="209"/>
      <c r="BG95" s="209"/>
      <c r="BH95" s="209"/>
      <c r="BI95" s="209"/>
      <c r="BJ95" s="209"/>
      <c r="BK95" s="209"/>
      <c r="BL95" s="209"/>
      <c r="BM95" s="209"/>
      <c r="BN95" s="209"/>
      <c r="BO95" s="209"/>
      <c r="BP95" s="209"/>
      <c r="BQ95" s="204">
        <f t="shared" si="9"/>
        <v>0</v>
      </c>
      <c r="BR95" s="204">
        <f t="shared" si="9"/>
        <v>0</v>
      </c>
      <c r="BS95" s="194">
        <v>1.92</v>
      </c>
      <c r="BT95" s="216">
        <f t="shared" si="10"/>
        <v>86.399999999999991</v>
      </c>
      <c r="BU95" s="217">
        <v>111000</v>
      </c>
      <c r="BV95" s="218">
        <f t="shared" si="11"/>
        <v>9590399.9999999981</v>
      </c>
      <c r="BW95" s="194"/>
    </row>
    <row r="96" spans="1:75" ht="18" customHeight="1" x14ac:dyDescent="0.25">
      <c r="A96" s="219"/>
      <c r="B96" s="223" t="s">
        <v>12234</v>
      </c>
      <c r="C96" s="214">
        <v>10</v>
      </c>
      <c r="D96" s="215">
        <f t="shared" si="8"/>
        <v>10</v>
      </c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09"/>
      <c r="AG96" s="209"/>
      <c r="AH96" s="209"/>
      <c r="AI96" s="209"/>
      <c r="AJ96" s="209"/>
      <c r="AK96" s="209"/>
      <c r="AL96" s="209"/>
      <c r="AM96" s="209"/>
      <c r="AN96" s="209"/>
      <c r="AO96" s="209"/>
      <c r="AP96" s="209"/>
      <c r="AQ96" s="209"/>
      <c r="AR96" s="209"/>
      <c r="AS96" s="209"/>
      <c r="AT96" s="209"/>
      <c r="AU96" s="209"/>
      <c r="AV96" s="209"/>
      <c r="AW96" s="209"/>
      <c r="AX96" s="209"/>
      <c r="AY96" s="209"/>
      <c r="AZ96" s="209"/>
      <c r="BA96" s="209"/>
      <c r="BB96" s="209"/>
      <c r="BC96" s="209"/>
      <c r="BD96" s="209"/>
      <c r="BE96" s="209"/>
      <c r="BF96" s="209"/>
      <c r="BG96" s="209"/>
      <c r="BH96" s="209"/>
      <c r="BI96" s="209"/>
      <c r="BJ96" s="209"/>
      <c r="BK96" s="209"/>
      <c r="BL96" s="209"/>
      <c r="BM96" s="209"/>
      <c r="BN96" s="209"/>
      <c r="BO96" s="209"/>
      <c r="BP96" s="209"/>
      <c r="BQ96" s="204">
        <f t="shared" si="9"/>
        <v>0</v>
      </c>
      <c r="BR96" s="204">
        <f t="shared" si="9"/>
        <v>0</v>
      </c>
      <c r="BS96" s="194">
        <v>1.92</v>
      </c>
      <c r="BT96" s="216">
        <f t="shared" si="10"/>
        <v>19.2</v>
      </c>
      <c r="BU96" s="217">
        <v>111000</v>
      </c>
      <c r="BV96" s="218">
        <f t="shared" si="11"/>
        <v>2131200</v>
      </c>
      <c r="BW96" s="194"/>
    </row>
    <row r="97" spans="1:75" ht="18" customHeight="1" x14ac:dyDescent="0.25">
      <c r="A97" s="219"/>
      <c r="B97" s="213" t="s">
        <v>588</v>
      </c>
      <c r="C97" s="214">
        <v>5</v>
      </c>
      <c r="D97" s="215">
        <f t="shared" si="8"/>
        <v>5</v>
      </c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09"/>
      <c r="AG97" s="209"/>
      <c r="AH97" s="209"/>
      <c r="AI97" s="209"/>
      <c r="AJ97" s="209"/>
      <c r="AK97" s="209"/>
      <c r="AL97" s="209"/>
      <c r="AM97" s="209"/>
      <c r="AN97" s="209"/>
      <c r="AO97" s="209"/>
      <c r="AP97" s="209"/>
      <c r="AQ97" s="209"/>
      <c r="AR97" s="209"/>
      <c r="AS97" s="209"/>
      <c r="AT97" s="209"/>
      <c r="AU97" s="209"/>
      <c r="AV97" s="209"/>
      <c r="AW97" s="209"/>
      <c r="AX97" s="209"/>
      <c r="AY97" s="209"/>
      <c r="AZ97" s="209"/>
      <c r="BA97" s="209"/>
      <c r="BB97" s="209"/>
      <c r="BC97" s="209"/>
      <c r="BD97" s="209"/>
      <c r="BE97" s="209"/>
      <c r="BF97" s="209"/>
      <c r="BG97" s="209"/>
      <c r="BH97" s="209"/>
      <c r="BI97" s="209"/>
      <c r="BJ97" s="209"/>
      <c r="BK97" s="209"/>
      <c r="BL97" s="209"/>
      <c r="BM97" s="209"/>
      <c r="BN97" s="209"/>
      <c r="BO97" s="209"/>
      <c r="BP97" s="209"/>
      <c r="BQ97" s="204">
        <f t="shared" si="9"/>
        <v>0</v>
      </c>
      <c r="BR97" s="204">
        <f t="shared" si="9"/>
        <v>0</v>
      </c>
      <c r="BS97" s="194">
        <v>1.92</v>
      </c>
      <c r="BT97" s="216">
        <f t="shared" si="10"/>
        <v>9.6</v>
      </c>
      <c r="BU97" s="217">
        <v>86000</v>
      </c>
      <c r="BV97" s="218">
        <f t="shared" si="11"/>
        <v>825600</v>
      </c>
      <c r="BW97" s="194"/>
    </row>
    <row r="98" spans="1:75" ht="18" customHeight="1" x14ac:dyDescent="0.25">
      <c r="A98" s="219"/>
      <c r="B98" s="226" t="s">
        <v>587</v>
      </c>
      <c r="C98" s="214">
        <v>48</v>
      </c>
      <c r="D98" s="215">
        <f t="shared" si="8"/>
        <v>48</v>
      </c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09"/>
      <c r="AK98" s="209"/>
      <c r="AL98" s="209"/>
      <c r="AM98" s="209"/>
      <c r="AN98" s="209"/>
      <c r="AO98" s="209"/>
      <c r="AP98" s="209"/>
      <c r="AQ98" s="209"/>
      <c r="AR98" s="209"/>
      <c r="AS98" s="209"/>
      <c r="AT98" s="209"/>
      <c r="AU98" s="209"/>
      <c r="AV98" s="209"/>
      <c r="AW98" s="209"/>
      <c r="AX98" s="209"/>
      <c r="AY98" s="209"/>
      <c r="AZ98" s="209"/>
      <c r="BA98" s="209"/>
      <c r="BB98" s="209"/>
      <c r="BC98" s="209"/>
      <c r="BD98" s="209"/>
      <c r="BE98" s="209"/>
      <c r="BF98" s="209"/>
      <c r="BG98" s="209"/>
      <c r="BH98" s="209"/>
      <c r="BI98" s="209"/>
      <c r="BJ98" s="209"/>
      <c r="BK98" s="209"/>
      <c r="BL98" s="209"/>
      <c r="BM98" s="209"/>
      <c r="BN98" s="209"/>
      <c r="BO98" s="209"/>
      <c r="BP98" s="209"/>
      <c r="BQ98" s="204">
        <f t="shared" si="9"/>
        <v>0</v>
      </c>
      <c r="BR98" s="204">
        <f t="shared" si="9"/>
        <v>0</v>
      </c>
      <c r="BS98" s="194">
        <v>1.92</v>
      </c>
      <c r="BT98" s="216">
        <f t="shared" si="10"/>
        <v>92.16</v>
      </c>
      <c r="BU98" s="217">
        <v>111000</v>
      </c>
      <c r="BV98" s="218">
        <f t="shared" si="11"/>
        <v>10229760</v>
      </c>
      <c r="BW98" s="194"/>
    </row>
    <row r="99" spans="1:75" ht="18" customHeight="1" x14ac:dyDescent="0.25">
      <c r="A99" s="219"/>
      <c r="B99" s="213" t="s">
        <v>589</v>
      </c>
      <c r="C99" s="214">
        <v>162.02999999999997</v>
      </c>
      <c r="D99" s="215">
        <f t="shared" si="8"/>
        <v>162.02999999999997</v>
      </c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09"/>
      <c r="AP99" s="209"/>
      <c r="AQ99" s="209"/>
      <c r="AR99" s="209"/>
      <c r="AS99" s="209"/>
      <c r="AT99" s="209"/>
      <c r="AU99" s="209"/>
      <c r="AV99" s="209"/>
      <c r="AW99" s="209"/>
      <c r="AX99" s="209"/>
      <c r="AY99" s="209"/>
      <c r="AZ99" s="209"/>
      <c r="BA99" s="209"/>
      <c r="BB99" s="209"/>
      <c r="BC99" s="209"/>
      <c r="BD99" s="209"/>
      <c r="BE99" s="209"/>
      <c r="BF99" s="209"/>
      <c r="BG99" s="209"/>
      <c r="BH99" s="209"/>
      <c r="BI99" s="209"/>
      <c r="BJ99" s="209"/>
      <c r="BK99" s="209"/>
      <c r="BL99" s="209"/>
      <c r="BM99" s="209"/>
      <c r="BN99" s="209"/>
      <c r="BO99" s="209"/>
      <c r="BP99" s="209"/>
      <c r="BQ99" s="204">
        <f t="shared" si="9"/>
        <v>0</v>
      </c>
      <c r="BR99" s="204">
        <f t="shared" si="9"/>
        <v>0</v>
      </c>
      <c r="BS99" s="194">
        <v>1.92</v>
      </c>
      <c r="BT99" s="216">
        <f t="shared" si="10"/>
        <v>311.09759999999994</v>
      </c>
      <c r="BU99" s="217">
        <v>106000</v>
      </c>
      <c r="BV99" s="218">
        <f t="shared" si="11"/>
        <v>32976345.599999994</v>
      </c>
      <c r="BW99" s="194"/>
    </row>
    <row r="100" spans="1:75" ht="18" customHeight="1" x14ac:dyDescent="0.25">
      <c r="A100" s="219"/>
      <c r="B100" s="213" t="s">
        <v>12191</v>
      </c>
      <c r="C100" s="214">
        <v>186</v>
      </c>
      <c r="D100" s="215">
        <f t="shared" si="8"/>
        <v>186</v>
      </c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9"/>
      <c r="AO100" s="209"/>
      <c r="AP100" s="209"/>
      <c r="AQ100" s="209"/>
      <c r="AR100" s="209"/>
      <c r="AS100" s="209"/>
      <c r="AT100" s="209"/>
      <c r="AU100" s="209"/>
      <c r="AV100" s="209"/>
      <c r="AW100" s="209"/>
      <c r="AX100" s="209"/>
      <c r="AY100" s="209"/>
      <c r="AZ100" s="209"/>
      <c r="BA100" s="209"/>
      <c r="BB100" s="209"/>
      <c r="BC100" s="209"/>
      <c r="BD100" s="209"/>
      <c r="BE100" s="209"/>
      <c r="BF100" s="209"/>
      <c r="BG100" s="209"/>
      <c r="BH100" s="209"/>
      <c r="BI100" s="209"/>
      <c r="BJ100" s="209"/>
      <c r="BK100" s="209"/>
      <c r="BL100" s="209"/>
      <c r="BM100" s="209"/>
      <c r="BN100" s="209"/>
      <c r="BO100" s="209"/>
      <c r="BP100" s="209"/>
      <c r="BQ100" s="204">
        <f t="shared" si="9"/>
        <v>0</v>
      </c>
      <c r="BR100" s="204">
        <f t="shared" si="9"/>
        <v>0</v>
      </c>
      <c r="BS100" s="194">
        <v>1.92</v>
      </c>
      <c r="BT100" s="216">
        <f t="shared" si="10"/>
        <v>357.12</v>
      </c>
      <c r="BU100" s="217">
        <v>86000</v>
      </c>
      <c r="BV100" s="218">
        <f t="shared" si="11"/>
        <v>30712320</v>
      </c>
      <c r="BW100" s="194"/>
    </row>
    <row r="101" spans="1:75" ht="18" customHeight="1" x14ac:dyDescent="0.25">
      <c r="A101" s="219"/>
      <c r="B101" s="213" t="s">
        <v>590</v>
      </c>
      <c r="C101" s="214">
        <v>2</v>
      </c>
      <c r="D101" s="215">
        <f t="shared" si="8"/>
        <v>2</v>
      </c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9"/>
      <c r="AO101" s="209"/>
      <c r="AP101" s="209"/>
      <c r="AQ101" s="209"/>
      <c r="AR101" s="209"/>
      <c r="AS101" s="209"/>
      <c r="AT101" s="209"/>
      <c r="AU101" s="209"/>
      <c r="AV101" s="209"/>
      <c r="AW101" s="209"/>
      <c r="AX101" s="209"/>
      <c r="AY101" s="209"/>
      <c r="AZ101" s="209"/>
      <c r="BA101" s="209"/>
      <c r="BB101" s="209"/>
      <c r="BC101" s="209"/>
      <c r="BD101" s="209"/>
      <c r="BE101" s="209"/>
      <c r="BF101" s="209"/>
      <c r="BG101" s="209"/>
      <c r="BH101" s="209"/>
      <c r="BI101" s="209"/>
      <c r="BJ101" s="209"/>
      <c r="BK101" s="209"/>
      <c r="BL101" s="209"/>
      <c r="BM101" s="209"/>
      <c r="BN101" s="209"/>
      <c r="BO101" s="209"/>
      <c r="BP101" s="209"/>
      <c r="BQ101" s="204">
        <f t="shared" si="9"/>
        <v>0</v>
      </c>
      <c r="BR101" s="204">
        <f t="shared" si="9"/>
        <v>0</v>
      </c>
      <c r="BS101" s="194">
        <v>1.92</v>
      </c>
      <c r="BT101" s="216">
        <f t="shared" si="10"/>
        <v>3.84</v>
      </c>
      <c r="BU101" s="217">
        <v>111000</v>
      </c>
      <c r="BV101" s="218">
        <f t="shared" si="11"/>
        <v>426240</v>
      </c>
      <c r="BW101" s="194"/>
    </row>
    <row r="102" spans="1:75" ht="18" customHeight="1" x14ac:dyDescent="0.25">
      <c r="A102" s="220"/>
      <c r="B102" s="220" t="s">
        <v>12182</v>
      </c>
      <c r="C102" s="214">
        <v>93</v>
      </c>
      <c r="D102" s="215">
        <f t="shared" si="8"/>
        <v>34</v>
      </c>
      <c r="E102" s="209"/>
      <c r="F102" s="209"/>
      <c r="G102" s="209"/>
      <c r="H102" s="209">
        <f>52+7</f>
        <v>59</v>
      </c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09"/>
      <c r="AK102" s="209"/>
      <c r="AL102" s="209"/>
      <c r="AM102" s="209"/>
      <c r="AN102" s="209"/>
      <c r="AO102" s="209"/>
      <c r="AP102" s="209"/>
      <c r="AQ102" s="209"/>
      <c r="AR102" s="209"/>
      <c r="AS102" s="209"/>
      <c r="AT102" s="209"/>
      <c r="AU102" s="209"/>
      <c r="AV102" s="209"/>
      <c r="AW102" s="209"/>
      <c r="AX102" s="209"/>
      <c r="AY102" s="209"/>
      <c r="AZ102" s="209"/>
      <c r="BA102" s="209"/>
      <c r="BB102" s="209"/>
      <c r="BC102" s="209"/>
      <c r="BD102" s="209"/>
      <c r="BE102" s="209"/>
      <c r="BF102" s="209"/>
      <c r="BG102" s="209"/>
      <c r="BH102" s="209"/>
      <c r="BI102" s="209"/>
      <c r="BJ102" s="209"/>
      <c r="BK102" s="209"/>
      <c r="BL102" s="209"/>
      <c r="BM102" s="209"/>
      <c r="BN102" s="209"/>
      <c r="BO102" s="209"/>
      <c r="BP102" s="209"/>
      <c r="BQ102" s="204">
        <f t="shared" si="9"/>
        <v>0</v>
      </c>
      <c r="BR102" s="204">
        <f t="shared" si="9"/>
        <v>59</v>
      </c>
      <c r="BS102" s="194">
        <v>1.92</v>
      </c>
      <c r="BT102" s="216">
        <f t="shared" si="10"/>
        <v>65.28</v>
      </c>
      <c r="BU102" s="217">
        <v>111000</v>
      </c>
      <c r="BV102" s="218">
        <f t="shared" si="11"/>
        <v>7246080</v>
      </c>
      <c r="BW102" s="194"/>
    </row>
    <row r="103" spans="1:75" ht="18" customHeight="1" x14ac:dyDescent="0.25">
      <c r="A103" s="219"/>
      <c r="B103" s="213" t="s">
        <v>591</v>
      </c>
      <c r="C103" s="214">
        <v>20.700000000000003</v>
      </c>
      <c r="D103" s="215">
        <f t="shared" si="8"/>
        <v>20.700000000000003</v>
      </c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09"/>
      <c r="AK103" s="209"/>
      <c r="AL103" s="209"/>
      <c r="AM103" s="209"/>
      <c r="AN103" s="209"/>
      <c r="AO103" s="209"/>
      <c r="AP103" s="209"/>
      <c r="AQ103" s="209"/>
      <c r="AR103" s="209"/>
      <c r="AS103" s="209"/>
      <c r="AT103" s="209"/>
      <c r="AU103" s="209"/>
      <c r="AV103" s="209"/>
      <c r="AW103" s="209"/>
      <c r="AX103" s="209"/>
      <c r="AY103" s="209"/>
      <c r="AZ103" s="209"/>
      <c r="BA103" s="209"/>
      <c r="BB103" s="209"/>
      <c r="BC103" s="209"/>
      <c r="BD103" s="209"/>
      <c r="BE103" s="209"/>
      <c r="BF103" s="209"/>
      <c r="BG103" s="209"/>
      <c r="BH103" s="209"/>
      <c r="BI103" s="209"/>
      <c r="BJ103" s="209"/>
      <c r="BK103" s="209"/>
      <c r="BL103" s="209"/>
      <c r="BM103" s="209"/>
      <c r="BN103" s="209"/>
      <c r="BO103" s="209"/>
      <c r="BP103" s="209"/>
      <c r="BQ103" s="204">
        <f t="shared" si="9"/>
        <v>0</v>
      </c>
      <c r="BR103" s="204">
        <f t="shared" si="9"/>
        <v>0</v>
      </c>
      <c r="BS103" s="194">
        <v>1.92</v>
      </c>
      <c r="BT103" s="216">
        <f t="shared" si="10"/>
        <v>39.744000000000007</v>
      </c>
      <c r="BU103" s="217">
        <v>138000</v>
      </c>
      <c r="BV103" s="218">
        <f t="shared" si="11"/>
        <v>5484672.0000000009</v>
      </c>
      <c r="BW103" s="194"/>
    </row>
    <row r="104" spans="1:75" ht="18" customHeight="1" x14ac:dyDescent="0.25">
      <c r="A104" s="219"/>
      <c r="B104" s="213" t="s">
        <v>12268</v>
      </c>
      <c r="C104" s="214">
        <v>0</v>
      </c>
      <c r="D104" s="215">
        <f t="shared" si="8"/>
        <v>0</v>
      </c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  <c r="AA104" s="209"/>
      <c r="AB104" s="209"/>
      <c r="AC104" s="209"/>
      <c r="AD104" s="209"/>
      <c r="AE104" s="209"/>
      <c r="AF104" s="209"/>
      <c r="AG104" s="209"/>
      <c r="AH104" s="209"/>
      <c r="AI104" s="209"/>
      <c r="AJ104" s="209"/>
      <c r="AK104" s="209"/>
      <c r="AL104" s="209"/>
      <c r="AM104" s="209"/>
      <c r="AN104" s="209"/>
      <c r="AO104" s="209"/>
      <c r="AP104" s="209"/>
      <c r="AQ104" s="209"/>
      <c r="AR104" s="209"/>
      <c r="AS104" s="209"/>
      <c r="AT104" s="209"/>
      <c r="AU104" s="209"/>
      <c r="AV104" s="209"/>
      <c r="AW104" s="209"/>
      <c r="AX104" s="209"/>
      <c r="AY104" s="209"/>
      <c r="AZ104" s="209"/>
      <c r="BA104" s="209"/>
      <c r="BB104" s="209"/>
      <c r="BC104" s="209"/>
      <c r="BD104" s="209"/>
      <c r="BE104" s="209"/>
      <c r="BF104" s="209"/>
      <c r="BG104" s="209"/>
      <c r="BH104" s="209"/>
      <c r="BI104" s="209"/>
      <c r="BJ104" s="209"/>
      <c r="BK104" s="209"/>
      <c r="BL104" s="209"/>
      <c r="BM104" s="209"/>
      <c r="BN104" s="209"/>
      <c r="BO104" s="209"/>
      <c r="BP104" s="209"/>
      <c r="BQ104" s="204">
        <f t="shared" si="9"/>
        <v>0</v>
      </c>
      <c r="BR104" s="204">
        <f t="shared" si="9"/>
        <v>0</v>
      </c>
      <c r="BS104" s="194">
        <v>1.92</v>
      </c>
      <c r="BT104" s="216">
        <f t="shared" si="10"/>
        <v>0</v>
      </c>
      <c r="BU104" s="217"/>
      <c r="BV104" s="218">
        <f t="shared" si="11"/>
        <v>0</v>
      </c>
      <c r="BW104" s="194"/>
    </row>
    <row r="105" spans="1:75" ht="18" customHeight="1" x14ac:dyDescent="0.25">
      <c r="A105" s="219" t="s">
        <v>284</v>
      </c>
      <c r="B105" s="213" t="s">
        <v>12154</v>
      </c>
      <c r="C105" s="214">
        <v>93</v>
      </c>
      <c r="D105" s="215">
        <f t="shared" si="8"/>
        <v>93</v>
      </c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09"/>
      <c r="AK105" s="209"/>
      <c r="AL105" s="209"/>
      <c r="AM105" s="209"/>
      <c r="AN105" s="209"/>
      <c r="AO105" s="209"/>
      <c r="AP105" s="209"/>
      <c r="AQ105" s="209"/>
      <c r="AR105" s="209"/>
      <c r="AS105" s="209"/>
      <c r="AT105" s="209"/>
      <c r="AU105" s="209"/>
      <c r="AV105" s="209"/>
      <c r="AW105" s="209"/>
      <c r="AX105" s="209"/>
      <c r="AY105" s="209"/>
      <c r="AZ105" s="209"/>
      <c r="BA105" s="209"/>
      <c r="BB105" s="209"/>
      <c r="BC105" s="209"/>
      <c r="BD105" s="209"/>
      <c r="BE105" s="209"/>
      <c r="BF105" s="209"/>
      <c r="BG105" s="209"/>
      <c r="BH105" s="209"/>
      <c r="BI105" s="209"/>
      <c r="BJ105" s="209"/>
      <c r="BK105" s="209"/>
      <c r="BL105" s="209"/>
      <c r="BM105" s="209"/>
      <c r="BN105" s="209"/>
      <c r="BO105" s="209"/>
      <c r="BP105" s="209"/>
      <c r="BQ105" s="204">
        <f t="shared" si="9"/>
        <v>0</v>
      </c>
      <c r="BR105" s="204">
        <f t="shared" si="9"/>
        <v>0</v>
      </c>
      <c r="BS105" s="194">
        <v>2.16</v>
      </c>
      <c r="BT105" s="216">
        <f t="shared" si="10"/>
        <v>200.88000000000002</v>
      </c>
      <c r="BU105" s="217">
        <v>145000</v>
      </c>
      <c r="BV105" s="218">
        <f t="shared" si="11"/>
        <v>29127600.000000004</v>
      </c>
      <c r="BW105" s="194"/>
    </row>
    <row r="106" spans="1:75" ht="18" customHeight="1" x14ac:dyDescent="0.25">
      <c r="A106" s="219"/>
      <c r="B106" s="213" t="s">
        <v>12155</v>
      </c>
      <c r="C106" s="214">
        <v>136</v>
      </c>
      <c r="D106" s="215">
        <f t="shared" si="8"/>
        <v>136</v>
      </c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09"/>
      <c r="AG106" s="209"/>
      <c r="AH106" s="209"/>
      <c r="AI106" s="209"/>
      <c r="AJ106" s="209"/>
      <c r="AK106" s="209"/>
      <c r="AL106" s="209"/>
      <c r="AM106" s="209"/>
      <c r="AN106" s="209"/>
      <c r="AO106" s="209"/>
      <c r="AP106" s="209"/>
      <c r="AQ106" s="209"/>
      <c r="AR106" s="209"/>
      <c r="AS106" s="209"/>
      <c r="AT106" s="209"/>
      <c r="AU106" s="209"/>
      <c r="AV106" s="209"/>
      <c r="AW106" s="209"/>
      <c r="AX106" s="209"/>
      <c r="AY106" s="209"/>
      <c r="AZ106" s="209"/>
      <c r="BA106" s="209"/>
      <c r="BB106" s="209"/>
      <c r="BC106" s="209"/>
      <c r="BD106" s="209"/>
      <c r="BE106" s="209"/>
      <c r="BF106" s="209"/>
      <c r="BG106" s="209"/>
      <c r="BH106" s="209"/>
      <c r="BI106" s="209"/>
      <c r="BJ106" s="209"/>
      <c r="BK106" s="209"/>
      <c r="BL106" s="209"/>
      <c r="BM106" s="209"/>
      <c r="BN106" s="209"/>
      <c r="BO106" s="209"/>
      <c r="BP106" s="209"/>
      <c r="BQ106" s="204">
        <f t="shared" si="9"/>
        <v>0</v>
      </c>
      <c r="BR106" s="204">
        <f t="shared" si="9"/>
        <v>0</v>
      </c>
      <c r="BS106" s="194">
        <v>2.16</v>
      </c>
      <c r="BT106" s="216">
        <f t="shared" si="10"/>
        <v>293.76</v>
      </c>
      <c r="BU106" s="217">
        <v>140000</v>
      </c>
      <c r="BV106" s="218">
        <f t="shared" si="11"/>
        <v>41126400</v>
      </c>
      <c r="BW106" s="194"/>
    </row>
    <row r="107" spans="1:75" ht="18" customHeight="1" x14ac:dyDescent="0.25">
      <c r="A107" s="229"/>
      <c r="B107" s="227" t="s">
        <v>12158</v>
      </c>
      <c r="C107" s="214">
        <v>121</v>
      </c>
      <c r="D107" s="215">
        <f t="shared" si="8"/>
        <v>121</v>
      </c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9"/>
      <c r="AO107" s="209"/>
      <c r="AP107" s="209"/>
      <c r="AQ107" s="209"/>
      <c r="AR107" s="209"/>
      <c r="AS107" s="209"/>
      <c r="AT107" s="209"/>
      <c r="AU107" s="209"/>
      <c r="AV107" s="209"/>
      <c r="AW107" s="209"/>
      <c r="AX107" s="209"/>
      <c r="AY107" s="209"/>
      <c r="AZ107" s="209"/>
      <c r="BA107" s="209"/>
      <c r="BB107" s="209"/>
      <c r="BC107" s="209"/>
      <c r="BD107" s="209"/>
      <c r="BE107" s="209"/>
      <c r="BF107" s="209"/>
      <c r="BG107" s="209"/>
      <c r="BH107" s="209"/>
      <c r="BI107" s="209"/>
      <c r="BJ107" s="209"/>
      <c r="BK107" s="209"/>
      <c r="BL107" s="209"/>
      <c r="BM107" s="209"/>
      <c r="BN107" s="209"/>
      <c r="BO107" s="209"/>
      <c r="BP107" s="209"/>
      <c r="BQ107" s="204">
        <f t="shared" si="9"/>
        <v>0</v>
      </c>
      <c r="BR107" s="204">
        <f t="shared" si="9"/>
        <v>0</v>
      </c>
      <c r="BS107" s="194">
        <v>2.16</v>
      </c>
      <c r="BT107" s="216">
        <f t="shared" si="10"/>
        <v>261.36</v>
      </c>
      <c r="BU107" s="217">
        <v>140000</v>
      </c>
      <c r="BV107" s="218">
        <f t="shared" si="11"/>
        <v>36590400</v>
      </c>
      <c r="BW107" s="194"/>
    </row>
    <row r="108" spans="1:75" ht="18" customHeight="1" x14ac:dyDescent="0.25">
      <c r="A108" s="229"/>
      <c r="B108" s="227"/>
      <c r="C108" s="214">
        <v>0</v>
      </c>
      <c r="D108" s="215">
        <f t="shared" si="8"/>
        <v>0</v>
      </c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09"/>
      <c r="AK108" s="209"/>
      <c r="AL108" s="209"/>
      <c r="AM108" s="209"/>
      <c r="AN108" s="209"/>
      <c r="AO108" s="209"/>
      <c r="AP108" s="209"/>
      <c r="AQ108" s="209"/>
      <c r="AR108" s="209"/>
      <c r="AS108" s="209"/>
      <c r="AT108" s="209"/>
      <c r="AU108" s="209"/>
      <c r="AV108" s="209"/>
      <c r="AW108" s="209"/>
      <c r="AX108" s="209"/>
      <c r="AY108" s="209"/>
      <c r="AZ108" s="209"/>
      <c r="BA108" s="209"/>
      <c r="BB108" s="209"/>
      <c r="BC108" s="209"/>
      <c r="BD108" s="209"/>
      <c r="BE108" s="209"/>
      <c r="BF108" s="209"/>
      <c r="BG108" s="209"/>
      <c r="BH108" s="209"/>
      <c r="BI108" s="209"/>
      <c r="BJ108" s="209"/>
      <c r="BK108" s="209"/>
      <c r="BL108" s="209"/>
      <c r="BM108" s="209"/>
      <c r="BN108" s="209"/>
      <c r="BO108" s="209"/>
      <c r="BP108" s="209"/>
      <c r="BQ108" s="204">
        <f t="shared" si="9"/>
        <v>0</v>
      </c>
      <c r="BR108" s="204">
        <f t="shared" si="9"/>
        <v>0</v>
      </c>
      <c r="BS108" s="194"/>
      <c r="BT108" s="216">
        <f t="shared" si="10"/>
        <v>0</v>
      </c>
      <c r="BU108" s="217"/>
      <c r="BV108" s="218">
        <f t="shared" si="11"/>
        <v>0</v>
      </c>
      <c r="BW108" s="194"/>
    </row>
    <row r="109" spans="1:75" ht="18" customHeight="1" x14ac:dyDescent="0.25">
      <c r="A109" s="229" t="s">
        <v>4340</v>
      </c>
      <c r="B109" s="230" t="s">
        <v>12235</v>
      </c>
      <c r="C109" s="214">
        <v>554.5</v>
      </c>
      <c r="D109" s="215">
        <f t="shared" si="8"/>
        <v>554.5</v>
      </c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  <c r="AA109" s="209"/>
      <c r="AB109" s="209"/>
      <c r="AC109" s="209"/>
      <c r="AD109" s="209"/>
      <c r="AE109" s="209"/>
      <c r="AF109" s="209"/>
      <c r="AG109" s="209"/>
      <c r="AH109" s="209"/>
      <c r="AI109" s="209"/>
      <c r="AJ109" s="209"/>
      <c r="AK109" s="209"/>
      <c r="AL109" s="209"/>
      <c r="AM109" s="209"/>
      <c r="AN109" s="209"/>
      <c r="AO109" s="209"/>
      <c r="AP109" s="209"/>
      <c r="AQ109" s="209"/>
      <c r="AR109" s="209"/>
      <c r="AS109" s="209"/>
      <c r="AT109" s="209"/>
      <c r="AU109" s="209"/>
      <c r="AV109" s="209"/>
      <c r="AW109" s="209"/>
      <c r="AX109" s="209"/>
      <c r="AY109" s="209"/>
      <c r="AZ109" s="209"/>
      <c r="BA109" s="209"/>
      <c r="BB109" s="209"/>
      <c r="BC109" s="209"/>
      <c r="BD109" s="209"/>
      <c r="BE109" s="209"/>
      <c r="BF109" s="209"/>
      <c r="BG109" s="209"/>
      <c r="BH109" s="209"/>
      <c r="BI109" s="209"/>
      <c r="BJ109" s="209"/>
      <c r="BK109" s="209"/>
      <c r="BL109" s="209"/>
      <c r="BM109" s="209"/>
      <c r="BN109" s="209"/>
      <c r="BO109" s="209"/>
      <c r="BP109" s="209"/>
      <c r="BQ109" s="204">
        <f t="shared" si="9"/>
        <v>0</v>
      </c>
      <c r="BR109" s="204">
        <f t="shared" si="9"/>
        <v>0</v>
      </c>
      <c r="BS109" s="194">
        <v>2</v>
      </c>
      <c r="BT109" s="216">
        <f t="shared" si="10"/>
        <v>1109</v>
      </c>
      <c r="BU109" s="217">
        <v>132000</v>
      </c>
      <c r="BV109" s="218">
        <f t="shared" si="11"/>
        <v>146388000</v>
      </c>
      <c r="BW109" s="194"/>
    </row>
    <row r="110" spans="1:75" ht="18" customHeight="1" x14ac:dyDescent="0.25">
      <c r="A110" s="229"/>
      <c r="B110" s="228" t="s">
        <v>12236</v>
      </c>
      <c r="C110" s="214">
        <v>285</v>
      </c>
      <c r="D110" s="215">
        <f t="shared" si="8"/>
        <v>285</v>
      </c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9"/>
      <c r="AO110" s="209"/>
      <c r="AP110" s="209"/>
      <c r="AQ110" s="209"/>
      <c r="AR110" s="209"/>
      <c r="AS110" s="209"/>
      <c r="AT110" s="209"/>
      <c r="AU110" s="209"/>
      <c r="AV110" s="209"/>
      <c r="AW110" s="209"/>
      <c r="AX110" s="209"/>
      <c r="AY110" s="209"/>
      <c r="AZ110" s="209"/>
      <c r="BA110" s="209"/>
      <c r="BB110" s="209"/>
      <c r="BC110" s="209"/>
      <c r="BD110" s="209"/>
      <c r="BE110" s="209"/>
      <c r="BF110" s="209"/>
      <c r="BG110" s="209"/>
      <c r="BH110" s="209"/>
      <c r="BI110" s="209"/>
      <c r="BJ110" s="209"/>
      <c r="BK110" s="209"/>
      <c r="BL110" s="209"/>
      <c r="BM110" s="209"/>
      <c r="BN110" s="209"/>
      <c r="BO110" s="209"/>
      <c r="BP110" s="209"/>
      <c r="BQ110" s="204">
        <f t="shared" si="9"/>
        <v>0</v>
      </c>
      <c r="BR110" s="204">
        <f t="shared" si="9"/>
        <v>0</v>
      </c>
      <c r="BS110" s="194">
        <v>2</v>
      </c>
      <c r="BT110" s="216">
        <f t="shared" si="10"/>
        <v>570</v>
      </c>
      <c r="BU110" s="217">
        <v>90000</v>
      </c>
      <c r="BV110" s="218">
        <f t="shared" si="11"/>
        <v>51300000</v>
      </c>
      <c r="BW110" s="194"/>
    </row>
    <row r="111" spans="1:75" ht="18" customHeight="1" x14ac:dyDescent="0.25">
      <c r="A111" s="229"/>
      <c r="B111" s="230" t="s">
        <v>12237</v>
      </c>
      <c r="C111" s="214">
        <v>320</v>
      </c>
      <c r="D111" s="215">
        <f t="shared" si="8"/>
        <v>279</v>
      </c>
      <c r="E111" s="209"/>
      <c r="F111" s="209"/>
      <c r="G111" s="209"/>
      <c r="H111" s="209"/>
      <c r="I111" s="209"/>
      <c r="J111" s="209"/>
      <c r="K111" s="209"/>
      <c r="L111" s="209"/>
      <c r="M111" s="209"/>
      <c r="N111" s="209">
        <v>41</v>
      </c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09"/>
      <c r="AK111" s="209"/>
      <c r="AL111" s="209"/>
      <c r="AM111" s="209"/>
      <c r="AN111" s="209"/>
      <c r="AO111" s="209"/>
      <c r="AP111" s="209"/>
      <c r="AQ111" s="209"/>
      <c r="AR111" s="209"/>
      <c r="AS111" s="209"/>
      <c r="AT111" s="209"/>
      <c r="AU111" s="209"/>
      <c r="AV111" s="209"/>
      <c r="AW111" s="209"/>
      <c r="AX111" s="209"/>
      <c r="AY111" s="209"/>
      <c r="AZ111" s="209"/>
      <c r="BA111" s="209"/>
      <c r="BB111" s="209"/>
      <c r="BC111" s="209"/>
      <c r="BD111" s="209"/>
      <c r="BE111" s="209"/>
      <c r="BF111" s="209"/>
      <c r="BG111" s="209"/>
      <c r="BH111" s="209"/>
      <c r="BI111" s="209"/>
      <c r="BJ111" s="209"/>
      <c r="BK111" s="209"/>
      <c r="BL111" s="209"/>
      <c r="BM111" s="209"/>
      <c r="BN111" s="209"/>
      <c r="BO111" s="209"/>
      <c r="BP111" s="209"/>
      <c r="BQ111" s="204">
        <f t="shared" si="9"/>
        <v>0</v>
      </c>
      <c r="BR111" s="204">
        <f t="shared" si="9"/>
        <v>41</v>
      </c>
      <c r="BS111" s="194">
        <v>2</v>
      </c>
      <c r="BT111" s="216">
        <f t="shared" si="10"/>
        <v>558</v>
      </c>
      <c r="BU111" s="217">
        <v>132000</v>
      </c>
      <c r="BV111" s="218">
        <f t="shared" si="11"/>
        <v>73656000</v>
      </c>
      <c r="BW111" s="194"/>
    </row>
    <row r="112" spans="1:75" ht="18" customHeight="1" x14ac:dyDescent="0.25">
      <c r="A112" s="229"/>
      <c r="B112" s="228" t="s">
        <v>12224</v>
      </c>
      <c r="C112" s="214">
        <v>75</v>
      </c>
      <c r="D112" s="215">
        <f t="shared" si="8"/>
        <v>75</v>
      </c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09"/>
      <c r="AP112" s="209"/>
      <c r="AQ112" s="209"/>
      <c r="AR112" s="209"/>
      <c r="AS112" s="209"/>
      <c r="AT112" s="209"/>
      <c r="AU112" s="209"/>
      <c r="AV112" s="209"/>
      <c r="AW112" s="209"/>
      <c r="AX112" s="209"/>
      <c r="AY112" s="209"/>
      <c r="AZ112" s="209"/>
      <c r="BA112" s="209"/>
      <c r="BB112" s="209"/>
      <c r="BC112" s="209"/>
      <c r="BD112" s="209"/>
      <c r="BE112" s="209"/>
      <c r="BF112" s="209"/>
      <c r="BG112" s="209"/>
      <c r="BH112" s="209"/>
      <c r="BI112" s="209"/>
      <c r="BJ112" s="209"/>
      <c r="BK112" s="209"/>
      <c r="BL112" s="209"/>
      <c r="BM112" s="209"/>
      <c r="BN112" s="209"/>
      <c r="BO112" s="209"/>
      <c r="BP112" s="209"/>
      <c r="BQ112" s="204">
        <f t="shared" si="9"/>
        <v>0</v>
      </c>
      <c r="BR112" s="204">
        <f t="shared" si="9"/>
        <v>0</v>
      </c>
      <c r="BS112" s="194">
        <v>2</v>
      </c>
      <c r="BT112" s="216">
        <f t="shared" si="10"/>
        <v>150</v>
      </c>
      <c r="BU112" s="217">
        <v>90000</v>
      </c>
      <c r="BV112" s="218">
        <f t="shared" si="11"/>
        <v>13500000</v>
      </c>
      <c r="BW112" s="194"/>
    </row>
    <row r="113" spans="1:75" ht="18" customHeight="1" x14ac:dyDescent="0.25">
      <c r="A113" s="229"/>
      <c r="B113" s="228" t="s">
        <v>12225</v>
      </c>
      <c r="C113" s="214">
        <v>213</v>
      </c>
      <c r="D113" s="215">
        <f t="shared" si="8"/>
        <v>213</v>
      </c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  <c r="AA113" s="209"/>
      <c r="AB113" s="209"/>
      <c r="AC113" s="209"/>
      <c r="AD113" s="209"/>
      <c r="AE113" s="209"/>
      <c r="AF113" s="209"/>
      <c r="AG113" s="209"/>
      <c r="AH113" s="209"/>
      <c r="AI113" s="209"/>
      <c r="AJ113" s="209"/>
      <c r="AK113" s="209"/>
      <c r="AL113" s="209"/>
      <c r="AM113" s="209"/>
      <c r="AN113" s="209"/>
      <c r="AO113" s="209"/>
      <c r="AP113" s="209"/>
      <c r="AQ113" s="209"/>
      <c r="AR113" s="209"/>
      <c r="AS113" s="209"/>
      <c r="AT113" s="209"/>
      <c r="AU113" s="209"/>
      <c r="AV113" s="209"/>
      <c r="AW113" s="209"/>
      <c r="AX113" s="209"/>
      <c r="AY113" s="209"/>
      <c r="AZ113" s="209"/>
      <c r="BA113" s="209"/>
      <c r="BB113" s="209"/>
      <c r="BC113" s="209"/>
      <c r="BD113" s="209"/>
      <c r="BE113" s="209"/>
      <c r="BF113" s="209"/>
      <c r="BG113" s="209"/>
      <c r="BH113" s="209"/>
      <c r="BI113" s="209"/>
      <c r="BJ113" s="209"/>
      <c r="BK113" s="209"/>
      <c r="BL113" s="209"/>
      <c r="BM113" s="209"/>
      <c r="BN113" s="209"/>
      <c r="BO113" s="209"/>
      <c r="BP113" s="209"/>
      <c r="BQ113" s="204">
        <f t="shared" si="9"/>
        <v>0</v>
      </c>
      <c r="BR113" s="204">
        <f t="shared" si="9"/>
        <v>0</v>
      </c>
      <c r="BS113" s="194">
        <v>2</v>
      </c>
      <c r="BT113" s="216">
        <f t="shared" si="10"/>
        <v>426</v>
      </c>
      <c r="BU113" s="217">
        <v>90000</v>
      </c>
      <c r="BV113" s="218">
        <f t="shared" si="11"/>
        <v>38340000</v>
      </c>
      <c r="BW113" s="194"/>
    </row>
    <row r="114" spans="1:75" ht="18" customHeight="1" x14ac:dyDescent="0.25">
      <c r="A114" s="229"/>
      <c r="B114" s="230" t="s">
        <v>12146</v>
      </c>
      <c r="C114" s="214">
        <v>303</v>
      </c>
      <c r="D114" s="215">
        <f t="shared" si="8"/>
        <v>303</v>
      </c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  <c r="AA114" s="209"/>
      <c r="AB114" s="209"/>
      <c r="AC114" s="209"/>
      <c r="AD114" s="209"/>
      <c r="AE114" s="209"/>
      <c r="AF114" s="209"/>
      <c r="AG114" s="209"/>
      <c r="AH114" s="209"/>
      <c r="AI114" s="209"/>
      <c r="AJ114" s="209"/>
      <c r="AK114" s="209"/>
      <c r="AL114" s="209"/>
      <c r="AM114" s="209"/>
      <c r="AN114" s="209"/>
      <c r="AO114" s="209"/>
      <c r="AP114" s="209"/>
      <c r="AQ114" s="209"/>
      <c r="AR114" s="209"/>
      <c r="AS114" s="209"/>
      <c r="AT114" s="209"/>
      <c r="AU114" s="209"/>
      <c r="AV114" s="209"/>
      <c r="AW114" s="209"/>
      <c r="AX114" s="209"/>
      <c r="AY114" s="209"/>
      <c r="AZ114" s="209"/>
      <c r="BA114" s="209"/>
      <c r="BB114" s="209"/>
      <c r="BC114" s="209"/>
      <c r="BD114" s="209"/>
      <c r="BE114" s="209"/>
      <c r="BF114" s="209"/>
      <c r="BG114" s="209"/>
      <c r="BH114" s="209"/>
      <c r="BI114" s="209"/>
      <c r="BJ114" s="209"/>
      <c r="BK114" s="209"/>
      <c r="BL114" s="209"/>
      <c r="BM114" s="209"/>
      <c r="BN114" s="209"/>
      <c r="BO114" s="209"/>
      <c r="BP114" s="209"/>
      <c r="BQ114" s="204">
        <f t="shared" si="9"/>
        <v>0</v>
      </c>
      <c r="BR114" s="204">
        <f t="shared" si="9"/>
        <v>0</v>
      </c>
      <c r="BS114" s="194">
        <v>2</v>
      </c>
      <c r="BT114" s="216">
        <f t="shared" si="10"/>
        <v>606</v>
      </c>
      <c r="BU114" s="217">
        <v>136000</v>
      </c>
      <c r="BV114" s="218">
        <f t="shared" si="11"/>
        <v>82416000</v>
      </c>
      <c r="BW114" s="194"/>
    </row>
    <row r="115" spans="1:75" ht="18" customHeight="1" x14ac:dyDescent="0.25">
      <c r="A115" s="224"/>
      <c r="B115" s="231" t="s">
        <v>12226</v>
      </c>
      <c r="C115" s="214">
        <v>729</v>
      </c>
      <c r="D115" s="215">
        <f t="shared" si="8"/>
        <v>729</v>
      </c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209"/>
      <c r="AJ115" s="209"/>
      <c r="AK115" s="209"/>
      <c r="AL115" s="209"/>
      <c r="AM115" s="209"/>
      <c r="AN115" s="209"/>
      <c r="AO115" s="209"/>
      <c r="AP115" s="209"/>
      <c r="AQ115" s="209"/>
      <c r="AR115" s="209"/>
      <c r="AS115" s="209"/>
      <c r="AT115" s="209"/>
      <c r="AU115" s="209"/>
      <c r="AV115" s="209"/>
      <c r="AW115" s="209"/>
      <c r="AX115" s="209"/>
      <c r="AY115" s="209"/>
      <c r="AZ115" s="209"/>
      <c r="BA115" s="209"/>
      <c r="BB115" s="209"/>
      <c r="BC115" s="209"/>
      <c r="BD115" s="209"/>
      <c r="BE115" s="209"/>
      <c r="BF115" s="209"/>
      <c r="BG115" s="209"/>
      <c r="BH115" s="209"/>
      <c r="BI115" s="209"/>
      <c r="BJ115" s="209"/>
      <c r="BK115" s="209"/>
      <c r="BL115" s="209"/>
      <c r="BM115" s="209"/>
      <c r="BN115" s="209"/>
      <c r="BO115" s="209"/>
      <c r="BP115" s="209"/>
      <c r="BQ115" s="204">
        <f t="shared" si="9"/>
        <v>0</v>
      </c>
      <c r="BR115" s="204">
        <f t="shared" si="9"/>
        <v>0</v>
      </c>
      <c r="BS115" s="194">
        <v>2</v>
      </c>
      <c r="BT115" s="216">
        <f t="shared" si="10"/>
        <v>1458</v>
      </c>
      <c r="BU115" s="217">
        <v>90000</v>
      </c>
      <c r="BV115" s="218">
        <f t="shared" si="11"/>
        <v>131220000</v>
      </c>
      <c r="BW115" s="194"/>
    </row>
    <row r="116" spans="1:75" ht="18" customHeight="1" x14ac:dyDescent="0.25">
      <c r="A116" s="219"/>
      <c r="B116" s="232" t="s">
        <v>12153</v>
      </c>
      <c r="C116" s="214">
        <v>431</v>
      </c>
      <c r="D116" s="215">
        <f t="shared" si="8"/>
        <v>432</v>
      </c>
      <c r="E116" s="209"/>
      <c r="F116" s="209"/>
      <c r="G116" s="209"/>
      <c r="H116" s="209"/>
      <c r="I116" s="209"/>
      <c r="J116" s="209"/>
      <c r="K116" s="209"/>
      <c r="L116" s="209"/>
      <c r="M116" s="209">
        <v>1</v>
      </c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09"/>
      <c r="AK116" s="209"/>
      <c r="AL116" s="209"/>
      <c r="AM116" s="209"/>
      <c r="AN116" s="209"/>
      <c r="AO116" s="209"/>
      <c r="AP116" s="209"/>
      <c r="AQ116" s="209"/>
      <c r="AR116" s="209"/>
      <c r="AS116" s="209"/>
      <c r="AT116" s="209"/>
      <c r="AU116" s="209"/>
      <c r="AV116" s="209"/>
      <c r="AW116" s="209"/>
      <c r="AX116" s="209"/>
      <c r="AY116" s="209"/>
      <c r="AZ116" s="209"/>
      <c r="BA116" s="209"/>
      <c r="BB116" s="209"/>
      <c r="BC116" s="209"/>
      <c r="BD116" s="209"/>
      <c r="BE116" s="209"/>
      <c r="BF116" s="209"/>
      <c r="BG116" s="209"/>
      <c r="BH116" s="209"/>
      <c r="BI116" s="209"/>
      <c r="BJ116" s="209"/>
      <c r="BK116" s="209"/>
      <c r="BL116" s="209"/>
      <c r="BM116" s="209"/>
      <c r="BN116" s="209"/>
      <c r="BO116" s="209"/>
      <c r="BP116" s="209"/>
      <c r="BQ116" s="204">
        <f t="shared" si="9"/>
        <v>1</v>
      </c>
      <c r="BR116" s="204">
        <f t="shared" si="9"/>
        <v>0</v>
      </c>
      <c r="BS116" s="194">
        <v>2</v>
      </c>
      <c r="BT116" s="216">
        <f t="shared" si="10"/>
        <v>864</v>
      </c>
      <c r="BU116" s="217">
        <v>136000</v>
      </c>
      <c r="BV116" s="218">
        <f t="shared" si="11"/>
        <v>117504000</v>
      </c>
      <c r="BW116" s="194"/>
    </row>
    <row r="117" spans="1:75" ht="18" customHeight="1" x14ac:dyDescent="0.25">
      <c r="A117" s="219"/>
      <c r="B117" s="223" t="s">
        <v>12227</v>
      </c>
      <c r="C117" s="214">
        <v>423</v>
      </c>
      <c r="D117" s="215">
        <f t="shared" si="8"/>
        <v>423</v>
      </c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9"/>
      <c r="AO117" s="209"/>
      <c r="AP117" s="209"/>
      <c r="AQ117" s="209"/>
      <c r="AR117" s="209"/>
      <c r="AS117" s="209"/>
      <c r="AT117" s="209"/>
      <c r="AU117" s="209"/>
      <c r="AV117" s="209"/>
      <c r="AW117" s="209"/>
      <c r="AX117" s="209"/>
      <c r="AY117" s="209"/>
      <c r="AZ117" s="209"/>
      <c r="BA117" s="209"/>
      <c r="BB117" s="209"/>
      <c r="BC117" s="209"/>
      <c r="BD117" s="209"/>
      <c r="BE117" s="209"/>
      <c r="BF117" s="209"/>
      <c r="BG117" s="209"/>
      <c r="BH117" s="209"/>
      <c r="BI117" s="209"/>
      <c r="BJ117" s="209"/>
      <c r="BK117" s="209"/>
      <c r="BL117" s="209"/>
      <c r="BM117" s="209"/>
      <c r="BN117" s="209"/>
      <c r="BO117" s="209"/>
      <c r="BP117" s="209"/>
      <c r="BQ117" s="204">
        <f t="shared" si="9"/>
        <v>0</v>
      </c>
      <c r="BR117" s="204">
        <f t="shared" si="9"/>
        <v>0</v>
      </c>
      <c r="BS117" s="194">
        <v>2</v>
      </c>
      <c r="BT117" s="216">
        <f t="shared" si="10"/>
        <v>846</v>
      </c>
      <c r="BU117" s="217">
        <v>90000</v>
      </c>
      <c r="BV117" s="218">
        <f t="shared" si="11"/>
        <v>76140000</v>
      </c>
      <c r="BW117" s="194"/>
    </row>
    <row r="118" spans="1:75" ht="18" customHeight="1" x14ac:dyDescent="0.25">
      <c r="A118" s="219"/>
      <c r="B118" s="213"/>
      <c r="C118" s="214">
        <v>0</v>
      </c>
      <c r="D118" s="215">
        <f t="shared" ref="D118:D121" si="12">+C118+BQ118-BR118</f>
        <v>0</v>
      </c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09"/>
      <c r="AJ118" s="209"/>
      <c r="AK118" s="209"/>
      <c r="AL118" s="209"/>
      <c r="AM118" s="209"/>
      <c r="AN118" s="209"/>
      <c r="AO118" s="209"/>
      <c r="AP118" s="209"/>
      <c r="AQ118" s="209"/>
      <c r="AR118" s="209"/>
      <c r="AS118" s="209"/>
      <c r="AT118" s="209"/>
      <c r="AU118" s="209"/>
      <c r="AV118" s="209"/>
      <c r="AW118" s="209"/>
      <c r="AX118" s="209"/>
      <c r="AY118" s="209"/>
      <c r="AZ118" s="209"/>
      <c r="BA118" s="209"/>
      <c r="BB118" s="209"/>
      <c r="BC118" s="209"/>
      <c r="BD118" s="209"/>
      <c r="BE118" s="209"/>
      <c r="BF118" s="209"/>
      <c r="BG118" s="209"/>
      <c r="BH118" s="209"/>
      <c r="BI118" s="209"/>
      <c r="BJ118" s="209"/>
      <c r="BK118" s="209"/>
      <c r="BL118" s="209"/>
      <c r="BM118" s="209"/>
      <c r="BN118" s="209"/>
      <c r="BO118" s="209"/>
      <c r="BP118" s="209"/>
      <c r="BQ118" s="204">
        <f t="shared" si="9"/>
        <v>0</v>
      </c>
      <c r="BR118" s="204">
        <f t="shared" si="9"/>
        <v>0</v>
      </c>
      <c r="BS118" s="194">
        <v>2</v>
      </c>
      <c r="BT118" s="216">
        <f t="shared" si="10"/>
        <v>0</v>
      </c>
      <c r="BU118" s="217"/>
      <c r="BV118" s="218">
        <f t="shared" si="11"/>
        <v>0</v>
      </c>
      <c r="BW118" s="194"/>
    </row>
    <row r="119" spans="1:75" ht="18" customHeight="1" x14ac:dyDescent="0.25">
      <c r="A119" s="219" t="s">
        <v>4342</v>
      </c>
      <c r="B119" s="213" t="s">
        <v>12161</v>
      </c>
      <c r="C119" s="214">
        <v>21</v>
      </c>
      <c r="D119" s="215">
        <f t="shared" si="12"/>
        <v>21</v>
      </c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  <c r="AK119" s="209"/>
      <c r="AL119" s="209"/>
      <c r="AM119" s="209"/>
      <c r="AN119" s="209"/>
      <c r="AO119" s="209"/>
      <c r="AP119" s="209"/>
      <c r="AQ119" s="209"/>
      <c r="AR119" s="209"/>
      <c r="AS119" s="209"/>
      <c r="AT119" s="209"/>
      <c r="AU119" s="209"/>
      <c r="AV119" s="209"/>
      <c r="AW119" s="209"/>
      <c r="AX119" s="209"/>
      <c r="AY119" s="209"/>
      <c r="AZ119" s="209"/>
      <c r="BA119" s="209"/>
      <c r="BB119" s="209"/>
      <c r="BC119" s="209"/>
      <c r="BD119" s="209"/>
      <c r="BE119" s="209"/>
      <c r="BF119" s="209"/>
      <c r="BG119" s="209"/>
      <c r="BH119" s="209"/>
      <c r="BI119" s="209"/>
      <c r="BJ119" s="209"/>
      <c r="BK119" s="209"/>
      <c r="BL119" s="209"/>
      <c r="BM119" s="209"/>
      <c r="BN119" s="209"/>
      <c r="BO119" s="209"/>
      <c r="BP119" s="209"/>
      <c r="BQ119" s="204">
        <f t="shared" si="9"/>
        <v>0</v>
      </c>
      <c r="BR119" s="204">
        <f t="shared" si="9"/>
        <v>0</v>
      </c>
      <c r="BS119" s="194">
        <v>1.44</v>
      </c>
      <c r="BT119" s="216">
        <f t="shared" si="10"/>
        <v>30.24</v>
      </c>
      <c r="BU119" s="217">
        <v>105000</v>
      </c>
      <c r="BV119" s="218">
        <f t="shared" si="11"/>
        <v>3175200</v>
      </c>
      <c r="BW119" s="194"/>
    </row>
    <row r="120" spans="1:75" ht="18" customHeight="1" x14ac:dyDescent="0.25">
      <c r="A120" s="219"/>
      <c r="B120" s="213" t="s">
        <v>12162</v>
      </c>
      <c r="C120" s="214">
        <v>139</v>
      </c>
      <c r="D120" s="215">
        <f t="shared" si="12"/>
        <v>139</v>
      </c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09"/>
      <c r="AK120" s="209"/>
      <c r="AL120" s="209"/>
      <c r="AM120" s="209"/>
      <c r="AN120" s="209"/>
      <c r="AO120" s="209"/>
      <c r="AP120" s="209"/>
      <c r="AQ120" s="209"/>
      <c r="AR120" s="209"/>
      <c r="AS120" s="209"/>
      <c r="AT120" s="209"/>
      <c r="AU120" s="209"/>
      <c r="AV120" s="209"/>
      <c r="AW120" s="209"/>
      <c r="AX120" s="209"/>
      <c r="AY120" s="209"/>
      <c r="AZ120" s="209"/>
      <c r="BA120" s="209"/>
      <c r="BB120" s="209"/>
      <c r="BC120" s="209"/>
      <c r="BD120" s="209"/>
      <c r="BE120" s="209"/>
      <c r="BF120" s="209"/>
      <c r="BG120" s="209"/>
      <c r="BH120" s="209"/>
      <c r="BI120" s="209"/>
      <c r="BJ120" s="209"/>
      <c r="BK120" s="209"/>
      <c r="BL120" s="209"/>
      <c r="BM120" s="209"/>
      <c r="BN120" s="209"/>
      <c r="BO120" s="209"/>
      <c r="BP120" s="209"/>
      <c r="BQ120" s="204">
        <f t="shared" si="9"/>
        <v>0</v>
      </c>
      <c r="BR120" s="204">
        <f t="shared" si="9"/>
        <v>0</v>
      </c>
      <c r="BS120" s="194">
        <v>1.44</v>
      </c>
      <c r="BT120" s="216">
        <f t="shared" si="10"/>
        <v>200.16</v>
      </c>
      <c r="BU120" s="217">
        <v>105000</v>
      </c>
      <c r="BV120" s="218">
        <f t="shared" si="11"/>
        <v>21016800</v>
      </c>
      <c r="BW120" s="194"/>
    </row>
    <row r="121" spans="1:75" ht="17.25" customHeight="1" x14ac:dyDescent="0.25">
      <c r="A121" s="219"/>
      <c r="B121" s="226" t="s">
        <v>12163</v>
      </c>
      <c r="C121" s="214">
        <v>139</v>
      </c>
      <c r="D121" s="215">
        <f t="shared" si="12"/>
        <v>139</v>
      </c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09"/>
      <c r="AK121" s="209"/>
      <c r="AL121" s="209"/>
      <c r="AM121" s="209"/>
      <c r="AN121" s="209"/>
      <c r="AO121" s="209"/>
      <c r="AP121" s="209"/>
      <c r="AQ121" s="209"/>
      <c r="AR121" s="209"/>
      <c r="AS121" s="209"/>
      <c r="AT121" s="209"/>
      <c r="AU121" s="209"/>
      <c r="AV121" s="209"/>
      <c r="AW121" s="209"/>
      <c r="AX121" s="209"/>
      <c r="AY121" s="209"/>
      <c r="AZ121" s="209"/>
      <c r="BA121" s="209"/>
      <c r="BB121" s="209"/>
      <c r="BC121" s="209"/>
      <c r="BD121" s="209"/>
      <c r="BE121" s="209"/>
      <c r="BF121" s="209"/>
      <c r="BG121" s="209"/>
      <c r="BH121" s="209"/>
      <c r="BI121" s="209"/>
      <c r="BJ121" s="209"/>
      <c r="BK121" s="209"/>
      <c r="BL121" s="209"/>
      <c r="BM121" s="209"/>
      <c r="BN121" s="209"/>
      <c r="BO121" s="209"/>
      <c r="BP121" s="209"/>
      <c r="BQ121" s="204">
        <f t="shared" si="9"/>
        <v>0</v>
      </c>
      <c r="BR121" s="204">
        <f t="shared" si="9"/>
        <v>0</v>
      </c>
      <c r="BS121" s="194">
        <v>1.44</v>
      </c>
      <c r="BT121" s="216">
        <f t="shared" si="10"/>
        <v>200.16</v>
      </c>
      <c r="BU121" s="217">
        <v>105000</v>
      </c>
      <c r="BV121" s="218">
        <f t="shared" si="11"/>
        <v>21016800</v>
      </c>
      <c r="BW121" s="194"/>
    </row>
  </sheetData>
  <mergeCells count="39">
    <mergeCell ref="O1:P1"/>
    <mergeCell ref="E1:F1"/>
    <mergeCell ref="G1:H1"/>
    <mergeCell ref="I1:J1"/>
    <mergeCell ref="K1:L1"/>
    <mergeCell ref="M1:N1"/>
    <mergeCell ref="AM1:AN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45:A55"/>
    <mergeCell ref="BM1:BN1"/>
    <mergeCell ref="BO1:BP1"/>
    <mergeCell ref="BQ1:BR1"/>
    <mergeCell ref="BA1:BB1"/>
    <mergeCell ref="BC1:BD1"/>
    <mergeCell ref="BE1:BF1"/>
    <mergeCell ref="BG1:BH1"/>
    <mergeCell ref="BI1:BJ1"/>
    <mergeCell ref="BK1:BL1"/>
    <mergeCell ref="AO1:AP1"/>
    <mergeCell ref="AQ1:AR1"/>
    <mergeCell ref="AS1:AT1"/>
    <mergeCell ref="AU1:AV1"/>
    <mergeCell ref="AW1:AX1"/>
    <mergeCell ref="AY1:AZ1"/>
    <mergeCell ref="A29:A30"/>
    <mergeCell ref="A9:A27"/>
    <mergeCell ref="A5:A7"/>
    <mergeCell ref="A32:A36"/>
    <mergeCell ref="A38:A4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1"/>
  <sheetViews>
    <sheetView workbookViewId="0">
      <pane xSplit="4" ySplit="4" topLeftCell="BE23" activePane="bottomRight" state="frozen"/>
      <selection pane="topRight" activeCell="E1" sqref="E1"/>
      <selection pane="bottomLeft" activeCell="A5" sqref="A5"/>
      <selection pane="bottomRight" sqref="A1:XFD1048576"/>
    </sheetView>
  </sheetViews>
  <sheetFormatPr defaultRowHeight="18.75" x14ac:dyDescent="0.3"/>
  <cols>
    <col min="1" max="1" width="26.85546875" style="5" customWidth="1"/>
    <col min="2" max="2" width="38" style="5" customWidth="1"/>
    <col min="3" max="3" width="16.28515625" style="19" hidden="1" customWidth="1"/>
    <col min="4" max="4" width="14.28515625" style="5" customWidth="1"/>
    <col min="5" max="67" width="7.7109375" style="5" customWidth="1"/>
    <col min="68" max="68" width="10.85546875" style="5" customWidth="1"/>
    <col min="69" max="70" width="7.7109375" style="5" customWidth="1"/>
    <col min="71" max="71" width="11" style="5" customWidth="1"/>
    <col min="72" max="72" width="20.140625" style="25" customWidth="1"/>
    <col min="73" max="73" width="16.28515625" style="19" customWidth="1"/>
    <col min="74" max="74" width="30.7109375" style="19" customWidth="1"/>
    <col min="75" max="16384" width="9.140625" style="5"/>
  </cols>
  <sheetData>
    <row r="1" spans="1:74" ht="35.25" customHeight="1" x14ac:dyDescent="0.3">
      <c r="A1" s="334"/>
      <c r="B1" s="336" t="s">
        <v>12138</v>
      </c>
      <c r="C1" s="337" t="s">
        <v>12195</v>
      </c>
      <c r="D1" s="339" t="s">
        <v>12196</v>
      </c>
      <c r="E1" s="305">
        <v>1</v>
      </c>
      <c r="F1" s="306"/>
      <c r="G1" s="305">
        <f>1+E1</f>
        <v>2</v>
      </c>
      <c r="H1" s="306"/>
      <c r="I1" s="305">
        <f>1+G1</f>
        <v>3</v>
      </c>
      <c r="J1" s="306"/>
      <c r="K1" s="305">
        <f>1+I1</f>
        <v>4</v>
      </c>
      <c r="L1" s="306"/>
      <c r="M1" s="305">
        <f>1+K1</f>
        <v>5</v>
      </c>
      <c r="N1" s="306"/>
      <c r="O1" s="305">
        <f>1+M1</f>
        <v>6</v>
      </c>
      <c r="P1" s="306"/>
      <c r="Q1" s="305">
        <f>1+O1</f>
        <v>7</v>
      </c>
      <c r="R1" s="306"/>
      <c r="S1" s="305">
        <f>1+Q1</f>
        <v>8</v>
      </c>
      <c r="T1" s="306"/>
      <c r="U1" s="305">
        <f>1+S1</f>
        <v>9</v>
      </c>
      <c r="V1" s="306"/>
      <c r="W1" s="305">
        <f>1+U1</f>
        <v>10</v>
      </c>
      <c r="X1" s="306"/>
      <c r="Y1" s="307">
        <f>1+W1</f>
        <v>11</v>
      </c>
      <c r="Z1" s="307"/>
      <c r="AA1" s="307">
        <f>1+Y1</f>
        <v>12</v>
      </c>
      <c r="AB1" s="307"/>
      <c r="AC1" s="307">
        <f>1+AA1</f>
        <v>13</v>
      </c>
      <c r="AD1" s="307"/>
      <c r="AE1" s="307">
        <f>1+AC1</f>
        <v>14</v>
      </c>
      <c r="AF1" s="307"/>
      <c r="AG1" s="307">
        <f>1+AE1</f>
        <v>15</v>
      </c>
      <c r="AH1" s="307"/>
      <c r="AI1" s="307">
        <f>1+AG1</f>
        <v>16</v>
      </c>
      <c r="AJ1" s="307"/>
      <c r="AK1" s="307">
        <f>1+AI1</f>
        <v>17</v>
      </c>
      <c r="AL1" s="307"/>
      <c r="AM1" s="307">
        <f>1+AK1</f>
        <v>18</v>
      </c>
      <c r="AN1" s="307"/>
      <c r="AO1" s="307">
        <f>1+AM1</f>
        <v>19</v>
      </c>
      <c r="AP1" s="307"/>
      <c r="AQ1" s="307">
        <f>1+AO1</f>
        <v>20</v>
      </c>
      <c r="AR1" s="307"/>
      <c r="AS1" s="307">
        <f>1+AQ1</f>
        <v>21</v>
      </c>
      <c r="AT1" s="307"/>
      <c r="AU1" s="307">
        <f>1+AS1</f>
        <v>22</v>
      </c>
      <c r="AV1" s="307"/>
      <c r="AW1" s="307">
        <f>1+AU1</f>
        <v>23</v>
      </c>
      <c r="AX1" s="307"/>
      <c r="AY1" s="307">
        <f>1+AW1</f>
        <v>24</v>
      </c>
      <c r="AZ1" s="307"/>
      <c r="BA1" s="307">
        <f>1+AY1</f>
        <v>25</v>
      </c>
      <c r="BB1" s="307"/>
      <c r="BC1" s="307">
        <f>1+BA1</f>
        <v>26</v>
      </c>
      <c r="BD1" s="307"/>
      <c r="BE1" s="307">
        <f>1+BC1</f>
        <v>27</v>
      </c>
      <c r="BF1" s="307"/>
      <c r="BG1" s="307">
        <f>1+BE1</f>
        <v>28</v>
      </c>
      <c r="BH1" s="307"/>
      <c r="BI1" s="307">
        <f>1+BG1</f>
        <v>29</v>
      </c>
      <c r="BJ1" s="307"/>
      <c r="BK1" s="307">
        <f>1+BI1</f>
        <v>30</v>
      </c>
      <c r="BL1" s="307"/>
      <c r="BM1" s="307">
        <f>1+BK1</f>
        <v>31</v>
      </c>
      <c r="BN1" s="307"/>
      <c r="BO1" s="340" t="s">
        <v>12169</v>
      </c>
      <c r="BP1" s="341"/>
      <c r="BQ1" s="307" t="s">
        <v>12139</v>
      </c>
      <c r="BR1" s="307"/>
      <c r="BS1" s="7" t="s">
        <v>408</v>
      </c>
      <c r="BT1" s="16" t="s">
        <v>405</v>
      </c>
      <c r="BU1" s="8" t="s">
        <v>406</v>
      </c>
      <c r="BV1" s="8" t="s">
        <v>407</v>
      </c>
    </row>
    <row r="2" spans="1:74" ht="28.5" customHeight="1" x14ac:dyDescent="0.3">
      <c r="A2" s="335"/>
      <c r="B2" s="306"/>
      <c r="C2" s="338"/>
      <c r="D2" s="338"/>
      <c r="E2" s="87" t="s">
        <v>12140</v>
      </c>
      <c r="F2" s="87" t="s">
        <v>12141</v>
      </c>
      <c r="G2" s="87" t="s">
        <v>12140</v>
      </c>
      <c r="H2" s="87" t="s">
        <v>12141</v>
      </c>
      <c r="I2" s="87" t="s">
        <v>12140</v>
      </c>
      <c r="J2" s="87" t="s">
        <v>12141</v>
      </c>
      <c r="K2" s="87" t="s">
        <v>12140</v>
      </c>
      <c r="L2" s="87" t="s">
        <v>12141</v>
      </c>
      <c r="M2" s="87" t="s">
        <v>12140</v>
      </c>
      <c r="N2" s="87" t="s">
        <v>12141</v>
      </c>
      <c r="O2" s="87" t="s">
        <v>12140</v>
      </c>
      <c r="P2" s="87" t="s">
        <v>12141</v>
      </c>
      <c r="Q2" s="87" t="s">
        <v>12140</v>
      </c>
      <c r="R2" s="87" t="s">
        <v>12141</v>
      </c>
      <c r="S2" s="87" t="s">
        <v>12140</v>
      </c>
      <c r="T2" s="87" t="s">
        <v>12141</v>
      </c>
      <c r="U2" s="87" t="s">
        <v>12140</v>
      </c>
      <c r="V2" s="87" t="s">
        <v>12141</v>
      </c>
      <c r="W2" s="87" t="s">
        <v>12140</v>
      </c>
      <c r="X2" s="87" t="s">
        <v>12141</v>
      </c>
      <c r="Y2" s="87" t="s">
        <v>12140</v>
      </c>
      <c r="Z2" s="87" t="s">
        <v>12141</v>
      </c>
      <c r="AA2" s="87" t="s">
        <v>12140</v>
      </c>
      <c r="AB2" s="87" t="s">
        <v>12141</v>
      </c>
      <c r="AC2" s="87" t="s">
        <v>12140</v>
      </c>
      <c r="AD2" s="87" t="s">
        <v>12141</v>
      </c>
      <c r="AE2" s="87" t="s">
        <v>12140</v>
      </c>
      <c r="AF2" s="87" t="s">
        <v>12141</v>
      </c>
      <c r="AG2" s="87" t="s">
        <v>12140</v>
      </c>
      <c r="AH2" s="87" t="s">
        <v>12141</v>
      </c>
      <c r="AI2" s="87" t="s">
        <v>12140</v>
      </c>
      <c r="AJ2" s="87" t="s">
        <v>12141</v>
      </c>
      <c r="AK2" s="87" t="s">
        <v>12140</v>
      </c>
      <c r="AL2" s="87" t="s">
        <v>12141</v>
      </c>
      <c r="AM2" s="87" t="s">
        <v>12140</v>
      </c>
      <c r="AN2" s="87" t="s">
        <v>12141</v>
      </c>
      <c r="AO2" s="87" t="s">
        <v>12140</v>
      </c>
      <c r="AP2" s="87" t="s">
        <v>12141</v>
      </c>
      <c r="AQ2" s="87" t="s">
        <v>12140</v>
      </c>
      <c r="AR2" s="87" t="s">
        <v>12141</v>
      </c>
      <c r="AS2" s="87" t="s">
        <v>12140</v>
      </c>
      <c r="AT2" s="87" t="s">
        <v>12141</v>
      </c>
      <c r="AU2" s="87" t="s">
        <v>12140</v>
      </c>
      <c r="AV2" s="87" t="s">
        <v>12141</v>
      </c>
      <c r="AW2" s="87" t="s">
        <v>12140</v>
      </c>
      <c r="AX2" s="87" t="s">
        <v>12141</v>
      </c>
      <c r="AY2" s="87" t="s">
        <v>12140</v>
      </c>
      <c r="AZ2" s="87" t="s">
        <v>12141</v>
      </c>
      <c r="BA2" s="87" t="s">
        <v>12140</v>
      </c>
      <c r="BB2" s="87" t="s">
        <v>12141</v>
      </c>
      <c r="BC2" s="87" t="s">
        <v>12140</v>
      </c>
      <c r="BD2" s="87" t="s">
        <v>12141</v>
      </c>
      <c r="BE2" s="87" t="s">
        <v>12140</v>
      </c>
      <c r="BF2" s="87" t="s">
        <v>12141</v>
      </c>
      <c r="BG2" s="87" t="s">
        <v>12140</v>
      </c>
      <c r="BH2" s="87" t="s">
        <v>12141</v>
      </c>
      <c r="BI2" s="87" t="s">
        <v>12140</v>
      </c>
      <c r="BJ2" s="87" t="s">
        <v>12141</v>
      </c>
      <c r="BK2" s="87" t="s">
        <v>12140</v>
      </c>
      <c r="BL2" s="87" t="s">
        <v>12141</v>
      </c>
      <c r="BM2" s="87" t="s">
        <v>12140</v>
      </c>
      <c r="BN2" s="87" t="s">
        <v>12141</v>
      </c>
      <c r="BO2" s="87" t="s">
        <v>12140</v>
      </c>
      <c r="BP2" s="87" t="s">
        <v>12141</v>
      </c>
      <c r="BQ2" s="87" t="s">
        <v>12140</v>
      </c>
      <c r="BR2" s="87" t="s">
        <v>12141</v>
      </c>
      <c r="BS2" s="14">
        <v>27.959999999999987</v>
      </c>
      <c r="BT2" s="14">
        <v>1466.8799999999997</v>
      </c>
      <c r="BU2" s="14"/>
      <c r="BV2" s="14">
        <v>175791138</v>
      </c>
    </row>
    <row r="3" spans="1:74" ht="24.75" customHeight="1" x14ac:dyDescent="0.3">
      <c r="A3" s="332" t="s">
        <v>242</v>
      </c>
      <c r="B3" s="333"/>
      <c r="C3" s="126">
        <f>SUM(C5:C31)</f>
        <v>1197.03</v>
      </c>
      <c r="D3" s="126">
        <f>SUM(D5:D31)</f>
        <v>1297.03</v>
      </c>
      <c r="E3" s="108">
        <f t="shared" ref="E3:AJ3" si="0">SUM(E6:E248)</f>
        <v>0</v>
      </c>
      <c r="F3" s="108">
        <f t="shared" si="0"/>
        <v>7</v>
      </c>
      <c r="G3" s="108">
        <f t="shared" si="0"/>
        <v>0</v>
      </c>
      <c r="H3" s="108">
        <f t="shared" si="0"/>
        <v>0</v>
      </c>
      <c r="I3" s="108">
        <f t="shared" si="0"/>
        <v>0</v>
      </c>
      <c r="J3" s="108">
        <f t="shared" si="0"/>
        <v>0</v>
      </c>
      <c r="K3" s="108">
        <f t="shared" si="0"/>
        <v>0</v>
      </c>
      <c r="L3" s="108">
        <f t="shared" si="0"/>
        <v>0</v>
      </c>
      <c r="M3" s="108">
        <f t="shared" si="0"/>
        <v>0</v>
      </c>
      <c r="N3" s="108">
        <f t="shared" si="0"/>
        <v>0</v>
      </c>
      <c r="O3" s="108">
        <f t="shared" si="0"/>
        <v>0</v>
      </c>
      <c r="P3" s="108">
        <f t="shared" si="0"/>
        <v>0</v>
      </c>
      <c r="Q3" s="108">
        <f t="shared" si="0"/>
        <v>0</v>
      </c>
      <c r="R3" s="108">
        <f t="shared" si="0"/>
        <v>10</v>
      </c>
      <c r="S3" s="108">
        <f t="shared" si="0"/>
        <v>0</v>
      </c>
      <c r="T3" s="108">
        <f t="shared" si="0"/>
        <v>42</v>
      </c>
      <c r="U3" s="108">
        <f t="shared" si="0"/>
        <v>2</v>
      </c>
      <c r="V3" s="108">
        <f t="shared" si="0"/>
        <v>0</v>
      </c>
      <c r="W3" s="108">
        <f t="shared" si="0"/>
        <v>0</v>
      </c>
      <c r="X3" s="108">
        <f t="shared" si="0"/>
        <v>0</v>
      </c>
      <c r="Y3" s="108">
        <f t="shared" si="0"/>
        <v>0</v>
      </c>
      <c r="Z3" s="108">
        <f t="shared" si="0"/>
        <v>10</v>
      </c>
      <c r="AA3" s="108">
        <f t="shared" si="0"/>
        <v>0</v>
      </c>
      <c r="AB3" s="108">
        <f t="shared" si="0"/>
        <v>0</v>
      </c>
      <c r="AC3" s="108">
        <f t="shared" si="0"/>
        <v>0</v>
      </c>
      <c r="AD3" s="108">
        <f t="shared" si="0"/>
        <v>15</v>
      </c>
      <c r="AE3" s="108">
        <f t="shared" si="0"/>
        <v>240</v>
      </c>
      <c r="AF3" s="108">
        <f t="shared" si="0"/>
        <v>22</v>
      </c>
      <c r="AG3" s="108">
        <f t="shared" si="0"/>
        <v>0</v>
      </c>
      <c r="AH3" s="108">
        <f t="shared" si="0"/>
        <v>0</v>
      </c>
      <c r="AI3" s="108">
        <f t="shared" si="0"/>
        <v>0</v>
      </c>
      <c r="AJ3" s="108">
        <f t="shared" si="0"/>
        <v>0</v>
      </c>
      <c r="AK3" s="108">
        <f t="shared" ref="AK3:BP3" si="1">SUM(AK6:AK248)</f>
        <v>0</v>
      </c>
      <c r="AL3" s="108">
        <f t="shared" si="1"/>
        <v>8</v>
      </c>
      <c r="AM3" s="108">
        <f t="shared" si="1"/>
        <v>0</v>
      </c>
      <c r="AN3" s="108">
        <f t="shared" si="1"/>
        <v>0</v>
      </c>
      <c r="AO3" s="108">
        <f t="shared" si="1"/>
        <v>8</v>
      </c>
      <c r="AP3" s="108">
        <f t="shared" si="1"/>
        <v>0</v>
      </c>
      <c r="AQ3" s="108">
        <f t="shared" si="1"/>
        <v>0</v>
      </c>
      <c r="AR3" s="108">
        <f t="shared" si="1"/>
        <v>26</v>
      </c>
      <c r="AS3" s="108">
        <f t="shared" si="1"/>
        <v>0</v>
      </c>
      <c r="AT3" s="108">
        <f t="shared" si="1"/>
        <v>0</v>
      </c>
      <c r="AU3" s="108">
        <f t="shared" si="1"/>
        <v>0</v>
      </c>
      <c r="AV3" s="108">
        <f t="shared" si="1"/>
        <v>8</v>
      </c>
      <c r="AW3" s="108">
        <f t="shared" si="1"/>
        <v>0</v>
      </c>
      <c r="AX3" s="108">
        <f t="shared" si="1"/>
        <v>0</v>
      </c>
      <c r="AY3" s="108">
        <f t="shared" si="1"/>
        <v>0</v>
      </c>
      <c r="AZ3" s="108">
        <f t="shared" si="1"/>
        <v>10</v>
      </c>
      <c r="BA3" s="108">
        <f t="shared" si="1"/>
        <v>1</v>
      </c>
      <c r="BB3" s="108">
        <f t="shared" si="1"/>
        <v>0</v>
      </c>
      <c r="BC3" s="108">
        <f t="shared" si="1"/>
        <v>0</v>
      </c>
      <c r="BD3" s="108">
        <f t="shared" si="1"/>
        <v>0</v>
      </c>
      <c r="BE3" s="108">
        <f t="shared" si="1"/>
        <v>2</v>
      </c>
      <c r="BF3" s="108">
        <f t="shared" si="1"/>
        <v>2</v>
      </c>
      <c r="BG3" s="108">
        <f t="shared" si="1"/>
        <v>0</v>
      </c>
      <c r="BH3" s="108">
        <f t="shared" si="1"/>
        <v>0</v>
      </c>
      <c r="BI3" s="108">
        <f t="shared" si="1"/>
        <v>0</v>
      </c>
      <c r="BJ3" s="108">
        <f t="shared" si="1"/>
        <v>0</v>
      </c>
      <c r="BK3" s="108">
        <f t="shared" si="1"/>
        <v>0</v>
      </c>
      <c r="BL3" s="108">
        <f t="shared" si="1"/>
        <v>0</v>
      </c>
      <c r="BM3" s="108">
        <f t="shared" si="1"/>
        <v>0</v>
      </c>
      <c r="BN3" s="108">
        <f t="shared" si="1"/>
        <v>0</v>
      </c>
      <c r="BO3" s="108">
        <f t="shared" si="1"/>
        <v>7</v>
      </c>
      <c r="BP3" s="108">
        <f t="shared" si="1"/>
        <v>0</v>
      </c>
      <c r="BQ3" s="108">
        <f>+E3+G3+I3+K3+M3+O3+Q3+S3+U3+W3+Y3+AA3+AC3+AE3+AG3+AI3+AK3+AM3+AO3+AQ3+AS3+AU3+AW3+AY3+BA3+BC3+BE3+BG3+BI3+BK3+BM3+BO3</f>
        <v>260</v>
      </c>
      <c r="BR3" s="108">
        <f>+F3+H3+J3+L3+N3+P3+R3+T3+V3+X3+Z3+AB3+AD3+AF3+AH3+AJ3+AL3+AN3+AP3+AR3+AT3+AV3+AX3+AZ3+BB3+BD3+BF3+BH3+BJ3+BL3+BN3+BP3</f>
        <v>160</v>
      </c>
      <c r="BS3" s="120"/>
      <c r="BT3" s="121"/>
      <c r="BU3" s="122"/>
      <c r="BV3" s="122"/>
    </row>
    <row r="4" spans="1:74" ht="24.75" customHeight="1" x14ac:dyDescent="0.3">
      <c r="A4" s="125"/>
      <c r="B4" s="123"/>
      <c r="C4" s="126"/>
      <c r="D4" s="120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>
        <f t="shared" ref="BQ4:BQ31" si="2">+E4+G4+I4+K4+M4+O4+Q4+S4+U4+W4+Y4+AA4+AC4+AE4+AG4+AI4+AK4+AM4+AO4+AQ4+AS4+AU4+AW4+AY4+BA4+BC4+BE4+BG4+BI4+BK4+BM4+BO4</f>
        <v>0</v>
      </c>
      <c r="BR4" s="108">
        <f t="shared" ref="BR4:BR31" si="3">+F4+H4+J4+L4+N4+P4+R4+T4+V4+X4+Z4+AB4+AD4+AF4+AH4+AJ4+AL4+AN4+AP4+AR4+AT4+AV4+AX4+AZ4+BB4+BD4+BF4+BH4+BJ4+BL4+BN4+BP4</f>
        <v>0</v>
      </c>
      <c r="BS4" s="120"/>
      <c r="BT4" s="121"/>
      <c r="BU4" s="122"/>
      <c r="BV4" s="122"/>
    </row>
    <row r="5" spans="1:74" s="130" customFormat="1" ht="16.5" customHeight="1" x14ac:dyDescent="0.3">
      <c r="A5" s="166" t="s">
        <v>231</v>
      </c>
      <c r="B5" s="168"/>
      <c r="C5" s="20"/>
      <c r="D5" s="124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108">
        <f t="shared" si="2"/>
        <v>0</v>
      </c>
      <c r="BR5" s="108">
        <f t="shared" si="3"/>
        <v>0</v>
      </c>
      <c r="BS5" s="124"/>
      <c r="BT5" s="128"/>
      <c r="BU5" s="129"/>
      <c r="BV5" s="129"/>
    </row>
    <row r="6" spans="1:74" x14ac:dyDescent="0.3">
      <c r="A6" s="329" t="s">
        <v>237</v>
      </c>
      <c r="B6" s="21" t="s">
        <v>232</v>
      </c>
      <c r="C6" s="18">
        <v>58.7</v>
      </c>
      <c r="D6" s="131">
        <f>+C6+BQ6-BR6</f>
        <v>58.7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08">
        <f t="shared" si="2"/>
        <v>0</v>
      </c>
      <c r="BR6" s="108">
        <f t="shared" si="3"/>
        <v>0</v>
      </c>
      <c r="BS6" s="11">
        <v>1.5</v>
      </c>
      <c r="BT6" s="24">
        <f>+D6*BS6</f>
        <v>88.050000000000011</v>
      </c>
      <c r="BU6" s="18">
        <v>68400</v>
      </c>
      <c r="BV6" s="18">
        <f>+BU6*BT6</f>
        <v>6022620.0000000009</v>
      </c>
    </row>
    <row r="7" spans="1:74" x14ac:dyDescent="0.3">
      <c r="A7" s="330"/>
      <c r="B7" s="21" t="s">
        <v>233</v>
      </c>
      <c r="C7" s="18">
        <v>476.33</v>
      </c>
      <c r="D7" s="131">
        <f t="shared" ref="D7:D31" si="4">+C7+BQ7-BR7</f>
        <v>476.33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08">
        <f t="shared" si="2"/>
        <v>0</v>
      </c>
      <c r="BR7" s="108">
        <f t="shared" si="3"/>
        <v>0</v>
      </c>
      <c r="BS7" s="11">
        <v>1.5</v>
      </c>
      <c r="BT7" s="24">
        <f t="shared" ref="BT7:BT31" si="5">+D7*BS7</f>
        <v>714.495</v>
      </c>
      <c r="BU7" s="18">
        <v>68400</v>
      </c>
      <c r="BV7" s="18">
        <f t="shared" ref="BV7:BV31" si="6">+BU7*BT7</f>
        <v>48871458</v>
      </c>
    </row>
    <row r="8" spans="1:74" ht="18" customHeight="1" x14ac:dyDescent="0.3">
      <c r="A8" s="331"/>
      <c r="B8" s="21" t="s">
        <v>234</v>
      </c>
      <c r="C8" s="18">
        <v>16</v>
      </c>
      <c r="D8" s="131">
        <f t="shared" si="4"/>
        <v>16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08">
        <f t="shared" si="2"/>
        <v>0</v>
      </c>
      <c r="BR8" s="108">
        <f t="shared" si="3"/>
        <v>0</v>
      </c>
      <c r="BS8" s="11">
        <v>1.5</v>
      </c>
      <c r="BT8" s="24">
        <f t="shared" si="5"/>
        <v>24</v>
      </c>
      <c r="BU8" s="18">
        <v>68400</v>
      </c>
      <c r="BV8" s="18">
        <f t="shared" si="6"/>
        <v>1641600</v>
      </c>
    </row>
    <row r="9" spans="1:74" x14ac:dyDescent="0.3">
      <c r="A9" s="10"/>
      <c r="B9" s="11"/>
      <c r="C9" s="18">
        <v>0</v>
      </c>
      <c r="D9" s="131">
        <f t="shared" si="4"/>
        <v>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08">
        <f t="shared" si="2"/>
        <v>0</v>
      </c>
      <c r="BR9" s="108">
        <f t="shared" si="3"/>
        <v>0</v>
      </c>
      <c r="BS9" s="11"/>
      <c r="BT9" s="24">
        <f t="shared" si="5"/>
        <v>0</v>
      </c>
      <c r="BU9" s="18"/>
      <c r="BV9" s="18">
        <f t="shared" si="6"/>
        <v>0</v>
      </c>
    </row>
    <row r="10" spans="1:74" x14ac:dyDescent="0.3">
      <c r="A10" s="329" t="s">
        <v>238</v>
      </c>
      <c r="B10" s="21" t="s">
        <v>629</v>
      </c>
      <c r="C10" s="18">
        <v>12</v>
      </c>
      <c r="D10" s="131">
        <f t="shared" si="4"/>
        <v>12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08">
        <f t="shared" si="2"/>
        <v>0</v>
      </c>
      <c r="BR10" s="108">
        <f t="shared" si="3"/>
        <v>0</v>
      </c>
      <c r="BS10" s="11">
        <v>1.44</v>
      </c>
      <c r="BT10" s="24">
        <f t="shared" si="5"/>
        <v>17.28</v>
      </c>
      <c r="BU10" s="18">
        <v>99000</v>
      </c>
      <c r="BV10" s="18">
        <f t="shared" si="6"/>
        <v>1710720</v>
      </c>
    </row>
    <row r="11" spans="1:74" x14ac:dyDescent="0.3">
      <c r="A11" s="331"/>
      <c r="B11" s="21" t="s">
        <v>630</v>
      </c>
      <c r="C11" s="18">
        <v>32</v>
      </c>
      <c r="D11" s="131">
        <f t="shared" si="4"/>
        <v>32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08">
        <f t="shared" si="2"/>
        <v>0</v>
      </c>
      <c r="BR11" s="108">
        <f t="shared" si="3"/>
        <v>0</v>
      </c>
      <c r="BS11" s="11">
        <v>1.44</v>
      </c>
      <c r="BT11" s="24">
        <f t="shared" si="5"/>
        <v>46.08</v>
      </c>
      <c r="BU11" s="18">
        <v>99400</v>
      </c>
      <c r="BV11" s="18">
        <f t="shared" si="6"/>
        <v>4580352</v>
      </c>
    </row>
    <row r="12" spans="1:74" x14ac:dyDescent="0.3">
      <c r="A12" s="69" t="s">
        <v>244</v>
      </c>
      <c r="B12" s="21" t="s">
        <v>235</v>
      </c>
      <c r="C12" s="18">
        <v>57</v>
      </c>
      <c r="D12" s="131">
        <f t="shared" si="4"/>
        <v>56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>
        <v>1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08">
        <f t="shared" si="2"/>
        <v>0</v>
      </c>
      <c r="BR12" s="108">
        <f t="shared" si="3"/>
        <v>1</v>
      </c>
      <c r="BS12" s="11">
        <v>1.44</v>
      </c>
      <c r="BT12" s="24">
        <f t="shared" si="5"/>
        <v>80.64</v>
      </c>
      <c r="BU12" s="18">
        <v>86400</v>
      </c>
      <c r="BV12" s="18">
        <f t="shared" si="6"/>
        <v>6967296</v>
      </c>
    </row>
    <row r="13" spans="1:74" ht="0.75" customHeight="1" x14ac:dyDescent="0.3">
      <c r="A13" s="10"/>
      <c r="B13" s="11"/>
      <c r="C13" s="18">
        <v>0</v>
      </c>
      <c r="D13" s="131">
        <f t="shared" si="4"/>
        <v>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08">
        <f t="shared" si="2"/>
        <v>0</v>
      </c>
      <c r="BR13" s="108">
        <f t="shared" si="3"/>
        <v>0</v>
      </c>
      <c r="BS13" s="11"/>
      <c r="BT13" s="24">
        <f t="shared" si="5"/>
        <v>0</v>
      </c>
      <c r="BU13" s="18"/>
      <c r="BV13" s="18">
        <f t="shared" si="6"/>
        <v>0</v>
      </c>
    </row>
    <row r="14" spans="1:74" s="130" customFormat="1" x14ac:dyDescent="0.3">
      <c r="A14" s="166" t="s">
        <v>236</v>
      </c>
      <c r="B14" s="167"/>
      <c r="C14" s="129">
        <v>0</v>
      </c>
      <c r="D14" s="131">
        <f t="shared" si="4"/>
        <v>0</v>
      </c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4"/>
      <c r="BH14" s="124"/>
      <c r="BI14" s="124"/>
      <c r="BJ14" s="124"/>
      <c r="BK14" s="124"/>
      <c r="BL14" s="124"/>
      <c r="BM14" s="124"/>
      <c r="BN14" s="124"/>
      <c r="BO14" s="124"/>
      <c r="BP14" s="124"/>
      <c r="BQ14" s="108">
        <f t="shared" si="2"/>
        <v>0</v>
      </c>
      <c r="BR14" s="108">
        <f t="shared" si="3"/>
        <v>0</v>
      </c>
      <c r="BS14" s="124"/>
      <c r="BT14" s="24">
        <f t="shared" si="5"/>
        <v>0</v>
      </c>
      <c r="BU14" s="129"/>
      <c r="BV14" s="18">
        <f t="shared" si="6"/>
        <v>0</v>
      </c>
    </row>
    <row r="15" spans="1:74" x14ac:dyDescent="0.3">
      <c r="A15" s="329" t="s">
        <v>239</v>
      </c>
      <c r="B15" s="22" t="s">
        <v>631</v>
      </c>
      <c r="C15" s="18">
        <v>3</v>
      </c>
      <c r="D15" s="131">
        <f t="shared" si="4"/>
        <v>3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08">
        <f t="shared" si="2"/>
        <v>0</v>
      </c>
      <c r="BR15" s="108">
        <f t="shared" si="3"/>
        <v>0</v>
      </c>
      <c r="BS15" s="11">
        <v>1.2</v>
      </c>
      <c r="BT15" s="24">
        <f t="shared" si="5"/>
        <v>3.5999999999999996</v>
      </c>
      <c r="BU15" s="18">
        <v>236000</v>
      </c>
      <c r="BV15" s="18">
        <f t="shared" si="6"/>
        <v>849599.99999999988</v>
      </c>
    </row>
    <row r="16" spans="1:74" x14ac:dyDescent="0.3">
      <c r="A16" s="330"/>
      <c r="B16" s="22" t="s">
        <v>632</v>
      </c>
      <c r="C16" s="18">
        <v>55</v>
      </c>
      <c r="D16" s="131">
        <f t="shared" si="4"/>
        <v>55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08">
        <f t="shared" si="2"/>
        <v>0</v>
      </c>
      <c r="BR16" s="108">
        <f t="shared" si="3"/>
        <v>0</v>
      </c>
      <c r="BS16" s="11">
        <v>1.2</v>
      </c>
      <c r="BT16" s="24">
        <f t="shared" si="5"/>
        <v>66</v>
      </c>
      <c r="BU16" s="18">
        <v>236000</v>
      </c>
      <c r="BV16" s="18">
        <f t="shared" si="6"/>
        <v>15576000</v>
      </c>
    </row>
    <row r="17" spans="1:74" x14ac:dyDescent="0.3">
      <c r="A17" s="330"/>
      <c r="B17" s="22" t="s">
        <v>633</v>
      </c>
      <c r="C17" s="18">
        <v>69</v>
      </c>
      <c r="D17" s="131">
        <f t="shared" si="4"/>
        <v>69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08">
        <f t="shared" si="2"/>
        <v>0</v>
      </c>
      <c r="BR17" s="108">
        <f t="shared" si="3"/>
        <v>0</v>
      </c>
      <c r="BS17" s="11">
        <v>1.2</v>
      </c>
      <c r="BT17" s="24">
        <f t="shared" si="5"/>
        <v>82.8</v>
      </c>
      <c r="BU17" s="18">
        <v>236000</v>
      </c>
      <c r="BV17" s="18">
        <f t="shared" si="6"/>
        <v>19540800</v>
      </c>
    </row>
    <row r="18" spans="1:74" x14ac:dyDescent="0.3">
      <c r="A18" s="331"/>
      <c r="B18" s="22" t="s">
        <v>634</v>
      </c>
      <c r="C18" s="18">
        <v>63</v>
      </c>
      <c r="D18" s="131">
        <f t="shared" si="4"/>
        <v>63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08">
        <f t="shared" si="2"/>
        <v>0</v>
      </c>
      <c r="BR18" s="108">
        <f t="shared" si="3"/>
        <v>0</v>
      </c>
      <c r="BS18" s="11">
        <v>1.2</v>
      </c>
      <c r="BT18" s="24">
        <f t="shared" si="5"/>
        <v>75.599999999999994</v>
      </c>
      <c r="BU18" s="18">
        <v>236000</v>
      </c>
      <c r="BV18" s="18">
        <f t="shared" si="6"/>
        <v>17841600</v>
      </c>
    </row>
    <row r="19" spans="1:74" ht="24" customHeight="1" x14ac:dyDescent="0.3">
      <c r="A19" s="10"/>
      <c r="B19" s="11"/>
      <c r="C19" s="18">
        <v>0</v>
      </c>
      <c r="D19" s="131">
        <f t="shared" si="4"/>
        <v>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08">
        <f t="shared" si="2"/>
        <v>0</v>
      </c>
      <c r="BR19" s="108">
        <f t="shared" si="3"/>
        <v>0</v>
      </c>
      <c r="BS19" s="11"/>
      <c r="BT19" s="24">
        <f t="shared" si="5"/>
        <v>0</v>
      </c>
      <c r="BU19" s="18"/>
      <c r="BV19" s="18">
        <f t="shared" si="6"/>
        <v>0</v>
      </c>
    </row>
    <row r="20" spans="1:74" x14ac:dyDescent="0.3">
      <c r="A20" s="329" t="s">
        <v>240</v>
      </c>
      <c r="B20" s="23">
        <v>1683</v>
      </c>
      <c r="C20" s="18">
        <v>71</v>
      </c>
      <c r="D20" s="131">
        <f t="shared" si="4"/>
        <v>71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08">
        <f t="shared" si="2"/>
        <v>0</v>
      </c>
      <c r="BR20" s="108">
        <f t="shared" si="3"/>
        <v>0</v>
      </c>
      <c r="BS20" s="11">
        <v>1.08</v>
      </c>
      <c r="BT20" s="24">
        <f t="shared" si="5"/>
        <v>76.680000000000007</v>
      </c>
      <c r="BU20" s="18">
        <v>225000</v>
      </c>
      <c r="BV20" s="18">
        <f t="shared" si="6"/>
        <v>17253000</v>
      </c>
    </row>
    <row r="21" spans="1:74" x14ac:dyDescent="0.3">
      <c r="A21" s="330"/>
      <c r="B21" s="23">
        <v>1543</v>
      </c>
      <c r="C21" s="18">
        <v>16</v>
      </c>
      <c r="D21" s="131">
        <f t="shared" si="4"/>
        <v>16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08">
        <f t="shared" si="2"/>
        <v>0</v>
      </c>
      <c r="BR21" s="108">
        <f t="shared" si="3"/>
        <v>0</v>
      </c>
      <c r="BS21" s="11">
        <v>1.08</v>
      </c>
      <c r="BT21" s="24">
        <f t="shared" si="5"/>
        <v>17.28</v>
      </c>
      <c r="BU21" s="18">
        <v>225000</v>
      </c>
      <c r="BV21" s="18">
        <f t="shared" si="6"/>
        <v>3888000.0000000005</v>
      </c>
    </row>
    <row r="22" spans="1:74" x14ac:dyDescent="0.3">
      <c r="A22" s="330"/>
      <c r="B22" s="23">
        <v>1072</v>
      </c>
      <c r="C22" s="18">
        <v>34</v>
      </c>
      <c r="D22" s="131">
        <f t="shared" si="4"/>
        <v>34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08">
        <f t="shared" si="2"/>
        <v>0</v>
      </c>
      <c r="BR22" s="108">
        <f t="shared" si="3"/>
        <v>0</v>
      </c>
      <c r="BS22" s="11">
        <v>1.08</v>
      </c>
      <c r="BT22" s="24">
        <f t="shared" si="5"/>
        <v>36.72</v>
      </c>
      <c r="BU22" s="18">
        <v>225000</v>
      </c>
      <c r="BV22" s="18">
        <f t="shared" si="6"/>
        <v>8262000</v>
      </c>
    </row>
    <row r="23" spans="1:74" x14ac:dyDescent="0.3">
      <c r="A23" s="330"/>
      <c r="B23" s="23">
        <v>1347</v>
      </c>
      <c r="C23" s="18">
        <v>4</v>
      </c>
      <c r="D23" s="131">
        <f t="shared" si="4"/>
        <v>4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08">
        <f t="shared" si="2"/>
        <v>0</v>
      </c>
      <c r="BR23" s="108">
        <f t="shared" si="3"/>
        <v>0</v>
      </c>
      <c r="BS23" s="11">
        <v>1.08</v>
      </c>
      <c r="BT23" s="24">
        <f t="shared" si="5"/>
        <v>4.32</v>
      </c>
      <c r="BU23" s="18">
        <v>225000</v>
      </c>
      <c r="BV23" s="18">
        <f t="shared" si="6"/>
        <v>972000.00000000012</v>
      </c>
    </row>
    <row r="24" spans="1:74" x14ac:dyDescent="0.3">
      <c r="A24" s="10"/>
      <c r="B24" s="11"/>
      <c r="C24" s="18">
        <v>0</v>
      </c>
      <c r="D24" s="131">
        <f t="shared" si="4"/>
        <v>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08">
        <f t="shared" si="2"/>
        <v>0</v>
      </c>
      <c r="BR24" s="108">
        <f t="shared" si="3"/>
        <v>0</v>
      </c>
      <c r="BS24" s="11"/>
      <c r="BT24" s="24">
        <f t="shared" si="5"/>
        <v>0</v>
      </c>
      <c r="BU24" s="18"/>
      <c r="BV24" s="18">
        <f t="shared" si="6"/>
        <v>0</v>
      </c>
    </row>
    <row r="25" spans="1:74" ht="24.75" customHeight="1" x14ac:dyDescent="0.3">
      <c r="A25" s="329" t="s">
        <v>628</v>
      </c>
      <c r="B25" s="21" t="s">
        <v>621</v>
      </c>
      <c r="C25" s="18">
        <v>1</v>
      </c>
      <c r="D25" s="131">
        <f t="shared" si="4"/>
        <v>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08">
        <f t="shared" si="2"/>
        <v>0</v>
      </c>
      <c r="BR25" s="108">
        <f t="shared" si="3"/>
        <v>0</v>
      </c>
      <c r="BS25" s="11">
        <v>1</v>
      </c>
      <c r="BT25" s="24">
        <f t="shared" si="5"/>
        <v>1</v>
      </c>
      <c r="BU25" s="18">
        <v>65000</v>
      </c>
      <c r="BV25" s="18">
        <f t="shared" si="6"/>
        <v>65000</v>
      </c>
    </row>
    <row r="26" spans="1:74" ht="24.75" customHeight="1" x14ac:dyDescent="0.3">
      <c r="A26" s="330"/>
      <c r="B26" s="21" t="s">
        <v>623</v>
      </c>
      <c r="C26" s="18">
        <v>10</v>
      </c>
      <c r="D26" s="131">
        <f t="shared" si="4"/>
        <v>34</v>
      </c>
      <c r="E26" s="11"/>
      <c r="F26" s="11">
        <v>1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>
        <v>2</v>
      </c>
      <c r="S26" s="11"/>
      <c r="T26" s="11">
        <v>9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>
        <v>30</v>
      </c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>
        <v>6</v>
      </c>
      <c r="BP26" s="11"/>
      <c r="BQ26" s="108">
        <f t="shared" si="2"/>
        <v>36</v>
      </c>
      <c r="BR26" s="108">
        <f t="shared" si="3"/>
        <v>12</v>
      </c>
      <c r="BS26" s="11">
        <v>1</v>
      </c>
      <c r="BT26" s="24">
        <f t="shared" si="5"/>
        <v>34</v>
      </c>
      <c r="BU26" s="18">
        <v>40000</v>
      </c>
      <c r="BV26" s="18">
        <f t="shared" si="6"/>
        <v>1360000</v>
      </c>
    </row>
    <row r="27" spans="1:74" ht="24.75" customHeight="1" x14ac:dyDescent="0.3">
      <c r="A27" s="330"/>
      <c r="B27" s="21" t="s">
        <v>625</v>
      </c>
      <c r="C27" s="18">
        <v>3</v>
      </c>
      <c r="D27" s="131">
        <f t="shared" si="4"/>
        <v>22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>
        <v>3</v>
      </c>
      <c r="AE27" s="11">
        <v>30</v>
      </c>
      <c r="AF27" s="11"/>
      <c r="AG27" s="11"/>
      <c r="AH27" s="11"/>
      <c r="AI27" s="11"/>
      <c r="AJ27" s="11"/>
      <c r="AK27" s="11"/>
      <c r="AL27" s="11">
        <v>5</v>
      </c>
      <c r="AM27" s="11"/>
      <c r="AN27" s="11"/>
      <c r="AO27" s="11">
        <v>5</v>
      </c>
      <c r="AP27" s="11"/>
      <c r="AQ27" s="11"/>
      <c r="AR27" s="11">
        <v>4</v>
      </c>
      <c r="AS27" s="11"/>
      <c r="AT27" s="11"/>
      <c r="AU27" s="11"/>
      <c r="AV27" s="11">
        <v>5</v>
      </c>
      <c r="AW27" s="11"/>
      <c r="AX27" s="11"/>
      <c r="AY27" s="11"/>
      <c r="AZ27" s="11"/>
      <c r="BA27" s="11">
        <v>1</v>
      </c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08">
        <f t="shared" si="2"/>
        <v>36</v>
      </c>
      <c r="BR27" s="108">
        <f t="shared" si="3"/>
        <v>17</v>
      </c>
      <c r="BS27" s="11">
        <v>1</v>
      </c>
      <c r="BT27" s="24">
        <f t="shared" si="5"/>
        <v>22</v>
      </c>
      <c r="BU27" s="18">
        <v>40000</v>
      </c>
      <c r="BV27" s="18">
        <f t="shared" si="6"/>
        <v>880000</v>
      </c>
    </row>
    <row r="28" spans="1:74" ht="24.75" customHeight="1" x14ac:dyDescent="0.3">
      <c r="A28" s="330"/>
      <c r="B28" s="21" t="s">
        <v>627</v>
      </c>
      <c r="C28" s="18">
        <v>6</v>
      </c>
      <c r="D28" s="131">
        <f t="shared" si="4"/>
        <v>25</v>
      </c>
      <c r="E28" s="11"/>
      <c r="F28" s="11">
        <v>1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>
        <v>2</v>
      </c>
      <c r="S28" s="11"/>
      <c r="T28" s="11">
        <v>3</v>
      </c>
      <c r="U28" s="11">
        <v>2</v>
      </c>
      <c r="V28" s="11"/>
      <c r="W28" s="11"/>
      <c r="X28" s="11"/>
      <c r="Y28" s="11"/>
      <c r="Z28" s="11"/>
      <c r="AA28" s="11"/>
      <c r="AB28" s="11"/>
      <c r="AC28" s="11"/>
      <c r="AD28" s="11">
        <v>1</v>
      </c>
      <c r="AE28" s="11">
        <v>30</v>
      </c>
      <c r="AF28" s="11"/>
      <c r="AG28" s="11"/>
      <c r="AH28" s="11"/>
      <c r="AI28" s="11"/>
      <c r="AJ28" s="11"/>
      <c r="AK28" s="11"/>
      <c r="AL28" s="11">
        <v>3</v>
      </c>
      <c r="AM28" s="11"/>
      <c r="AN28" s="11"/>
      <c r="AO28" s="11">
        <v>3</v>
      </c>
      <c r="AP28" s="11"/>
      <c r="AQ28" s="11"/>
      <c r="AR28" s="11">
        <v>2</v>
      </c>
      <c r="AS28" s="11"/>
      <c r="AT28" s="11"/>
      <c r="AU28" s="11"/>
      <c r="AV28" s="11">
        <v>3</v>
      </c>
      <c r="AW28" s="11"/>
      <c r="AX28" s="11"/>
      <c r="AY28" s="11"/>
      <c r="AZ28" s="11"/>
      <c r="BA28" s="11"/>
      <c r="BB28" s="11"/>
      <c r="BC28" s="11"/>
      <c r="BD28" s="11"/>
      <c r="BE28" s="11"/>
      <c r="BF28" s="11">
        <v>2</v>
      </c>
      <c r="BG28" s="11"/>
      <c r="BH28" s="11"/>
      <c r="BI28" s="11"/>
      <c r="BJ28" s="11"/>
      <c r="BK28" s="11"/>
      <c r="BL28" s="11"/>
      <c r="BM28" s="11"/>
      <c r="BN28" s="11"/>
      <c r="BO28" s="11">
        <v>1</v>
      </c>
      <c r="BP28" s="11"/>
      <c r="BQ28" s="108">
        <f t="shared" si="2"/>
        <v>36</v>
      </c>
      <c r="BR28" s="108">
        <f t="shared" si="3"/>
        <v>17</v>
      </c>
      <c r="BS28" s="11">
        <v>1</v>
      </c>
      <c r="BT28" s="24">
        <f t="shared" si="5"/>
        <v>25</v>
      </c>
      <c r="BU28" s="18">
        <v>35000</v>
      </c>
      <c r="BV28" s="18">
        <f t="shared" si="6"/>
        <v>875000</v>
      </c>
    </row>
    <row r="29" spans="1:74" ht="24.75" customHeight="1" x14ac:dyDescent="0.3">
      <c r="A29" s="330"/>
      <c r="B29" s="21" t="s">
        <v>607</v>
      </c>
      <c r="C29" s="18">
        <v>58</v>
      </c>
      <c r="D29" s="131">
        <f t="shared" si="4"/>
        <v>58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08">
        <f t="shared" si="2"/>
        <v>0</v>
      </c>
      <c r="BR29" s="108">
        <f t="shared" si="3"/>
        <v>0</v>
      </c>
      <c r="BS29" s="11">
        <v>1</v>
      </c>
      <c r="BT29" s="24">
        <f t="shared" si="5"/>
        <v>58</v>
      </c>
      <c r="BU29" s="18">
        <v>45000</v>
      </c>
      <c r="BV29" s="18">
        <f t="shared" si="6"/>
        <v>2610000</v>
      </c>
    </row>
    <row r="30" spans="1:74" ht="24.75" customHeight="1" x14ac:dyDescent="0.3">
      <c r="A30" s="330"/>
      <c r="B30" s="21" t="s">
        <v>609</v>
      </c>
      <c r="C30" s="18">
        <v>40</v>
      </c>
      <c r="D30" s="131">
        <f t="shared" si="4"/>
        <v>40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08">
        <f t="shared" si="2"/>
        <v>0</v>
      </c>
      <c r="BR30" s="108">
        <f t="shared" si="3"/>
        <v>0</v>
      </c>
      <c r="BS30" s="11">
        <v>1</v>
      </c>
      <c r="BT30" s="24">
        <f t="shared" si="5"/>
        <v>40</v>
      </c>
      <c r="BU30" s="18">
        <v>38000</v>
      </c>
      <c r="BV30" s="18">
        <f t="shared" si="6"/>
        <v>1520000</v>
      </c>
    </row>
    <row r="31" spans="1:74" ht="24.75" customHeight="1" x14ac:dyDescent="0.3">
      <c r="A31" s="331"/>
      <c r="B31" s="11" t="s">
        <v>12181</v>
      </c>
      <c r="C31" s="18">
        <v>112</v>
      </c>
      <c r="D31" s="131">
        <f t="shared" si="4"/>
        <v>151</v>
      </c>
      <c r="E31" s="11"/>
      <c r="F31" s="11">
        <v>5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>
        <v>6</v>
      </c>
      <c r="S31" s="11"/>
      <c r="T31" s="11">
        <v>30</v>
      </c>
      <c r="U31" s="11"/>
      <c r="V31" s="11"/>
      <c r="W31" s="11"/>
      <c r="X31" s="11"/>
      <c r="Y31" s="11"/>
      <c r="Z31" s="11">
        <v>10</v>
      </c>
      <c r="AA31" s="11"/>
      <c r="AB31" s="11"/>
      <c r="AC31" s="11"/>
      <c r="AD31" s="11">
        <v>10</v>
      </c>
      <c r="AE31" s="11">
        <v>150</v>
      </c>
      <c r="AF31" s="11">
        <f>20+2</f>
        <v>22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>
        <v>20</v>
      </c>
      <c r="AS31" s="11"/>
      <c r="AT31" s="11"/>
      <c r="AU31" s="11"/>
      <c r="AV31" s="11"/>
      <c r="AW31" s="11"/>
      <c r="AX31" s="11"/>
      <c r="AY31" s="11"/>
      <c r="AZ31" s="11">
        <v>10</v>
      </c>
      <c r="BA31" s="11"/>
      <c r="BB31" s="11"/>
      <c r="BC31" s="11"/>
      <c r="BD31" s="11"/>
      <c r="BE31" s="11">
        <v>2</v>
      </c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08">
        <f t="shared" si="2"/>
        <v>152</v>
      </c>
      <c r="BR31" s="108">
        <f t="shared" si="3"/>
        <v>113</v>
      </c>
      <c r="BS31" s="11">
        <v>1</v>
      </c>
      <c r="BT31" s="24">
        <f t="shared" si="5"/>
        <v>151</v>
      </c>
      <c r="BU31" s="18">
        <v>42000</v>
      </c>
      <c r="BV31" s="18">
        <f t="shared" si="6"/>
        <v>6342000</v>
      </c>
    </row>
  </sheetData>
  <mergeCells count="43">
    <mergeCell ref="BA1:BB1"/>
    <mergeCell ref="BM1:BN1"/>
    <mergeCell ref="BQ1:BR1"/>
    <mergeCell ref="BC1:BD1"/>
    <mergeCell ref="BE1:BF1"/>
    <mergeCell ref="BG1:BH1"/>
    <mergeCell ref="BI1:BJ1"/>
    <mergeCell ref="BK1:BL1"/>
    <mergeCell ref="BO1:BP1"/>
    <mergeCell ref="AQ1:AR1"/>
    <mergeCell ref="AS1:AT1"/>
    <mergeCell ref="AU1:AV1"/>
    <mergeCell ref="AW1:AX1"/>
    <mergeCell ref="AY1:AZ1"/>
    <mergeCell ref="AG1:AH1"/>
    <mergeCell ref="AI1:AJ1"/>
    <mergeCell ref="AK1:AL1"/>
    <mergeCell ref="AM1:AN1"/>
    <mergeCell ref="AO1:AP1"/>
    <mergeCell ref="W1:X1"/>
    <mergeCell ref="Y1:Z1"/>
    <mergeCell ref="AA1:AB1"/>
    <mergeCell ref="AC1:AD1"/>
    <mergeCell ref="AE1:AF1"/>
    <mergeCell ref="M1:N1"/>
    <mergeCell ref="O1:P1"/>
    <mergeCell ref="Q1:R1"/>
    <mergeCell ref="S1:T1"/>
    <mergeCell ref="U1:V1"/>
    <mergeCell ref="A25:A31"/>
    <mergeCell ref="E1:F1"/>
    <mergeCell ref="G1:H1"/>
    <mergeCell ref="I1:J1"/>
    <mergeCell ref="K1:L1"/>
    <mergeCell ref="A3:B3"/>
    <mergeCell ref="A1:A2"/>
    <mergeCell ref="B1:B2"/>
    <mergeCell ref="C1:C2"/>
    <mergeCell ref="D1:D2"/>
    <mergeCell ref="A6:A8"/>
    <mergeCell ref="A10:A11"/>
    <mergeCell ref="A15:A18"/>
    <mergeCell ref="A20:A23"/>
  </mergeCells>
  <pageMargins left="0.23" right="0.2" top="0.16" bottom="0.28999999999999998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3"/>
  <sheetViews>
    <sheetView workbookViewId="0">
      <pane xSplit="4" ySplit="4" topLeftCell="O53" activePane="bottomRight" state="frozen"/>
      <selection pane="topRight" activeCell="E1" sqref="E1"/>
      <selection pane="bottomLeft" activeCell="A5" sqref="A5"/>
      <selection pane="bottomRight" activeCell="S68" sqref="S68"/>
    </sheetView>
  </sheetViews>
  <sheetFormatPr defaultColWidth="9.5703125" defaultRowHeight="18.75" x14ac:dyDescent="0.3"/>
  <cols>
    <col min="1" max="1" width="22.140625" style="15" customWidth="1"/>
    <col min="2" max="2" width="24.28515625" style="5" customWidth="1"/>
    <col min="3" max="3" width="22.42578125" style="19" hidden="1" customWidth="1"/>
    <col min="4" max="4" width="18.5703125" style="5" customWidth="1"/>
    <col min="5" max="69" width="9.5703125" style="5"/>
    <col min="70" max="70" width="9.28515625" style="5" customWidth="1"/>
    <col min="71" max="71" width="14.28515625" style="5" customWidth="1"/>
    <col min="72" max="72" width="14.28515625" style="25" customWidth="1"/>
    <col min="73" max="73" width="14.28515625" style="19" customWidth="1"/>
    <col min="74" max="74" width="22.85546875" style="19" customWidth="1"/>
    <col min="75" max="75" width="14.28515625" style="5" customWidth="1"/>
    <col min="76" max="16384" width="9.5703125" style="5"/>
  </cols>
  <sheetData>
    <row r="1" spans="1:74" ht="24.75" customHeight="1" x14ac:dyDescent="0.3">
      <c r="A1" s="334" t="s">
        <v>189</v>
      </c>
      <c r="B1" s="336" t="s">
        <v>12138</v>
      </c>
      <c r="C1" s="337" t="s">
        <v>12304</v>
      </c>
      <c r="D1" s="339" t="s">
        <v>12305</v>
      </c>
      <c r="E1" s="305">
        <v>1</v>
      </c>
      <c r="F1" s="306"/>
      <c r="G1" s="305">
        <f>1+E1</f>
        <v>2</v>
      </c>
      <c r="H1" s="306"/>
      <c r="I1" s="305">
        <f>1+G1</f>
        <v>3</v>
      </c>
      <c r="J1" s="306"/>
      <c r="K1" s="305">
        <f>1+I1</f>
        <v>4</v>
      </c>
      <c r="L1" s="306"/>
      <c r="M1" s="305">
        <f>1+K1</f>
        <v>5</v>
      </c>
      <c r="N1" s="306"/>
      <c r="O1" s="305">
        <f>1+M1</f>
        <v>6</v>
      </c>
      <c r="P1" s="306"/>
      <c r="Q1" s="305">
        <f>1+O1</f>
        <v>7</v>
      </c>
      <c r="R1" s="306"/>
      <c r="S1" s="305">
        <f>1+Q1</f>
        <v>8</v>
      </c>
      <c r="T1" s="306"/>
      <c r="U1" s="305">
        <f>1+S1</f>
        <v>9</v>
      </c>
      <c r="V1" s="306"/>
      <c r="W1" s="305">
        <f>1+U1</f>
        <v>10</v>
      </c>
      <c r="X1" s="306"/>
      <c r="Y1" s="307">
        <f>1+W1</f>
        <v>11</v>
      </c>
      <c r="Z1" s="307"/>
      <c r="AA1" s="307">
        <f>1+Y1</f>
        <v>12</v>
      </c>
      <c r="AB1" s="307"/>
      <c r="AC1" s="307">
        <f>1+AA1</f>
        <v>13</v>
      </c>
      <c r="AD1" s="307"/>
      <c r="AE1" s="307">
        <f>1+AC1</f>
        <v>14</v>
      </c>
      <c r="AF1" s="307"/>
      <c r="AG1" s="307">
        <f>1+AE1</f>
        <v>15</v>
      </c>
      <c r="AH1" s="307"/>
      <c r="AI1" s="307">
        <f>1+AG1</f>
        <v>16</v>
      </c>
      <c r="AJ1" s="307"/>
      <c r="AK1" s="307">
        <f>1+AI1</f>
        <v>17</v>
      </c>
      <c r="AL1" s="307"/>
      <c r="AM1" s="307">
        <f>1+AK1</f>
        <v>18</v>
      </c>
      <c r="AN1" s="307"/>
      <c r="AO1" s="307">
        <f>1+AM1</f>
        <v>19</v>
      </c>
      <c r="AP1" s="307"/>
      <c r="AQ1" s="307">
        <f>1+AO1</f>
        <v>20</v>
      </c>
      <c r="AR1" s="307"/>
      <c r="AS1" s="307">
        <f>1+AQ1</f>
        <v>21</v>
      </c>
      <c r="AT1" s="307"/>
      <c r="AU1" s="307">
        <f>1+AS1</f>
        <v>22</v>
      </c>
      <c r="AV1" s="307"/>
      <c r="AW1" s="307">
        <f>1+AU1</f>
        <v>23</v>
      </c>
      <c r="AX1" s="307"/>
      <c r="AY1" s="307">
        <f>1+AW1</f>
        <v>24</v>
      </c>
      <c r="AZ1" s="307"/>
      <c r="BA1" s="307">
        <f>1+AY1</f>
        <v>25</v>
      </c>
      <c r="BB1" s="307"/>
      <c r="BC1" s="307">
        <f>1+BA1</f>
        <v>26</v>
      </c>
      <c r="BD1" s="307"/>
      <c r="BE1" s="307">
        <f>1+BC1</f>
        <v>27</v>
      </c>
      <c r="BF1" s="307"/>
      <c r="BG1" s="307">
        <f>1+BE1</f>
        <v>28</v>
      </c>
      <c r="BH1" s="307"/>
      <c r="BI1" s="307">
        <f>1+BG1</f>
        <v>29</v>
      </c>
      <c r="BJ1" s="307"/>
      <c r="BK1" s="307">
        <f>1+BI1</f>
        <v>30</v>
      </c>
      <c r="BL1" s="307"/>
      <c r="BM1" s="307">
        <f>1+BK1</f>
        <v>31</v>
      </c>
      <c r="BN1" s="307"/>
      <c r="BO1" s="347" t="s">
        <v>12170</v>
      </c>
      <c r="BP1" s="348"/>
      <c r="BQ1" s="307" t="s">
        <v>12139</v>
      </c>
      <c r="BR1" s="307"/>
      <c r="BS1" s="7" t="s">
        <v>408</v>
      </c>
      <c r="BT1" s="16" t="s">
        <v>405</v>
      </c>
      <c r="BU1" s="8" t="s">
        <v>406</v>
      </c>
      <c r="BV1" s="8" t="s">
        <v>407</v>
      </c>
    </row>
    <row r="2" spans="1:74" ht="24.75" customHeight="1" x14ac:dyDescent="0.3">
      <c r="A2" s="335"/>
      <c r="B2" s="306"/>
      <c r="C2" s="338"/>
      <c r="D2" s="338"/>
      <c r="E2" s="87" t="s">
        <v>12140</v>
      </c>
      <c r="F2" s="87" t="s">
        <v>12141</v>
      </c>
      <c r="G2" s="87" t="s">
        <v>12140</v>
      </c>
      <c r="H2" s="87" t="s">
        <v>12141</v>
      </c>
      <c r="I2" s="87" t="s">
        <v>12140</v>
      </c>
      <c r="J2" s="87" t="s">
        <v>12141</v>
      </c>
      <c r="K2" s="87" t="s">
        <v>12140</v>
      </c>
      <c r="L2" s="87" t="s">
        <v>12141</v>
      </c>
      <c r="M2" s="87" t="s">
        <v>12140</v>
      </c>
      <c r="N2" s="87" t="s">
        <v>12141</v>
      </c>
      <c r="O2" s="87" t="s">
        <v>12140</v>
      </c>
      <c r="P2" s="87" t="s">
        <v>12141</v>
      </c>
      <c r="Q2" s="87" t="s">
        <v>12140</v>
      </c>
      <c r="R2" s="87" t="s">
        <v>12141</v>
      </c>
      <c r="S2" s="87" t="s">
        <v>12140</v>
      </c>
      <c r="T2" s="87" t="s">
        <v>12141</v>
      </c>
      <c r="U2" s="87" t="s">
        <v>12140</v>
      </c>
      <c r="V2" s="87" t="s">
        <v>12141</v>
      </c>
      <c r="W2" s="87" t="s">
        <v>12140</v>
      </c>
      <c r="X2" s="87" t="s">
        <v>12141</v>
      </c>
      <c r="Y2" s="87" t="s">
        <v>12140</v>
      </c>
      <c r="Z2" s="87" t="s">
        <v>12141</v>
      </c>
      <c r="AA2" s="87" t="s">
        <v>12140</v>
      </c>
      <c r="AB2" s="87" t="s">
        <v>12141</v>
      </c>
      <c r="AC2" s="87" t="s">
        <v>12140</v>
      </c>
      <c r="AD2" s="87" t="s">
        <v>12141</v>
      </c>
      <c r="AE2" s="87" t="s">
        <v>12140</v>
      </c>
      <c r="AF2" s="87" t="s">
        <v>12141</v>
      </c>
      <c r="AG2" s="87" t="s">
        <v>12140</v>
      </c>
      <c r="AH2" s="87" t="s">
        <v>12141</v>
      </c>
      <c r="AI2" s="87" t="s">
        <v>12140</v>
      </c>
      <c r="AJ2" s="87" t="s">
        <v>12141</v>
      </c>
      <c r="AK2" s="87" t="s">
        <v>12140</v>
      </c>
      <c r="AL2" s="87" t="s">
        <v>12141</v>
      </c>
      <c r="AM2" s="87" t="s">
        <v>12140</v>
      </c>
      <c r="AN2" s="87" t="s">
        <v>12141</v>
      </c>
      <c r="AO2" s="87" t="s">
        <v>12140</v>
      </c>
      <c r="AP2" s="87" t="s">
        <v>12141</v>
      </c>
      <c r="AQ2" s="87" t="s">
        <v>12140</v>
      </c>
      <c r="AR2" s="87" t="s">
        <v>12141</v>
      </c>
      <c r="AS2" s="87" t="s">
        <v>12140</v>
      </c>
      <c r="AT2" s="87" t="s">
        <v>12141</v>
      </c>
      <c r="AU2" s="87" t="s">
        <v>12140</v>
      </c>
      <c r="AV2" s="87"/>
      <c r="AW2" s="87" t="s">
        <v>12140</v>
      </c>
      <c r="AX2" s="87" t="s">
        <v>12141</v>
      </c>
      <c r="AY2" s="87" t="s">
        <v>12140</v>
      </c>
      <c r="AZ2" s="87" t="s">
        <v>12141</v>
      </c>
      <c r="BA2" s="87" t="s">
        <v>12140</v>
      </c>
      <c r="BB2" s="87" t="s">
        <v>12141</v>
      </c>
      <c r="BC2" s="87" t="s">
        <v>12140</v>
      </c>
      <c r="BD2" s="87" t="s">
        <v>12141</v>
      </c>
      <c r="BE2" s="87" t="s">
        <v>12140</v>
      </c>
      <c r="BF2" s="87" t="s">
        <v>12141</v>
      </c>
      <c r="BG2" s="87" t="s">
        <v>12140</v>
      </c>
      <c r="BH2" s="87" t="s">
        <v>12141</v>
      </c>
      <c r="BI2" s="87" t="s">
        <v>12140</v>
      </c>
      <c r="BJ2" s="87" t="s">
        <v>12141</v>
      </c>
      <c r="BK2" s="87" t="s">
        <v>12140</v>
      </c>
      <c r="BL2" s="87" t="s">
        <v>12141</v>
      </c>
      <c r="BM2" s="87" t="s">
        <v>12140</v>
      </c>
      <c r="BN2" s="87" t="s">
        <v>12141</v>
      </c>
      <c r="BO2" s="87" t="s">
        <v>12140</v>
      </c>
      <c r="BP2" s="87" t="s">
        <v>12141</v>
      </c>
      <c r="BQ2" s="87" t="s">
        <v>12140</v>
      </c>
      <c r="BR2" s="87" t="s">
        <v>12141</v>
      </c>
      <c r="BS2" s="7"/>
      <c r="BT2" s="16"/>
      <c r="BU2" s="8"/>
      <c r="BV2" s="8"/>
    </row>
    <row r="3" spans="1:74" ht="24.75" customHeight="1" x14ac:dyDescent="0.3">
      <c r="A3" s="332" t="s">
        <v>242</v>
      </c>
      <c r="B3" s="333"/>
      <c r="C3" s="14">
        <f>SUM(C6:C111)</f>
        <v>13013.957</v>
      </c>
      <c r="D3" s="14">
        <f>SUM(D6:D111)</f>
        <v>11932.957000000002</v>
      </c>
      <c r="E3" s="108">
        <f t="shared" ref="E3:AJ3" si="0">SUM(E6:E254)</f>
        <v>37</v>
      </c>
      <c r="F3" s="108">
        <f t="shared" si="0"/>
        <v>163</v>
      </c>
      <c r="G3" s="108">
        <f t="shared" si="0"/>
        <v>1</v>
      </c>
      <c r="H3" s="108">
        <f t="shared" si="0"/>
        <v>275</v>
      </c>
      <c r="I3" s="108">
        <f t="shared" si="0"/>
        <v>7</v>
      </c>
      <c r="J3" s="108">
        <f t="shared" si="0"/>
        <v>201</v>
      </c>
      <c r="K3" s="108">
        <f t="shared" si="0"/>
        <v>2</v>
      </c>
      <c r="L3" s="108">
        <f t="shared" si="0"/>
        <v>3</v>
      </c>
      <c r="M3" s="108">
        <f t="shared" si="0"/>
        <v>0</v>
      </c>
      <c r="N3" s="108">
        <f t="shared" si="0"/>
        <v>219</v>
      </c>
      <c r="O3" s="108">
        <f t="shared" si="0"/>
        <v>0</v>
      </c>
      <c r="P3" s="108">
        <f t="shared" si="0"/>
        <v>267</v>
      </c>
      <c r="Q3" s="108">
        <f t="shared" si="0"/>
        <v>0</v>
      </c>
      <c r="R3" s="108">
        <f t="shared" si="0"/>
        <v>0</v>
      </c>
      <c r="S3" s="108">
        <f t="shared" si="0"/>
        <v>0</v>
      </c>
      <c r="T3" s="108">
        <f t="shared" si="0"/>
        <v>0</v>
      </c>
      <c r="U3" s="108">
        <f t="shared" si="0"/>
        <v>0</v>
      </c>
      <c r="V3" s="108">
        <f t="shared" si="0"/>
        <v>0</v>
      </c>
      <c r="W3" s="108">
        <f t="shared" si="0"/>
        <v>0</v>
      </c>
      <c r="X3" s="108">
        <f t="shared" si="0"/>
        <v>0</v>
      </c>
      <c r="Y3" s="108">
        <f t="shared" si="0"/>
        <v>0</v>
      </c>
      <c r="Z3" s="108">
        <f t="shared" si="0"/>
        <v>0</v>
      </c>
      <c r="AA3" s="108">
        <f t="shared" si="0"/>
        <v>0</v>
      </c>
      <c r="AB3" s="108">
        <f t="shared" si="0"/>
        <v>0</v>
      </c>
      <c r="AC3" s="108">
        <f t="shared" si="0"/>
        <v>0</v>
      </c>
      <c r="AD3" s="108">
        <f t="shared" si="0"/>
        <v>0</v>
      </c>
      <c r="AE3" s="108">
        <f t="shared" si="0"/>
        <v>0</v>
      </c>
      <c r="AF3" s="108">
        <f t="shared" si="0"/>
        <v>0</v>
      </c>
      <c r="AG3" s="108">
        <f t="shared" si="0"/>
        <v>0</v>
      </c>
      <c r="AH3" s="108">
        <f t="shared" si="0"/>
        <v>0</v>
      </c>
      <c r="AI3" s="108">
        <f t="shared" si="0"/>
        <v>0</v>
      </c>
      <c r="AJ3" s="108">
        <f t="shared" si="0"/>
        <v>0</v>
      </c>
      <c r="AK3" s="108">
        <f t="shared" ref="AK3:BP3" si="1">SUM(AK6:AK254)</f>
        <v>0</v>
      </c>
      <c r="AL3" s="108">
        <f t="shared" si="1"/>
        <v>0</v>
      </c>
      <c r="AM3" s="108">
        <f t="shared" si="1"/>
        <v>0</v>
      </c>
      <c r="AN3" s="108">
        <f t="shared" si="1"/>
        <v>0</v>
      </c>
      <c r="AO3" s="108">
        <f t="shared" si="1"/>
        <v>0</v>
      </c>
      <c r="AP3" s="108">
        <f t="shared" si="1"/>
        <v>0</v>
      </c>
      <c r="AQ3" s="108">
        <f t="shared" si="1"/>
        <v>0</v>
      </c>
      <c r="AR3" s="108">
        <f t="shared" si="1"/>
        <v>0</v>
      </c>
      <c r="AS3" s="108">
        <f t="shared" si="1"/>
        <v>0</v>
      </c>
      <c r="AT3" s="108">
        <f t="shared" si="1"/>
        <v>0</v>
      </c>
      <c r="AU3" s="108">
        <f t="shared" si="1"/>
        <v>0</v>
      </c>
      <c r="AV3" s="108">
        <f t="shared" si="1"/>
        <v>0</v>
      </c>
      <c r="AW3" s="108">
        <f t="shared" si="1"/>
        <v>0</v>
      </c>
      <c r="AX3" s="108">
        <f t="shared" si="1"/>
        <v>0</v>
      </c>
      <c r="AY3" s="108">
        <f t="shared" si="1"/>
        <v>0</v>
      </c>
      <c r="AZ3" s="108">
        <f t="shared" si="1"/>
        <v>0</v>
      </c>
      <c r="BA3" s="108">
        <f t="shared" si="1"/>
        <v>0</v>
      </c>
      <c r="BB3" s="108">
        <f t="shared" si="1"/>
        <v>0</v>
      </c>
      <c r="BC3" s="108">
        <f t="shared" si="1"/>
        <v>0</v>
      </c>
      <c r="BD3" s="108">
        <f t="shared" si="1"/>
        <v>0</v>
      </c>
      <c r="BE3" s="108">
        <f t="shared" si="1"/>
        <v>0</v>
      </c>
      <c r="BF3" s="108">
        <f t="shared" si="1"/>
        <v>0</v>
      </c>
      <c r="BG3" s="108">
        <f t="shared" si="1"/>
        <v>0</v>
      </c>
      <c r="BH3" s="108">
        <f t="shared" si="1"/>
        <v>0</v>
      </c>
      <c r="BI3" s="108">
        <f t="shared" si="1"/>
        <v>0</v>
      </c>
      <c r="BJ3" s="108">
        <f t="shared" si="1"/>
        <v>0</v>
      </c>
      <c r="BK3" s="108">
        <f t="shared" si="1"/>
        <v>0</v>
      </c>
      <c r="BL3" s="108">
        <f t="shared" si="1"/>
        <v>0</v>
      </c>
      <c r="BM3" s="108">
        <f t="shared" si="1"/>
        <v>0</v>
      </c>
      <c r="BN3" s="108">
        <f t="shared" si="1"/>
        <v>0</v>
      </c>
      <c r="BO3" s="108">
        <f t="shared" si="1"/>
        <v>0</v>
      </c>
      <c r="BP3" s="108">
        <f t="shared" si="1"/>
        <v>0</v>
      </c>
      <c r="BQ3" s="108">
        <f>+E3+G3+I3+K3+M3+O3+Q3+S3+U3+W3+Y3+AA3+AC3+AE3+AG3+AI3+AK3+AM3+AO3+AQ3+AS3+AU3+AW3+AY3+BA3+BC3+BE3+BG3+BI3+BK3+BM3+BO3</f>
        <v>47</v>
      </c>
      <c r="BR3" s="108">
        <f>+F3+H3+J3+L3+N3+P3+R3+T3+V3+X3+Z3+AB3+AD3+AF3+AH3+AJ3+AL3+AN3+AP3+AR3+AT3+AV3+AX3+AZ3+BB3+BD3+BF3+BH3+BJ3+BL3+BN3+BP3</f>
        <v>1128</v>
      </c>
      <c r="BS3" s="14"/>
      <c r="BT3" s="17">
        <f>SUM(BT6:BT111)</f>
        <v>21961.897440000001</v>
      </c>
      <c r="BU3" s="17"/>
      <c r="BV3" s="14">
        <f>SUM(BV6:BV111)</f>
        <v>2270575155.3599997</v>
      </c>
    </row>
    <row r="4" spans="1:74" ht="0.75" customHeight="1" x14ac:dyDescent="0.3">
      <c r="A4" s="170"/>
      <c r="B4" s="4"/>
      <c r="C4" s="15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108">
        <f t="shared" ref="BQ4:BR71" si="2">+E4+G4+I4+K4+M4+O4+Q4+S4+U4+W4+Y4+AA4+AC4+AE4+AG4+AI4+AK4+AM4+AO4+AQ4+AS4+AU4+AW4+AY4+BA4+BC4+BE4+BG4+BI4+BK4+BM4+BO4</f>
        <v>0</v>
      </c>
      <c r="BR4" s="108">
        <f t="shared" si="2"/>
        <v>0</v>
      </c>
      <c r="BS4" s="170"/>
      <c r="BT4" s="24"/>
      <c r="BU4" s="18"/>
      <c r="BV4" s="18"/>
    </row>
    <row r="5" spans="1:74" ht="24.75" customHeight="1" x14ac:dyDescent="0.3">
      <c r="A5" s="279" t="s">
        <v>679</v>
      </c>
      <c r="B5" s="280"/>
      <c r="C5" s="281"/>
      <c r="D5" s="28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08">
        <f t="shared" si="2"/>
        <v>0</v>
      </c>
      <c r="BR5" s="108">
        <f t="shared" si="2"/>
        <v>0</v>
      </c>
      <c r="BS5" s="11"/>
      <c r="BT5" s="51"/>
      <c r="BU5" s="26"/>
      <c r="BV5" s="27"/>
    </row>
    <row r="6" spans="1:74" x14ac:dyDescent="0.3">
      <c r="A6" s="283" t="s">
        <v>243</v>
      </c>
      <c r="B6" s="127" t="s">
        <v>873</v>
      </c>
      <c r="C6" s="129">
        <v>33</v>
      </c>
      <c r="D6" s="284">
        <f>+C6+BQ6-BR6</f>
        <v>33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08">
        <f t="shared" si="2"/>
        <v>0</v>
      </c>
      <c r="BR6" s="108">
        <f t="shared" si="2"/>
        <v>0</v>
      </c>
      <c r="BS6" s="11">
        <v>1.44</v>
      </c>
      <c r="BT6" s="52">
        <f>+D6*BS6</f>
        <v>47.519999999999996</v>
      </c>
      <c r="BU6" s="20">
        <v>76000</v>
      </c>
      <c r="BV6" s="29">
        <f>+BT6*BU6</f>
        <v>3611519.9999999995</v>
      </c>
    </row>
    <row r="7" spans="1:74" x14ac:dyDescent="0.3">
      <c r="A7" s="344" t="s">
        <v>12247</v>
      </c>
      <c r="B7" s="127" t="s">
        <v>245</v>
      </c>
      <c r="C7" s="129">
        <v>57</v>
      </c>
      <c r="D7" s="284">
        <f t="shared" ref="D7:D65" si="3">+C7+BQ7-BR7</f>
        <v>57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08">
        <f t="shared" si="2"/>
        <v>0</v>
      </c>
      <c r="BR7" s="108">
        <f t="shared" si="2"/>
        <v>0</v>
      </c>
      <c r="BS7" s="11">
        <v>1.44</v>
      </c>
      <c r="BT7" s="52">
        <f t="shared" ref="BT7:BT89" si="4">+D7*BS7</f>
        <v>82.08</v>
      </c>
      <c r="BU7" s="20">
        <v>103000</v>
      </c>
      <c r="BV7" s="29">
        <f t="shared" ref="BV7:BV89" si="5">+BT7*BU7</f>
        <v>8454240</v>
      </c>
    </row>
    <row r="8" spans="1:74" x14ac:dyDescent="0.3">
      <c r="A8" s="342"/>
      <c r="B8" s="127" t="s">
        <v>246</v>
      </c>
      <c r="C8" s="129">
        <v>160</v>
      </c>
      <c r="D8" s="284">
        <f t="shared" si="3"/>
        <v>160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08">
        <f t="shared" si="2"/>
        <v>0</v>
      </c>
      <c r="BR8" s="108">
        <f t="shared" si="2"/>
        <v>0</v>
      </c>
      <c r="BS8" s="11">
        <v>1.44</v>
      </c>
      <c r="BT8" s="52">
        <f t="shared" si="4"/>
        <v>230.39999999999998</v>
      </c>
      <c r="BU8" s="20">
        <v>103000</v>
      </c>
      <c r="BV8" s="29">
        <f t="shared" si="5"/>
        <v>23731199.999999996</v>
      </c>
    </row>
    <row r="9" spans="1:74" x14ac:dyDescent="0.3">
      <c r="A9" s="342"/>
      <c r="B9" s="127" t="s">
        <v>247</v>
      </c>
      <c r="C9" s="129">
        <v>11</v>
      </c>
      <c r="D9" s="284">
        <f t="shared" si="3"/>
        <v>10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08">
        <f t="shared" si="2"/>
        <v>0</v>
      </c>
      <c r="BR9" s="108">
        <f t="shared" si="2"/>
        <v>1</v>
      </c>
      <c r="BS9" s="11">
        <v>1.44</v>
      </c>
      <c r="BT9" s="52">
        <f t="shared" si="4"/>
        <v>14.399999999999999</v>
      </c>
      <c r="BU9" s="20">
        <v>103000</v>
      </c>
      <c r="BV9" s="29">
        <f t="shared" si="5"/>
        <v>1483199.9999999998</v>
      </c>
    </row>
    <row r="10" spans="1:74" x14ac:dyDescent="0.3">
      <c r="A10" s="342"/>
      <c r="B10" s="127" t="s">
        <v>248</v>
      </c>
      <c r="C10" s="129">
        <v>10</v>
      </c>
      <c r="D10" s="284">
        <f t="shared" si="3"/>
        <v>10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08">
        <f t="shared" si="2"/>
        <v>0</v>
      </c>
      <c r="BR10" s="108">
        <f t="shared" si="2"/>
        <v>0</v>
      </c>
      <c r="BS10" s="11">
        <v>1.44</v>
      </c>
      <c r="BT10" s="52">
        <f t="shared" si="4"/>
        <v>14.399999999999999</v>
      </c>
      <c r="BU10" s="20">
        <v>103000</v>
      </c>
      <c r="BV10" s="29">
        <f t="shared" si="5"/>
        <v>1483199.9999999998</v>
      </c>
    </row>
    <row r="11" spans="1:74" ht="20.25" customHeight="1" x14ac:dyDescent="0.3">
      <c r="A11" s="343"/>
      <c r="B11" s="127" t="s">
        <v>249</v>
      </c>
      <c r="C11" s="129">
        <v>5</v>
      </c>
      <c r="D11" s="284">
        <f t="shared" si="3"/>
        <v>5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08">
        <f t="shared" si="2"/>
        <v>0</v>
      </c>
      <c r="BR11" s="108">
        <f t="shared" si="2"/>
        <v>0</v>
      </c>
      <c r="BS11" s="11">
        <v>1.44</v>
      </c>
      <c r="BT11" s="52">
        <f t="shared" si="4"/>
        <v>7.1999999999999993</v>
      </c>
      <c r="BU11" s="20">
        <v>103000</v>
      </c>
      <c r="BV11" s="29">
        <f t="shared" si="5"/>
        <v>741599.99999999988</v>
      </c>
    </row>
    <row r="12" spans="1:74" x14ac:dyDescent="0.3">
      <c r="A12" s="342" t="s">
        <v>259</v>
      </c>
      <c r="B12" s="127" t="s">
        <v>250</v>
      </c>
      <c r="C12" s="129">
        <v>13</v>
      </c>
      <c r="D12" s="284">
        <f t="shared" si="3"/>
        <v>13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08">
        <f t="shared" si="2"/>
        <v>0</v>
      </c>
      <c r="BR12" s="108">
        <f t="shared" si="2"/>
        <v>0</v>
      </c>
      <c r="BS12" s="11">
        <v>1.92</v>
      </c>
      <c r="BT12" s="52">
        <f t="shared" si="4"/>
        <v>24.96</v>
      </c>
      <c r="BU12" s="30">
        <v>116000</v>
      </c>
      <c r="BV12" s="29">
        <f t="shared" si="5"/>
        <v>2895360</v>
      </c>
    </row>
    <row r="13" spans="1:74" x14ac:dyDescent="0.3">
      <c r="A13" s="343"/>
      <c r="B13" s="127" t="s">
        <v>251</v>
      </c>
      <c r="C13" s="129">
        <v>6.7</v>
      </c>
      <c r="D13" s="284">
        <f t="shared" si="3"/>
        <v>6.7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08">
        <f t="shared" si="2"/>
        <v>0</v>
      </c>
      <c r="BR13" s="108">
        <f t="shared" si="2"/>
        <v>0</v>
      </c>
      <c r="BS13" s="11">
        <v>1.92</v>
      </c>
      <c r="BT13" s="52">
        <f t="shared" si="4"/>
        <v>12.863999999999999</v>
      </c>
      <c r="BU13" s="30">
        <v>116000</v>
      </c>
      <c r="BV13" s="29">
        <f t="shared" si="5"/>
        <v>1492223.9999999998</v>
      </c>
    </row>
    <row r="14" spans="1:74" x14ac:dyDescent="0.3">
      <c r="A14" s="344" t="s">
        <v>252</v>
      </c>
      <c r="B14" s="127" t="s">
        <v>253</v>
      </c>
      <c r="C14" s="129">
        <v>45</v>
      </c>
      <c r="D14" s="284">
        <f t="shared" si="3"/>
        <v>45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08">
        <f t="shared" si="2"/>
        <v>0</v>
      </c>
      <c r="BR14" s="108">
        <f t="shared" si="2"/>
        <v>0</v>
      </c>
      <c r="BS14" s="11">
        <v>2</v>
      </c>
      <c r="BT14" s="52">
        <f t="shared" si="4"/>
        <v>90</v>
      </c>
      <c r="BU14" s="31">
        <v>155000</v>
      </c>
      <c r="BV14" s="29">
        <f t="shared" si="5"/>
        <v>13950000</v>
      </c>
    </row>
    <row r="15" spans="1:74" x14ac:dyDescent="0.3">
      <c r="A15" s="342"/>
      <c r="B15" s="127" t="s">
        <v>254</v>
      </c>
      <c r="C15" s="129">
        <v>45</v>
      </c>
      <c r="D15" s="284">
        <f t="shared" si="3"/>
        <v>45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08">
        <f t="shared" si="2"/>
        <v>0</v>
      </c>
      <c r="BR15" s="108">
        <f t="shared" si="2"/>
        <v>0</v>
      </c>
      <c r="BS15" s="11">
        <v>2</v>
      </c>
      <c r="BT15" s="52">
        <f t="shared" si="4"/>
        <v>90</v>
      </c>
      <c r="BU15" s="31">
        <v>160000</v>
      </c>
      <c r="BV15" s="29">
        <f t="shared" si="5"/>
        <v>14400000</v>
      </c>
    </row>
    <row r="16" spans="1:74" x14ac:dyDescent="0.3">
      <c r="A16" s="342"/>
      <c r="B16" s="127" t="s">
        <v>255</v>
      </c>
      <c r="C16" s="129">
        <v>17</v>
      </c>
      <c r="D16" s="284">
        <f t="shared" si="3"/>
        <v>17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08">
        <f t="shared" si="2"/>
        <v>0</v>
      </c>
      <c r="BR16" s="108">
        <f t="shared" si="2"/>
        <v>0</v>
      </c>
      <c r="BS16" s="11">
        <v>2</v>
      </c>
      <c r="BT16" s="52">
        <f t="shared" si="4"/>
        <v>34</v>
      </c>
      <c r="BU16" s="31">
        <v>160000</v>
      </c>
      <c r="BV16" s="29">
        <f t="shared" si="5"/>
        <v>5440000</v>
      </c>
    </row>
    <row r="17" spans="1:74" x14ac:dyDescent="0.3">
      <c r="A17" s="343"/>
      <c r="B17" s="127" t="s">
        <v>256</v>
      </c>
      <c r="C17" s="129">
        <v>69</v>
      </c>
      <c r="D17" s="284">
        <f t="shared" si="3"/>
        <v>69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08">
        <f t="shared" si="2"/>
        <v>0</v>
      </c>
      <c r="BR17" s="108">
        <f t="shared" si="2"/>
        <v>0</v>
      </c>
      <c r="BS17" s="11">
        <v>2</v>
      </c>
      <c r="BT17" s="52">
        <f t="shared" si="4"/>
        <v>138</v>
      </c>
      <c r="BU17" s="31">
        <v>160000</v>
      </c>
      <c r="BV17" s="29">
        <f t="shared" si="5"/>
        <v>22080000</v>
      </c>
    </row>
    <row r="18" spans="1:74" ht="22.5" customHeight="1" x14ac:dyDescent="0.3">
      <c r="A18" s="60" t="s">
        <v>257</v>
      </c>
      <c r="B18" s="186"/>
      <c r="C18" s="152">
        <v>0</v>
      </c>
      <c r="D18" s="185">
        <f t="shared" si="3"/>
        <v>0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108">
        <f t="shared" si="2"/>
        <v>0</v>
      </c>
      <c r="BR18" s="108">
        <f t="shared" si="2"/>
        <v>0</v>
      </c>
      <c r="BS18" s="156"/>
      <c r="BT18" s="157">
        <f t="shared" si="4"/>
        <v>0</v>
      </c>
      <c r="BU18" s="158"/>
      <c r="BV18" s="159">
        <f t="shared" si="5"/>
        <v>0</v>
      </c>
    </row>
    <row r="19" spans="1:74" x14ac:dyDescent="0.3">
      <c r="A19" s="346" t="s">
        <v>12296</v>
      </c>
      <c r="B19" s="37">
        <v>13102</v>
      </c>
      <c r="C19" s="18">
        <v>253</v>
      </c>
      <c r="D19" s="131">
        <f t="shared" si="3"/>
        <v>253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08">
        <f t="shared" si="2"/>
        <v>0</v>
      </c>
      <c r="BR19" s="108">
        <f t="shared" si="2"/>
        <v>0</v>
      </c>
      <c r="BS19" s="11">
        <v>1.44</v>
      </c>
      <c r="BT19" s="52">
        <f t="shared" si="4"/>
        <v>364.32</v>
      </c>
      <c r="BU19" s="32">
        <v>112000</v>
      </c>
      <c r="BV19" s="29">
        <f t="shared" si="5"/>
        <v>40803840</v>
      </c>
    </row>
    <row r="20" spans="1:74" x14ac:dyDescent="0.3">
      <c r="A20" s="346"/>
      <c r="B20" s="37">
        <v>13103</v>
      </c>
      <c r="C20" s="18">
        <v>210</v>
      </c>
      <c r="D20" s="131">
        <f t="shared" si="3"/>
        <v>210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08">
        <f t="shared" si="2"/>
        <v>0</v>
      </c>
      <c r="BR20" s="108">
        <f t="shared" si="2"/>
        <v>0</v>
      </c>
      <c r="BS20" s="11">
        <v>1.44</v>
      </c>
      <c r="BT20" s="52">
        <f t="shared" si="4"/>
        <v>302.39999999999998</v>
      </c>
      <c r="BU20" s="32">
        <v>112000</v>
      </c>
      <c r="BV20" s="29">
        <f t="shared" si="5"/>
        <v>33868800</v>
      </c>
    </row>
    <row r="21" spans="1:74" x14ac:dyDescent="0.3">
      <c r="A21" s="346"/>
      <c r="B21" s="37" t="s">
        <v>680</v>
      </c>
      <c r="C21" s="18">
        <v>65</v>
      </c>
      <c r="D21" s="131">
        <f t="shared" si="3"/>
        <v>65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08">
        <f t="shared" si="2"/>
        <v>0</v>
      </c>
      <c r="BR21" s="108">
        <f t="shared" si="2"/>
        <v>0</v>
      </c>
      <c r="BS21" s="11">
        <v>1.44</v>
      </c>
      <c r="BT21" s="52">
        <f t="shared" si="4"/>
        <v>93.6</v>
      </c>
      <c r="BU21" s="32">
        <v>122000</v>
      </c>
      <c r="BV21" s="29">
        <f t="shared" si="5"/>
        <v>11419200</v>
      </c>
    </row>
    <row r="22" spans="1:74" x14ac:dyDescent="0.3">
      <c r="A22" s="346"/>
      <c r="B22" s="160"/>
      <c r="C22" s="18">
        <v>0</v>
      </c>
      <c r="D22" s="131">
        <f t="shared" si="3"/>
        <v>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08">
        <f t="shared" si="2"/>
        <v>0</v>
      </c>
      <c r="BR22" s="108">
        <f t="shared" si="2"/>
        <v>0</v>
      </c>
      <c r="BS22" s="11"/>
      <c r="BT22" s="52">
        <f t="shared" si="4"/>
        <v>0</v>
      </c>
      <c r="BU22" s="32"/>
      <c r="BV22" s="29">
        <f t="shared" si="5"/>
        <v>0</v>
      </c>
    </row>
    <row r="23" spans="1:74" x14ac:dyDescent="0.3">
      <c r="A23" s="346"/>
      <c r="B23" s="37">
        <v>13106</v>
      </c>
      <c r="C23" s="18">
        <v>302.75</v>
      </c>
      <c r="D23" s="131">
        <f t="shared" si="3"/>
        <v>302.75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08">
        <f t="shared" si="2"/>
        <v>0</v>
      </c>
      <c r="BR23" s="108">
        <f t="shared" si="2"/>
        <v>0</v>
      </c>
      <c r="BS23" s="11">
        <v>1.44</v>
      </c>
      <c r="BT23" s="52">
        <f t="shared" si="4"/>
        <v>435.96</v>
      </c>
      <c r="BU23" s="32">
        <v>112000</v>
      </c>
      <c r="BV23" s="29">
        <f t="shared" si="5"/>
        <v>48827520</v>
      </c>
    </row>
    <row r="24" spans="1:74" x14ac:dyDescent="0.3">
      <c r="A24" s="346"/>
      <c r="B24" s="37" t="s">
        <v>681</v>
      </c>
      <c r="C24" s="18">
        <v>56.5</v>
      </c>
      <c r="D24" s="131">
        <f t="shared" si="3"/>
        <v>56.5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08">
        <f t="shared" si="2"/>
        <v>0</v>
      </c>
      <c r="BR24" s="108">
        <f t="shared" si="2"/>
        <v>0</v>
      </c>
      <c r="BS24" s="11">
        <v>1.44</v>
      </c>
      <c r="BT24" s="52">
        <f t="shared" si="4"/>
        <v>81.36</v>
      </c>
      <c r="BU24" s="32">
        <v>122000</v>
      </c>
      <c r="BV24" s="29">
        <f t="shared" si="5"/>
        <v>9925920</v>
      </c>
    </row>
    <row r="25" spans="1:74" x14ac:dyDescent="0.3">
      <c r="A25" s="161"/>
      <c r="B25" s="37"/>
      <c r="C25" s="18">
        <v>0</v>
      </c>
      <c r="D25" s="131">
        <f t="shared" si="3"/>
        <v>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08">
        <f t="shared" si="2"/>
        <v>0</v>
      </c>
      <c r="BR25" s="108">
        <f t="shared" si="2"/>
        <v>0</v>
      </c>
      <c r="BS25" s="11"/>
      <c r="BT25" s="52">
        <f t="shared" si="4"/>
        <v>0</v>
      </c>
      <c r="BU25" s="32"/>
      <c r="BV25" s="29">
        <f t="shared" si="5"/>
        <v>0</v>
      </c>
    </row>
    <row r="26" spans="1:74" x14ac:dyDescent="0.3">
      <c r="A26" s="345" t="s">
        <v>12297</v>
      </c>
      <c r="B26" s="37" t="s">
        <v>4351</v>
      </c>
      <c r="C26" s="18">
        <v>265</v>
      </c>
      <c r="D26" s="131">
        <f t="shared" si="3"/>
        <v>265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08">
        <f t="shared" si="2"/>
        <v>0</v>
      </c>
      <c r="BR26" s="108">
        <f t="shared" si="2"/>
        <v>0</v>
      </c>
      <c r="BS26" s="11">
        <v>1.8</v>
      </c>
      <c r="BT26" s="52">
        <f t="shared" si="4"/>
        <v>477</v>
      </c>
      <c r="BU26" s="32">
        <v>82000</v>
      </c>
      <c r="BV26" s="29">
        <f t="shared" si="5"/>
        <v>39114000</v>
      </c>
    </row>
    <row r="27" spans="1:74" x14ac:dyDescent="0.3">
      <c r="A27" s="330"/>
      <c r="B27" s="37" t="s">
        <v>4352</v>
      </c>
      <c r="C27" s="18">
        <v>-7.2164496600635175E-16</v>
      </c>
      <c r="D27" s="131">
        <f t="shared" si="3"/>
        <v>-7.2164496600635175E-16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08">
        <f t="shared" si="2"/>
        <v>0</v>
      </c>
      <c r="BR27" s="108">
        <f t="shared" si="2"/>
        <v>0</v>
      </c>
      <c r="BS27" s="11">
        <v>1.8</v>
      </c>
      <c r="BT27" s="52">
        <f t="shared" si="4"/>
        <v>-1.2989609388114333E-15</v>
      </c>
      <c r="BU27" s="32">
        <v>92000</v>
      </c>
      <c r="BV27" s="29">
        <f t="shared" si="5"/>
        <v>-1.1950440637065185E-10</v>
      </c>
    </row>
    <row r="28" spans="1:74" x14ac:dyDescent="0.3">
      <c r="A28" s="330"/>
      <c r="B28" s="37"/>
      <c r="C28" s="18">
        <v>0</v>
      </c>
      <c r="D28" s="131">
        <f t="shared" si="3"/>
        <v>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08">
        <f t="shared" si="2"/>
        <v>0</v>
      </c>
      <c r="BR28" s="108">
        <f t="shared" si="2"/>
        <v>0</v>
      </c>
      <c r="BS28" s="11"/>
      <c r="BT28" s="52">
        <f t="shared" si="4"/>
        <v>0</v>
      </c>
      <c r="BU28" s="32"/>
      <c r="BV28" s="29">
        <f t="shared" si="5"/>
        <v>0</v>
      </c>
    </row>
    <row r="29" spans="1:74" x14ac:dyDescent="0.3">
      <c r="A29" s="330"/>
      <c r="B29" s="37" t="s">
        <v>12184</v>
      </c>
      <c r="C29" s="18">
        <v>303</v>
      </c>
      <c r="D29" s="131">
        <f t="shared" si="3"/>
        <v>301</v>
      </c>
      <c r="E29" s="11"/>
      <c r="F29" s="11"/>
      <c r="G29" s="11"/>
      <c r="H29" s="11"/>
      <c r="I29" s="11"/>
      <c r="J29" s="11">
        <v>2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24"/>
      <c r="BQ29" s="108">
        <f t="shared" si="2"/>
        <v>0</v>
      </c>
      <c r="BR29" s="108">
        <f t="shared" si="2"/>
        <v>2</v>
      </c>
      <c r="BS29" s="11">
        <v>1.8</v>
      </c>
      <c r="BT29" s="52">
        <f t="shared" si="4"/>
        <v>541.80000000000007</v>
      </c>
      <c r="BU29" s="32">
        <v>82000</v>
      </c>
      <c r="BV29" s="29">
        <f t="shared" si="5"/>
        <v>44427600.000000007</v>
      </c>
    </row>
    <row r="30" spans="1:74" x14ac:dyDescent="0.3">
      <c r="A30" s="330"/>
      <c r="B30" s="37" t="s">
        <v>12183</v>
      </c>
      <c r="C30" s="18">
        <v>42</v>
      </c>
      <c r="D30" s="131">
        <f t="shared" si="3"/>
        <v>42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08">
        <f t="shared" si="2"/>
        <v>0</v>
      </c>
      <c r="BR30" s="108">
        <f t="shared" si="2"/>
        <v>0</v>
      </c>
      <c r="BS30" s="11">
        <v>1.8</v>
      </c>
      <c r="BT30" s="52">
        <f t="shared" si="4"/>
        <v>75.600000000000009</v>
      </c>
      <c r="BU30" s="32">
        <v>92000</v>
      </c>
      <c r="BV30" s="29">
        <f t="shared" si="5"/>
        <v>6955200.0000000009</v>
      </c>
    </row>
    <row r="31" spans="1:74" x14ac:dyDescent="0.3">
      <c r="A31" s="330"/>
      <c r="B31" s="37"/>
      <c r="C31" s="18">
        <v>0</v>
      </c>
      <c r="D31" s="131">
        <f t="shared" si="3"/>
        <v>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08">
        <f t="shared" si="2"/>
        <v>0</v>
      </c>
      <c r="BR31" s="108">
        <f t="shared" si="2"/>
        <v>0</v>
      </c>
      <c r="BS31" s="11"/>
      <c r="BT31" s="52">
        <f t="shared" si="4"/>
        <v>0</v>
      </c>
      <c r="BU31" s="32"/>
      <c r="BV31" s="29">
        <f t="shared" si="5"/>
        <v>0</v>
      </c>
    </row>
    <row r="32" spans="1:74" x14ac:dyDescent="0.3">
      <c r="A32" s="330"/>
      <c r="B32" s="37" t="s">
        <v>12186</v>
      </c>
      <c r="C32" s="18">
        <v>82</v>
      </c>
      <c r="D32" s="131">
        <f t="shared" si="3"/>
        <v>47</v>
      </c>
      <c r="E32" s="11"/>
      <c r="F32" s="11"/>
      <c r="G32" s="11"/>
      <c r="H32" s="11">
        <v>25</v>
      </c>
      <c r="I32" s="11"/>
      <c r="J32" s="11">
        <v>10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08">
        <f t="shared" si="2"/>
        <v>0</v>
      </c>
      <c r="BR32" s="108">
        <f t="shared" si="2"/>
        <v>35</v>
      </c>
      <c r="BS32" s="11">
        <v>1.8</v>
      </c>
      <c r="BT32" s="52">
        <f t="shared" si="4"/>
        <v>84.600000000000009</v>
      </c>
      <c r="BU32" s="32">
        <v>92000</v>
      </c>
      <c r="BV32" s="29">
        <f t="shared" si="5"/>
        <v>7783200.0000000009</v>
      </c>
    </row>
    <row r="33" spans="1:74" x14ac:dyDescent="0.3">
      <c r="A33" s="330"/>
      <c r="B33" s="37" t="s">
        <v>12185</v>
      </c>
      <c r="C33" s="18">
        <v>47</v>
      </c>
      <c r="D33" s="131">
        <f t="shared" si="3"/>
        <v>-3</v>
      </c>
      <c r="E33" s="11"/>
      <c r="F33" s="11"/>
      <c r="G33" s="11"/>
      <c r="H33" s="11"/>
      <c r="I33" s="11"/>
      <c r="J33" s="11">
        <f>10+40</f>
        <v>50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08">
        <f t="shared" si="2"/>
        <v>0</v>
      </c>
      <c r="BR33" s="108">
        <f t="shared" si="2"/>
        <v>50</v>
      </c>
      <c r="BS33" s="11">
        <v>1.8</v>
      </c>
      <c r="BT33" s="52">
        <f t="shared" si="4"/>
        <v>-5.4</v>
      </c>
      <c r="BU33" s="32">
        <v>82000</v>
      </c>
      <c r="BV33" s="29">
        <f t="shared" si="5"/>
        <v>-442800.00000000006</v>
      </c>
    </row>
    <row r="34" spans="1:74" x14ac:dyDescent="0.3">
      <c r="A34" s="330"/>
      <c r="B34" s="37" t="s">
        <v>12187</v>
      </c>
      <c r="C34" s="18">
        <v>45</v>
      </c>
      <c r="D34" s="131">
        <f t="shared" si="3"/>
        <v>42</v>
      </c>
      <c r="E34" s="11"/>
      <c r="F34" s="11"/>
      <c r="G34" s="11"/>
      <c r="H34" s="11"/>
      <c r="I34" s="11"/>
      <c r="J34" s="11">
        <v>3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08">
        <f t="shared" si="2"/>
        <v>0</v>
      </c>
      <c r="BR34" s="108">
        <f t="shared" si="2"/>
        <v>3</v>
      </c>
      <c r="BS34" s="11">
        <v>1.8</v>
      </c>
      <c r="BT34" s="52">
        <f t="shared" si="4"/>
        <v>75.600000000000009</v>
      </c>
      <c r="BU34" s="32">
        <v>92000</v>
      </c>
      <c r="BV34" s="29">
        <f t="shared" si="5"/>
        <v>6955200.0000000009</v>
      </c>
    </row>
    <row r="35" spans="1:74" x14ac:dyDescent="0.3">
      <c r="A35" s="330"/>
      <c r="B35" s="37"/>
      <c r="C35" s="18">
        <v>0</v>
      </c>
      <c r="D35" s="131">
        <f t="shared" si="3"/>
        <v>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08">
        <f t="shared" si="2"/>
        <v>0</v>
      </c>
      <c r="BR35" s="108">
        <f t="shared" si="2"/>
        <v>0</v>
      </c>
      <c r="BS35" s="11"/>
      <c r="BT35" s="52">
        <f t="shared" si="4"/>
        <v>0</v>
      </c>
      <c r="BU35" s="32"/>
      <c r="BV35" s="29">
        <f t="shared" si="5"/>
        <v>0</v>
      </c>
    </row>
    <row r="36" spans="1:74" x14ac:dyDescent="0.3">
      <c r="A36" s="330"/>
      <c r="B36" s="37" t="s">
        <v>12189</v>
      </c>
      <c r="C36" s="18">
        <v>160</v>
      </c>
      <c r="D36" s="131">
        <f t="shared" si="3"/>
        <v>64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96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08">
        <f t="shared" si="2"/>
        <v>0</v>
      </c>
      <c r="BR36" s="108">
        <f t="shared" si="2"/>
        <v>96</v>
      </c>
      <c r="BS36" s="11">
        <v>1.8</v>
      </c>
      <c r="BT36" s="52">
        <f t="shared" si="4"/>
        <v>115.2</v>
      </c>
      <c r="BU36" s="32">
        <v>92000</v>
      </c>
      <c r="BV36" s="29">
        <f t="shared" si="5"/>
        <v>10598400</v>
      </c>
    </row>
    <row r="37" spans="1:74" x14ac:dyDescent="0.3">
      <c r="A37" s="330"/>
      <c r="B37" s="37" t="s">
        <v>12190</v>
      </c>
      <c r="C37" s="18">
        <v>81</v>
      </c>
      <c r="D37" s="131">
        <f t="shared" si="3"/>
        <v>81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08">
        <f t="shared" si="2"/>
        <v>0</v>
      </c>
      <c r="BR37" s="108">
        <f t="shared" si="2"/>
        <v>0</v>
      </c>
      <c r="BS37" s="11">
        <v>1.8</v>
      </c>
      <c r="BT37" s="52">
        <f t="shared" si="4"/>
        <v>145.80000000000001</v>
      </c>
      <c r="BU37" s="32">
        <v>82000</v>
      </c>
      <c r="BV37" s="29">
        <f t="shared" si="5"/>
        <v>11955600.000000002</v>
      </c>
    </row>
    <row r="38" spans="1:74" x14ac:dyDescent="0.3">
      <c r="A38" s="330"/>
      <c r="B38" s="37" t="s">
        <v>12188</v>
      </c>
      <c r="C38" s="18">
        <v>19</v>
      </c>
      <c r="D38" s="131">
        <f t="shared" si="3"/>
        <v>19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08">
        <f t="shared" si="2"/>
        <v>0</v>
      </c>
      <c r="BR38" s="108">
        <f t="shared" si="2"/>
        <v>0</v>
      </c>
      <c r="BS38" s="11">
        <v>1.8</v>
      </c>
      <c r="BT38" s="52">
        <f t="shared" si="4"/>
        <v>34.200000000000003</v>
      </c>
      <c r="BU38" s="32">
        <v>92000</v>
      </c>
      <c r="BV38" s="29">
        <f t="shared" si="5"/>
        <v>3146400.0000000005</v>
      </c>
    </row>
    <row r="39" spans="1:74" x14ac:dyDescent="0.3">
      <c r="A39" s="133"/>
      <c r="B39" s="133"/>
      <c r="C39" s="18">
        <v>0</v>
      </c>
      <c r="D39" s="131">
        <f t="shared" si="3"/>
        <v>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08">
        <f t="shared" si="2"/>
        <v>0</v>
      </c>
      <c r="BR39" s="108">
        <f t="shared" si="2"/>
        <v>0</v>
      </c>
      <c r="BS39" s="11"/>
      <c r="BT39" s="52">
        <f t="shared" si="4"/>
        <v>0</v>
      </c>
      <c r="BU39" s="32"/>
      <c r="BV39" s="29">
        <f t="shared" si="5"/>
        <v>0</v>
      </c>
    </row>
    <row r="40" spans="1:74" x14ac:dyDescent="0.3">
      <c r="A40" s="329" t="s">
        <v>12298</v>
      </c>
      <c r="B40" s="37">
        <v>16901</v>
      </c>
      <c r="C40" s="18">
        <v>97</v>
      </c>
      <c r="D40" s="131">
        <f t="shared" si="3"/>
        <v>97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08">
        <f t="shared" si="2"/>
        <v>0</v>
      </c>
      <c r="BR40" s="108">
        <f t="shared" si="2"/>
        <v>0</v>
      </c>
      <c r="BS40" s="11">
        <v>1.8</v>
      </c>
      <c r="BT40" s="52">
        <f t="shared" si="4"/>
        <v>174.6</v>
      </c>
      <c r="BU40" s="18">
        <v>92000</v>
      </c>
      <c r="BV40" s="29">
        <f t="shared" si="5"/>
        <v>16063200</v>
      </c>
    </row>
    <row r="41" spans="1:74" x14ac:dyDescent="0.3">
      <c r="A41" s="330"/>
      <c r="B41" s="162">
        <v>16902</v>
      </c>
      <c r="C41" s="163">
        <v>53</v>
      </c>
      <c r="D41" s="131">
        <f t="shared" si="3"/>
        <v>53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08">
        <f t="shared" si="2"/>
        <v>0</v>
      </c>
      <c r="BR41" s="108">
        <f t="shared" si="2"/>
        <v>0</v>
      </c>
      <c r="BS41" s="11">
        <v>1.8</v>
      </c>
      <c r="BT41" s="52">
        <f t="shared" si="4"/>
        <v>95.4</v>
      </c>
      <c r="BU41" s="18">
        <v>92000</v>
      </c>
      <c r="BV41" s="29">
        <f t="shared" si="5"/>
        <v>8776800</v>
      </c>
    </row>
    <row r="42" spans="1:74" x14ac:dyDescent="0.3">
      <c r="A42" s="330"/>
      <c r="B42" s="37">
        <v>16906</v>
      </c>
      <c r="C42" s="18">
        <v>242</v>
      </c>
      <c r="D42" s="131">
        <f t="shared" si="3"/>
        <v>242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08">
        <f t="shared" si="2"/>
        <v>0</v>
      </c>
      <c r="BR42" s="108">
        <f t="shared" si="2"/>
        <v>0</v>
      </c>
      <c r="BS42" s="11">
        <v>1.8</v>
      </c>
      <c r="BT42" s="52">
        <f t="shared" si="4"/>
        <v>435.6</v>
      </c>
      <c r="BU42" s="18">
        <v>92000</v>
      </c>
      <c r="BV42" s="29">
        <f t="shared" si="5"/>
        <v>40075200</v>
      </c>
    </row>
    <row r="43" spans="1:74" x14ac:dyDescent="0.3">
      <c r="A43" s="330"/>
      <c r="B43" s="37" t="s">
        <v>12174</v>
      </c>
      <c r="C43" s="18">
        <v>44</v>
      </c>
      <c r="D43" s="131">
        <f t="shared" si="3"/>
        <v>44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08">
        <f t="shared" si="2"/>
        <v>0</v>
      </c>
      <c r="BR43" s="108">
        <f t="shared" si="2"/>
        <v>0</v>
      </c>
      <c r="BS43" s="11">
        <v>1.8</v>
      </c>
      <c r="BT43" s="52">
        <f t="shared" si="4"/>
        <v>79.2</v>
      </c>
      <c r="BU43" s="18">
        <v>100000</v>
      </c>
      <c r="BV43" s="29">
        <f t="shared" si="5"/>
        <v>7920000</v>
      </c>
    </row>
    <row r="44" spans="1:74" x14ac:dyDescent="0.3">
      <c r="A44" s="330"/>
      <c r="B44" s="37">
        <v>16911</v>
      </c>
      <c r="C44" s="18">
        <v>119</v>
      </c>
      <c r="D44" s="131">
        <f t="shared" si="3"/>
        <v>119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08">
        <f t="shared" si="2"/>
        <v>0</v>
      </c>
      <c r="BR44" s="108">
        <f t="shared" si="2"/>
        <v>0</v>
      </c>
      <c r="BS44" s="11">
        <v>1.8</v>
      </c>
      <c r="BT44" s="52">
        <f t="shared" si="4"/>
        <v>214.20000000000002</v>
      </c>
      <c r="BU44" s="18">
        <v>92000</v>
      </c>
      <c r="BV44" s="29">
        <f t="shared" si="5"/>
        <v>19706400</v>
      </c>
    </row>
    <row r="45" spans="1:74" x14ac:dyDescent="0.3">
      <c r="A45" s="330"/>
      <c r="B45" s="37">
        <v>16912</v>
      </c>
      <c r="C45" s="18">
        <v>156</v>
      </c>
      <c r="D45" s="131">
        <f t="shared" si="3"/>
        <v>156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08">
        <f t="shared" si="2"/>
        <v>0</v>
      </c>
      <c r="BR45" s="108">
        <f t="shared" si="2"/>
        <v>0</v>
      </c>
      <c r="BS45" s="11">
        <v>1.8</v>
      </c>
      <c r="BT45" s="52">
        <f t="shared" si="4"/>
        <v>280.8</v>
      </c>
      <c r="BU45" s="18">
        <v>92000</v>
      </c>
      <c r="BV45" s="29">
        <f t="shared" si="5"/>
        <v>25833600</v>
      </c>
    </row>
    <row r="46" spans="1:74" x14ac:dyDescent="0.3">
      <c r="A46" s="330"/>
      <c r="B46" s="37">
        <v>16913</v>
      </c>
      <c r="C46" s="18">
        <v>336</v>
      </c>
      <c r="D46" s="131">
        <f t="shared" si="3"/>
        <v>297</v>
      </c>
      <c r="E46" s="11"/>
      <c r="F46" s="11">
        <v>39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08">
        <f t="shared" si="2"/>
        <v>0</v>
      </c>
      <c r="BR46" s="108">
        <f t="shared" si="2"/>
        <v>39</v>
      </c>
      <c r="BS46" s="11">
        <v>1.8</v>
      </c>
      <c r="BT46" s="52">
        <f t="shared" si="4"/>
        <v>534.6</v>
      </c>
      <c r="BU46" s="18">
        <v>92000</v>
      </c>
      <c r="BV46" s="29">
        <f t="shared" si="5"/>
        <v>49183200</v>
      </c>
    </row>
    <row r="47" spans="1:74" x14ac:dyDescent="0.3">
      <c r="A47" s="330"/>
      <c r="B47" s="37">
        <v>16916</v>
      </c>
      <c r="C47" s="18">
        <v>283</v>
      </c>
      <c r="D47" s="131">
        <f t="shared" si="3"/>
        <v>283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08">
        <f t="shared" si="2"/>
        <v>0</v>
      </c>
      <c r="BR47" s="108">
        <f t="shared" si="2"/>
        <v>0</v>
      </c>
      <c r="BS47" s="11">
        <v>1.8</v>
      </c>
      <c r="BT47" s="52">
        <f t="shared" si="4"/>
        <v>509.40000000000003</v>
      </c>
      <c r="BU47" s="18">
        <v>92000</v>
      </c>
      <c r="BV47" s="29">
        <f t="shared" si="5"/>
        <v>46864800</v>
      </c>
    </row>
    <row r="48" spans="1:74" x14ac:dyDescent="0.3">
      <c r="A48" s="330"/>
      <c r="B48" s="37">
        <v>16917</v>
      </c>
      <c r="C48" s="18">
        <v>332</v>
      </c>
      <c r="D48" s="131">
        <f t="shared" si="3"/>
        <v>332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08">
        <f t="shared" si="2"/>
        <v>0</v>
      </c>
      <c r="BR48" s="108">
        <f t="shared" si="2"/>
        <v>0</v>
      </c>
      <c r="BS48" s="11">
        <v>1.8</v>
      </c>
      <c r="BT48" s="52">
        <f t="shared" si="4"/>
        <v>597.6</v>
      </c>
      <c r="BU48" s="18">
        <v>92000</v>
      </c>
      <c r="BV48" s="29">
        <f t="shared" si="5"/>
        <v>54979200</v>
      </c>
    </row>
    <row r="49" spans="1:74" x14ac:dyDescent="0.3">
      <c r="A49" s="329" t="s">
        <v>2167</v>
      </c>
      <c r="B49" s="37">
        <v>17001</v>
      </c>
      <c r="C49" s="18">
        <v>172</v>
      </c>
      <c r="D49" s="131">
        <f t="shared" si="3"/>
        <v>100</v>
      </c>
      <c r="E49" s="11"/>
      <c r="F49" s="11"/>
      <c r="G49" s="11"/>
      <c r="H49" s="11"/>
      <c r="I49" s="11"/>
      <c r="J49" s="11"/>
      <c r="K49" s="11"/>
      <c r="L49" s="11"/>
      <c r="M49" s="11"/>
      <c r="N49" s="11">
        <v>72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08">
        <f t="shared" si="2"/>
        <v>0</v>
      </c>
      <c r="BR49" s="108">
        <f t="shared" si="2"/>
        <v>72</v>
      </c>
      <c r="BS49" s="11">
        <v>1.8</v>
      </c>
      <c r="BT49" s="52">
        <f t="shared" si="4"/>
        <v>180</v>
      </c>
      <c r="BU49" s="18">
        <v>70000</v>
      </c>
      <c r="BV49" s="29">
        <f t="shared" si="5"/>
        <v>12600000</v>
      </c>
    </row>
    <row r="50" spans="1:74" x14ac:dyDescent="0.3">
      <c r="A50" s="331"/>
      <c r="B50" s="37">
        <v>17006</v>
      </c>
      <c r="C50" s="18">
        <v>111.4</v>
      </c>
      <c r="D50" s="131">
        <f t="shared" si="3"/>
        <v>105.4</v>
      </c>
      <c r="E50" s="11"/>
      <c r="F50" s="11"/>
      <c r="G50" s="11"/>
      <c r="H50" s="11">
        <v>3</v>
      </c>
      <c r="I50" s="11"/>
      <c r="J50" s="11"/>
      <c r="K50" s="11"/>
      <c r="L50" s="11">
        <v>3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08">
        <f t="shared" si="2"/>
        <v>0</v>
      </c>
      <c r="BR50" s="108">
        <f t="shared" si="2"/>
        <v>6</v>
      </c>
      <c r="BS50" s="11">
        <v>1.8</v>
      </c>
      <c r="BT50" s="52">
        <f t="shared" si="4"/>
        <v>189.72000000000003</v>
      </c>
      <c r="BU50" s="18">
        <v>70000</v>
      </c>
      <c r="BV50" s="29">
        <f t="shared" si="5"/>
        <v>13280400.000000002</v>
      </c>
    </row>
    <row r="51" spans="1:74" x14ac:dyDescent="0.3">
      <c r="A51" s="276" t="s">
        <v>12293</v>
      </c>
      <c r="B51" s="277">
        <v>16.126000000000001</v>
      </c>
      <c r="C51" s="152">
        <v>216</v>
      </c>
      <c r="D51" s="185">
        <f t="shared" si="3"/>
        <v>144</v>
      </c>
      <c r="E51" s="11"/>
      <c r="F51" s="11"/>
      <c r="G51" s="11"/>
      <c r="H51" s="11">
        <v>72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08">
        <f t="shared" si="2"/>
        <v>0</v>
      </c>
      <c r="BR51" s="108">
        <f t="shared" si="2"/>
        <v>72</v>
      </c>
      <c r="BS51" s="11">
        <v>1.8</v>
      </c>
      <c r="BT51" s="52">
        <f t="shared" si="4"/>
        <v>259.2</v>
      </c>
      <c r="BU51" s="18">
        <v>79000</v>
      </c>
      <c r="BV51" s="29">
        <f t="shared" si="5"/>
        <v>20476800</v>
      </c>
    </row>
    <row r="52" spans="1:74" x14ac:dyDescent="0.3">
      <c r="A52" s="329" t="s">
        <v>12197</v>
      </c>
      <c r="B52" s="37">
        <v>17151</v>
      </c>
      <c r="C52" s="18">
        <v>120.19999999999999</v>
      </c>
      <c r="D52" s="131">
        <f t="shared" si="3"/>
        <v>122.19999999999999</v>
      </c>
      <c r="E52" s="11"/>
      <c r="F52" s="11"/>
      <c r="G52" s="11"/>
      <c r="H52" s="11"/>
      <c r="I52" s="11">
        <v>2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08">
        <f t="shared" si="2"/>
        <v>2</v>
      </c>
      <c r="BR52" s="108">
        <f t="shared" si="2"/>
        <v>0</v>
      </c>
      <c r="BS52" s="11">
        <v>1.8</v>
      </c>
      <c r="BT52" s="52">
        <f t="shared" si="4"/>
        <v>219.95999999999998</v>
      </c>
      <c r="BU52" s="18">
        <v>79000</v>
      </c>
      <c r="BV52" s="29">
        <f t="shared" si="5"/>
        <v>17376840</v>
      </c>
    </row>
    <row r="53" spans="1:74" x14ac:dyDescent="0.3">
      <c r="A53" s="330"/>
      <c r="B53" s="37">
        <v>17152</v>
      </c>
      <c r="C53" s="18">
        <v>120</v>
      </c>
      <c r="D53" s="131">
        <f t="shared" si="3"/>
        <v>120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08">
        <f t="shared" si="2"/>
        <v>0</v>
      </c>
      <c r="BR53" s="108">
        <f t="shared" si="2"/>
        <v>0</v>
      </c>
      <c r="BS53" s="11">
        <v>1.8</v>
      </c>
      <c r="BT53" s="52">
        <f t="shared" si="4"/>
        <v>216</v>
      </c>
      <c r="BU53" s="18">
        <v>79000</v>
      </c>
      <c r="BV53" s="29">
        <f t="shared" si="5"/>
        <v>17064000</v>
      </c>
    </row>
    <row r="54" spans="1:74" x14ac:dyDescent="0.3">
      <c r="A54" s="330"/>
      <c r="B54" s="37">
        <v>17153</v>
      </c>
      <c r="C54" s="18">
        <v>0</v>
      </c>
      <c r="D54" s="131">
        <f t="shared" si="3"/>
        <v>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08">
        <f t="shared" si="2"/>
        <v>0</v>
      </c>
      <c r="BR54" s="108">
        <f t="shared" si="2"/>
        <v>0</v>
      </c>
      <c r="BS54" s="11"/>
      <c r="BT54" s="52">
        <f t="shared" si="4"/>
        <v>0</v>
      </c>
      <c r="BU54" s="18"/>
      <c r="BV54" s="29">
        <f t="shared" si="5"/>
        <v>0</v>
      </c>
    </row>
    <row r="55" spans="1:74" x14ac:dyDescent="0.3">
      <c r="A55" s="330"/>
      <c r="B55" s="37">
        <v>17154</v>
      </c>
      <c r="C55" s="18">
        <v>75.599999999999994</v>
      </c>
      <c r="D55" s="131">
        <f t="shared" si="3"/>
        <v>75.599999999999994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08">
        <f t="shared" si="2"/>
        <v>0</v>
      </c>
      <c r="BR55" s="108">
        <f t="shared" si="2"/>
        <v>0</v>
      </c>
      <c r="BS55" s="11">
        <v>1.8</v>
      </c>
      <c r="BT55" s="52">
        <f t="shared" si="4"/>
        <v>136.07999999999998</v>
      </c>
      <c r="BU55" s="18">
        <v>79000</v>
      </c>
      <c r="BV55" s="29">
        <f t="shared" si="5"/>
        <v>10750319.999999998</v>
      </c>
    </row>
    <row r="56" spans="1:74" x14ac:dyDescent="0.3">
      <c r="A56" s="330"/>
      <c r="B56" s="37">
        <v>17155</v>
      </c>
      <c r="C56" s="18">
        <v>154</v>
      </c>
      <c r="D56" s="131">
        <f t="shared" si="3"/>
        <v>154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08">
        <f t="shared" si="2"/>
        <v>0</v>
      </c>
      <c r="BR56" s="108">
        <f t="shared" si="2"/>
        <v>0</v>
      </c>
      <c r="BS56" s="11">
        <v>1.8</v>
      </c>
      <c r="BT56" s="52">
        <f t="shared" si="4"/>
        <v>277.2</v>
      </c>
      <c r="BU56" s="18">
        <v>79000</v>
      </c>
      <c r="BV56" s="29">
        <f t="shared" si="5"/>
        <v>21898800</v>
      </c>
    </row>
    <row r="57" spans="1:74" x14ac:dyDescent="0.3">
      <c r="A57" s="331"/>
      <c r="B57" s="37">
        <v>17156</v>
      </c>
      <c r="C57" s="18">
        <v>159</v>
      </c>
      <c r="D57" s="131">
        <f t="shared" si="3"/>
        <v>148</v>
      </c>
      <c r="E57" s="11"/>
      <c r="F57" s="11"/>
      <c r="G57" s="11"/>
      <c r="H57" s="11"/>
      <c r="I57" s="11"/>
      <c r="J57" s="11"/>
      <c r="K57" s="11"/>
      <c r="L57" s="11"/>
      <c r="M57" s="11"/>
      <c r="N57" s="11">
        <v>11</v>
      </c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08">
        <f t="shared" si="2"/>
        <v>0</v>
      </c>
      <c r="BR57" s="108">
        <f t="shared" si="2"/>
        <v>11</v>
      </c>
      <c r="BS57" s="11">
        <v>1.8</v>
      </c>
      <c r="BT57" s="52">
        <f t="shared" si="4"/>
        <v>266.40000000000003</v>
      </c>
      <c r="BU57" s="18">
        <v>79000</v>
      </c>
      <c r="BV57" s="29">
        <f t="shared" si="5"/>
        <v>21045600.000000004</v>
      </c>
    </row>
    <row r="58" spans="1:74" x14ac:dyDescent="0.3">
      <c r="A58" s="171"/>
      <c r="B58" s="37"/>
      <c r="C58" s="18">
        <v>0</v>
      </c>
      <c r="D58" s="131">
        <f t="shared" si="3"/>
        <v>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08">
        <f t="shared" si="2"/>
        <v>0</v>
      </c>
      <c r="BR58" s="108">
        <f t="shared" si="2"/>
        <v>0</v>
      </c>
      <c r="BS58" s="11"/>
      <c r="BT58" s="52">
        <f t="shared" si="4"/>
        <v>0</v>
      </c>
      <c r="BU58" s="18"/>
      <c r="BV58" s="29">
        <f t="shared" si="5"/>
        <v>0</v>
      </c>
    </row>
    <row r="59" spans="1:74" x14ac:dyDescent="0.3">
      <c r="A59" s="345" t="s">
        <v>4358</v>
      </c>
      <c r="B59" s="64">
        <v>76102</v>
      </c>
      <c r="C59" s="18">
        <v>191.3</v>
      </c>
      <c r="D59" s="131">
        <f t="shared" si="3"/>
        <v>146.30000000000001</v>
      </c>
      <c r="E59" s="11"/>
      <c r="F59" s="11"/>
      <c r="G59" s="11"/>
      <c r="H59" s="11"/>
      <c r="I59" s="11"/>
      <c r="J59" s="11"/>
      <c r="K59" s="11"/>
      <c r="L59" s="11"/>
      <c r="M59" s="11"/>
      <c r="N59" s="11">
        <v>45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08">
        <f t="shared" si="2"/>
        <v>0</v>
      </c>
      <c r="BR59" s="108">
        <f t="shared" si="2"/>
        <v>45</v>
      </c>
      <c r="BS59" s="11">
        <v>1.8</v>
      </c>
      <c r="BT59" s="52">
        <f t="shared" si="4"/>
        <v>263.34000000000003</v>
      </c>
      <c r="BU59" s="18">
        <v>79000</v>
      </c>
      <c r="BV59" s="29">
        <f t="shared" si="5"/>
        <v>20803860.000000004</v>
      </c>
    </row>
    <row r="60" spans="1:74" x14ac:dyDescent="0.3">
      <c r="A60" s="330"/>
      <c r="B60" s="64">
        <v>76103</v>
      </c>
      <c r="C60" s="18">
        <v>215</v>
      </c>
      <c r="D60" s="131">
        <f t="shared" si="3"/>
        <v>143</v>
      </c>
      <c r="E60" s="11"/>
      <c r="F60" s="11"/>
      <c r="G60" s="11"/>
      <c r="H60" s="11"/>
      <c r="I60" s="11"/>
      <c r="J60" s="11"/>
      <c r="K60" s="11"/>
      <c r="L60" s="11"/>
      <c r="M60" s="11"/>
      <c r="N60" s="11">
        <v>72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08">
        <f t="shared" si="2"/>
        <v>0</v>
      </c>
      <c r="BR60" s="108">
        <f t="shared" si="2"/>
        <v>72</v>
      </c>
      <c r="BS60" s="11">
        <v>1.8</v>
      </c>
      <c r="BT60" s="52">
        <f t="shared" si="4"/>
        <v>257.40000000000003</v>
      </c>
      <c r="BU60" s="18">
        <v>79000</v>
      </c>
      <c r="BV60" s="29">
        <f t="shared" si="5"/>
        <v>20334600.000000004</v>
      </c>
    </row>
    <row r="61" spans="1:74" x14ac:dyDescent="0.3">
      <c r="A61" s="330"/>
      <c r="B61" s="64">
        <v>76105</v>
      </c>
      <c r="C61" s="18">
        <v>138</v>
      </c>
      <c r="D61" s="131">
        <f t="shared" si="3"/>
        <v>138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08">
        <f t="shared" si="2"/>
        <v>0</v>
      </c>
      <c r="BR61" s="108">
        <f t="shared" si="2"/>
        <v>0</v>
      </c>
      <c r="BS61" s="11">
        <v>1.8</v>
      </c>
      <c r="BT61" s="52">
        <f t="shared" si="4"/>
        <v>248.4</v>
      </c>
      <c r="BU61" s="18">
        <v>79000</v>
      </c>
      <c r="BV61" s="29">
        <f t="shared" si="5"/>
        <v>19623600</v>
      </c>
    </row>
    <row r="62" spans="1:74" x14ac:dyDescent="0.3">
      <c r="A62" s="331"/>
      <c r="B62" s="64"/>
      <c r="C62" s="18">
        <v>0</v>
      </c>
      <c r="D62" s="131">
        <f t="shared" si="3"/>
        <v>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08">
        <f t="shared" si="2"/>
        <v>0</v>
      </c>
      <c r="BR62" s="108">
        <f t="shared" si="2"/>
        <v>0</v>
      </c>
      <c r="BS62" s="11"/>
      <c r="BT62" s="52">
        <f t="shared" si="4"/>
        <v>0</v>
      </c>
      <c r="BU62" s="18"/>
      <c r="BV62" s="29">
        <f t="shared" si="5"/>
        <v>0</v>
      </c>
    </row>
    <row r="63" spans="1:74" hidden="1" x14ac:dyDescent="0.3">
      <c r="A63" s="329" t="s">
        <v>12200</v>
      </c>
      <c r="B63" s="174">
        <v>18901</v>
      </c>
      <c r="C63" s="129">
        <v>1</v>
      </c>
      <c r="D63" s="131">
        <f t="shared" si="3"/>
        <v>1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08">
        <f t="shared" si="2"/>
        <v>0</v>
      </c>
      <c r="BR63" s="108">
        <f t="shared" si="2"/>
        <v>0</v>
      </c>
      <c r="BS63" s="11">
        <v>1.92</v>
      </c>
      <c r="BT63" s="52">
        <f t="shared" si="4"/>
        <v>1.92</v>
      </c>
      <c r="BU63" s="18">
        <v>110000</v>
      </c>
      <c r="BV63" s="29">
        <f t="shared" si="5"/>
        <v>211200</v>
      </c>
    </row>
    <row r="64" spans="1:74" x14ac:dyDescent="0.3">
      <c r="A64" s="330"/>
      <c r="B64" s="37">
        <v>18902</v>
      </c>
      <c r="C64" s="18">
        <v>36</v>
      </c>
      <c r="D64" s="131">
        <f t="shared" si="3"/>
        <v>36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08">
        <f t="shared" si="2"/>
        <v>0</v>
      </c>
      <c r="BR64" s="108">
        <f t="shared" si="2"/>
        <v>0</v>
      </c>
      <c r="BS64" s="11">
        <v>1.92</v>
      </c>
      <c r="BT64" s="52">
        <f t="shared" si="4"/>
        <v>69.12</v>
      </c>
      <c r="BU64" s="18">
        <v>110000</v>
      </c>
      <c r="BV64" s="29">
        <f t="shared" si="5"/>
        <v>7603200.0000000009</v>
      </c>
    </row>
    <row r="65" spans="1:74" x14ac:dyDescent="0.3">
      <c r="A65" s="330"/>
      <c r="B65" s="37">
        <v>18906</v>
      </c>
      <c r="C65" s="18">
        <v>192</v>
      </c>
      <c r="D65" s="131">
        <f t="shared" si="3"/>
        <v>192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08">
        <f t="shared" si="2"/>
        <v>0</v>
      </c>
      <c r="BR65" s="108">
        <f t="shared" si="2"/>
        <v>0</v>
      </c>
      <c r="BS65" s="11">
        <v>1.92</v>
      </c>
      <c r="BT65" s="52">
        <f t="shared" si="4"/>
        <v>368.64</v>
      </c>
      <c r="BU65" s="18">
        <v>110000</v>
      </c>
      <c r="BV65" s="29">
        <f t="shared" si="5"/>
        <v>40550400</v>
      </c>
    </row>
    <row r="66" spans="1:74" x14ac:dyDescent="0.3">
      <c r="A66" s="330"/>
      <c r="B66" s="37">
        <v>18911</v>
      </c>
      <c r="C66" s="18">
        <v>38</v>
      </c>
      <c r="D66" s="131">
        <f t="shared" ref="D66:D111" si="6">+C66+BQ66-BR66</f>
        <v>38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08">
        <f t="shared" si="2"/>
        <v>0</v>
      </c>
      <c r="BR66" s="108">
        <f t="shared" si="2"/>
        <v>0</v>
      </c>
      <c r="BS66" s="11">
        <v>1.92</v>
      </c>
      <c r="BT66" s="52">
        <f t="shared" si="4"/>
        <v>72.959999999999994</v>
      </c>
      <c r="BU66" s="18">
        <v>110000</v>
      </c>
      <c r="BV66" s="29">
        <f t="shared" si="5"/>
        <v>8025599.9999999991</v>
      </c>
    </row>
    <row r="67" spans="1:74" x14ac:dyDescent="0.3">
      <c r="A67" s="330"/>
      <c r="B67" s="37">
        <v>18912</v>
      </c>
      <c r="C67" s="18">
        <v>165.32999999999998</v>
      </c>
      <c r="D67" s="131">
        <f t="shared" si="6"/>
        <v>165.32999999999998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24"/>
      <c r="BP67" s="11"/>
      <c r="BQ67" s="108">
        <f t="shared" si="2"/>
        <v>0</v>
      </c>
      <c r="BR67" s="108">
        <f t="shared" si="2"/>
        <v>0</v>
      </c>
      <c r="BS67" s="11">
        <v>1.92</v>
      </c>
      <c r="BT67" s="52">
        <f t="shared" si="4"/>
        <v>317.43359999999996</v>
      </c>
      <c r="BU67" s="18">
        <v>110000</v>
      </c>
      <c r="BV67" s="29">
        <f t="shared" si="5"/>
        <v>34917695.999999993</v>
      </c>
    </row>
    <row r="68" spans="1:74" x14ac:dyDescent="0.3">
      <c r="A68" s="330"/>
      <c r="B68" s="37">
        <v>18913</v>
      </c>
      <c r="C68" s="18">
        <v>179</v>
      </c>
      <c r="D68" s="131">
        <f t="shared" si="6"/>
        <v>179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08">
        <f t="shared" si="2"/>
        <v>0</v>
      </c>
      <c r="BR68" s="108">
        <f t="shared" si="2"/>
        <v>0</v>
      </c>
      <c r="BS68" s="11">
        <v>1.92</v>
      </c>
      <c r="BT68" s="52">
        <f t="shared" si="4"/>
        <v>343.68</v>
      </c>
      <c r="BU68" s="18">
        <v>110000</v>
      </c>
      <c r="BV68" s="29">
        <f t="shared" si="5"/>
        <v>37804800</v>
      </c>
    </row>
    <row r="69" spans="1:74" x14ac:dyDescent="0.3">
      <c r="A69" s="330"/>
      <c r="B69" s="37">
        <v>18916</v>
      </c>
      <c r="C69" s="18">
        <v>168.67000000000002</v>
      </c>
      <c r="D69" s="131">
        <f t="shared" si="6"/>
        <v>168.67000000000002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08">
        <f t="shared" si="2"/>
        <v>0</v>
      </c>
      <c r="BR69" s="108">
        <f t="shared" si="2"/>
        <v>0</v>
      </c>
      <c r="BS69" s="11">
        <v>1.92</v>
      </c>
      <c r="BT69" s="52">
        <f t="shared" si="4"/>
        <v>323.84640000000002</v>
      </c>
      <c r="BU69" s="18">
        <v>110000</v>
      </c>
      <c r="BV69" s="29">
        <f t="shared" si="5"/>
        <v>35623104</v>
      </c>
    </row>
    <row r="70" spans="1:74" x14ac:dyDescent="0.3">
      <c r="A70" s="330"/>
      <c r="B70" s="37">
        <v>18917</v>
      </c>
      <c r="C70" s="18">
        <v>188</v>
      </c>
      <c r="D70" s="131">
        <f t="shared" si="6"/>
        <v>0</v>
      </c>
      <c r="E70" s="11"/>
      <c r="F70" s="11">
        <v>76</v>
      </c>
      <c r="G70" s="11"/>
      <c r="H70" s="11"/>
      <c r="I70" s="11"/>
      <c r="J70" s="11">
        <v>112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08">
        <f t="shared" si="2"/>
        <v>0</v>
      </c>
      <c r="BR70" s="108">
        <f t="shared" si="2"/>
        <v>188</v>
      </c>
      <c r="BS70" s="11">
        <v>1.92</v>
      </c>
      <c r="BT70" s="52">
        <f t="shared" si="4"/>
        <v>0</v>
      </c>
      <c r="BU70" s="18">
        <v>110000</v>
      </c>
      <c r="BV70" s="29">
        <f t="shared" si="5"/>
        <v>0</v>
      </c>
    </row>
    <row r="71" spans="1:74" ht="18.75" hidden="1" customHeight="1" x14ac:dyDescent="0.3">
      <c r="A71" s="330"/>
      <c r="B71" s="37">
        <v>18126</v>
      </c>
      <c r="C71" s="18">
        <v>0</v>
      </c>
      <c r="D71" s="131">
        <f t="shared" si="6"/>
        <v>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08">
        <f t="shared" si="2"/>
        <v>0</v>
      </c>
      <c r="BR71" s="108">
        <f t="shared" si="2"/>
        <v>0</v>
      </c>
      <c r="BS71" s="11">
        <v>1.92</v>
      </c>
      <c r="BT71" s="52">
        <f t="shared" si="4"/>
        <v>0</v>
      </c>
      <c r="BU71" s="18">
        <v>116000</v>
      </c>
      <c r="BV71" s="29">
        <f t="shared" si="5"/>
        <v>0</v>
      </c>
    </row>
    <row r="72" spans="1:74" x14ac:dyDescent="0.3">
      <c r="A72" s="330"/>
      <c r="B72" s="37">
        <v>48302</v>
      </c>
      <c r="C72" s="18">
        <v>36.330000000000013</v>
      </c>
      <c r="D72" s="131">
        <f t="shared" si="6"/>
        <v>33.330000000000013</v>
      </c>
      <c r="E72" s="11"/>
      <c r="F72" s="11"/>
      <c r="G72" s="11"/>
      <c r="H72" s="11">
        <v>3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08">
        <f t="shared" ref="BQ72:BR111" si="7">+E72+G72+I72+K72+M72+O72+Q72+S72+U72+W72+Y72+AA72+AC72+AE72+AG72+AI72+AK72+AM72+AO72+AQ72+AS72+AU72+AW72+AY72+BA72+BC72+BE72+BG72+BI72+BK72+BM72+BO72</f>
        <v>0</v>
      </c>
      <c r="BR72" s="108">
        <f t="shared" si="7"/>
        <v>3</v>
      </c>
      <c r="BS72" s="11">
        <v>1.92</v>
      </c>
      <c r="BT72" s="52">
        <f t="shared" si="4"/>
        <v>63.993600000000022</v>
      </c>
      <c r="BU72" s="18">
        <v>152000</v>
      </c>
      <c r="BV72" s="29">
        <f t="shared" si="5"/>
        <v>9727027.200000003</v>
      </c>
    </row>
    <row r="73" spans="1:74" x14ac:dyDescent="0.3">
      <c r="A73" s="330"/>
      <c r="B73" s="37">
        <v>48304</v>
      </c>
      <c r="C73" s="18">
        <v>90.67</v>
      </c>
      <c r="D73" s="131">
        <f t="shared" si="6"/>
        <v>90.67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08">
        <f t="shared" si="7"/>
        <v>0</v>
      </c>
      <c r="BR73" s="108">
        <f t="shared" si="7"/>
        <v>0</v>
      </c>
      <c r="BS73" s="11">
        <v>1.92</v>
      </c>
      <c r="BT73" s="52">
        <f t="shared" si="4"/>
        <v>174.0864</v>
      </c>
      <c r="BU73" s="18">
        <v>152000</v>
      </c>
      <c r="BV73" s="29">
        <f t="shared" si="5"/>
        <v>26461132.800000001</v>
      </c>
    </row>
    <row r="74" spans="1:74" x14ac:dyDescent="0.3">
      <c r="A74" s="330"/>
      <c r="B74" s="37">
        <v>18402</v>
      </c>
      <c r="C74" s="18">
        <v>9</v>
      </c>
      <c r="D74" s="131">
        <f t="shared" si="6"/>
        <v>9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08">
        <f t="shared" si="7"/>
        <v>0</v>
      </c>
      <c r="BR74" s="108">
        <f t="shared" si="7"/>
        <v>0</v>
      </c>
      <c r="BS74" s="11">
        <v>1.92</v>
      </c>
      <c r="BT74" s="52">
        <f t="shared" si="4"/>
        <v>17.28</v>
      </c>
      <c r="BU74" s="18">
        <v>162000</v>
      </c>
      <c r="BV74" s="29">
        <f t="shared" si="5"/>
        <v>2799360</v>
      </c>
    </row>
    <row r="75" spans="1:74" x14ac:dyDescent="0.3">
      <c r="A75" s="330"/>
      <c r="B75" s="64">
        <v>78001</v>
      </c>
      <c r="C75" s="18">
        <v>316</v>
      </c>
      <c r="D75" s="131">
        <f t="shared" si="6"/>
        <v>261</v>
      </c>
      <c r="E75" s="11">
        <v>37</v>
      </c>
      <c r="F75" s="11"/>
      <c r="G75" s="11"/>
      <c r="H75" s="11"/>
      <c r="I75" s="11"/>
      <c r="J75" s="11"/>
      <c r="K75" s="11"/>
      <c r="L75" s="11"/>
      <c r="M75" s="11"/>
      <c r="N75" s="11">
        <v>1</v>
      </c>
      <c r="O75" s="11"/>
      <c r="P75" s="11">
        <f>86+5</f>
        <v>91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08">
        <f t="shared" si="7"/>
        <v>37</v>
      </c>
      <c r="BR75" s="108">
        <f t="shared" si="7"/>
        <v>92</v>
      </c>
      <c r="BS75" s="11">
        <v>1.92</v>
      </c>
      <c r="BT75" s="52">
        <f t="shared" si="4"/>
        <v>501.12</v>
      </c>
      <c r="BU75" s="18">
        <v>110000</v>
      </c>
      <c r="BV75" s="29">
        <f t="shared" si="5"/>
        <v>55123200</v>
      </c>
    </row>
    <row r="76" spans="1:74" x14ac:dyDescent="0.3">
      <c r="A76" s="330"/>
      <c r="B76" s="64">
        <v>78002</v>
      </c>
      <c r="C76" s="18">
        <v>80</v>
      </c>
      <c r="D76" s="131">
        <f t="shared" si="6"/>
        <v>80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08">
        <f t="shared" si="7"/>
        <v>0</v>
      </c>
      <c r="BR76" s="108">
        <f t="shared" si="7"/>
        <v>0</v>
      </c>
      <c r="BS76" s="11">
        <v>1.92</v>
      </c>
      <c r="BT76" s="52">
        <f t="shared" si="4"/>
        <v>153.6</v>
      </c>
      <c r="BU76" s="18">
        <v>110000</v>
      </c>
      <c r="BV76" s="29">
        <f t="shared" si="5"/>
        <v>16896000</v>
      </c>
    </row>
    <row r="77" spans="1:74" x14ac:dyDescent="0.3">
      <c r="A77" s="331"/>
      <c r="B77" s="64">
        <v>78003</v>
      </c>
      <c r="C77" s="18">
        <v>380</v>
      </c>
      <c r="D77" s="131">
        <f t="shared" si="6"/>
        <v>380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08">
        <f t="shared" si="7"/>
        <v>0</v>
      </c>
      <c r="BR77" s="108">
        <f t="shared" si="7"/>
        <v>0</v>
      </c>
      <c r="BS77" s="11">
        <v>1.92</v>
      </c>
      <c r="BT77" s="52">
        <f t="shared" si="4"/>
        <v>729.6</v>
      </c>
      <c r="BU77" s="18">
        <v>110000</v>
      </c>
      <c r="BV77" s="29">
        <f t="shared" si="5"/>
        <v>80256000</v>
      </c>
    </row>
    <row r="78" spans="1:74" x14ac:dyDescent="0.3">
      <c r="A78" s="161"/>
      <c r="B78" s="37"/>
      <c r="C78" s="18">
        <v>0</v>
      </c>
      <c r="D78" s="131">
        <f t="shared" si="6"/>
        <v>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08">
        <f t="shared" si="7"/>
        <v>0</v>
      </c>
      <c r="BR78" s="108">
        <f t="shared" si="7"/>
        <v>0</v>
      </c>
      <c r="BS78" s="11"/>
      <c r="BT78" s="52"/>
      <c r="BU78" s="18"/>
      <c r="BV78" s="29"/>
    </row>
    <row r="79" spans="1:74" x14ac:dyDescent="0.3">
      <c r="A79" s="345" t="s">
        <v>12199</v>
      </c>
      <c r="B79" s="145">
        <v>18701</v>
      </c>
      <c r="C79" s="18">
        <v>578</v>
      </c>
      <c r="D79" s="131">
        <f t="shared" si="6"/>
        <v>578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08">
        <f t="shared" si="7"/>
        <v>0</v>
      </c>
      <c r="BR79" s="108">
        <f t="shared" si="7"/>
        <v>0</v>
      </c>
      <c r="BS79" s="11">
        <v>1.92</v>
      </c>
      <c r="BT79" s="52">
        <f t="shared" si="4"/>
        <v>1109.76</v>
      </c>
      <c r="BU79" s="18">
        <v>94000</v>
      </c>
      <c r="BV79" s="29">
        <f t="shared" si="5"/>
        <v>104317440</v>
      </c>
    </row>
    <row r="80" spans="1:74" x14ac:dyDescent="0.3">
      <c r="A80" s="330"/>
      <c r="B80" s="145">
        <v>18704</v>
      </c>
      <c r="C80" s="18">
        <v>208</v>
      </c>
      <c r="D80" s="131">
        <f t="shared" si="6"/>
        <v>208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08">
        <f t="shared" si="7"/>
        <v>0</v>
      </c>
      <c r="BR80" s="108">
        <f t="shared" si="7"/>
        <v>0</v>
      </c>
      <c r="BS80" s="11">
        <v>1.92</v>
      </c>
      <c r="BT80" s="52">
        <f t="shared" si="4"/>
        <v>399.36</v>
      </c>
      <c r="BU80" s="18">
        <v>94000</v>
      </c>
      <c r="BV80" s="29">
        <f t="shared" si="5"/>
        <v>37539840</v>
      </c>
    </row>
    <row r="81" spans="1:74" x14ac:dyDescent="0.3">
      <c r="A81" s="330"/>
      <c r="B81" s="37">
        <v>18706</v>
      </c>
      <c r="C81" s="18">
        <v>357.66700000000003</v>
      </c>
      <c r="D81" s="131">
        <f t="shared" si="6"/>
        <v>339.66700000000003</v>
      </c>
      <c r="E81" s="11"/>
      <c r="F81" s="11"/>
      <c r="G81" s="11"/>
      <c r="H81" s="11">
        <v>20</v>
      </c>
      <c r="I81" s="11"/>
      <c r="J81" s="11"/>
      <c r="K81" s="11">
        <v>2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08">
        <f t="shared" si="7"/>
        <v>2</v>
      </c>
      <c r="BR81" s="108">
        <f t="shared" si="7"/>
        <v>20</v>
      </c>
      <c r="BS81" s="11">
        <v>1.92</v>
      </c>
      <c r="BT81" s="52">
        <f t="shared" si="4"/>
        <v>652.16064000000006</v>
      </c>
      <c r="BU81" s="18">
        <v>94000</v>
      </c>
      <c r="BV81" s="29">
        <f t="shared" si="5"/>
        <v>61303100.160000004</v>
      </c>
    </row>
    <row r="82" spans="1:74" x14ac:dyDescent="0.3">
      <c r="A82" s="330"/>
      <c r="B82" s="37">
        <v>18707</v>
      </c>
      <c r="C82" s="18">
        <v>157</v>
      </c>
      <c r="D82" s="131">
        <f t="shared" si="6"/>
        <v>157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08">
        <f t="shared" si="7"/>
        <v>0</v>
      </c>
      <c r="BR82" s="108">
        <f t="shared" si="7"/>
        <v>0</v>
      </c>
      <c r="BS82" s="11">
        <v>1.92</v>
      </c>
      <c r="BT82" s="52">
        <f t="shared" si="4"/>
        <v>301.44</v>
      </c>
      <c r="BU82" s="18">
        <v>94000</v>
      </c>
      <c r="BV82" s="29">
        <f t="shared" si="5"/>
        <v>28335360</v>
      </c>
    </row>
    <row r="83" spans="1:74" x14ac:dyDescent="0.3">
      <c r="A83" s="175"/>
      <c r="B83" s="172"/>
      <c r="C83" s="18"/>
      <c r="D83" s="13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08">
        <f t="shared" si="7"/>
        <v>0</v>
      </c>
      <c r="BR83" s="108">
        <f t="shared" si="7"/>
        <v>0</v>
      </c>
      <c r="BS83" s="11"/>
      <c r="BT83" s="52"/>
      <c r="BU83" s="18"/>
      <c r="BV83" s="29"/>
    </row>
    <row r="84" spans="1:74" ht="18.75" customHeight="1" x14ac:dyDescent="0.3">
      <c r="A84" s="349" t="s">
        <v>12289</v>
      </c>
      <c r="B84" s="64">
        <v>78702</v>
      </c>
      <c r="C84" s="18">
        <v>98</v>
      </c>
      <c r="D84" s="131">
        <f t="shared" si="6"/>
        <v>98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08">
        <f t="shared" si="7"/>
        <v>0</v>
      </c>
      <c r="BR84" s="108">
        <f t="shared" si="7"/>
        <v>0</v>
      </c>
      <c r="BS84" s="11">
        <v>1.92</v>
      </c>
      <c r="BT84" s="52">
        <f t="shared" si="4"/>
        <v>188.16</v>
      </c>
      <c r="BU84" s="18">
        <v>94000</v>
      </c>
      <c r="BV84" s="29">
        <f t="shared" si="5"/>
        <v>17687040</v>
      </c>
    </row>
    <row r="85" spans="1:74" x14ac:dyDescent="0.3">
      <c r="A85" s="350"/>
      <c r="B85" s="64">
        <v>78703</v>
      </c>
      <c r="C85" s="18">
        <v>264</v>
      </c>
      <c r="D85" s="131">
        <f t="shared" si="6"/>
        <v>264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08">
        <f t="shared" si="7"/>
        <v>0</v>
      </c>
      <c r="BR85" s="108">
        <f t="shared" si="7"/>
        <v>0</v>
      </c>
      <c r="BS85" s="11">
        <v>1.92</v>
      </c>
      <c r="BT85" s="52">
        <f t="shared" si="4"/>
        <v>506.88</v>
      </c>
      <c r="BU85" s="18">
        <v>94000</v>
      </c>
      <c r="BV85" s="29">
        <f t="shared" si="5"/>
        <v>47646720</v>
      </c>
    </row>
    <row r="86" spans="1:74" x14ac:dyDescent="0.3">
      <c r="A86" s="351"/>
      <c r="B86" s="64">
        <v>78705</v>
      </c>
      <c r="C86" s="18">
        <v>243</v>
      </c>
      <c r="D86" s="131">
        <f t="shared" si="6"/>
        <v>243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08">
        <f t="shared" si="7"/>
        <v>0</v>
      </c>
      <c r="BR86" s="108">
        <f t="shared" si="7"/>
        <v>0</v>
      </c>
      <c r="BS86" s="11">
        <v>1.92</v>
      </c>
      <c r="BT86" s="52">
        <f t="shared" si="4"/>
        <v>466.56</v>
      </c>
      <c r="BU86" s="18">
        <v>94000</v>
      </c>
      <c r="BV86" s="29">
        <f t="shared" si="5"/>
        <v>43856640</v>
      </c>
    </row>
    <row r="87" spans="1:74" x14ac:dyDescent="0.3">
      <c r="A87" s="173"/>
      <c r="B87" s="172"/>
      <c r="C87" s="18">
        <v>0</v>
      </c>
      <c r="D87" s="131">
        <f t="shared" si="6"/>
        <v>0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08">
        <f t="shared" si="7"/>
        <v>0</v>
      </c>
      <c r="BR87" s="108">
        <f t="shared" si="7"/>
        <v>0</v>
      </c>
      <c r="BS87" s="11"/>
      <c r="BT87" s="52"/>
      <c r="BU87" s="18"/>
      <c r="BV87" s="29">
        <f t="shared" si="5"/>
        <v>0</v>
      </c>
    </row>
    <row r="88" spans="1:74" x14ac:dyDescent="0.3">
      <c r="A88" s="352" t="s">
        <v>260</v>
      </c>
      <c r="B88" s="37" t="s">
        <v>12173</v>
      </c>
      <c r="C88" s="18">
        <v>27</v>
      </c>
      <c r="D88" s="131">
        <f t="shared" si="6"/>
        <v>27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08">
        <f t="shared" si="7"/>
        <v>0</v>
      </c>
      <c r="BR88" s="108">
        <f t="shared" si="7"/>
        <v>0</v>
      </c>
      <c r="BS88" s="11">
        <v>1.92</v>
      </c>
      <c r="BT88" s="52">
        <f t="shared" si="4"/>
        <v>51.839999999999996</v>
      </c>
      <c r="BU88" s="18">
        <v>125000</v>
      </c>
      <c r="BV88" s="29">
        <f t="shared" si="5"/>
        <v>6480000</v>
      </c>
    </row>
    <row r="89" spans="1:74" x14ac:dyDescent="0.3">
      <c r="A89" s="353"/>
      <c r="B89" s="37" t="s">
        <v>4355</v>
      </c>
      <c r="C89" s="18">
        <v>370</v>
      </c>
      <c r="D89" s="131">
        <f t="shared" si="6"/>
        <v>306</v>
      </c>
      <c r="E89" s="62"/>
      <c r="F89" s="62">
        <v>46</v>
      </c>
      <c r="G89" s="62"/>
      <c r="H89" s="62"/>
      <c r="I89" s="62"/>
      <c r="J89" s="62"/>
      <c r="K89" s="62"/>
      <c r="L89" s="62"/>
      <c r="M89" s="62"/>
      <c r="N89" s="62">
        <v>18</v>
      </c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108">
        <f t="shared" si="7"/>
        <v>0</v>
      </c>
      <c r="BR89" s="108">
        <f t="shared" si="7"/>
        <v>64</v>
      </c>
      <c r="BS89" s="62">
        <v>1.92</v>
      </c>
      <c r="BT89" s="52">
        <f t="shared" si="4"/>
        <v>587.52</v>
      </c>
      <c r="BU89" s="63">
        <v>104000</v>
      </c>
      <c r="BV89" s="29">
        <f t="shared" si="5"/>
        <v>61102080</v>
      </c>
    </row>
    <row r="90" spans="1:74" x14ac:dyDescent="0.3">
      <c r="A90" s="353"/>
      <c r="B90" s="37" t="s">
        <v>4357</v>
      </c>
      <c r="C90" s="18">
        <v>53.5</v>
      </c>
      <c r="D90" s="131">
        <f t="shared" si="6"/>
        <v>52.5</v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>
        <v>1</v>
      </c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108">
        <f t="shared" si="7"/>
        <v>0</v>
      </c>
      <c r="BR90" s="108">
        <f t="shared" si="7"/>
        <v>1</v>
      </c>
      <c r="BS90" s="62">
        <v>1.92</v>
      </c>
      <c r="BT90" s="52">
        <f t="shared" ref="BT90:BT111" si="8">+D90*BS90</f>
        <v>100.8</v>
      </c>
      <c r="BU90" s="63">
        <v>114000</v>
      </c>
      <c r="BV90" s="29">
        <f t="shared" ref="BV90:BV111" si="9">+BT90*BU90</f>
        <v>11491200</v>
      </c>
    </row>
    <row r="91" spans="1:74" x14ac:dyDescent="0.3">
      <c r="A91" s="353"/>
      <c r="B91" s="66"/>
      <c r="C91" s="18">
        <v>0</v>
      </c>
      <c r="D91" s="131">
        <f t="shared" si="6"/>
        <v>0</v>
      </c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108">
        <f t="shared" si="7"/>
        <v>0</v>
      </c>
      <c r="BR91" s="108">
        <f t="shared" si="7"/>
        <v>0</v>
      </c>
      <c r="BS91" s="62"/>
      <c r="BT91" s="52">
        <f t="shared" si="8"/>
        <v>0</v>
      </c>
      <c r="BU91" s="63"/>
      <c r="BV91" s="29">
        <f t="shared" si="9"/>
        <v>0</v>
      </c>
    </row>
    <row r="92" spans="1:74" x14ac:dyDescent="0.3">
      <c r="A92" s="353"/>
      <c r="B92" s="66">
        <v>74102</v>
      </c>
      <c r="C92" s="18">
        <v>139</v>
      </c>
      <c r="D92" s="131">
        <f t="shared" si="6"/>
        <v>142</v>
      </c>
      <c r="E92" s="62"/>
      <c r="F92" s="62"/>
      <c r="G92" s="62"/>
      <c r="H92" s="62"/>
      <c r="I92" s="62">
        <v>3</v>
      </c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108">
        <f t="shared" si="7"/>
        <v>3</v>
      </c>
      <c r="BR92" s="108">
        <f t="shared" si="7"/>
        <v>0</v>
      </c>
      <c r="BS92" s="62">
        <v>1.92</v>
      </c>
      <c r="BT92" s="52">
        <f t="shared" si="8"/>
        <v>272.64</v>
      </c>
      <c r="BU92" s="63">
        <v>104000</v>
      </c>
      <c r="BV92" s="29">
        <f t="shared" si="9"/>
        <v>28354560</v>
      </c>
    </row>
    <row r="93" spans="1:74" x14ac:dyDescent="0.3">
      <c r="A93" s="353"/>
      <c r="B93" s="66">
        <v>74103</v>
      </c>
      <c r="C93" s="18">
        <v>124</v>
      </c>
      <c r="D93" s="131">
        <f t="shared" si="6"/>
        <v>124</v>
      </c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108">
        <f t="shared" si="7"/>
        <v>0</v>
      </c>
      <c r="BR93" s="108">
        <f t="shared" si="7"/>
        <v>0</v>
      </c>
      <c r="BS93" s="62">
        <v>1.92</v>
      </c>
      <c r="BT93" s="52">
        <f t="shared" si="8"/>
        <v>238.07999999999998</v>
      </c>
      <c r="BU93" s="63">
        <v>104000</v>
      </c>
      <c r="BV93" s="29">
        <f t="shared" si="9"/>
        <v>24760320</v>
      </c>
    </row>
    <row r="94" spans="1:74" x14ac:dyDescent="0.3">
      <c r="A94" s="353"/>
      <c r="B94" s="66" t="s">
        <v>12166</v>
      </c>
      <c r="C94" s="18">
        <v>59</v>
      </c>
      <c r="D94" s="131">
        <f t="shared" si="6"/>
        <v>59</v>
      </c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108">
        <f t="shared" si="7"/>
        <v>0</v>
      </c>
      <c r="BR94" s="108">
        <f t="shared" si="7"/>
        <v>0</v>
      </c>
      <c r="BS94" s="62">
        <v>1.92</v>
      </c>
      <c r="BT94" s="52">
        <f t="shared" si="8"/>
        <v>113.28</v>
      </c>
      <c r="BU94" s="63">
        <v>114000</v>
      </c>
      <c r="BV94" s="29">
        <f t="shared" si="9"/>
        <v>12913920</v>
      </c>
    </row>
    <row r="95" spans="1:74" x14ac:dyDescent="0.3">
      <c r="A95" s="353"/>
      <c r="B95" s="66"/>
      <c r="C95" s="18">
        <v>0</v>
      </c>
      <c r="D95" s="131">
        <f t="shared" si="6"/>
        <v>0</v>
      </c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108">
        <f t="shared" si="7"/>
        <v>0</v>
      </c>
      <c r="BR95" s="108">
        <f t="shared" si="7"/>
        <v>0</v>
      </c>
      <c r="BS95" s="62"/>
      <c r="BT95" s="52">
        <f t="shared" si="8"/>
        <v>0</v>
      </c>
      <c r="BU95" s="63"/>
      <c r="BV95" s="29">
        <f t="shared" si="9"/>
        <v>0</v>
      </c>
    </row>
    <row r="96" spans="1:74" x14ac:dyDescent="0.3">
      <c r="A96" s="353"/>
      <c r="B96" s="66">
        <v>14109</v>
      </c>
      <c r="C96" s="18">
        <v>343.17</v>
      </c>
      <c r="D96" s="131">
        <f t="shared" si="6"/>
        <v>275.17</v>
      </c>
      <c r="E96" s="62"/>
      <c r="F96" s="62"/>
      <c r="G96" s="62"/>
      <c r="H96" s="62">
        <v>20</v>
      </c>
      <c r="I96" s="62"/>
      <c r="J96" s="62"/>
      <c r="K96" s="62"/>
      <c r="L96" s="62"/>
      <c r="M96" s="62"/>
      <c r="N96" s="62"/>
      <c r="O96" s="62"/>
      <c r="P96" s="62">
        <v>48</v>
      </c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108">
        <f t="shared" si="7"/>
        <v>0</v>
      </c>
      <c r="BR96" s="108">
        <f t="shared" si="7"/>
        <v>68</v>
      </c>
      <c r="BS96" s="62">
        <v>1.92</v>
      </c>
      <c r="BT96" s="52">
        <f t="shared" si="8"/>
        <v>528.32640000000004</v>
      </c>
      <c r="BU96" s="63">
        <v>104000</v>
      </c>
      <c r="BV96" s="29">
        <f t="shared" si="9"/>
        <v>54945945.600000001</v>
      </c>
    </row>
    <row r="97" spans="1:74" x14ac:dyDescent="0.3">
      <c r="A97" s="353"/>
      <c r="B97" s="66">
        <v>14110</v>
      </c>
      <c r="C97" s="18">
        <v>195.17000000000002</v>
      </c>
      <c r="D97" s="131">
        <f t="shared" si="6"/>
        <v>133.17000000000002</v>
      </c>
      <c r="E97" s="62"/>
      <c r="F97" s="62"/>
      <c r="G97" s="62"/>
      <c r="H97" s="62">
        <v>10</v>
      </c>
      <c r="I97" s="62"/>
      <c r="J97" s="62">
        <v>22</v>
      </c>
      <c r="K97" s="62"/>
      <c r="L97" s="62"/>
      <c r="M97" s="62"/>
      <c r="N97" s="62"/>
      <c r="O97" s="62"/>
      <c r="P97" s="62">
        <v>30</v>
      </c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108">
        <f t="shared" si="7"/>
        <v>0</v>
      </c>
      <c r="BR97" s="108">
        <f t="shared" si="7"/>
        <v>62</v>
      </c>
      <c r="BS97" s="62">
        <v>1.92</v>
      </c>
      <c r="BT97" s="52">
        <f t="shared" si="8"/>
        <v>255.68640000000002</v>
      </c>
      <c r="BU97" s="63">
        <v>104000</v>
      </c>
      <c r="BV97" s="29">
        <f t="shared" si="9"/>
        <v>26591385.600000001</v>
      </c>
    </row>
    <row r="98" spans="1:74" x14ac:dyDescent="0.3">
      <c r="A98" s="354"/>
      <c r="B98" s="66" t="s">
        <v>12165</v>
      </c>
      <c r="C98" s="18">
        <v>65</v>
      </c>
      <c r="D98" s="131">
        <f t="shared" si="6"/>
        <v>61</v>
      </c>
      <c r="E98" s="62"/>
      <c r="F98" s="62"/>
      <c r="G98" s="62"/>
      <c r="H98" s="62">
        <v>4</v>
      </c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108">
        <f t="shared" si="7"/>
        <v>0</v>
      </c>
      <c r="BR98" s="108">
        <f t="shared" si="7"/>
        <v>4</v>
      </c>
      <c r="BS98" s="62">
        <v>1.92</v>
      </c>
      <c r="BT98" s="52">
        <f t="shared" si="8"/>
        <v>117.11999999999999</v>
      </c>
      <c r="BU98" s="63">
        <v>114000</v>
      </c>
      <c r="BV98" s="29">
        <f t="shared" si="9"/>
        <v>13351679.999999998</v>
      </c>
    </row>
    <row r="99" spans="1:74" x14ac:dyDescent="0.3">
      <c r="A99" s="134"/>
      <c r="B99" s="135"/>
      <c r="C99" s="18">
        <v>0</v>
      </c>
      <c r="D99" s="131">
        <f t="shared" si="6"/>
        <v>0</v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108">
        <f t="shared" si="7"/>
        <v>0</v>
      </c>
      <c r="BR99" s="108">
        <f t="shared" si="7"/>
        <v>0</v>
      </c>
      <c r="BS99" s="62"/>
      <c r="BT99" s="52">
        <f t="shared" si="8"/>
        <v>0</v>
      </c>
      <c r="BU99" s="63"/>
      <c r="BV99" s="29">
        <f t="shared" si="9"/>
        <v>0</v>
      </c>
    </row>
    <row r="100" spans="1:74" x14ac:dyDescent="0.3">
      <c r="A100" s="329" t="s">
        <v>252</v>
      </c>
      <c r="B100" s="37">
        <v>11101</v>
      </c>
      <c r="C100" s="18">
        <v>318</v>
      </c>
      <c r="D100" s="131">
        <f t="shared" si="6"/>
        <v>232</v>
      </c>
      <c r="E100" s="62"/>
      <c r="F100" s="62"/>
      <c r="G100" s="62"/>
      <c r="H100" s="62">
        <v>86</v>
      </c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108">
        <f t="shared" si="7"/>
        <v>0</v>
      </c>
      <c r="BR100" s="108">
        <f t="shared" si="7"/>
        <v>86</v>
      </c>
      <c r="BS100" s="62">
        <v>2</v>
      </c>
      <c r="BT100" s="52">
        <f t="shared" si="8"/>
        <v>464</v>
      </c>
      <c r="BU100" s="18">
        <v>130000</v>
      </c>
      <c r="BV100" s="29">
        <f t="shared" si="9"/>
        <v>60320000</v>
      </c>
    </row>
    <row r="101" spans="1:74" x14ac:dyDescent="0.3">
      <c r="A101" s="330"/>
      <c r="B101" s="37">
        <v>11102</v>
      </c>
      <c r="C101" s="18">
        <v>37</v>
      </c>
      <c r="D101" s="131">
        <f t="shared" si="6"/>
        <v>37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08">
        <f t="shared" si="7"/>
        <v>0</v>
      </c>
      <c r="BR101" s="108">
        <f t="shared" si="7"/>
        <v>0</v>
      </c>
      <c r="BS101" s="11">
        <v>2</v>
      </c>
      <c r="BT101" s="52">
        <f t="shared" si="8"/>
        <v>74</v>
      </c>
      <c r="BU101" s="18">
        <v>130000</v>
      </c>
      <c r="BV101" s="29">
        <f t="shared" si="9"/>
        <v>9620000</v>
      </c>
    </row>
    <row r="102" spans="1:74" x14ac:dyDescent="0.3">
      <c r="A102" s="330"/>
      <c r="B102" s="37">
        <v>11103</v>
      </c>
      <c r="C102" s="18">
        <v>295.5</v>
      </c>
      <c r="D102" s="131">
        <f t="shared" si="6"/>
        <v>295.5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08">
        <f t="shared" si="7"/>
        <v>0</v>
      </c>
      <c r="BR102" s="108">
        <f t="shared" si="7"/>
        <v>0</v>
      </c>
      <c r="BS102" s="11">
        <v>2</v>
      </c>
      <c r="BT102" s="52">
        <f t="shared" si="8"/>
        <v>591</v>
      </c>
      <c r="BU102" s="18">
        <v>130000</v>
      </c>
      <c r="BV102" s="29">
        <f t="shared" si="9"/>
        <v>76830000</v>
      </c>
    </row>
    <row r="103" spans="1:74" x14ac:dyDescent="0.3">
      <c r="A103" s="330"/>
      <c r="B103" s="37">
        <v>11104</v>
      </c>
      <c r="C103" s="18">
        <v>263</v>
      </c>
      <c r="D103" s="131">
        <f t="shared" si="6"/>
        <v>263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08">
        <f t="shared" si="7"/>
        <v>0</v>
      </c>
      <c r="BR103" s="108">
        <f t="shared" si="7"/>
        <v>0</v>
      </c>
      <c r="BS103" s="11">
        <v>2</v>
      </c>
      <c r="BT103" s="52">
        <f t="shared" si="8"/>
        <v>526</v>
      </c>
      <c r="BU103" s="18">
        <v>130000</v>
      </c>
      <c r="BV103" s="29">
        <f t="shared" si="9"/>
        <v>68380000</v>
      </c>
    </row>
    <row r="104" spans="1:74" x14ac:dyDescent="0.3">
      <c r="A104" s="330"/>
      <c r="B104" s="37">
        <v>11106</v>
      </c>
      <c r="C104" s="18">
        <v>100</v>
      </c>
      <c r="D104" s="131">
        <f t="shared" si="6"/>
        <v>100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08">
        <f t="shared" si="7"/>
        <v>0</v>
      </c>
      <c r="BR104" s="108">
        <f t="shared" si="7"/>
        <v>0</v>
      </c>
      <c r="BS104" s="11">
        <v>2</v>
      </c>
      <c r="BT104" s="52">
        <f t="shared" si="8"/>
        <v>200</v>
      </c>
      <c r="BU104" s="18">
        <v>130000</v>
      </c>
      <c r="BV104" s="29">
        <f t="shared" si="9"/>
        <v>26000000</v>
      </c>
    </row>
    <row r="105" spans="1:74" x14ac:dyDescent="0.3">
      <c r="A105" s="330"/>
      <c r="B105" s="169">
        <v>71102</v>
      </c>
      <c r="C105" s="18">
        <v>357</v>
      </c>
      <c r="D105" s="131">
        <f t="shared" si="6"/>
        <v>357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08">
        <f t="shared" si="7"/>
        <v>0</v>
      </c>
      <c r="BR105" s="108">
        <f t="shared" si="7"/>
        <v>0</v>
      </c>
      <c r="BS105" s="11">
        <v>2</v>
      </c>
      <c r="BT105" s="52">
        <f t="shared" si="8"/>
        <v>714</v>
      </c>
      <c r="BU105" s="18">
        <v>130000</v>
      </c>
      <c r="BV105" s="29">
        <f t="shared" si="9"/>
        <v>92820000</v>
      </c>
    </row>
    <row r="106" spans="1:74" x14ac:dyDescent="0.3">
      <c r="A106" s="330"/>
      <c r="B106" s="169">
        <v>71103</v>
      </c>
      <c r="C106" s="18">
        <v>125</v>
      </c>
      <c r="D106" s="131">
        <f t="shared" si="6"/>
        <v>125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08">
        <f t="shared" si="7"/>
        <v>0</v>
      </c>
      <c r="BR106" s="108">
        <f t="shared" si="7"/>
        <v>0</v>
      </c>
      <c r="BS106" s="11">
        <v>2</v>
      </c>
      <c r="BT106" s="52">
        <f t="shared" si="8"/>
        <v>250</v>
      </c>
      <c r="BU106" s="18">
        <v>130000</v>
      </c>
      <c r="BV106" s="29">
        <f t="shared" si="9"/>
        <v>32500000</v>
      </c>
    </row>
    <row r="107" spans="1:74" x14ac:dyDescent="0.3">
      <c r="A107" s="330"/>
      <c r="B107" s="169">
        <v>71105</v>
      </c>
      <c r="C107" s="18">
        <v>79</v>
      </c>
      <c r="D107" s="131">
        <f t="shared" si="6"/>
        <v>77</v>
      </c>
      <c r="E107" s="11"/>
      <c r="F107" s="11">
        <v>2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08">
        <f t="shared" si="7"/>
        <v>0</v>
      </c>
      <c r="BR107" s="108">
        <f t="shared" si="7"/>
        <v>2</v>
      </c>
      <c r="BS107" s="11">
        <v>2</v>
      </c>
      <c r="BT107" s="52">
        <f t="shared" si="8"/>
        <v>154</v>
      </c>
      <c r="BU107" s="18">
        <v>130000</v>
      </c>
      <c r="BV107" s="29">
        <f t="shared" si="9"/>
        <v>20020000</v>
      </c>
    </row>
    <row r="108" spans="1:74" x14ac:dyDescent="0.3">
      <c r="A108" s="331"/>
      <c r="B108" s="169">
        <v>71108</v>
      </c>
      <c r="C108" s="18">
        <v>331</v>
      </c>
      <c r="D108" s="131">
        <f t="shared" si="6"/>
        <v>331</v>
      </c>
      <c r="E108" s="11"/>
      <c r="F108" s="11"/>
      <c r="G108" s="11"/>
      <c r="H108" s="11"/>
      <c r="I108" s="11">
        <v>2</v>
      </c>
      <c r="J108" s="11">
        <v>2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08">
        <f t="shared" si="7"/>
        <v>2</v>
      </c>
      <c r="BR108" s="108">
        <f t="shared" si="7"/>
        <v>2</v>
      </c>
      <c r="BS108" s="11">
        <v>2</v>
      </c>
      <c r="BT108" s="52">
        <f t="shared" si="8"/>
        <v>662</v>
      </c>
      <c r="BU108" s="18">
        <v>130000</v>
      </c>
      <c r="BV108" s="29">
        <f t="shared" si="9"/>
        <v>86060000</v>
      </c>
    </row>
    <row r="109" spans="1:74" x14ac:dyDescent="0.3">
      <c r="A109" s="12"/>
      <c r="B109" s="11"/>
      <c r="C109" s="18">
        <v>0</v>
      </c>
      <c r="D109" s="131">
        <f t="shared" si="6"/>
        <v>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08">
        <f t="shared" si="7"/>
        <v>0</v>
      </c>
      <c r="BR109" s="108">
        <f t="shared" si="7"/>
        <v>0</v>
      </c>
      <c r="BS109" s="11"/>
      <c r="BT109" s="52">
        <f t="shared" si="8"/>
        <v>0</v>
      </c>
      <c r="BU109" s="18"/>
      <c r="BV109" s="29">
        <f t="shared" si="9"/>
        <v>0</v>
      </c>
    </row>
    <row r="110" spans="1:74" x14ac:dyDescent="0.3">
      <c r="A110" s="315" t="s">
        <v>12198</v>
      </c>
      <c r="B110" s="64">
        <v>14602</v>
      </c>
      <c r="C110" s="18">
        <v>159</v>
      </c>
      <c r="D110" s="131">
        <f t="shared" si="6"/>
        <v>160</v>
      </c>
      <c r="E110" s="11"/>
      <c r="F110" s="11"/>
      <c r="G110" s="11">
        <v>1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08">
        <f t="shared" si="7"/>
        <v>1</v>
      </c>
      <c r="BR110" s="108">
        <f t="shared" si="7"/>
        <v>0</v>
      </c>
      <c r="BS110" s="11">
        <v>1.44</v>
      </c>
      <c r="BT110" s="52">
        <f t="shared" si="8"/>
        <v>230.39999999999998</v>
      </c>
      <c r="BU110" s="18">
        <v>84000</v>
      </c>
      <c r="BV110" s="29">
        <f t="shared" si="9"/>
        <v>19353599.999999996</v>
      </c>
    </row>
    <row r="111" spans="1:74" x14ac:dyDescent="0.3">
      <c r="A111" s="315"/>
      <c r="B111" s="64" t="s">
        <v>12144</v>
      </c>
      <c r="C111" s="18">
        <v>50.5</v>
      </c>
      <c r="D111" s="131">
        <f t="shared" si="6"/>
        <v>18.5</v>
      </c>
      <c r="E111" s="11"/>
      <c r="F111" s="11"/>
      <c r="G111" s="11"/>
      <c r="H111" s="11">
        <v>32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08">
        <f t="shared" si="7"/>
        <v>0</v>
      </c>
      <c r="BR111" s="108">
        <f t="shared" si="7"/>
        <v>32</v>
      </c>
      <c r="BS111" s="11">
        <v>1.44</v>
      </c>
      <c r="BT111" s="52">
        <f t="shared" si="8"/>
        <v>26.64</v>
      </c>
      <c r="BU111" s="18">
        <v>84000</v>
      </c>
      <c r="BV111" s="29">
        <f t="shared" si="9"/>
        <v>2237760</v>
      </c>
    </row>
    <row r="112" spans="1:74" x14ac:dyDescent="0.3">
      <c r="BQ112" s="108">
        <f t="shared" ref="BQ112:BR113" si="10">+E112+G112+I112+K112+M112+O112+Q112+S112+U112+W112+Y112+AA112+AC112+AE112+AG112+AI112+AK112+AM112+AO112+AQ112+AS112+AU112+AW112+AY112+BA112+BC112+BE112+BG112+BI112+BK112+BM112+BO112</f>
        <v>0</v>
      </c>
      <c r="BR112" s="108">
        <f t="shared" si="10"/>
        <v>0</v>
      </c>
    </row>
    <row r="113" spans="69:70" x14ac:dyDescent="0.3">
      <c r="BQ113" s="108">
        <f t="shared" si="10"/>
        <v>0</v>
      </c>
      <c r="BR113" s="108">
        <f t="shared" si="10"/>
        <v>0</v>
      </c>
    </row>
  </sheetData>
  <mergeCells count="53">
    <mergeCell ref="A110:A111"/>
    <mergeCell ref="A52:A57"/>
    <mergeCell ref="A59:A62"/>
    <mergeCell ref="A79:A82"/>
    <mergeCell ref="A84:A86"/>
    <mergeCell ref="A88:A98"/>
    <mergeCell ref="A100:A108"/>
    <mergeCell ref="A63:A77"/>
    <mergeCell ref="AU1:AV1"/>
    <mergeCell ref="AW1:AX1"/>
    <mergeCell ref="AY1:AZ1"/>
    <mergeCell ref="BA1:BB1"/>
    <mergeCell ref="BC1:BD1"/>
    <mergeCell ref="BQ1:BR1"/>
    <mergeCell ref="BE1:BF1"/>
    <mergeCell ref="BG1:BH1"/>
    <mergeCell ref="BI1:BJ1"/>
    <mergeCell ref="BK1:BL1"/>
    <mergeCell ref="BM1:BN1"/>
    <mergeCell ref="BO1:BP1"/>
    <mergeCell ref="AQ1:AR1"/>
    <mergeCell ref="AS1:AT1"/>
    <mergeCell ref="AA1:AB1"/>
    <mergeCell ref="AC1:AD1"/>
    <mergeCell ref="AE1:AF1"/>
    <mergeCell ref="AG1:AH1"/>
    <mergeCell ref="AI1:AJ1"/>
    <mergeCell ref="AK1:AL1"/>
    <mergeCell ref="AM1:AN1"/>
    <mergeCell ref="AO1:AP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  <mergeCell ref="C1:C2"/>
    <mergeCell ref="D1:D2"/>
    <mergeCell ref="A1:A2"/>
    <mergeCell ref="B1:B2"/>
    <mergeCell ref="E1:F1"/>
    <mergeCell ref="A3:B3"/>
    <mergeCell ref="A12:A13"/>
    <mergeCell ref="A14:A17"/>
    <mergeCell ref="A40:A48"/>
    <mergeCell ref="A49:A50"/>
    <mergeCell ref="A26:A38"/>
    <mergeCell ref="A7:A11"/>
    <mergeCell ref="A19:A24"/>
  </mergeCells>
  <pageMargins left="0.71" right="0.2" top="0.16" bottom="0.24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82"/>
  <sheetViews>
    <sheetView workbookViewId="0">
      <pane xSplit="5" ySplit="3" topLeftCell="BA17" activePane="bottomRight" state="frozen"/>
      <selection pane="topRight" activeCell="F1" sqref="F1"/>
      <selection pane="bottomLeft" activeCell="A4" sqref="A4"/>
      <selection pane="bottomRight" sqref="A1:XFD1048576"/>
    </sheetView>
  </sheetViews>
  <sheetFormatPr defaultColWidth="23.85546875" defaultRowHeight="18.75" x14ac:dyDescent="0.3"/>
  <cols>
    <col min="1" max="1" width="19.7109375" style="36" customWidth="1"/>
    <col min="2" max="2" width="20" style="5" customWidth="1"/>
    <col min="3" max="3" width="19.42578125" style="19" hidden="1" customWidth="1"/>
    <col min="4" max="4" width="18.42578125" style="5" customWidth="1"/>
    <col min="5" max="67" width="7.28515625" style="5" customWidth="1"/>
    <col min="68" max="68" width="10.42578125" style="5" customWidth="1"/>
    <col min="69" max="70" width="7.28515625" style="5" customWidth="1"/>
    <col min="71" max="71" width="8" style="5" customWidth="1"/>
    <col min="72" max="72" width="23.85546875" style="56"/>
    <col min="73" max="73" width="20.42578125" style="42" customWidth="1"/>
    <col min="74" max="74" width="23.85546875" style="42"/>
    <col min="75" max="16384" width="23.85546875" style="5"/>
  </cols>
  <sheetData>
    <row r="1" spans="1:75" ht="40.5" customHeight="1" x14ac:dyDescent="0.3">
      <c r="A1" s="355" t="s">
        <v>12178</v>
      </c>
      <c r="B1" s="336" t="s">
        <v>12138</v>
      </c>
      <c r="C1" s="337" t="s">
        <v>12195</v>
      </c>
      <c r="D1" s="339" t="s">
        <v>12196</v>
      </c>
      <c r="E1" s="305">
        <v>1</v>
      </c>
      <c r="F1" s="306"/>
      <c r="G1" s="305">
        <f>1+E1</f>
        <v>2</v>
      </c>
      <c r="H1" s="306"/>
      <c r="I1" s="305">
        <f>1+G1</f>
        <v>3</v>
      </c>
      <c r="J1" s="306"/>
      <c r="K1" s="305">
        <f>1+I1</f>
        <v>4</v>
      </c>
      <c r="L1" s="306"/>
      <c r="M1" s="305">
        <f>1+K1</f>
        <v>5</v>
      </c>
      <c r="N1" s="306"/>
      <c r="O1" s="305">
        <f>1+M1</f>
        <v>6</v>
      </c>
      <c r="P1" s="306"/>
      <c r="Q1" s="305">
        <f>1+O1</f>
        <v>7</v>
      </c>
      <c r="R1" s="306"/>
      <c r="S1" s="305">
        <f>1+Q1</f>
        <v>8</v>
      </c>
      <c r="T1" s="306"/>
      <c r="U1" s="305">
        <f>1+S1</f>
        <v>9</v>
      </c>
      <c r="V1" s="306"/>
      <c r="W1" s="305">
        <f>1+U1</f>
        <v>10</v>
      </c>
      <c r="X1" s="306"/>
      <c r="Y1" s="307">
        <f>1+W1</f>
        <v>11</v>
      </c>
      <c r="Z1" s="307"/>
      <c r="AA1" s="307">
        <f>1+Y1</f>
        <v>12</v>
      </c>
      <c r="AB1" s="307"/>
      <c r="AC1" s="307">
        <f>1+AA1</f>
        <v>13</v>
      </c>
      <c r="AD1" s="307"/>
      <c r="AE1" s="307">
        <f>1+AC1</f>
        <v>14</v>
      </c>
      <c r="AF1" s="307"/>
      <c r="AG1" s="307">
        <f>1+AE1</f>
        <v>15</v>
      </c>
      <c r="AH1" s="307"/>
      <c r="AI1" s="307">
        <f>1+AG1</f>
        <v>16</v>
      </c>
      <c r="AJ1" s="307"/>
      <c r="AK1" s="307">
        <f>1+AI1</f>
        <v>17</v>
      </c>
      <c r="AL1" s="307"/>
      <c r="AM1" s="307">
        <f>1+AK1</f>
        <v>18</v>
      </c>
      <c r="AN1" s="307"/>
      <c r="AO1" s="307">
        <f>1+AM1</f>
        <v>19</v>
      </c>
      <c r="AP1" s="307"/>
      <c r="AQ1" s="307">
        <f>1+AO1</f>
        <v>20</v>
      </c>
      <c r="AR1" s="307"/>
      <c r="AS1" s="307">
        <f>1+AQ1</f>
        <v>21</v>
      </c>
      <c r="AT1" s="307"/>
      <c r="AU1" s="307">
        <f>1+AS1</f>
        <v>22</v>
      </c>
      <c r="AV1" s="307"/>
      <c r="AW1" s="307">
        <f>1+AU1</f>
        <v>23</v>
      </c>
      <c r="AX1" s="307"/>
      <c r="AY1" s="307">
        <f>1+AW1</f>
        <v>24</v>
      </c>
      <c r="AZ1" s="307"/>
      <c r="BA1" s="307">
        <f>1+AY1</f>
        <v>25</v>
      </c>
      <c r="BB1" s="307"/>
      <c r="BC1" s="307">
        <f>1+BA1</f>
        <v>26</v>
      </c>
      <c r="BD1" s="307"/>
      <c r="BE1" s="307">
        <f>1+BC1</f>
        <v>27</v>
      </c>
      <c r="BF1" s="307"/>
      <c r="BG1" s="307">
        <f>1+BE1</f>
        <v>28</v>
      </c>
      <c r="BH1" s="307"/>
      <c r="BI1" s="307">
        <f>1+BG1</f>
        <v>29</v>
      </c>
      <c r="BJ1" s="307"/>
      <c r="BK1" s="307">
        <f>1+BI1</f>
        <v>30</v>
      </c>
      <c r="BL1" s="307"/>
      <c r="BM1" s="307">
        <f>1+BK1</f>
        <v>31</v>
      </c>
      <c r="BN1" s="307"/>
      <c r="BO1" s="340" t="s">
        <v>12171</v>
      </c>
      <c r="BP1" s="341"/>
      <c r="BQ1" s="307" t="s">
        <v>12139</v>
      </c>
      <c r="BR1" s="307"/>
      <c r="BS1" s="7" t="s">
        <v>408</v>
      </c>
      <c r="BT1" s="53" t="s">
        <v>405</v>
      </c>
      <c r="BU1" s="38" t="s">
        <v>406</v>
      </c>
      <c r="BV1" s="38" t="s">
        <v>407</v>
      </c>
      <c r="BW1" s="11"/>
    </row>
    <row r="2" spans="1:75" x14ac:dyDescent="0.3">
      <c r="A2" s="355"/>
      <c r="B2" s="306"/>
      <c r="C2" s="338"/>
      <c r="D2" s="338"/>
      <c r="E2" s="87" t="s">
        <v>12140</v>
      </c>
      <c r="F2" s="87" t="s">
        <v>12141</v>
      </c>
      <c r="G2" s="87" t="s">
        <v>12140</v>
      </c>
      <c r="H2" s="87" t="s">
        <v>12141</v>
      </c>
      <c r="I2" s="87" t="s">
        <v>12140</v>
      </c>
      <c r="J2" s="87" t="s">
        <v>12141</v>
      </c>
      <c r="K2" s="87" t="s">
        <v>12140</v>
      </c>
      <c r="L2" s="87" t="s">
        <v>12141</v>
      </c>
      <c r="M2" s="87" t="s">
        <v>12140</v>
      </c>
      <c r="N2" s="87" t="s">
        <v>12141</v>
      </c>
      <c r="O2" s="87" t="s">
        <v>12140</v>
      </c>
      <c r="P2" s="87" t="s">
        <v>12141</v>
      </c>
      <c r="Q2" s="87" t="s">
        <v>12140</v>
      </c>
      <c r="R2" s="87" t="s">
        <v>12141</v>
      </c>
      <c r="S2" s="87" t="s">
        <v>12140</v>
      </c>
      <c r="T2" s="87" t="s">
        <v>12141</v>
      </c>
      <c r="U2" s="87" t="s">
        <v>12140</v>
      </c>
      <c r="V2" s="87" t="s">
        <v>12141</v>
      </c>
      <c r="W2" s="87" t="s">
        <v>12140</v>
      </c>
      <c r="X2" s="87" t="s">
        <v>12141</v>
      </c>
      <c r="Y2" s="87" t="s">
        <v>12140</v>
      </c>
      <c r="Z2" s="87" t="s">
        <v>12141</v>
      </c>
      <c r="AA2" s="87" t="s">
        <v>12140</v>
      </c>
      <c r="AB2" s="87" t="s">
        <v>12141</v>
      </c>
      <c r="AC2" s="87" t="s">
        <v>12140</v>
      </c>
      <c r="AD2" s="87" t="s">
        <v>12141</v>
      </c>
      <c r="AE2" s="87" t="s">
        <v>12140</v>
      </c>
      <c r="AF2" s="87" t="s">
        <v>12141</v>
      </c>
      <c r="AG2" s="87" t="s">
        <v>12140</v>
      </c>
      <c r="AH2" s="87" t="s">
        <v>12141</v>
      </c>
      <c r="AI2" s="87" t="s">
        <v>12140</v>
      </c>
      <c r="AJ2" s="87" t="s">
        <v>12141</v>
      </c>
      <c r="AK2" s="87" t="s">
        <v>12140</v>
      </c>
      <c r="AL2" s="87" t="s">
        <v>12141</v>
      </c>
      <c r="AM2" s="87" t="s">
        <v>12140</v>
      </c>
      <c r="AN2" s="87" t="s">
        <v>12141</v>
      </c>
      <c r="AO2" s="87" t="s">
        <v>12140</v>
      </c>
      <c r="AP2" s="87" t="s">
        <v>12141</v>
      </c>
      <c r="AQ2" s="87" t="s">
        <v>12140</v>
      </c>
      <c r="AR2" s="87" t="s">
        <v>12141</v>
      </c>
      <c r="AS2" s="87" t="s">
        <v>12140</v>
      </c>
      <c r="AT2" s="87" t="s">
        <v>12141</v>
      </c>
      <c r="AU2" s="87" t="s">
        <v>12140</v>
      </c>
      <c r="AV2" s="87" t="s">
        <v>12141</v>
      </c>
      <c r="AW2" s="87" t="s">
        <v>12140</v>
      </c>
      <c r="AX2" s="87" t="s">
        <v>12141</v>
      </c>
      <c r="AY2" s="87" t="s">
        <v>12140</v>
      </c>
      <c r="AZ2" s="87" t="s">
        <v>12141</v>
      </c>
      <c r="BA2" s="87" t="s">
        <v>12140</v>
      </c>
      <c r="BB2" s="87" t="s">
        <v>12141</v>
      </c>
      <c r="BC2" s="87" t="s">
        <v>12140</v>
      </c>
      <c r="BD2" s="87" t="s">
        <v>12141</v>
      </c>
      <c r="BE2" s="87" t="s">
        <v>12140</v>
      </c>
      <c r="BF2" s="87" t="s">
        <v>12141</v>
      </c>
      <c r="BG2" s="87" t="s">
        <v>12140</v>
      </c>
      <c r="BH2" s="87" t="s">
        <v>12141</v>
      </c>
      <c r="BI2" s="87" t="s">
        <v>12140</v>
      </c>
      <c r="BJ2" s="87" t="s">
        <v>12141</v>
      </c>
      <c r="BK2" s="87" t="s">
        <v>12140</v>
      </c>
      <c r="BL2" s="87" t="s">
        <v>12141</v>
      </c>
      <c r="BM2" s="87" t="s">
        <v>12140</v>
      </c>
      <c r="BN2" s="87" t="s">
        <v>12141</v>
      </c>
      <c r="BO2" s="87" t="s">
        <v>12140</v>
      </c>
      <c r="BP2" s="87" t="s">
        <v>12141</v>
      </c>
      <c r="BQ2" s="87" t="s">
        <v>12140</v>
      </c>
      <c r="BR2" s="87" t="s">
        <v>12141</v>
      </c>
      <c r="BS2" s="7"/>
      <c r="BT2" s="53"/>
      <c r="BU2" s="38"/>
      <c r="BV2" s="38"/>
      <c r="BW2" s="11"/>
    </row>
    <row r="3" spans="1:75" x14ac:dyDescent="0.3">
      <c r="A3" s="332" t="s">
        <v>242</v>
      </c>
      <c r="B3" s="333"/>
      <c r="C3" s="14">
        <f>SUM(C5:C81)</f>
        <v>2140.87</v>
      </c>
      <c r="D3" s="14">
        <f>SUM(D5:D81)</f>
        <v>1943.87</v>
      </c>
      <c r="E3" s="108">
        <f>SUM(E5:E262)</f>
        <v>0</v>
      </c>
      <c r="F3" s="108">
        <f t="shared" ref="F3:BP3" si="0">SUM(F5:F262)</f>
        <v>0</v>
      </c>
      <c r="G3" s="108">
        <f t="shared" si="0"/>
        <v>0</v>
      </c>
      <c r="H3" s="108">
        <f t="shared" si="0"/>
        <v>0</v>
      </c>
      <c r="I3" s="108">
        <f t="shared" si="0"/>
        <v>0</v>
      </c>
      <c r="J3" s="108">
        <f t="shared" si="0"/>
        <v>0</v>
      </c>
      <c r="K3" s="108">
        <f t="shared" si="0"/>
        <v>0</v>
      </c>
      <c r="L3" s="108">
        <f t="shared" si="0"/>
        <v>0</v>
      </c>
      <c r="M3" s="108">
        <f t="shared" si="0"/>
        <v>0</v>
      </c>
      <c r="N3" s="108">
        <f t="shared" si="0"/>
        <v>0</v>
      </c>
      <c r="O3" s="108">
        <f t="shared" si="0"/>
        <v>0</v>
      </c>
      <c r="P3" s="108">
        <f t="shared" si="0"/>
        <v>0</v>
      </c>
      <c r="Q3" s="108">
        <f t="shared" si="0"/>
        <v>0</v>
      </c>
      <c r="R3" s="108">
        <f t="shared" si="0"/>
        <v>0</v>
      </c>
      <c r="S3" s="108">
        <f t="shared" si="0"/>
        <v>0</v>
      </c>
      <c r="T3" s="108">
        <f t="shared" si="0"/>
        <v>0</v>
      </c>
      <c r="U3" s="108">
        <f t="shared" si="0"/>
        <v>0</v>
      </c>
      <c r="V3" s="108">
        <f t="shared" si="0"/>
        <v>0</v>
      </c>
      <c r="W3" s="108">
        <f t="shared" si="0"/>
        <v>0</v>
      </c>
      <c r="X3" s="108">
        <f t="shared" si="0"/>
        <v>0</v>
      </c>
      <c r="Y3" s="108">
        <f t="shared" si="0"/>
        <v>0</v>
      </c>
      <c r="Z3" s="108">
        <f t="shared" si="0"/>
        <v>0</v>
      </c>
      <c r="AA3" s="108">
        <f t="shared" si="0"/>
        <v>0</v>
      </c>
      <c r="AB3" s="108">
        <f t="shared" si="0"/>
        <v>0</v>
      </c>
      <c r="AC3" s="108">
        <f t="shared" si="0"/>
        <v>0</v>
      </c>
      <c r="AD3" s="108">
        <f t="shared" si="0"/>
        <v>5</v>
      </c>
      <c r="AE3" s="108">
        <f t="shared" si="0"/>
        <v>0</v>
      </c>
      <c r="AF3" s="108">
        <f t="shared" si="0"/>
        <v>0</v>
      </c>
      <c r="AG3" s="108">
        <f t="shared" si="0"/>
        <v>0</v>
      </c>
      <c r="AH3" s="108">
        <f t="shared" si="0"/>
        <v>0</v>
      </c>
      <c r="AI3" s="108">
        <f t="shared" si="0"/>
        <v>0</v>
      </c>
      <c r="AJ3" s="108">
        <f t="shared" si="0"/>
        <v>0</v>
      </c>
      <c r="AK3" s="108">
        <f t="shared" si="0"/>
        <v>0</v>
      </c>
      <c r="AL3" s="108">
        <f t="shared" si="0"/>
        <v>0</v>
      </c>
      <c r="AM3" s="108">
        <f t="shared" si="0"/>
        <v>0</v>
      </c>
      <c r="AN3" s="108">
        <f t="shared" si="0"/>
        <v>0</v>
      </c>
      <c r="AO3" s="108">
        <f t="shared" si="0"/>
        <v>0</v>
      </c>
      <c r="AP3" s="108">
        <f t="shared" si="0"/>
        <v>91</v>
      </c>
      <c r="AQ3" s="108">
        <f t="shared" si="0"/>
        <v>0</v>
      </c>
      <c r="AR3" s="108">
        <f t="shared" si="0"/>
        <v>0</v>
      </c>
      <c r="AS3" s="108">
        <f t="shared" si="0"/>
        <v>0</v>
      </c>
      <c r="AT3" s="108">
        <f t="shared" si="0"/>
        <v>0</v>
      </c>
      <c r="AU3" s="108">
        <f t="shared" si="0"/>
        <v>0</v>
      </c>
      <c r="AV3" s="108">
        <f t="shared" si="0"/>
        <v>0</v>
      </c>
      <c r="AW3" s="108">
        <f t="shared" si="0"/>
        <v>0</v>
      </c>
      <c r="AX3" s="108">
        <f t="shared" si="0"/>
        <v>0</v>
      </c>
      <c r="AY3" s="108">
        <f t="shared" si="0"/>
        <v>0</v>
      </c>
      <c r="AZ3" s="108">
        <f t="shared" si="0"/>
        <v>0</v>
      </c>
      <c r="BA3" s="108">
        <f t="shared" si="0"/>
        <v>0</v>
      </c>
      <c r="BB3" s="108">
        <f t="shared" si="0"/>
        <v>0</v>
      </c>
      <c r="BC3" s="108">
        <f t="shared" si="0"/>
        <v>0</v>
      </c>
      <c r="BD3" s="108">
        <f t="shared" si="0"/>
        <v>0</v>
      </c>
      <c r="BE3" s="108">
        <f t="shared" si="0"/>
        <v>0</v>
      </c>
      <c r="BF3" s="108">
        <f t="shared" si="0"/>
        <v>92.25</v>
      </c>
      <c r="BG3" s="108">
        <f t="shared" si="0"/>
        <v>0</v>
      </c>
      <c r="BH3" s="108">
        <f t="shared" si="0"/>
        <v>0</v>
      </c>
      <c r="BI3" s="108">
        <f t="shared" si="0"/>
        <v>0</v>
      </c>
      <c r="BJ3" s="108">
        <f t="shared" si="0"/>
        <v>0</v>
      </c>
      <c r="BK3" s="108">
        <f t="shared" si="0"/>
        <v>0</v>
      </c>
      <c r="BL3" s="108">
        <f t="shared" si="0"/>
        <v>0</v>
      </c>
      <c r="BM3" s="108">
        <f t="shared" si="0"/>
        <v>0</v>
      </c>
      <c r="BN3" s="108">
        <f t="shared" si="0"/>
        <v>0</v>
      </c>
      <c r="BO3" s="108">
        <f t="shared" si="0"/>
        <v>0</v>
      </c>
      <c r="BP3" s="108">
        <f t="shared" si="0"/>
        <v>8.75</v>
      </c>
      <c r="BQ3" s="108">
        <f>+E3+G3+I3+K3+M3+O3+Q3+S3+U3+W3+Y3+AA3+AC3+AE3+AG3+AI3+AK3+AM3+AO3+AQ3+AS3+AU3+AW3+AY3+BA3+BC3+BE3+BG3+BI3+BK3+BM3+BO3</f>
        <v>0</v>
      </c>
      <c r="BR3" s="108">
        <f>+F3+H3+J3+L3+N3+P3+R3+T3+V3+X3+Z3+AB3+AD3+AF3+AH3+AJ3+AL3+AN3+AP3+AR3+AT3+AV3+AX3+AZ3+BB3+BD3+BF3+BH3+BJ3+BL3+BN3+BP3</f>
        <v>197</v>
      </c>
      <c r="BS3" s="14"/>
      <c r="BT3" s="54">
        <v>4220.16</v>
      </c>
      <c r="BU3" s="43"/>
      <c r="BV3" s="39">
        <v>396275160</v>
      </c>
      <c r="BW3" s="11"/>
    </row>
    <row r="4" spans="1:75" x14ac:dyDescent="0.3">
      <c r="A4" s="10"/>
      <c r="B4" s="4"/>
      <c r="C4" s="15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108">
        <f t="shared" ref="BQ4:BQ67" si="1">+E4+G4+I4+K4+M4+O4+Q4+S4+U4+W4+Y4+AA4+AC4+AE4+AG4+AI4+AK4+AM4+AO4+AQ4+AS4+AU4+AW4+AY4+BA4+BC4+BE4+BG4+BI4+BK4+BM4+BO4</f>
        <v>0</v>
      </c>
      <c r="BR4" s="108">
        <f t="shared" ref="BR4:BR67" si="2">+F4+H4+J4+L4+N4+P4+R4+T4+V4+X4+Z4+AB4+AD4+AF4+AH4+AJ4+AL4+AN4+AP4+AR4+AT4+AV4+AX4+AZ4+BB4+BD4+BF4+BH4+BJ4+BL4+BN4+BP4</f>
        <v>0</v>
      </c>
      <c r="BS4" s="3"/>
      <c r="BT4" s="55"/>
      <c r="BU4" s="40"/>
      <c r="BV4" s="40"/>
      <c r="BW4" s="11"/>
    </row>
    <row r="5" spans="1:75" x14ac:dyDescent="0.3">
      <c r="A5" s="313" t="s">
        <v>238</v>
      </c>
      <c r="B5" s="37">
        <v>3002</v>
      </c>
      <c r="C5" s="18">
        <v>23</v>
      </c>
      <c r="D5" s="11">
        <f>+C5+BQ5-BR5</f>
        <v>23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08">
        <f t="shared" si="1"/>
        <v>0</v>
      </c>
      <c r="BR5" s="108">
        <f t="shared" si="2"/>
        <v>0</v>
      </c>
      <c r="BS5" s="11">
        <v>1.44</v>
      </c>
      <c r="BT5" s="55">
        <f>+D5*BS5</f>
        <v>33.119999999999997</v>
      </c>
      <c r="BU5" s="44">
        <v>95000</v>
      </c>
      <c r="BV5" s="41">
        <f>+BT5*BU5</f>
        <v>3146399.9999999995</v>
      </c>
      <c r="BW5" s="33"/>
    </row>
    <row r="6" spans="1:75" x14ac:dyDescent="0.3">
      <c r="A6" s="313"/>
      <c r="B6" s="37">
        <v>3003</v>
      </c>
      <c r="C6" s="18">
        <v>22</v>
      </c>
      <c r="D6" s="11">
        <f t="shared" ref="D6:D69" si="3">+C6+BQ6-BR6</f>
        <v>22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08">
        <f t="shared" si="1"/>
        <v>0</v>
      </c>
      <c r="BR6" s="108">
        <f t="shared" si="2"/>
        <v>0</v>
      </c>
      <c r="BS6" s="11">
        <v>1.44</v>
      </c>
      <c r="BT6" s="55">
        <f t="shared" ref="BT6:BT69" si="4">+D6*BS6</f>
        <v>31.68</v>
      </c>
      <c r="BU6" s="44">
        <v>95000</v>
      </c>
      <c r="BV6" s="41">
        <f t="shared" ref="BV6:BV69" si="5">+BT6*BU6</f>
        <v>3009600</v>
      </c>
      <c r="BW6" s="33"/>
    </row>
    <row r="7" spans="1:75" x14ac:dyDescent="0.3">
      <c r="A7" s="313"/>
      <c r="B7" s="37">
        <v>3004</v>
      </c>
      <c r="C7" s="18">
        <v>11</v>
      </c>
      <c r="D7" s="11">
        <f t="shared" si="3"/>
        <v>11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08">
        <f t="shared" si="1"/>
        <v>0</v>
      </c>
      <c r="BR7" s="108">
        <f t="shared" si="2"/>
        <v>0</v>
      </c>
      <c r="BS7" s="11">
        <v>1.44</v>
      </c>
      <c r="BT7" s="55">
        <f t="shared" si="4"/>
        <v>15.84</v>
      </c>
      <c r="BU7" s="44">
        <v>95000</v>
      </c>
      <c r="BV7" s="41">
        <f t="shared" si="5"/>
        <v>1504800</v>
      </c>
      <c r="BW7" s="33"/>
    </row>
    <row r="8" spans="1:75" x14ac:dyDescent="0.3">
      <c r="A8" s="313"/>
      <c r="B8" s="37">
        <v>3005</v>
      </c>
      <c r="C8" s="18">
        <v>9</v>
      </c>
      <c r="D8" s="11">
        <f t="shared" si="3"/>
        <v>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08">
        <f t="shared" si="1"/>
        <v>0</v>
      </c>
      <c r="BR8" s="108">
        <f t="shared" si="2"/>
        <v>0</v>
      </c>
      <c r="BS8" s="11">
        <v>1.44</v>
      </c>
      <c r="BT8" s="55">
        <f t="shared" si="4"/>
        <v>12.959999999999999</v>
      </c>
      <c r="BU8" s="44">
        <v>95000</v>
      </c>
      <c r="BV8" s="41">
        <f t="shared" si="5"/>
        <v>1231200</v>
      </c>
      <c r="BW8" s="33"/>
    </row>
    <row r="9" spans="1:75" ht="0.75" customHeight="1" x14ac:dyDescent="0.3">
      <c r="A9" s="10"/>
      <c r="B9" s="11"/>
      <c r="C9" s="18">
        <v>0</v>
      </c>
      <c r="D9" s="11">
        <f t="shared" si="3"/>
        <v>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08">
        <f t="shared" si="1"/>
        <v>0</v>
      </c>
      <c r="BR9" s="108">
        <f t="shared" si="2"/>
        <v>0</v>
      </c>
      <c r="BS9" s="11"/>
      <c r="BT9" s="55">
        <f t="shared" si="4"/>
        <v>0</v>
      </c>
      <c r="BU9" s="44"/>
      <c r="BV9" s="41">
        <f t="shared" si="5"/>
        <v>0</v>
      </c>
      <c r="BW9" s="33"/>
    </row>
    <row r="10" spans="1:75" hidden="1" x14ac:dyDescent="0.3">
      <c r="A10" s="313" t="s">
        <v>241</v>
      </c>
      <c r="B10" s="34" t="s">
        <v>261</v>
      </c>
      <c r="C10" s="18">
        <v>0</v>
      </c>
      <c r="D10" s="11">
        <f t="shared" si="3"/>
        <v>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08">
        <f t="shared" si="1"/>
        <v>0</v>
      </c>
      <c r="BR10" s="108">
        <f t="shared" si="2"/>
        <v>0</v>
      </c>
      <c r="BS10" s="11">
        <v>1.5</v>
      </c>
      <c r="BT10" s="55">
        <f t="shared" si="4"/>
        <v>0</v>
      </c>
      <c r="BU10" s="44">
        <v>67000</v>
      </c>
      <c r="BV10" s="41">
        <f t="shared" si="5"/>
        <v>0</v>
      </c>
      <c r="BW10" s="33"/>
    </row>
    <row r="11" spans="1:75" x14ac:dyDescent="0.3">
      <c r="A11" s="313"/>
      <c r="B11" s="34"/>
      <c r="C11" s="18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08">
        <f t="shared" si="1"/>
        <v>0</v>
      </c>
      <c r="BR11" s="108">
        <f t="shared" si="2"/>
        <v>0</v>
      </c>
      <c r="BS11" s="11"/>
      <c r="BT11" s="55">
        <f t="shared" si="4"/>
        <v>0</v>
      </c>
      <c r="BU11" s="44"/>
      <c r="BV11" s="41">
        <f t="shared" si="5"/>
        <v>0</v>
      </c>
      <c r="BW11" s="33"/>
    </row>
    <row r="12" spans="1:75" x14ac:dyDescent="0.3">
      <c r="A12" s="313"/>
      <c r="B12" s="34" t="s">
        <v>742</v>
      </c>
      <c r="C12" s="18">
        <v>34</v>
      </c>
      <c r="D12" s="11">
        <f t="shared" si="3"/>
        <v>34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08">
        <f t="shared" si="1"/>
        <v>0</v>
      </c>
      <c r="BR12" s="108">
        <f t="shared" si="2"/>
        <v>0</v>
      </c>
      <c r="BS12" s="11">
        <v>1.5</v>
      </c>
      <c r="BT12" s="55">
        <f t="shared" si="4"/>
        <v>51</v>
      </c>
      <c r="BU12" s="44">
        <v>73000</v>
      </c>
      <c r="BV12" s="41">
        <f t="shared" si="5"/>
        <v>3723000</v>
      </c>
      <c r="BW12" s="33"/>
    </row>
    <row r="13" spans="1:75" x14ac:dyDescent="0.3">
      <c r="A13" s="313"/>
      <c r="B13" s="34" t="s">
        <v>743</v>
      </c>
      <c r="C13" s="18">
        <v>10</v>
      </c>
      <c r="D13" s="11">
        <f t="shared" si="3"/>
        <v>5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>
        <v>5</v>
      </c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08">
        <f t="shared" si="1"/>
        <v>0</v>
      </c>
      <c r="BR13" s="108">
        <f t="shared" si="2"/>
        <v>5</v>
      </c>
      <c r="BS13" s="11">
        <v>1.5</v>
      </c>
      <c r="BT13" s="55">
        <f t="shared" si="4"/>
        <v>7.5</v>
      </c>
      <c r="BU13" s="44">
        <v>73000</v>
      </c>
      <c r="BV13" s="41">
        <f t="shared" si="5"/>
        <v>547500</v>
      </c>
      <c r="BW13" s="33"/>
    </row>
    <row r="14" spans="1:75" ht="0.75" customHeight="1" x14ac:dyDescent="0.3">
      <c r="A14" s="313"/>
      <c r="B14" s="34" t="s">
        <v>744</v>
      </c>
      <c r="C14" s="18">
        <v>0</v>
      </c>
      <c r="D14" s="11">
        <f t="shared" si="3"/>
        <v>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08">
        <f t="shared" si="1"/>
        <v>0</v>
      </c>
      <c r="BR14" s="108">
        <f t="shared" si="2"/>
        <v>0</v>
      </c>
      <c r="BS14" s="11">
        <v>1.5</v>
      </c>
      <c r="BT14" s="55">
        <f t="shared" si="4"/>
        <v>0</v>
      </c>
      <c r="BU14" s="44">
        <v>73000</v>
      </c>
      <c r="BV14" s="41">
        <f t="shared" si="5"/>
        <v>0</v>
      </c>
      <c r="BW14" s="33"/>
    </row>
    <row r="15" spans="1:75" hidden="1" x14ac:dyDescent="0.3">
      <c r="A15" s="313"/>
      <c r="B15" s="34" t="s">
        <v>745</v>
      </c>
      <c r="C15" s="18">
        <v>1</v>
      </c>
      <c r="D15" s="11">
        <f t="shared" si="3"/>
        <v>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08">
        <f t="shared" si="1"/>
        <v>0</v>
      </c>
      <c r="BR15" s="108">
        <f t="shared" si="2"/>
        <v>0</v>
      </c>
      <c r="BS15" s="11">
        <v>1.5</v>
      </c>
      <c r="BT15" s="55">
        <f t="shared" si="4"/>
        <v>1.5</v>
      </c>
      <c r="BU15" s="44">
        <v>73000</v>
      </c>
      <c r="BV15" s="41">
        <f t="shared" si="5"/>
        <v>109500</v>
      </c>
      <c r="BW15" s="33"/>
    </row>
    <row r="16" spans="1:75" x14ac:dyDescent="0.3">
      <c r="A16" s="313"/>
      <c r="B16" s="34" t="s">
        <v>746</v>
      </c>
      <c r="C16" s="18">
        <v>27</v>
      </c>
      <c r="D16" s="11">
        <f t="shared" si="3"/>
        <v>27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08">
        <f t="shared" si="1"/>
        <v>0</v>
      </c>
      <c r="BR16" s="108">
        <f t="shared" si="2"/>
        <v>0</v>
      </c>
      <c r="BS16" s="11">
        <v>1.5</v>
      </c>
      <c r="BT16" s="55">
        <f t="shared" si="4"/>
        <v>40.5</v>
      </c>
      <c r="BU16" s="44">
        <v>73000</v>
      </c>
      <c r="BV16" s="41">
        <f t="shared" si="5"/>
        <v>2956500</v>
      </c>
      <c r="BW16" s="33"/>
    </row>
    <row r="17" spans="1:75" x14ac:dyDescent="0.3">
      <c r="A17" s="313"/>
      <c r="B17" s="34" t="s">
        <v>747</v>
      </c>
      <c r="C17" s="18">
        <v>131</v>
      </c>
      <c r="D17" s="11">
        <f t="shared" si="3"/>
        <v>131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08">
        <f t="shared" si="1"/>
        <v>0</v>
      </c>
      <c r="BR17" s="108">
        <f t="shared" si="2"/>
        <v>0</v>
      </c>
      <c r="BS17" s="11">
        <v>1.5</v>
      </c>
      <c r="BT17" s="55">
        <f t="shared" si="4"/>
        <v>196.5</v>
      </c>
      <c r="BU17" s="44">
        <v>73000</v>
      </c>
      <c r="BV17" s="41">
        <f t="shared" si="5"/>
        <v>14344500</v>
      </c>
      <c r="BW17" s="33"/>
    </row>
    <row r="18" spans="1:75" x14ac:dyDescent="0.3">
      <c r="A18" s="10"/>
      <c r="B18" s="34"/>
      <c r="C18" s="18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08">
        <f t="shared" si="1"/>
        <v>0</v>
      </c>
      <c r="BR18" s="108">
        <f t="shared" si="2"/>
        <v>0</v>
      </c>
      <c r="BS18" s="11"/>
      <c r="BT18" s="55">
        <f t="shared" si="4"/>
        <v>0</v>
      </c>
      <c r="BU18" s="44"/>
      <c r="BV18" s="41">
        <f t="shared" si="5"/>
        <v>0</v>
      </c>
      <c r="BW18" s="33"/>
    </row>
    <row r="19" spans="1:75" hidden="1" x14ac:dyDescent="0.3">
      <c r="A19" s="313" t="s">
        <v>262</v>
      </c>
      <c r="B19" s="21" t="s">
        <v>748</v>
      </c>
      <c r="C19" s="18">
        <v>0</v>
      </c>
      <c r="D19" s="11">
        <f t="shared" si="3"/>
        <v>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08">
        <f t="shared" si="1"/>
        <v>0</v>
      </c>
      <c r="BR19" s="108">
        <f t="shared" si="2"/>
        <v>0</v>
      </c>
      <c r="BS19" s="11">
        <v>1.44</v>
      </c>
      <c r="BT19" s="55">
        <f t="shared" si="4"/>
        <v>0</v>
      </c>
      <c r="BU19" s="44">
        <v>95000</v>
      </c>
      <c r="BV19" s="41">
        <f t="shared" si="5"/>
        <v>0</v>
      </c>
      <c r="BW19" s="33"/>
    </row>
    <row r="20" spans="1:75" x14ac:dyDescent="0.3">
      <c r="A20" s="313"/>
      <c r="B20" s="21" t="s">
        <v>749</v>
      </c>
      <c r="C20" s="18">
        <v>4</v>
      </c>
      <c r="D20" s="11">
        <f t="shared" si="3"/>
        <v>4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08">
        <f t="shared" si="1"/>
        <v>0</v>
      </c>
      <c r="BR20" s="108">
        <f t="shared" si="2"/>
        <v>0</v>
      </c>
      <c r="BS20" s="11">
        <v>1.92</v>
      </c>
      <c r="BT20" s="55">
        <f t="shared" si="4"/>
        <v>7.68</v>
      </c>
      <c r="BU20" s="44">
        <v>95000</v>
      </c>
      <c r="BV20" s="41">
        <f t="shared" si="5"/>
        <v>729600</v>
      </c>
      <c r="BW20" s="33"/>
    </row>
    <row r="21" spans="1:75" x14ac:dyDescent="0.3">
      <c r="A21" s="313"/>
      <c r="B21" s="37" t="s">
        <v>789</v>
      </c>
      <c r="C21" s="18">
        <v>39</v>
      </c>
      <c r="D21" s="11">
        <f t="shared" si="3"/>
        <v>39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08">
        <f t="shared" si="1"/>
        <v>0</v>
      </c>
      <c r="BR21" s="108">
        <f t="shared" si="2"/>
        <v>0</v>
      </c>
      <c r="BS21" s="11">
        <v>1.92</v>
      </c>
      <c r="BT21" s="55">
        <f t="shared" si="4"/>
        <v>74.88</v>
      </c>
      <c r="BU21" s="44">
        <v>95000</v>
      </c>
      <c r="BV21" s="41">
        <f t="shared" si="5"/>
        <v>7113600</v>
      </c>
      <c r="BW21" s="33"/>
    </row>
    <row r="22" spans="1:75" ht="0.75" customHeight="1" x14ac:dyDescent="0.3">
      <c r="A22" s="313"/>
      <c r="B22" s="37" t="s">
        <v>790</v>
      </c>
      <c r="C22" s="18">
        <v>0</v>
      </c>
      <c r="D22" s="11">
        <f t="shared" si="3"/>
        <v>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08">
        <f t="shared" si="1"/>
        <v>0</v>
      </c>
      <c r="BR22" s="108">
        <f t="shared" si="2"/>
        <v>0</v>
      </c>
      <c r="BS22" s="11">
        <v>1.92</v>
      </c>
      <c r="BT22" s="55">
        <f t="shared" si="4"/>
        <v>0</v>
      </c>
      <c r="BU22" s="44">
        <v>95000</v>
      </c>
      <c r="BV22" s="41">
        <f t="shared" si="5"/>
        <v>0</v>
      </c>
      <c r="BW22" s="33"/>
    </row>
    <row r="23" spans="1:75" x14ac:dyDescent="0.3">
      <c r="A23" s="313"/>
      <c r="B23" s="21" t="s">
        <v>750</v>
      </c>
      <c r="C23" s="18">
        <v>17</v>
      </c>
      <c r="D23" s="11">
        <f t="shared" si="3"/>
        <v>17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08">
        <f t="shared" si="1"/>
        <v>0</v>
      </c>
      <c r="BR23" s="108">
        <f t="shared" si="2"/>
        <v>0</v>
      </c>
      <c r="BS23" s="11">
        <v>1.44</v>
      </c>
      <c r="BT23" s="55">
        <f t="shared" si="4"/>
        <v>24.48</v>
      </c>
      <c r="BU23" s="44">
        <v>95000</v>
      </c>
      <c r="BV23" s="41">
        <f t="shared" si="5"/>
        <v>2325600</v>
      </c>
      <c r="BW23" s="33"/>
    </row>
    <row r="24" spans="1:75" x14ac:dyDescent="0.3">
      <c r="A24" s="313"/>
      <c r="B24" s="21" t="s">
        <v>751</v>
      </c>
      <c r="C24" s="18">
        <v>6</v>
      </c>
      <c r="D24" s="11">
        <f t="shared" si="3"/>
        <v>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08">
        <f t="shared" si="1"/>
        <v>0</v>
      </c>
      <c r="BR24" s="108">
        <f t="shared" si="2"/>
        <v>0</v>
      </c>
      <c r="BS24" s="11">
        <v>1.92</v>
      </c>
      <c r="BT24" s="55">
        <f t="shared" si="4"/>
        <v>11.52</v>
      </c>
      <c r="BU24" s="44">
        <v>95000</v>
      </c>
      <c r="BV24" s="41">
        <f t="shared" si="5"/>
        <v>1094400</v>
      </c>
      <c r="BW24" s="33"/>
    </row>
    <row r="25" spans="1:75" x14ac:dyDescent="0.3">
      <c r="A25" s="10"/>
      <c r="B25" s="11"/>
      <c r="C25" s="18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08">
        <f t="shared" si="1"/>
        <v>0</v>
      </c>
      <c r="BR25" s="108">
        <f t="shared" si="2"/>
        <v>0</v>
      </c>
      <c r="BS25" s="11"/>
      <c r="BT25" s="55">
        <f t="shared" si="4"/>
        <v>0</v>
      </c>
      <c r="BU25" s="44"/>
      <c r="BV25" s="41">
        <f t="shared" si="5"/>
        <v>0</v>
      </c>
      <c r="BW25" s="33"/>
    </row>
    <row r="26" spans="1:75" ht="17.25" customHeight="1" x14ac:dyDescent="0.3">
      <c r="A26" s="313" t="s">
        <v>244</v>
      </c>
      <c r="B26" s="37">
        <v>632.00099999999998</v>
      </c>
      <c r="C26" s="18">
        <v>3</v>
      </c>
      <c r="D26" s="11">
        <f t="shared" si="3"/>
        <v>3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08">
        <f t="shared" si="1"/>
        <v>0</v>
      </c>
      <c r="BR26" s="108">
        <f t="shared" si="2"/>
        <v>0</v>
      </c>
      <c r="BS26" s="11">
        <v>1.44</v>
      </c>
      <c r="BT26" s="55">
        <f t="shared" si="4"/>
        <v>4.32</v>
      </c>
      <c r="BU26" s="44">
        <v>93000</v>
      </c>
      <c r="BV26" s="41">
        <f t="shared" si="5"/>
        <v>401760</v>
      </c>
      <c r="BW26" s="33"/>
    </row>
    <row r="27" spans="1:75" ht="18" customHeight="1" x14ac:dyDescent="0.3">
      <c r="A27" s="313"/>
      <c r="B27" s="37">
        <v>632.00300000000004</v>
      </c>
      <c r="C27" s="18">
        <v>5</v>
      </c>
      <c r="D27" s="11">
        <f t="shared" si="3"/>
        <v>5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08">
        <f t="shared" si="1"/>
        <v>0</v>
      </c>
      <c r="BR27" s="108">
        <f t="shared" si="2"/>
        <v>0</v>
      </c>
      <c r="BS27" s="11">
        <v>1.44</v>
      </c>
      <c r="BT27" s="55">
        <f t="shared" si="4"/>
        <v>7.1999999999999993</v>
      </c>
      <c r="BU27" s="44">
        <v>93000</v>
      </c>
      <c r="BV27" s="41">
        <f t="shared" si="5"/>
        <v>669599.99999999988</v>
      </c>
      <c r="BW27" s="33"/>
    </row>
    <row r="28" spans="1:75" x14ac:dyDescent="0.3">
      <c r="A28" s="313"/>
      <c r="B28" s="34">
        <v>632.005</v>
      </c>
      <c r="C28" s="18">
        <v>118</v>
      </c>
      <c r="D28" s="11">
        <f t="shared" si="3"/>
        <v>118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08">
        <f t="shared" si="1"/>
        <v>0</v>
      </c>
      <c r="BR28" s="108">
        <f t="shared" si="2"/>
        <v>0</v>
      </c>
      <c r="BS28" s="11">
        <v>1.44</v>
      </c>
      <c r="BT28" s="55">
        <f t="shared" si="4"/>
        <v>169.92</v>
      </c>
      <c r="BU28" s="44">
        <v>93000</v>
      </c>
      <c r="BV28" s="41">
        <f t="shared" si="5"/>
        <v>15802559.999999998</v>
      </c>
      <c r="BW28" s="33"/>
    </row>
    <row r="29" spans="1:75" hidden="1" x14ac:dyDescent="0.3">
      <c r="A29" s="313"/>
      <c r="B29" s="34" t="s">
        <v>752</v>
      </c>
      <c r="C29" s="18">
        <v>101</v>
      </c>
      <c r="D29" s="11">
        <f t="shared" si="3"/>
        <v>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>
        <v>92.25</v>
      </c>
      <c r="BG29" s="11"/>
      <c r="BH29" s="11"/>
      <c r="BI29" s="11"/>
      <c r="BJ29" s="11"/>
      <c r="BK29" s="11"/>
      <c r="BL29" s="11"/>
      <c r="BM29" s="11"/>
      <c r="BN29" s="11"/>
      <c r="BO29" s="11"/>
      <c r="BP29" s="11">
        <v>8.75</v>
      </c>
      <c r="BQ29" s="108">
        <f t="shared" si="1"/>
        <v>0</v>
      </c>
      <c r="BR29" s="108">
        <f t="shared" si="2"/>
        <v>101</v>
      </c>
      <c r="BS29" s="11">
        <v>1.44</v>
      </c>
      <c r="BT29" s="55">
        <f t="shared" si="4"/>
        <v>0</v>
      </c>
      <c r="BU29" s="44">
        <v>93000</v>
      </c>
      <c r="BV29" s="41">
        <f t="shared" si="5"/>
        <v>0</v>
      </c>
      <c r="BW29" s="33"/>
    </row>
    <row r="30" spans="1:75" hidden="1" x14ac:dyDescent="0.3">
      <c r="A30" s="313"/>
      <c r="B30" s="34" t="s">
        <v>753</v>
      </c>
      <c r="C30" s="18">
        <v>0</v>
      </c>
      <c r="D30" s="11">
        <f t="shared" si="3"/>
        <v>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08">
        <f t="shared" si="1"/>
        <v>0</v>
      </c>
      <c r="BR30" s="108">
        <f t="shared" si="2"/>
        <v>0</v>
      </c>
      <c r="BS30" s="11">
        <v>1.44</v>
      </c>
      <c r="BT30" s="55">
        <f t="shared" si="4"/>
        <v>0</v>
      </c>
      <c r="BU30" s="44">
        <v>93000</v>
      </c>
      <c r="BV30" s="41">
        <f t="shared" si="5"/>
        <v>0</v>
      </c>
      <c r="BW30" s="33"/>
    </row>
    <row r="31" spans="1:75" x14ac:dyDescent="0.3">
      <c r="A31" s="313"/>
      <c r="B31" s="34" t="s">
        <v>754</v>
      </c>
      <c r="C31" s="18">
        <v>6</v>
      </c>
      <c r="D31" s="11">
        <f t="shared" si="3"/>
        <v>6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08">
        <f t="shared" si="1"/>
        <v>0</v>
      </c>
      <c r="BR31" s="108">
        <f t="shared" si="2"/>
        <v>0</v>
      </c>
      <c r="BS31" s="11">
        <v>1.44</v>
      </c>
      <c r="BT31" s="55">
        <f t="shared" si="4"/>
        <v>8.64</v>
      </c>
      <c r="BU31" s="44">
        <v>93000</v>
      </c>
      <c r="BV31" s="41">
        <f t="shared" si="5"/>
        <v>803520</v>
      </c>
      <c r="BW31" s="33"/>
    </row>
    <row r="32" spans="1:75" x14ac:dyDescent="0.3">
      <c r="A32" s="313"/>
      <c r="B32" s="34" t="s">
        <v>755</v>
      </c>
      <c r="C32" s="18">
        <v>21</v>
      </c>
      <c r="D32" s="11">
        <f t="shared" si="3"/>
        <v>21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08">
        <f t="shared" si="1"/>
        <v>0</v>
      </c>
      <c r="BR32" s="108">
        <f t="shared" si="2"/>
        <v>0</v>
      </c>
      <c r="BS32" s="11">
        <v>1.44</v>
      </c>
      <c r="BT32" s="55">
        <f t="shared" si="4"/>
        <v>30.24</v>
      </c>
      <c r="BU32" s="44">
        <v>93000</v>
      </c>
      <c r="BV32" s="41">
        <f t="shared" si="5"/>
        <v>2812320</v>
      </c>
      <c r="BW32" s="33"/>
    </row>
    <row r="33" spans="1:75" x14ac:dyDescent="0.3">
      <c r="A33" s="313"/>
      <c r="B33" s="34"/>
      <c r="C33" s="18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08">
        <f t="shared" si="1"/>
        <v>0</v>
      </c>
      <c r="BR33" s="108">
        <f t="shared" si="2"/>
        <v>0</v>
      </c>
      <c r="BS33" s="11"/>
      <c r="BT33" s="55">
        <f t="shared" si="4"/>
        <v>0</v>
      </c>
      <c r="BU33" s="44"/>
      <c r="BV33" s="41">
        <f t="shared" si="5"/>
        <v>0</v>
      </c>
      <c r="BW33" s="33"/>
    </row>
    <row r="34" spans="1:75" x14ac:dyDescent="0.3">
      <c r="A34" s="313"/>
      <c r="B34" s="34" t="s">
        <v>756</v>
      </c>
      <c r="C34" s="18">
        <v>8</v>
      </c>
      <c r="D34" s="11">
        <f t="shared" si="3"/>
        <v>8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08">
        <f t="shared" si="1"/>
        <v>0</v>
      </c>
      <c r="BR34" s="108">
        <f t="shared" si="2"/>
        <v>0</v>
      </c>
      <c r="BS34" s="11">
        <v>1.44</v>
      </c>
      <c r="BT34" s="55">
        <f t="shared" si="4"/>
        <v>11.52</v>
      </c>
      <c r="BU34" s="44">
        <v>93000</v>
      </c>
      <c r="BV34" s="41">
        <f t="shared" si="5"/>
        <v>1071360</v>
      </c>
      <c r="BW34" s="33"/>
    </row>
    <row r="35" spans="1:75" ht="21.75" customHeight="1" x14ac:dyDescent="0.3">
      <c r="A35" s="313"/>
      <c r="B35" s="34" t="s">
        <v>757</v>
      </c>
      <c r="C35" s="18">
        <v>164</v>
      </c>
      <c r="D35" s="11">
        <f t="shared" si="3"/>
        <v>164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08">
        <f t="shared" si="1"/>
        <v>0</v>
      </c>
      <c r="BR35" s="108">
        <f t="shared" si="2"/>
        <v>0</v>
      </c>
      <c r="BS35" s="11">
        <v>1.44</v>
      </c>
      <c r="BT35" s="55">
        <f t="shared" si="4"/>
        <v>236.16</v>
      </c>
      <c r="BU35" s="44">
        <v>93000</v>
      </c>
      <c r="BV35" s="41">
        <f t="shared" si="5"/>
        <v>21962880</v>
      </c>
      <c r="BW35" s="33"/>
    </row>
    <row r="36" spans="1:75" x14ac:dyDescent="0.3">
      <c r="A36" s="313"/>
      <c r="B36" s="34" t="s">
        <v>758</v>
      </c>
      <c r="C36" s="18">
        <v>227</v>
      </c>
      <c r="D36" s="11">
        <f t="shared" si="3"/>
        <v>227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08">
        <f t="shared" si="1"/>
        <v>0</v>
      </c>
      <c r="BR36" s="108">
        <f t="shared" si="2"/>
        <v>0</v>
      </c>
      <c r="BS36" s="11">
        <v>1.44</v>
      </c>
      <c r="BT36" s="55">
        <f t="shared" si="4"/>
        <v>326.88</v>
      </c>
      <c r="BU36" s="44">
        <v>93000</v>
      </c>
      <c r="BV36" s="41">
        <f t="shared" si="5"/>
        <v>30399840</v>
      </c>
      <c r="BW36" s="33"/>
    </row>
    <row r="37" spans="1:75" x14ac:dyDescent="0.3">
      <c r="A37" s="313"/>
      <c r="B37" s="34" t="s">
        <v>759</v>
      </c>
      <c r="C37" s="18">
        <v>281</v>
      </c>
      <c r="D37" s="11">
        <f t="shared" si="3"/>
        <v>190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>
        <f>84+7</f>
        <v>91</v>
      </c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08">
        <f t="shared" si="1"/>
        <v>0</v>
      </c>
      <c r="BR37" s="108">
        <f t="shared" si="2"/>
        <v>91</v>
      </c>
      <c r="BS37" s="11">
        <v>1.44</v>
      </c>
      <c r="BT37" s="55">
        <f t="shared" si="4"/>
        <v>273.59999999999997</v>
      </c>
      <c r="BU37" s="44">
        <v>93000</v>
      </c>
      <c r="BV37" s="41">
        <f t="shared" si="5"/>
        <v>25444799.999999996</v>
      </c>
      <c r="BW37" s="33"/>
    </row>
    <row r="38" spans="1:75" x14ac:dyDescent="0.3">
      <c r="A38" s="313"/>
      <c r="B38" s="34" t="s">
        <v>760</v>
      </c>
      <c r="C38" s="18">
        <v>44</v>
      </c>
      <c r="D38" s="11">
        <f t="shared" si="3"/>
        <v>44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08">
        <f t="shared" si="1"/>
        <v>0</v>
      </c>
      <c r="BR38" s="108">
        <f t="shared" si="2"/>
        <v>0</v>
      </c>
      <c r="BS38" s="11">
        <v>1.44</v>
      </c>
      <c r="BT38" s="55">
        <f t="shared" si="4"/>
        <v>63.36</v>
      </c>
      <c r="BU38" s="44">
        <v>93000</v>
      </c>
      <c r="BV38" s="41">
        <f t="shared" si="5"/>
        <v>5892480</v>
      </c>
      <c r="BW38" s="33"/>
    </row>
    <row r="39" spans="1:75" hidden="1" x14ac:dyDescent="0.3">
      <c r="A39" s="10"/>
      <c r="B39" s="34"/>
      <c r="C39" s="18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08">
        <f t="shared" si="1"/>
        <v>0</v>
      </c>
      <c r="BR39" s="108">
        <f t="shared" si="2"/>
        <v>0</v>
      </c>
      <c r="BS39" s="11"/>
      <c r="BT39" s="55">
        <f t="shared" si="4"/>
        <v>0</v>
      </c>
      <c r="BU39" s="44"/>
      <c r="BV39" s="41">
        <f t="shared" si="5"/>
        <v>0</v>
      </c>
      <c r="BW39" s="33"/>
    </row>
    <row r="40" spans="1:75" hidden="1" x14ac:dyDescent="0.3">
      <c r="A40" s="313" t="s">
        <v>263</v>
      </c>
      <c r="B40" s="34" t="s">
        <v>761</v>
      </c>
      <c r="C40" s="18">
        <v>7</v>
      </c>
      <c r="D40" s="11">
        <f t="shared" si="3"/>
        <v>7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08">
        <f t="shared" si="1"/>
        <v>0</v>
      </c>
      <c r="BR40" s="108">
        <f t="shared" si="2"/>
        <v>0</v>
      </c>
      <c r="BS40" s="11">
        <v>1.92</v>
      </c>
      <c r="BT40" s="55">
        <f t="shared" si="4"/>
        <v>13.44</v>
      </c>
      <c r="BU40" s="41">
        <v>108000</v>
      </c>
      <c r="BV40" s="41">
        <f t="shared" si="5"/>
        <v>1451520</v>
      </c>
      <c r="BW40" s="35"/>
    </row>
    <row r="41" spans="1:75" hidden="1" x14ac:dyDescent="0.3">
      <c r="A41" s="313"/>
      <c r="B41" s="34" t="s">
        <v>2250</v>
      </c>
      <c r="C41" s="18">
        <v>2</v>
      </c>
      <c r="D41" s="11">
        <f t="shared" si="3"/>
        <v>2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08">
        <f t="shared" si="1"/>
        <v>0</v>
      </c>
      <c r="BR41" s="108">
        <f t="shared" si="2"/>
        <v>0</v>
      </c>
      <c r="BS41" s="11">
        <v>1.92</v>
      </c>
      <c r="BT41" s="55">
        <f t="shared" si="4"/>
        <v>3.84</v>
      </c>
      <c r="BU41" s="41">
        <v>118000</v>
      </c>
      <c r="BV41" s="41">
        <f t="shared" si="5"/>
        <v>453120</v>
      </c>
      <c r="BW41" s="35"/>
    </row>
    <row r="42" spans="1:75" hidden="1" x14ac:dyDescent="0.3">
      <c r="A42" s="313"/>
      <c r="B42" s="34"/>
      <c r="C42" s="18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08">
        <f t="shared" si="1"/>
        <v>0</v>
      </c>
      <c r="BR42" s="108">
        <f t="shared" si="2"/>
        <v>0</v>
      </c>
      <c r="BS42" s="11"/>
      <c r="BT42" s="55">
        <f t="shared" si="4"/>
        <v>0</v>
      </c>
      <c r="BU42" s="41"/>
      <c r="BV42" s="41">
        <f t="shared" si="5"/>
        <v>0</v>
      </c>
      <c r="BW42" s="35"/>
    </row>
    <row r="43" spans="1:75" hidden="1" x14ac:dyDescent="0.3">
      <c r="A43" s="313"/>
      <c r="B43" s="34" t="s">
        <v>762</v>
      </c>
      <c r="C43" s="18">
        <v>6</v>
      </c>
      <c r="D43" s="11">
        <f t="shared" si="3"/>
        <v>6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08">
        <f t="shared" si="1"/>
        <v>0</v>
      </c>
      <c r="BR43" s="108">
        <f t="shared" si="2"/>
        <v>0</v>
      </c>
      <c r="BS43" s="11">
        <v>1.92</v>
      </c>
      <c r="BT43" s="55">
        <f t="shared" si="4"/>
        <v>11.52</v>
      </c>
      <c r="BU43" s="41">
        <v>108000</v>
      </c>
      <c r="BV43" s="41">
        <f t="shared" si="5"/>
        <v>1244160</v>
      </c>
      <c r="BW43" s="35"/>
    </row>
    <row r="44" spans="1:75" hidden="1" x14ac:dyDescent="0.3">
      <c r="A44" s="313"/>
      <c r="B44" s="34" t="s">
        <v>2249</v>
      </c>
      <c r="C44" s="18">
        <v>45</v>
      </c>
      <c r="D44" s="11">
        <f t="shared" si="3"/>
        <v>45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08">
        <f t="shared" si="1"/>
        <v>0</v>
      </c>
      <c r="BR44" s="108">
        <f t="shared" si="2"/>
        <v>0</v>
      </c>
      <c r="BS44" s="11">
        <v>1.92</v>
      </c>
      <c r="BT44" s="55">
        <f t="shared" si="4"/>
        <v>86.399999999999991</v>
      </c>
      <c r="BU44" s="41">
        <v>118000</v>
      </c>
      <c r="BV44" s="41">
        <f t="shared" si="5"/>
        <v>10195199.999999998</v>
      </c>
      <c r="BW44" s="35"/>
    </row>
    <row r="45" spans="1:75" hidden="1" x14ac:dyDescent="0.3">
      <c r="A45" s="313"/>
      <c r="B45" s="34" t="s">
        <v>763</v>
      </c>
      <c r="C45" s="18">
        <v>39</v>
      </c>
      <c r="D45" s="11">
        <f t="shared" si="3"/>
        <v>39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08">
        <f t="shared" si="1"/>
        <v>0</v>
      </c>
      <c r="BR45" s="108">
        <f t="shared" si="2"/>
        <v>0</v>
      </c>
      <c r="BS45" s="11">
        <v>1.92</v>
      </c>
      <c r="BT45" s="55">
        <f t="shared" si="4"/>
        <v>74.88</v>
      </c>
      <c r="BU45" s="40">
        <v>108000</v>
      </c>
      <c r="BV45" s="41">
        <f t="shared" si="5"/>
        <v>8087039.9999999991</v>
      </c>
      <c r="BW45" s="35"/>
    </row>
    <row r="46" spans="1:75" hidden="1" x14ac:dyDescent="0.3">
      <c r="A46" s="313"/>
      <c r="B46" s="34" t="s">
        <v>765</v>
      </c>
      <c r="C46" s="18">
        <v>5</v>
      </c>
      <c r="D46" s="11">
        <f t="shared" si="3"/>
        <v>5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08">
        <f t="shared" si="1"/>
        <v>0</v>
      </c>
      <c r="BR46" s="108">
        <f t="shared" si="2"/>
        <v>0</v>
      </c>
      <c r="BS46" s="11">
        <v>1.92</v>
      </c>
      <c r="BT46" s="55">
        <f t="shared" si="4"/>
        <v>9.6</v>
      </c>
      <c r="BU46" s="40">
        <v>93000</v>
      </c>
      <c r="BV46" s="41">
        <f t="shared" si="5"/>
        <v>892800</v>
      </c>
      <c r="BW46" s="35"/>
    </row>
    <row r="47" spans="1:75" hidden="1" x14ac:dyDescent="0.3">
      <c r="A47" s="313"/>
      <c r="B47" s="34"/>
      <c r="C47" s="18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08">
        <f t="shared" si="1"/>
        <v>0</v>
      </c>
      <c r="BR47" s="108">
        <f t="shared" si="2"/>
        <v>0</v>
      </c>
      <c r="BS47" s="11"/>
      <c r="BT47" s="55">
        <f t="shared" si="4"/>
        <v>0</v>
      </c>
      <c r="BU47" s="40"/>
      <c r="BV47" s="41">
        <f t="shared" si="5"/>
        <v>0</v>
      </c>
      <c r="BW47" s="35"/>
    </row>
    <row r="48" spans="1:75" hidden="1" x14ac:dyDescent="0.3">
      <c r="A48" s="313"/>
      <c r="B48" s="34" t="s">
        <v>764</v>
      </c>
      <c r="C48" s="18">
        <v>6</v>
      </c>
      <c r="D48" s="11">
        <f t="shared" si="3"/>
        <v>6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08">
        <f t="shared" si="1"/>
        <v>0</v>
      </c>
      <c r="BR48" s="108">
        <f t="shared" si="2"/>
        <v>0</v>
      </c>
      <c r="BS48" s="11">
        <v>1.92</v>
      </c>
      <c r="BT48" s="55">
        <f t="shared" si="4"/>
        <v>11.52</v>
      </c>
      <c r="BU48" s="41">
        <v>108000</v>
      </c>
      <c r="BV48" s="41">
        <f t="shared" si="5"/>
        <v>1244160</v>
      </c>
      <c r="BW48" s="35"/>
    </row>
    <row r="49" spans="1:75" ht="18" hidden="1" customHeight="1" x14ac:dyDescent="0.3">
      <c r="A49" s="313"/>
      <c r="B49" s="34" t="s">
        <v>2247</v>
      </c>
      <c r="C49" s="18">
        <v>12</v>
      </c>
      <c r="D49" s="11">
        <f t="shared" si="3"/>
        <v>12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08">
        <f t="shared" si="1"/>
        <v>0</v>
      </c>
      <c r="BR49" s="108">
        <f t="shared" si="2"/>
        <v>0</v>
      </c>
      <c r="BS49" s="11">
        <v>1.92</v>
      </c>
      <c r="BT49" s="55">
        <f t="shared" si="4"/>
        <v>23.04</v>
      </c>
      <c r="BU49" s="41">
        <v>118000</v>
      </c>
      <c r="BV49" s="41">
        <f t="shared" si="5"/>
        <v>2718720</v>
      </c>
      <c r="BW49" s="35"/>
    </row>
    <row r="50" spans="1:75" hidden="1" x14ac:dyDescent="0.3">
      <c r="A50" s="313"/>
      <c r="B50" s="34" t="s">
        <v>766</v>
      </c>
      <c r="C50" s="18">
        <v>0</v>
      </c>
      <c r="D50" s="11">
        <f t="shared" si="3"/>
        <v>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08">
        <f t="shared" si="1"/>
        <v>0</v>
      </c>
      <c r="BR50" s="108">
        <f t="shared" si="2"/>
        <v>0</v>
      </c>
      <c r="BS50" s="11">
        <v>1.92</v>
      </c>
      <c r="BT50" s="55">
        <f t="shared" si="4"/>
        <v>0</v>
      </c>
      <c r="BU50" s="40">
        <v>108000</v>
      </c>
      <c r="BV50" s="41">
        <f t="shared" si="5"/>
        <v>0</v>
      </c>
      <c r="BW50" s="35"/>
    </row>
    <row r="51" spans="1:75" hidden="1" x14ac:dyDescent="0.3">
      <c r="A51" s="313"/>
      <c r="B51" s="34"/>
      <c r="C51" s="18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08">
        <f t="shared" si="1"/>
        <v>0</v>
      </c>
      <c r="BR51" s="108">
        <f t="shared" si="2"/>
        <v>0</v>
      </c>
      <c r="BS51" s="11"/>
      <c r="BT51" s="55">
        <f t="shared" si="4"/>
        <v>0</v>
      </c>
      <c r="BU51" s="41"/>
      <c r="BV51" s="41">
        <f t="shared" si="5"/>
        <v>0</v>
      </c>
      <c r="BW51" s="35"/>
    </row>
    <row r="52" spans="1:75" hidden="1" x14ac:dyDescent="0.3">
      <c r="A52" s="313"/>
      <c r="B52" s="34" t="s">
        <v>767</v>
      </c>
      <c r="C52" s="18">
        <v>6</v>
      </c>
      <c r="D52" s="11">
        <f t="shared" si="3"/>
        <v>6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08">
        <f t="shared" si="1"/>
        <v>0</v>
      </c>
      <c r="BR52" s="108">
        <f t="shared" si="2"/>
        <v>0</v>
      </c>
      <c r="BS52" s="11">
        <v>1.92</v>
      </c>
      <c r="BT52" s="55">
        <f t="shared" si="4"/>
        <v>11.52</v>
      </c>
      <c r="BU52" s="41">
        <v>108000</v>
      </c>
      <c r="BV52" s="41">
        <f t="shared" si="5"/>
        <v>1244160</v>
      </c>
      <c r="BW52" s="35"/>
    </row>
    <row r="53" spans="1:75" hidden="1" x14ac:dyDescent="0.3">
      <c r="A53" s="313"/>
      <c r="B53" s="34" t="s">
        <v>2248</v>
      </c>
      <c r="C53" s="18">
        <v>7</v>
      </c>
      <c r="D53" s="11">
        <f t="shared" si="3"/>
        <v>7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08">
        <f t="shared" si="1"/>
        <v>0</v>
      </c>
      <c r="BR53" s="108">
        <f t="shared" si="2"/>
        <v>0</v>
      </c>
      <c r="BS53" s="11">
        <v>1.92</v>
      </c>
      <c r="BT53" s="55">
        <f t="shared" si="4"/>
        <v>13.44</v>
      </c>
      <c r="BU53" s="41">
        <v>118000</v>
      </c>
      <c r="BV53" s="41">
        <f t="shared" si="5"/>
        <v>1585920</v>
      </c>
      <c r="BW53" s="35"/>
    </row>
    <row r="54" spans="1:75" hidden="1" x14ac:dyDescent="0.3">
      <c r="A54" s="313"/>
      <c r="B54" s="34" t="s">
        <v>768</v>
      </c>
      <c r="C54" s="18">
        <v>21</v>
      </c>
      <c r="D54" s="11">
        <f t="shared" si="3"/>
        <v>21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08">
        <f t="shared" si="1"/>
        <v>0</v>
      </c>
      <c r="BR54" s="108">
        <f t="shared" si="2"/>
        <v>0</v>
      </c>
      <c r="BS54" s="11">
        <v>1.92</v>
      </c>
      <c r="BT54" s="55">
        <f t="shared" si="4"/>
        <v>40.32</v>
      </c>
      <c r="BU54" s="40">
        <v>108000</v>
      </c>
      <c r="BV54" s="41">
        <f t="shared" si="5"/>
        <v>4354560</v>
      </c>
      <c r="BW54" s="35"/>
    </row>
    <row r="55" spans="1:75" hidden="1" x14ac:dyDescent="0.3">
      <c r="A55" s="10"/>
      <c r="B55" s="34"/>
      <c r="C55" s="18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08">
        <f t="shared" si="1"/>
        <v>0</v>
      </c>
      <c r="BR55" s="108">
        <f t="shared" si="2"/>
        <v>0</v>
      </c>
      <c r="BS55" s="11"/>
      <c r="BT55" s="55">
        <f t="shared" si="4"/>
        <v>0</v>
      </c>
      <c r="BU55" s="41"/>
      <c r="BV55" s="41">
        <f t="shared" si="5"/>
        <v>0</v>
      </c>
      <c r="BW55" s="35"/>
    </row>
    <row r="56" spans="1:75" x14ac:dyDescent="0.3">
      <c r="A56" s="313" t="s">
        <v>259</v>
      </c>
      <c r="B56" s="34" t="s">
        <v>769</v>
      </c>
      <c r="C56" s="18">
        <v>84.37</v>
      </c>
      <c r="D56" s="11">
        <f t="shared" si="3"/>
        <v>84.37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08">
        <f t="shared" si="1"/>
        <v>0</v>
      </c>
      <c r="BR56" s="108">
        <f t="shared" si="2"/>
        <v>0</v>
      </c>
      <c r="BS56" s="11">
        <v>1.92</v>
      </c>
      <c r="BT56" s="55">
        <f t="shared" si="4"/>
        <v>161.99039999999999</v>
      </c>
      <c r="BU56" s="41">
        <v>108000</v>
      </c>
      <c r="BV56" s="41">
        <f t="shared" si="5"/>
        <v>17494963.199999999</v>
      </c>
      <c r="BW56" s="35"/>
    </row>
    <row r="57" spans="1:75" x14ac:dyDescent="0.3">
      <c r="A57" s="313"/>
      <c r="B57" s="34" t="s">
        <v>770</v>
      </c>
      <c r="C57" s="18">
        <v>58</v>
      </c>
      <c r="D57" s="11">
        <f t="shared" si="3"/>
        <v>58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08">
        <f t="shared" si="1"/>
        <v>0</v>
      </c>
      <c r="BR57" s="108">
        <f t="shared" si="2"/>
        <v>0</v>
      </c>
      <c r="BS57" s="11">
        <v>1.92</v>
      </c>
      <c r="BT57" s="55">
        <f t="shared" si="4"/>
        <v>111.36</v>
      </c>
      <c r="BU57" s="41">
        <v>108000</v>
      </c>
      <c r="BV57" s="41">
        <f t="shared" si="5"/>
        <v>12026880</v>
      </c>
      <c r="BW57" s="11"/>
    </row>
    <row r="58" spans="1:75" x14ac:dyDescent="0.3">
      <c r="A58" s="313"/>
      <c r="B58" s="34" t="s">
        <v>771</v>
      </c>
      <c r="C58" s="18">
        <v>33</v>
      </c>
      <c r="D58" s="11">
        <f t="shared" si="3"/>
        <v>33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08">
        <f t="shared" si="1"/>
        <v>0</v>
      </c>
      <c r="BR58" s="108">
        <f t="shared" si="2"/>
        <v>0</v>
      </c>
      <c r="BS58" s="11">
        <v>1.92</v>
      </c>
      <c r="BT58" s="55">
        <f t="shared" si="4"/>
        <v>63.36</v>
      </c>
      <c r="BU58" s="41">
        <v>108000</v>
      </c>
      <c r="BV58" s="41">
        <f t="shared" si="5"/>
        <v>6842880</v>
      </c>
      <c r="BW58" s="11"/>
    </row>
    <row r="59" spans="1:75" x14ac:dyDescent="0.3">
      <c r="A59" s="313"/>
      <c r="B59" s="34" t="s">
        <v>772</v>
      </c>
      <c r="C59" s="18">
        <v>59</v>
      </c>
      <c r="D59" s="11">
        <f t="shared" si="3"/>
        <v>59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08">
        <f t="shared" si="1"/>
        <v>0</v>
      </c>
      <c r="BR59" s="108">
        <f t="shared" si="2"/>
        <v>0</v>
      </c>
      <c r="BS59" s="11">
        <v>1.92</v>
      </c>
      <c r="BT59" s="55">
        <f t="shared" si="4"/>
        <v>113.28</v>
      </c>
      <c r="BU59" s="41">
        <v>108000</v>
      </c>
      <c r="BV59" s="41">
        <f t="shared" si="5"/>
        <v>12234240</v>
      </c>
      <c r="BW59" s="11"/>
    </row>
    <row r="60" spans="1:75" ht="18" customHeight="1" x14ac:dyDescent="0.3">
      <c r="A60" s="313"/>
      <c r="B60" s="34" t="s">
        <v>773</v>
      </c>
      <c r="C60" s="18">
        <v>121</v>
      </c>
      <c r="D60" s="11">
        <f t="shared" si="3"/>
        <v>121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08">
        <f t="shared" si="1"/>
        <v>0</v>
      </c>
      <c r="BR60" s="108">
        <f t="shared" si="2"/>
        <v>0</v>
      </c>
      <c r="BS60" s="11">
        <v>1.92</v>
      </c>
      <c r="BT60" s="55">
        <f t="shared" si="4"/>
        <v>232.32</v>
      </c>
      <c r="BU60" s="41">
        <v>108000</v>
      </c>
      <c r="BV60" s="41">
        <f t="shared" si="5"/>
        <v>25090560</v>
      </c>
      <c r="BW60" s="11"/>
    </row>
    <row r="61" spans="1:75" hidden="1" x14ac:dyDescent="0.3">
      <c r="A61" s="313"/>
      <c r="B61" s="34" t="s">
        <v>774</v>
      </c>
      <c r="C61" s="18">
        <v>0</v>
      </c>
      <c r="D61" s="11">
        <f t="shared" si="3"/>
        <v>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08">
        <f t="shared" si="1"/>
        <v>0</v>
      </c>
      <c r="BR61" s="108">
        <f t="shared" si="2"/>
        <v>0</v>
      </c>
      <c r="BS61" s="11">
        <v>1.92</v>
      </c>
      <c r="BT61" s="55">
        <f t="shared" si="4"/>
        <v>0</v>
      </c>
      <c r="BU61" s="41">
        <v>108000</v>
      </c>
      <c r="BV61" s="41">
        <f t="shared" si="5"/>
        <v>0</v>
      </c>
      <c r="BW61" s="11"/>
    </row>
    <row r="62" spans="1:75" x14ac:dyDescent="0.3">
      <c r="A62" s="313"/>
      <c r="B62" s="34" t="s">
        <v>775</v>
      </c>
      <c r="C62" s="18">
        <v>65</v>
      </c>
      <c r="D62" s="11">
        <f t="shared" si="3"/>
        <v>65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08">
        <f t="shared" si="1"/>
        <v>0</v>
      </c>
      <c r="BR62" s="108">
        <f t="shared" si="2"/>
        <v>0</v>
      </c>
      <c r="BS62" s="11">
        <v>1.92</v>
      </c>
      <c r="BT62" s="55">
        <f t="shared" si="4"/>
        <v>124.8</v>
      </c>
      <c r="BU62" s="41">
        <v>108000</v>
      </c>
      <c r="BV62" s="41">
        <f t="shared" si="5"/>
        <v>13478400</v>
      </c>
      <c r="BW62" s="11"/>
    </row>
    <row r="63" spans="1:75" x14ac:dyDescent="0.3">
      <c r="A63" s="313"/>
      <c r="B63" s="34" t="s">
        <v>776</v>
      </c>
      <c r="C63" s="18">
        <v>30</v>
      </c>
      <c r="D63" s="11">
        <f t="shared" si="3"/>
        <v>30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08">
        <f t="shared" si="1"/>
        <v>0</v>
      </c>
      <c r="BR63" s="108">
        <f t="shared" si="2"/>
        <v>0</v>
      </c>
      <c r="BS63" s="11">
        <v>1.92</v>
      </c>
      <c r="BT63" s="55">
        <f t="shared" si="4"/>
        <v>57.599999999999994</v>
      </c>
      <c r="BU63" s="41">
        <v>108000</v>
      </c>
      <c r="BV63" s="41">
        <f t="shared" si="5"/>
        <v>6220799.9999999991</v>
      </c>
      <c r="BW63" s="11"/>
    </row>
    <row r="64" spans="1:75" x14ac:dyDescent="0.3">
      <c r="A64" s="10"/>
      <c r="B64" s="34"/>
      <c r="C64" s="18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08">
        <f t="shared" si="1"/>
        <v>0</v>
      </c>
      <c r="BR64" s="108">
        <f t="shared" si="2"/>
        <v>0</v>
      </c>
      <c r="BS64" s="11"/>
      <c r="BT64" s="55">
        <f t="shared" si="4"/>
        <v>0</v>
      </c>
      <c r="BU64" s="41"/>
      <c r="BV64" s="41">
        <f t="shared" si="5"/>
        <v>0</v>
      </c>
      <c r="BW64" s="11"/>
    </row>
    <row r="65" spans="1:75" x14ac:dyDescent="0.3">
      <c r="A65" s="313" t="s">
        <v>788</v>
      </c>
      <c r="B65" s="34" t="s">
        <v>777</v>
      </c>
      <c r="C65" s="18">
        <v>18</v>
      </c>
      <c r="D65" s="11">
        <f t="shared" si="3"/>
        <v>18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08">
        <f t="shared" si="1"/>
        <v>0</v>
      </c>
      <c r="BR65" s="108">
        <f t="shared" si="2"/>
        <v>0</v>
      </c>
      <c r="BS65" s="11">
        <v>1.44</v>
      </c>
      <c r="BT65" s="55">
        <f t="shared" si="4"/>
        <v>25.919999999999998</v>
      </c>
      <c r="BU65" s="40">
        <v>75000</v>
      </c>
      <c r="BV65" s="41">
        <f t="shared" si="5"/>
        <v>1943999.9999999998</v>
      </c>
      <c r="BW65" s="11"/>
    </row>
    <row r="66" spans="1:75" x14ac:dyDescent="0.3">
      <c r="A66" s="313"/>
      <c r="B66" s="34" t="s">
        <v>784</v>
      </c>
      <c r="C66" s="18">
        <v>41</v>
      </c>
      <c r="D66" s="11">
        <f t="shared" si="3"/>
        <v>41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08">
        <f t="shared" si="1"/>
        <v>0</v>
      </c>
      <c r="BR66" s="108">
        <f t="shared" si="2"/>
        <v>0</v>
      </c>
      <c r="BS66" s="11">
        <v>1.44</v>
      </c>
      <c r="BT66" s="55">
        <f t="shared" si="4"/>
        <v>59.04</v>
      </c>
      <c r="BU66" s="40">
        <v>80000</v>
      </c>
      <c r="BV66" s="41">
        <f t="shared" si="5"/>
        <v>4723200</v>
      </c>
      <c r="BW66" s="11"/>
    </row>
    <row r="67" spans="1:75" x14ac:dyDescent="0.3">
      <c r="A67" s="313"/>
      <c r="B67" s="34"/>
      <c r="C67" s="18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08">
        <f t="shared" si="1"/>
        <v>0</v>
      </c>
      <c r="BR67" s="108">
        <f t="shared" si="2"/>
        <v>0</v>
      </c>
      <c r="BS67" s="11"/>
      <c r="BT67" s="55">
        <f t="shared" si="4"/>
        <v>0</v>
      </c>
      <c r="BU67" s="40"/>
      <c r="BV67" s="41">
        <f t="shared" si="5"/>
        <v>0</v>
      </c>
      <c r="BW67" s="11"/>
    </row>
    <row r="68" spans="1:75" x14ac:dyDescent="0.3">
      <c r="A68" s="313"/>
      <c r="B68" s="34" t="s">
        <v>703</v>
      </c>
      <c r="C68" s="18">
        <v>33</v>
      </c>
      <c r="D68" s="11">
        <f t="shared" si="3"/>
        <v>33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08">
        <f t="shared" ref="BQ68:BR82" si="6">+E68+G68+I68+K68+M68+O68+Q68+S68+U68+W68+Y68+AA68+AC68+AE68+AG68+AI68+AK68+AM68+AO68+AQ68+AS68+AU68+AW68+AY68+BA68+BC68+BE68+BG68+BI68+BK68+BM68+BO68</f>
        <v>0</v>
      </c>
      <c r="BR68" s="108">
        <f t="shared" si="6"/>
        <v>0</v>
      </c>
      <c r="BS68" s="11">
        <v>1.44</v>
      </c>
      <c r="BT68" s="55">
        <f t="shared" si="4"/>
        <v>47.519999999999996</v>
      </c>
      <c r="BU68" s="40">
        <v>75000</v>
      </c>
      <c r="BV68" s="41">
        <f t="shared" si="5"/>
        <v>3563999.9999999995</v>
      </c>
      <c r="BW68" s="11"/>
    </row>
    <row r="69" spans="1:75" x14ac:dyDescent="0.3">
      <c r="A69" s="313"/>
      <c r="B69" s="34" t="s">
        <v>785</v>
      </c>
      <c r="C69" s="18">
        <v>6</v>
      </c>
      <c r="D69" s="11">
        <f t="shared" si="3"/>
        <v>6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08">
        <f t="shared" si="6"/>
        <v>0</v>
      </c>
      <c r="BR69" s="108">
        <f t="shared" si="6"/>
        <v>0</v>
      </c>
      <c r="BS69" s="11">
        <v>1.44</v>
      </c>
      <c r="BT69" s="55">
        <f t="shared" si="4"/>
        <v>8.64</v>
      </c>
      <c r="BU69" s="40">
        <v>80000</v>
      </c>
      <c r="BV69" s="41">
        <f t="shared" si="5"/>
        <v>691200</v>
      </c>
      <c r="BW69" s="11"/>
    </row>
    <row r="70" spans="1:75" ht="0.75" customHeight="1" x14ac:dyDescent="0.3">
      <c r="A70" s="313"/>
      <c r="B70" s="34" t="s">
        <v>778</v>
      </c>
      <c r="C70" s="18">
        <v>0</v>
      </c>
      <c r="D70" s="11">
        <f t="shared" ref="D70:D79" si="7">+C70+BQ70-BR70</f>
        <v>0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08">
        <f t="shared" si="6"/>
        <v>0</v>
      </c>
      <c r="BR70" s="108">
        <f t="shared" si="6"/>
        <v>0</v>
      </c>
      <c r="BS70" s="11">
        <v>1.44</v>
      </c>
      <c r="BT70" s="55">
        <f t="shared" ref="BT70:BT81" si="8">+D70*BS70</f>
        <v>0</v>
      </c>
      <c r="BU70" s="40">
        <v>75000</v>
      </c>
      <c r="BV70" s="41">
        <f t="shared" ref="BV70:BV81" si="9">+BT70*BU70</f>
        <v>0</v>
      </c>
      <c r="BW70" s="11"/>
    </row>
    <row r="71" spans="1:75" x14ac:dyDescent="0.3">
      <c r="A71" s="313"/>
      <c r="B71" s="34"/>
      <c r="C71" s="18">
        <v>0</v>
      </c>
      <c r="D71" s="11">
        <f t="shared" si="7"/>
        <v>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08">
        <f t="shared" si="6"/>
        <v>0</v>
      </c>
      <c r="BR71" s="108">
        <f t="shared" si="6"/>
        <v>0</v>
      </c>
      <c r="BS71" s="11"/>
      <c r="BT71" s="55">
        <f t="shared" si="8"/>
        <v>0</v>
      </c>
      <c r="BU71" s="40"/>
      <c r="BV71" s="41">
        <f t="shared" si="9"/>
        <v>0</v>
      </c>
      <c r="BW71" s="11"/>
    </row>
    <row r="72" spans="1:75" x14ac:dyDescent="0.3">
      <c r="A72" s="313"/>
      <c r="B72" s="34" t="s">
        <v>779</v>
      </c>
      <c r="C72" s="18">
        <v>66</v>
      </c>
      <c r="D72" s="11">
        <f t="shared" si="7"/>
        <v>66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08">
        <f t="shared" si="6"/>
        <v>0</v>
      </c>
      <c r="BR72" s="108">
        <f t="shared" si="6"/>
        <v>0</v>
      </c>
      <c r="BS72" s="11">
        <v>1.44</v>
      </c>
      <c r="BT72" s="55">
        <f t="shared" si="8"/>
        <v>95.039999999999992</v>
      </c>
      <c r="BU72" s="40">
        <v>75000</v>
      </c>
      <c r="BV72" s="41">
        <f t="shared" si="9"/>
        <v>7127999.9999999991</v>
      </c>
      <c r="BW72" s="11"/>
    </row>
    <row r="73" spans="1:75" x14ac:dyDescent="0.3">
      <c r="A73" s="313"/>
      <c r="B73" s="34" t="s">
        <v>786</v>
      </c>
      <c r="C73" s="18">
        <v>28</v>
      </c>
      <c r="D73" s="11">
        <f t="shared" si="7"/>
        <v>28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08">
        <f t="shared" si="6"/>
        <v>0</v>
      </c>
      <c r="BR73" s="108">
        <f t="shared" si="6"/>
        <v>0</v>
      </c>
      <c r="BS73" s="11">
        <v>1.44</v>
      </c>
      <c r="BT73" s="55">
        <f t="shared" si="8"/>
        <v>40.32</v>
      </c>
      <c r="BU73" s="40">
        <v>80000</v>
      </c>
      <c r="BV73" s="41">
        <f t="shared" si="9"/>
        <v>3225600</v>
      </c>
      <c r="BW73" s="11"/>
    </row>
    <row r="74" spans="1:75" x14ac:dyDescent="0.3">
      <c r="A74" s="313"/>
      <c r="B74" s="34" t="s">
        <v>780</v>
      </c>
      <c r="C74" s="18">
        <v>23.5</v>
      </c>
      <c r="D74" s="11">
        <f t="shared" si="7"/>
        <v>23.5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08">
        <f t="shared" si="6"/>
        <v>0</v>
      </c>
      <c r="BR74" s="108">
        <f t="shared" si="6"/>
        <v>0</v>
      </c>
      <c r="BS74" s="11">
        <v>1.44</v>
      </c>
      <c r="BT74" s="55">
        <f t="shared" si="8"/>
        <v>33.839999999999996</v>
      </c>
      <c r="BU74" s="40">
        <v>75000</v>
      </c>
      <c r="BV74" s="41">
        <f t="shared" si="9"/>
        <v>2537999.9999999995</v>
      </c>
      <c r="BW74" s="11"/>
    </row>
    <row r="75" spans="1:75" x14ac:dyDescent="0.3">
      <c r="A75" s="313"/>
      <c r="B75" s="34"/>
      <c r="C75" s="18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08">
        <f t="shared" si="6"/>
        <v>0</v>
      </c>
      <c r="BR75" s="108">
        <f t="shared" si="6"/>
        <v>0</v>
      </c>
      <c r="BS75" s="11"/>
      <c r="BT75" s="55">
        <f t="shared" si="8"/>
        <v>0</v>
      </c>
      <c r="BU75" s="40"/>
      <c r="BV75" s="41">
        <f t="shared" si="9"/>
        <v>0</v>
      </c>
      <c r="BW75" s="11"/>
    </row>
    <row r="76" spans="1:75" hidden="1" x14ac:dyDescent="0.3">
      <c r="A76" s="313"/>
      <c r="B76" s="34" t="s">
        <v>781</v>
      </c>
      <c r="C76" s="18">
        <v>0</v>
      </c>
      <c r="D76" s="11">
        <f t="shared" si="7"/>
        <v>0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08">
        <f t="shared" si="6"/>
        <v>0</v>
      </c>
      <c r="BR76" s="108">
        <f t="shared" si="6"/>
        <v>0</v>
      </c>
      <c r="BS76" s="11">
        <v>1.44</v>
      </c>
      <c r="BT76" s="55">
        <f t="shared" si="8"/>
        <v>0</v>
      </c>
      <c r="BU76" s="40">
        <v>75000</v>
      </c>
      <c r="BV76" s="41">
        <f t="shared" si="9"/>
        <v>0</v>
      </c>
      <c r="BW76" s="11"/>
    </row>
    <row r="77" spans="1:75" hidden="1" x14ac:dyDescent="0.3">
      <c r="A77" s="313"/>
      <c r="B77" s="34" t="s">
        <v>787</v>
      </c>
      <c r="C77" s="18">
        <v>0</v>
      </c>
      <c r="D77" s="11">
        <f t="shared" si="7"/>
        <v>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08">
        <f t="shared" si="6"/>
        <v>0</v>
      </c>
      <c r="BR77" s="108">
        <f t="shared" si="6"/>
        <v>0</v>
      </c>
      <c r="BS77" s="11">
        <v>1.44</v>
      </c>
      <c r="BT77" s="55">
        <f t="shared" si="8"/>
        <v>0</v>
      </c>
      <c r="BU77" s="40">
        <v>80000</v>
      </c>
      <c r="BV77" s="41">
        <f t="shared" si="9"/>
        <v>0</v>
      </c>
      <c r="BW77" s="11"/>
    </row>
    <row r="78" spans="1:75" ht="0.75" customHeight="1" x14ac:dyDescent="0.3">
      <c r="A78" s="313"/>
      <c r="B78" s="34" t="s">
        <v>782</v>
      </c>
      <c r="C78" s="18">
        <v>0</v>
      </c>
      <c r="D78" s="11">
        <f t="shared" si="7"/>
        <v>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08">
        <f t="shared" si="6"/>
        <v>0</v>
      </c>
      <c r="BR78" s="108">
        <f t="shared" si="6"/>
        <v>0</v>
      </c>
      <c r="BS78" s="11">
        <v>1.44</v>
      </c>
      <c r="BT78" s="55">
        <f t="shared" si="8"/>
        <v>0</v>
      </c>
      <c r="BU78" s="40">
        <v>75000</v>
      </c>
      <c r="BV78" s="41">
        <f t="shared" si="9"/>
        <v>0</v>
      </c>
      <c r="BW78" s="11"/>
    </row>
    <row r="79" spans="1:75" x14ac:dyDescent="0.3">
      <c r="A79" s="313"/>
      <c r="B79" s="34" t="s">
        <v>783</v>
      </c>
      <c r="C79" s="18">
        <v>7</v>
      </c>
      <c r="D79" s="11">
        <f t="shared" si="7"/>
        <v>7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08">
        <f t="shared" si="6"/>
        <v>0</v>
      </c>
      <c r="BR79" s="108">
        <f t="shared" si="6"/>
        <v>0</v>
      </c>
      <c r="BS79" s="11">
        <v>1.44</v>
      </c>
      <c r="BT79" s="55">
        <f t="shared" si="8"/>
        <v>10.08</v>
      </c>
      <c r="BU79" s="40">
        <v>65000</v>
      </c>
      <c r="BV79" s="41">
        <f t="shared" si="9"/>
        <v>655200</v>
      </c>
      <c r="BW79" s="11"/>
    </row>
    <row r="80" spans="1:75" x14ac:dyDescent="0.3">
      <c r="A80" s="10"/>
      <c r="B80" s="34"/>
      <c r="C80" s="18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08">
        <f t="shared" si="6"/>
        <v>0</v>
      </c>
      <c r="BR80" s="108">
        <f t="shared" si="6"/>
        <v>0</v>
      </c>
      <c r="BS80" s="124"/>
      <c r="BT80" s="55">
        <f t="shared" si="8"/>
        <v>0</v>
      </c>
      <c r="BU80" s="40"/>
      <c r="BV80" s="41">
        <f t="shared" si="9"/>
        <v>0</v>
      </c>
      <c r="BW80" s="11"/>
    </row>
    <row r="81" spans="1:75" x14ac:dyDescent="0.3">
      <c r="A81" s="10"/>
      <c r="B81" s="34"/>
      <c r="C81" s="18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08">
        <f t="shared" si="6"/>
        <v>0</v>
      </c>
      <c r="BR81" s="108">
        <f t="shared" si="6"/>
        <v>0</v>
      </c>
      <c r="BS81" s="124"/>
      <c r="BT81" s="55">
        <f t="shared" si="8"/>
        <v>0</v>
      </c>
      <c r="BU81" s="40"/>
      <c r="BV81" s="41">
        <f t="shared" si="9"/>
        <v>0</v>
      </c>
      <c r="BW81" s="11"/>
    </row>
    <row r="82" spans="1:75" x14ac:dyDescent="0.3">
      <c r="BR82" s="108">
        <f t="shared" si="6"/>
        <v>0</v>
      </c>
    </row>
  </sheetData>
  <mergeCells count="45">
    <mergeCell ref="BM1:BN1"/>
    <mergeCell ref="BQ1:BR1"/>
    <mergeCell ref="BC1:BD1"/>
    <mergeCell ref="BE1:BF1"/>
    <mergeCell ref="BG1:BH1"/>
    <mergeCell ref="BI1:BJ1"/>
    <mergeCell ref="BK1:BL1"/>
    <mergeCell ref="BO1:BP1"/>
    <mergeCell ref="AS1:AT1"/>
    <mergeCell ref="AU1:AV1"/>
    <mergeCell ref="AW1:AX1"/>
    <mergeCell ref="AY1:AZ1"/>
    <mergeCell ref="BA1:BB1"/>
    <mergeCell ref="AI1:AJ1"/>
    <mergeCell ref="AK1:AL1"/>
    <mergeCell ref="AM1:AN1"/>
    <mergeCell ref="AO1:AP1"/>
    <mergeCell ref="AQ1:AR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1:A2"/>
    <mergeCell ref="B1:B2"/>
    <mergeCell ref="C1:C2"/>
    <mergeCell ref="D1:D2"/>
    <mergeCell ref="A65:A79"/>
    <mergeCell ref="A19:A24"/>
    <mergeCell ref="A26:A38"/>
    <mergeCell ref="A3:B3"/>
    <mergeCell ref="A5:A8"/>
    <mergeCell ref="A10:A17"/>
    <mergeCell ref="A40:A54"/>
    <mergeCell ref="A56:A63"/>
  </mergeCells>
  <pageMargins left="0.23" right="0.21" top="0.16" bottom="0.24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6"/>
  <sheetViews>
    <sheetView workbookViewId="0">
      <pane xSplit="4" ySplit="3" topLeftCell="O25" activePane="bottomRight" state="frozen"/>
      <selection pane="topRight" activeCell="E1" sqref="E1"/>
      <selection pane="bottomLeft" activeCell="A4" sqref="A4"/>
      <selection pane="bottomRight" activeCell="P8" sqref="P8"/>
    </sheetView>
  </sheetViews>
  <sheetFormatPr defaultRowHeight="18.75" x14ac:dyDescent="0.3"/>
  <cols>
    <col min="1" max="1" width="19.140625" style="36" customWidth="1"/>
    <col min="2" max="2" width="18.7109375" style="5" customWidth="1"/>
    <col min="3" max="3" width="0.140625" style="19" customWidth="1"/>
    <col min="4" max="4" width="15" style="19" customWidth="1"/>
    <col min="5" max="68" width="8.85546875" style="5" customWidth="1"/>
    <col min="69" max="69" width="7.7109375" style="5" customWidth="1"/>
    <col min="70" max="70" width="8.28515625" style="5" customWidth="1"/>
    <col min="71" max="71" width="19.7109375" style="5" customWidth="1"/>
    <col min="72" max="72" width="18.85546875" style="25" customWidth="1"/>
    <col min="73" max="73" width="19.42578125" style="19" customWidth="1"/>
    <col min="74" max="74" width="22.7109375" style="19" customWidth="1"/>
    <col min="75" max="75" width="53.42578125" style="5" customWidth="1"/>
    <col min="76" max="16384" width="9.140625" style="5"/>
  </cols>
  <sheetData>
    <row r="1" spans="1:74" ht="29.25" customHeight="1" x14ac:dyDescent="0.3">
      <c r="A1" s="334" t="s">
        <v>189</v>
      </c>
      <c r="B1" s="336" t="s">
        <v>12138</v>
      </c>
      <c r="C1" s="337" t="s">
        <v>12306</v>
      </c>
      <c r="D1" s="339" t="s">
        <v>12307</v>
      </c>
      <c r="E1" s="305">
        <v>1</v>
      </c>
      <c r="F1" s="306"/>
      <c r="G1" s="305">
        <f>1+E1</f>
        <v>2</v>
      </c>
      <c r="H1" s="306"/>
      <c r="I1" s="305">
        <f>1+G1</f>
        <v>3</v>
      </c>
      <c r="J1" s="306"/>
      <c r="K1" s="305">
        <f>1+I1</f>
        <v>4</v>
      </c>
      <c r="L1" s="306"/>
      <c r="M1" s="305">
        <f>1+K1</f>
        <v>5</v>
      </c>
      <c r="N1" s="306"/>
      <c r="O1" s="305">
        <f>1+M1</f>
        <v>6</v>
      </c>
      <c r="P1" s="306"/>
      <c r="Q1" s="305">
        <f>1+O1</f>
        <v>7</v>
      </c>
      <c r="R1" s="306"/>
      <c r="S1" s="305">
        <f>1+Q1</f>
        <v>8</v>
      </c>
      <c r="T1" s="306"/>
      <c r="U1" s="305">
        <f>1+S1</f>
        <v>9</v>
      </c>
      <c r="V1" s="306"/>
      <c r="W1" s="305">
        <f>1+U1</f>
        <v>10</v>
      </c>
      <c r="X1" s="306"/>
      <c r="Y1" s="307">
        <f>1+W1</f>
        <v>11</v>
      </c>
      <c r="Z1" s="307"/>
      <c r="AA1" s="307">
        <f>1+Y1</f>
        <v>12</v>
      </c>
      <c r="AB1" s="307"/>
      <c r="AC1" s="307">
        <f>1+AA1</f>
        <v>13</v>
      </c>
      <c r="AD1" s="307"/>
      <c r="AE1" s="307">
        <f>1+AC1</f>
        <v>14</v>
      </c>
      <c r="AF1" s="307"/>
      <c r="AG1" s="307">
        <f>1+AE1</f>
        <v>15</v>
      </c>
      <c r="AH1" s="307"/>
      <c r="AI1" s="307">
        <f>1+AG1</f>
        <v>16</v>
      </c>
      <c r="AJ1" s="307"/>
      <c r="AK1" s="307">
        <f>1+AI1</f>
        <v>17</v>
      </c>
      <c r="AL1" s="307"/>
      <c r="AM1" s="307">
        <f>1+AK1</f>
        <v>18</v>
      </c>
      <c r="AN1" s="307"/>
      <c r="AO1" s="307">
        <f>1+AM1</f>
        <v>19</v>
      </c>
      <c r="AP1" s="307"/>
      <c r="AQ1" s="307">
        <f>1+AO1</f>
        <v>20</v>
      </c>
      <c r="AR1" s="307"/>
      <c r="AS1" s="307">
        <f>1+AQ1</f>
        <v>21</v>
      </c>
      <c r="AT1" s="307"/>
      <c r="AU1" s="307">
        <f>1+AS1</f>
        <v>22</v>
      </c>
      <c r="AV1" s="307"/>
      <c r="AW1" s="307">
        <f>1+AU1</f>
        <v>23</v>
      </c>
      <c r="AX1" s="307"/>
      <c r="AY1" s="307">
        <f>1+AW1</f>
        <v>24</v>
      </c>
      <c r="AZ1" s="307"/>
      <c r="BA1" s="307">
        <f>1+AY1</f>
        <v>25</v>
      </c>
      <c r="BB1" s="307"/>
      <c r="BC1" s="307">
        <f>1+BA1</f>
        <v>26</v>
      </c>
      <c r="BD1" s="307"/>
      <c r="BE1" s="307">
        <f>1+BC1</f>
        <v>27</v>
      </c>
      <c r="BF1" s="307"/>
      <c r="BG1" s="307">
        <f>1+BE1</f>
        <v>28</v>
      </c>
      <c r="BH1" s="307"/>
      <c r="BI1" s="307">
        <f>1+BG1</f>
        <v>29</v>
      </c>
      <c r="BJ1" s="307"/>
      <c r="BK1" s="307">
        <f>1+BI1</f>
        <v>30</v>
      </c>
      <c r="BL1" s="307"/>
      <c r="BM1" s="307">
        <f>1+BK1</f>
        <v>31</v>
      </c>
      <c r="BN1" s="307"/>
      <c r="BO1" s="340" t="s">
        <v>12175</v>
      </c>
      <c r="BP1" s="341"/>
      <c r="BQ1" s="307" t="s">
        <v>12139</v>
      </c>
      <c r="BR1" s="307"/>
      <c r="BS1" s="7" t="s">
        <v>408</v>
      </c>
      <c r="BT1" s="16" t="s">
        <v>405</v>
      </c>
      <c r="BU1" s="8" t="s">
        <v>406</v>
      </c>
      <c r="BV1" s="8" t="s">
        <v>407</v>
      </c>
    </row>
    <row r="2" spans="1:74" x14ac:dyDescent="0.3">
      <c r="A2" s="335"/>
      <c r="B2" s="306"/>
      <c r="C2" s="338"/>
      <c r="D2" s="338"/>
      <c r="E2" s="87" t="s">
        <v>12140</v>
      </c>
      <c r="F2" s="87" t="s">
        <v>12141</v>
      </c>
      <c r="G2" s="87" t="s">
        <v>12140</v>
      </c>
      <c r="H2" s="87" t="s">
        <v>12141</v>
      </c>
      <c r="I2" s="87" t="s">
        <v>12140</v>
      </c>
      <c r="J2" s="87" t="s">
        <v>12141</v>
      </c>
      <c r="K2" s="87" t="s">
        <v>12140</v>
      </c>
      <c r="L2" s="87" t="s">
        <v>12141</v>
      </c>
      <c r="M2" s="87" t="s">
        <v>12140</v>
      </c>
      <c r="N2" s="87" t="s">
        <v>12141</v>
      </c>
      <c r="O2" s="87" t="s">
        <v>12140</v>
      </c>
      <c r="P2" s="87" t="s">
        <v>12141</v>
      </c>
      <c r="Q2" s="87" t="s">
        <v>12140</v>
      </c>
      <c r="R2" s="87" t="s">
        <v>12141</v>
      </c>
      <c r="S2" s="87" t="s">
        <v>12140</v>
      </c>
      <c r="T2" s="87" t="s">
        <v>12141</v>
      </c>
      <c r="U2" s="87" t="s">
        <v>12140</v>
      </c>
      <c r="V2" s="87" t="s">
        <v>12141</v>
      </c>
      <c r="W2" s="87" t="s">
        <v>12140</v>
      </c>
      <c r="X2" s="87" t="s">
        <v>12141</v>
      </c>
      <c r="Y2" s="87" t="s">
        <v>12140</v>
      </c>
      <c r="Z2" s="87" t="s">
        <v>12141</v>
      </c>
      <c r="AA2" s="87" t="s">
        <v>12140</v>
      </c>
      <c r="AB2" s="87" t="s">
        <v>12141</v>
      </c>
      <c r="AC2" s="87" t="s">
        <v>12140</v>
      </c>
      <c r="AD2" s="87" t="s">
        <v>12141</v>
      </c>
      <c r="AE2" s="87" t="s">
        <v>12140</v>
      </c>
      <c r="AF2" s="87" t="s">
        <v>12141</v>
      </c>
      <c r="AG2" s="87" t="s">
        <v>12140</v>
      </c>
      <c r="AH2" s="87" t="s">
        <v>12141</v>
      </c>
      <c r="AI2" s="87" t="s">
        <v>12140</v>
      </c>
      <c r="AJ2" s="87" t="s">
        <v>12141</v>
      </c>
      <c r="AK2" s="87" t="s">
        <v>12140</v>
      </c>
      <c r="AL2" s="87" t="s">
        <v>12141</v>
      </c>
      <c r="AM2" s="87" t="s">
        <v>12140</v>
      </c>
      <c r="AN2" s="87" t="s">
        <v>12141</v>
      </c>
      <c r="AO2" s="87" t="s">
        <v>12140</v>
      </c>
      <c r="AP2" s="87" t="s">
        <v>12141</v>
      </c>
      <c r="AQ2" s="87" t="s">
        <v>12140</v>
      </c>
      <c r="AR2" s="87" t="s">
        <v>12141</v>
      </c>
      <c r="AS2" s="87" t="s">
        <v>12140</v>
      </c>
      <c r="AT2" s="87" t="s">
        <v>12141</v>
      </c>
      <c r="AU2" s="87" t="s">
        <v>12140</v>
      </c>
      <c r="AV2" s="87" t="s">
        <v>12141</v>
      </c>
      <c r="AW2" s="87" t="s">
        <v>12140</v>
      </c>
      <c r="AX2" s="87" t="s">
        <v>12141</v>
      </c>
      <c r="AY2" s="87" t="s">
        <v>12140</v>
      </c>
      <c r="AZ2" s="87" t="s">
        <v>12141</v>
      </c>
      <c r="BA2" s="87" t="s">
        <v>12140</v>
      </c>
      <c r="BB2" s="87" t="s">
        <v>12141</v>
      </c>
      <c r="BC2" s="87" t="s">
        <v>12140</v>
      </c>
      <c r="BD2" s="87" t="s">
        <v>12141</v>
      </c>
      <c r="BE2" s="87" t="s">
        <v>12140</v>
      </c>
      <c r="BF2" s="87" t="s">
        <v>12141</v>
      </c>
      <c r="BG2" s="87" t="s">
        <v>12140</v>
      </c>
      <c r="BH2" s="87" t="s">
        <v>12141</v>
      </c>
      <c r="BI2" s="87" t="s">
        <v>12140</v>
      </c>
      <c r="BJ2" s="87" t="s">
        <v>12141</v>
      </c>
      <c r="BK2" s="87" t="s">
        <v>12140</v>
      </c>
      <c r="BL2" s="87" t="s">
        <v>12141</v>
      </c>
      <c r="BM2" s="87" t="s">
        <v>12140</v>
      </c>
      <c r="BN2" s="87" t="s">
        <v>12141</v>
      </c>
      <c r="BO2" s="87" t="s">
        <v>12140</v>
      </c>
      <c r="BP2" s="87" t="s">
        <v>12141</v>
      </c>
      <c r="BQ2" s="87" t="s">
        <v>12140</v>
      </c>
      <c r="BR2" s="87" t="s">
        <v>12141</v>
      </c>
      <c r="BS2" s="7"/>
      <c r="BT2" s="16"/>
      <c r="BU2" s="8"/>
      <c r="BV2" s="8"/>
    </row>
    <row r="3" spans="1:74" x14ac:dyDescent="0.3">
      <c r="A3" s="332" t="s">
        <v>242</v>
      </c>
      <c r="B3" s="333"/>
      <c r="C3" s="14">
        <f>SUM(C4:C55)</f>
        <v>5546.0869999999995</v>
      </c>
      <c r="D3" s="14">
        <f>SUM(D4:D55)</f>
        <v>5095.0869999999995</v>
      </c>
      <c r="E3" s="108">
        <f t="shared" ref="E3:AJ3" si="0">SUM(E5:E261)</f>
        <v>0</v>
      </c>
      <c r="F3" s="108">
        <f t="shared" si="0"/>
        <v>198</v>
      </c>
      <c r="G3" s="108">
        <f t="shared" si="0"/>
        <v>0</v>
      </c>
      <c r="H3" s="108">
        <f t="shared" si="0"/>
        <v>172</v>
      </c>
      <c r="I3" s="108">
        <f t="shared" si="0"/>
        <v>0</v>
      </c>
      <c r="J3" s="108">
        <f t="shared" si="0"/>
        <v>30</v>
      </c>
      <c r="K3" s="108">
        <f t="shared" si="0"/>
        <v>0</v>
      </c>
      <c r="L3" s="108">
        <f t="shared" si="0"/>
        <v>7</v>
      </c>
      <c r="M3" s="108">
        <f t="shared" si="0"/>
        <v>0</v>
      </c>
      <c r="N3" s="108">
        <f t="shared" si="0"/>
        <v>34</v>
      </c>
      <c r="O3" s="108">
        <f t="shared" si="0"/>
        <v>0</v>
      </c>
      <c r="P3" s="108">
        <f t="shared" si="0"/>
        <v>10</v>
      </c>
      <c r="Q3" s="108">
        <f t="shared" si="0"/>
        <v>0</v>
      </c>
      <c r="R3" s="108">
        <f t="shared" si="0"/>
        <v>0</v>
      </c>
      <c r="S3" s="108">
        <f t="shared" si="0"/>
        <v>0</v>
      </c>
      <c r="T3" s="108">
        <f t="shared" si="0"/>
        <v>0</v>
      </c>
      <c r="U3" s="108">
        <f t="shared" si="0"/>
        <v>0</v>
      </c>
      <c r="V3" s="108">
        <f t="shared" si="0"/>
        <v>0</v>
      </c>
      <c r="W3" s="108">
        <f t="shared" si="0"/>
        <v>0</v>
      </c>
      <c r="X3" s="108">
        <f t="shared" si="0"/>
        <v>0</v>
      </c>
      <c r="Y3" s="108">
        <f t="shared" si="0"/>
        <v>0</v>
      </c>
      <c r="Z3" s="108">
        <f t="shared" si="0"/>
        <v>0</v>
      </c>
      <c r="AA3" s="108">
        <f t="shared" si="0"/>
        <v>0</v>
      </c>
      <c r="AB3" s="108">
        <f t="shared" si="0"/>
        <v>0</v>
      </c>
      <c r="AC3" s="108">
        <f t="shared" si="0"/>
        <v>0</v>
      </c>
      <c r="AD3" s="108">
        <f t="shared" si="0"/>
        <v>0</v>
      </c>
      <c r="AE3" s="108">
        <f t="shared" si="0"/>
        <v>0</v>
      </c>
      <c r="AF3" s="108">
        <f t="shared" si="0"/>
        <v>0</v>
      </c>
      <c r="AG3" s="108">
        <f t="shared" si="0"/>
        <v>0</v>
      </c>
      <c r="AH3" s="108">
        <f t="shared" si="0"/>
        <v>0</v>
      </c>
      <c r="AI3" s="108">
        <f t="shared" si="0"/>
        <v>0</v>
      </c>
      <c r="AJ3" s="108">
        <f t="shared" si="0"/>
        <v>0</v>
      </c>
      <c r="AK3" s="108">
        <f t="shared" ref="AK3:BP3" si="1">SUM(AK5:AK261)</f>
        <v>0</v>
      </c>
      <c r="AL3" s="108">
        <f t="shared" si="1"/>
        <v>0</v>
      </c>
      <c r="AM3" s="108">
        <f t="shared" si="1"/>
        <v>0</v>
      </c>
      <c r="AN3" s="108">
        <f t="shared" si="1"/>
        <v>0</v>
      </c>
      <c r="AO3" s="108">
        <f t="shared" si="1"/>
        <v>0</v>
      </c>
      <c r="AP3" s="108">
        <f t="shared" si="1"/>
        <v>0</v>
      </c>
      <c r="AQ3" s="108">
        <f t="shared" si="1"/>
        <v>0</v>
      </c>
      <c r="AR3" s="108">
        <f t="shared" si="1"/>
        <v>0</v>
      </c>
      <c r="AS3" s="108">
        <f t="shared" si="1"/>
        <v>0</v>
      </c>
      <c r="AT3" s="108">
        <f t="shared" si="1"/>
        <v>0</v>
      </c>
      <c r="AU3" s="108">
        <f t="shared" si="1"/>
        <v>0</v>
      </c>
      <c r="AV3" s="108">
        <f t="shared" si="1"/>
        <v>0</v>
      </c>
      <c r="AW3" s="108">
        <f t="shared" si="1"/>
        <v>0</v>
      </c>
      <c r="AX3" s="108">
        <f t="shared" si="1"/>
        <v>0</v>
      </c>
      <c r="AY3" s="108">
        <f t="shared" si="1"/>
        <v>0</v>
      </c>
      <c r="AZ3" s="108">
        <f t="shared" si="1"/>
        <v>0</v>
      </c>
      <c r="BA3" s="108">
        <f t="shared" si="1"/>
        <v>0</v>
      </c>
      <c r="BB3" s="108">
        <f t="shared" si="1"/>
        <v>0</v>
      </c>
      <c r="BC3" s="108">
        <f t="shared" si="1"/>
        <v>0</v>
      </c>
      <c r="BD3" s="108">
        <f t="shared" si="1"/>
        <v>0</v>
      </c>
      <c r="BE3" s="108">
        <f t="shared" si="1"/>
        <v>0</v>
      </c>
      <c r="BF3" s="108">
        <f t="shared" si="1"/>
        <v>0</v>
      </c>
      <c r="BG3" s="108">
        <f t="shared" si="1"/>
        <v>0</v>
      </c>
      <c r="BH3" s="108">
        <f t="shared" si="1"/>
        <v>0</v>
      </c>
      <c r="BI3" s="108">
        <f t="shared" si="1"/>
        <v>0</v>
      </c>
      <c r="BJ3" s="108">
        <f t="shared" si="1"/>
        <v>0</v>
      </c>
      <c r="BK3" s="108">
        <f t="shared" si="1"/>
        <v>0</v>
      </c>
      <c r="BL3" s="108">
        <f t="shared" si="1"/>
        <v>0</v>
      </c>
      <c r="BM3" s="108">
        <f t="shared" si="1"/>
        <v>0</v>
      </c>
      <c r="BN3" s="108">
        <f t="shared" si="1"/>
        <v>0</v>
      </c>
      <c r="BO3" s="108">
        <f t="shared" si="1"/>
        <v>0</v>
      </c>
      <c r="BP3" s="108">
        <f t="shared" si="1"/>
        <v>0</v>
      </c>
      <c r="BQ3" s="108">
        <f>+E3+G3+I3+K3+M3+O3+Q3+S3+U3+W3+Y3+AA3+AC3+AE3+AG3+AI3+AK3+AM3+AO3+AQ3+AS3+AU3+AW3+AY3+BA3+BC3+BE3+BG3+BI3+BK3+BM3+BO3</f>
        <v>0</v>
      </c>
      <c r="BR3" s="108">
        <f>+F3+H3+J3+L3+N3+P3+R3+T3+V3+X3+Z3+AB3+AD3+AF3+AH3+AJ3+AL3+AN3+AP3+AR3+AT3+AV3+AX3+AZ3+BB3+BD3+BF3+BH3+BJ3+BL3+BN3+BP3</f>
        <v>451</v>
      </c>
      <c r="BS3" s="14"/>
      <c r="BT3" s="17">
        <f>SUM(BT4:BT45)</f>
        <v>7017.2455000000009</v>
      </c>
      <c r="BU3" s="17"/>
      <c r="BV3" s="17">
        <f>SUM(BV4:BV45)</f>
        <v>483800957.5</v>
      </c>
    </row>
    <row r="4" spans="1:74" x14ac:dyDescent="0.3">
      <c r="A4" s="59"/>
      <c r="B4" s="45"/>
      <c r="C4" s="153"/>
      <c r="D4" s="153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108">
        <f t="shared" ref="BQ4:BQ46" si="2">+E4+G4+I4+K4+M4+O4+Q4+S4+U4+W4+Y4+AA4+AC4+AE4+AG4+AI4+AK4+AM4+AO4+AQ4+AS4+AU4+AW4+AY4+BA4+BC4+BE4+BG4+BI4+BK4+BM4+BO4</f>
        <v>0</v>
      </c>
      <c r="BR4" s="108">
        <f t="shared" ref="BR4:BR46" si="3">+F4+H4+J4+L4+N4+P4+R4+T4+V4+X4+Z4+AB4+AD4+AF4+AH4+AJ4+AL4+AN4+AP4+AR4+AT4+AV4+AX4+AZ4+BB4+BD4+BF4+BH4+BJ4+BL4+BN4+BP4</f>
        <v>0</v>
      </c>
      <c r="BS4" s="46"/>
    </row>
    <row r="5" spans="1:74" ht="28.5" customHeight="1" x14ac:dyDescent="0.3">
      <c r="A5" s="329" t="s">
        <v>241</v>
      </c>
      <c r="B5" s="21" t="s">
        <v>264</v>
      </c>
      <c r="C5" s="18">
        <v>243</v>
      </c>
      <c r="D5" s="18">
        <f>C5+BQ5-BR5</f>
        <v>236</v>
      </c>
      <c r="E5" s="11"/>
      <c r="F5" s="11">
        <v>7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08">
        <f t="shared" si="2"/>
        <v>0</v>
      </c>
      <c r="BR5" s="108">
        <f t="shared" si="3"/>
        <v>7</v>
      </c>
      <c r="BS5" s="11">
        <v>1.5</v>
      </c>
      <c r="BT5" s="24">
        <f>+BS5*D5</f>
        <v>354</v>
      </c>
      <c r="BU5" s="18">
        <v>65000</v>
      </c>
      <c r="BV5" s="28">
        <f>+BU5*BT5</f>
        <v>23010000</v>
      </c>
    </row>
    <row r="6" spans="1:74" ht="17.25" customHeight="1" x14ac:dyDescent="0.3">
      <c r="A6" s="330"/>
      <c r="B6" s="21" t="s">
        <v>265</v>
      </c>
      <c r="C6" s="18">
        <v>309</v>
      </c>
      <c r="D6" s="18">
        <f t="shared" ref="D6:D45" si="4">C6+BQ6-BR6</f>
        <v>309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08">
        <f t="shared" si="2"/>
        <v>0</v>
      </c>
      <c r="BR6" s="108">
        <f t="shared" si="3"/>
        <v>0</v>
      </c>
      <c r="BS6" s="11">
        <v>1.5</v>
      </c>
      <c r="BT6" s="24">
        <f t="shared" ref="BT6:BT45" si="5">+BS6*D6</f>
        <v>463.5</v>
      </c>
      <c r="BU6" s="18">
        <v>65000</v>
      </c>
      <c r="BV6" s="28">
        <f t="shared" ref="BV6:BV45" si="6">+BU6*BT6</f>
        <v>30127500</v>
      </c>
    </row>
    <row r="7" spans="1:74" ht="19.5" customHeight="1" x14ac:dyDescent="0.3">
      <c r="A7" s="330"/>
      <c r="B7" s="21" t="s">
        <v>266</v>
      </c>
      <c r="C7" s="18">
        <v>247.5</v>
      </c>
      <c r="D7" s="18">
        <f>C7+BQ7-BR7</f>
        <v>234.5</v>
      </c>
      <c r="E7" s="11"/>
      <c r="F7" s="11"/>
      <c r="G7" s="11"/>
      <c r="H7" s="11"/>
      <c r="I7" s="11"/>
      <c r="J7" s="11"/>
      <c r="K7" s="11"/>
      <c r="L7" s="11"/>
      <c r="M7" s="11"/>
      <c r="N7" s="11">
        <v>3</v>
      </c>
      <c r="O7" s="11"/>
      <c r="P7" s="11">
        <v>10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08">
        <f t="shared" si="2"/>
        <v>0</v>
      </c>
      <c r="BR7" s="108">
        <f t="shared" si="3"/>
        <v>13</v>
      </c>
      <c r="BS7" s="11">
        <v>1.5</v>
      </c>
      <c r="BT7" s="24">
        <f>+BS7*D7</f>
        <v>351.75</v>
      </c>
      <c r="BU7" s="18">
        <v>65000</v>
      </c>
      <c r="BV7" s="28">
        <f t="shared" si="6"/>
        <v>22863750</v>
      </c>
    </row>
    <row r="8" spans="1:74" ht="19.5" customHeight="1" x14ac:dyDescent="0.3">
      <c r="A8" s="330"/>
      <c r="B8" s="21" t="s">
        <v>267</v>
      </c>
      <c r="C8" s="18">
        <v>319.67000000000007</v>
      </c>
      <c r="D8" s="18">
        <f>C8+BQ8-BR8</f>
        <v>289.67000000000007</v>
      </c>
      <c r="E8" s="11"/>
      <c r="F8" s="11"/>
      <c r="G8" s="11"/>
      <c r="H8" s="11"/>
      <c r="I8" s="11"/>
      <c r="J8" s="11">
        <v>30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08">
        <f t="shared" si="2"/>
        <v>0</v>
      </c>
      <c r="BR8" s="108">
        <f t="shared" si="3"/>
        <v>30</v>
      </c>
      <c r="BS8" s="11">
        <v>1.5</v>
      </c>
      <c r="BT8" s="24">
        <f>+BS8*D8</f>
        <v>434.50500000000011</v>
      </c>
      <c r="BU8" s="18">
        <v>65000</v>
      </c>
      <c r="BV8" s="28">
        <f t="shared" si="6"/>
        <v>28242825.000000007</v>
      </c>
    </row>
    <row r="9" spans="1:74" ht="19.5" customHeight="1" x14ac:dyDescent="0.3">
      <c r="A9" s="330"/>
      <c r="B9" s="21" t="s">
        <v>12179</v>
      </c>
      <c r="C9" s="18">
        <v>258</v>
      </c>
      <c r="D9" s="18">
        <f>C9+BQ9-BR9</f>
        <v>207</v>
      </c>
      <c r="E9" s="11"/>
      <c r="F9" s="11"/>
      <c r="G9" s="11"/>
      <c r="H9" s="11">
        <f>2+45+4</f>
        <v>51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08">
        <f t="shared" si="2"/>
        <v>0</v>
      </c>
      <c r="BR9" s="108">
        <f t="shared" si="3"/>
        <v>51</v>
      </c>
      <c r="BS9" s="11">
        <v>1.5</v>
      </c>
      <c r="BT9" s="24">
        <f>+BS9*D9</f>
        <v>310.5</v>
      </c>
      <c r="BU9" s="18">
        <v>65000</v>
      </c>
      <c r="BV9" s="28">
        <f t="shared" si="6"/>
        <v>20182500</v>
      </c>
    </row>
    <row r="10" spans="1:74" ht="19.5" customHeight="1" x14ac:dyDescent="0.3">
      <c r="A10" s="330"/>
      <c r="B10" s="21" t="s">
        <v>12180</v>
      </c>
      <c r="C10" s="18">
        <v>209.5</v>
      </c>
      <c r="D10" s="18">
        <f>C10+BQ10-BR10</f>
        <v>131.5</v>
      </c>
      <c r="E10" s="11"/>
      <c r="F10" s="11"/>
      <c r="G10" s="11"/>
      <c r="H10" s="11">
        <f>64+14</f>
        <v>78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08">
        <f t="shared" si="2"/>
        <v>0</v>
      </c>
      <c r="BR10" s="108">
        <f t="shared" si="3"/>
        <v>78</v>
      </c>
      <c r="BS10" s="11">
        <v>1.5</v>
      </c>
      <c r="BT10" s="24">
        <f>+BS10*D10</f>
        <v>197.25</v>
      </c>
      <c r="BU10" s="18">
        <v>65000</v>
      </c>
      <c r="BV10" s="28">
        <f t="shared" si="6"/>
        <v>12821250</v>
      </c>
    </row>
    <row r="11" spans="1:74" ht="19.5" customHeight="1" x14ac:dyDescent="0.3">
      <c r="A11" s="331"/>
      <c r="B11" s="21" t="s">
        <v>12211</v>
      </c>
      <c r="C11" s="18">
        <v>227.66699999999997</v>
      </c>
      <c r="D11" s="18">
        <f>C11+BQ11-BR11</f>
        <v>209.66699999999997</v>
      </c>
      <c r="E11" s="11"/>
      <c r="F11" s="11">
        <v>18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08">
        <f t="shared" si="2"/>
        <v>0</v>
      </c>
      <c r="BR11" s="108">
        <f t="shared" si="3"/>
        <v>18</v>
      </c>
      <c r="BS11" s="11">
        <v>1.5</v>
      </c>
      <c r="BT11" s="24">
        <f>+BS11*D11</f>
        <v>314.50049999999999</v>
      </c>
      <c r="BU11" s="18">
        <v>65000</v>
      </c>
      <c r="BV11" s="28">
        <f t="shared" si="6"/>
        <v>20442532.5</v>
      </c>
    </row>
    <row r="12" spans="1:74" ht="15" customHeight="1" x14ac:dyDescent="0.3">
      <c r="A12" s="59"/>
      <c r="B12" s="21"/>
      <c r="C12" s="18"/>
      <c r="D12" s="18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08">
        <f t="shared" si="2"/>
        <v>0</v>
      </c>
      <c r="BR12" s="108">
        <f t="shared" si="3"/>
        <v>0</v>
      </c>
      <c r="BS12" s="11"/>
      <c r="BT12" s="24">
        <f t="shared" si="5"/>
        <v>0</v>
      </c>
      <c r="BU12" s="18"/>
      <c r="BV12" s="28">
        <f t="shared" si="6"/>
        <v>0</v>
      </c>
    </row>
    <row r="13" spans="1:74" ht="20.25" customHeight="1" x14ac:dyDescent="0.3">
      <c r="A13" s="330"/>
      <c r="B13" s="21" t="s">
        <v>2199</v>
      </c>
      <c r="C13" s="18">
        <v>94</v>
      </c>
      <c r="D13" s="18">
        <f t="shared" si="4"/>
        <v>94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08">
        <f t="shared" si="2"/>
        <v>0</v>
      </c>
      <c r="BR13" s="108">
        <f t="shared" si="3"/>
        <v>0</v>
      </c>
      <c r="BS13" s="11">
        <v>1.44</v>
      </c>
      <c r="BT13" s="24">
        <f t="shared" si="5"/>
        <v>135.35999999999999</v>
      </c>
      <c r="BU13" s="18">
        <v>65000</v>
      </c>
      <c r="BV13" s="28">
        <f t="shared" si="6"/>
        <v>8798399.9999999981</v>
      </c>
    </row>
    <row r="14" spans="1:74" ht="20.25" customHeight="1" x14ac:dyDescent="0.3">
      <c r="A14" s="330"/>
      <c r="B14" s="21" t="s">
        <v>828</v>
      </c>
      <c r="C14" s="18">
        <v>322.375</v>
      </c>
      <c r="D14" s="18">
        <f t="shared" si="4"/>
        <v>309.375</v>
      </c>
      <c r="E14" s="11"/>
      <c r="F14" s="11"/>
      <c r="G14" s="11"/>
      <c r="H14" s="11"/>
      <c r="I14" s="11"/>
      <c r="J14" s="11"/>
      <c r="K14" s="11"/>
      <c r="L14" s="11"/>
      <c r="M14" s="11"/>
      <c r="N14" s="11">
        <v>13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08">
        <f t="shared" si="2"/>
        <v>0</v>
      </c>
      <c r="BR14" s="108">
        <f t="shared" si="3"/>
        <v>13</v>
      </c>
      <c r="BS14" s="11">
        <v>1.44</v>
      </c>
      <c r="BT14" s="24">
        <f t="shared" si="5"/>
        <v>445.5</v>
      </c>
      <c r="BU14" s="18">
        <v>65000</v>
      </c>
      <c r="BV14" s="28">
        <f t="shared" si="6"/>
        <v>28957500</v>
      </c>
    </row>
    <row r="15" spans="1:74" ht="20.25" customHeight="1" x14ac:dyDescent="0.3">
      <c r="A15" s="330"/>
      <c r="B15" s="21" t="s">
        <v>827</v>
      </c>
      <c r="C15" s="18">
        <v>160.375</v>
      </c>
      <c r="D15" s="18">
        <f t="shared" si="4"/>
        <v>160.375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08">
        <f t="shared" si="2"/>
        <v>0</v>
      </c>
      <c r="BR15" s="108">
        <f t="shared" si="3"/>
        <v>0</v>
      </c>
      <c r="BS15" s="11">
        <v>1.44</v>
      </c>
      <c r="BT15" s="24">
        <f t="shared" si="5"/>
        <v>230.94</v>
      </c>
      <c r="BU15" s="18">
        <v>65000</v>
      </c>
      <c r="BV15" s="28">
        <f t="shared" si="6"/>
        <v>15011100</v>
      </c>
    </row>
    <row r="16" spans="1:74" ht="20.25" customHeight="1" x14ac:dyDescent="0.3">
      <c r="A16" s="330"/>
      <c r="B16" s="21" t="s">
        <v>829</v>
      </c>
      <c r="C16" s="18">
        <v>26.5</v>
      </c>
      <c r="D16" s="18">
        <f t="shared" si="4"/>
        <v>26.5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08">
        <f t="shared" si="2"/>
        <v>0</v>
      </c>
      <c r="BR16" s="108">
        <f t="shared" si="3"/>
        <v>0</v>
      </c>
      <c r="BS16" s="11">
        <v>1.44</v>
      </c>
      <c r="BT16" s="24">
        <f t="shared" si="5"/>
        <v>38.159999999999997</v>
      </c>
      <c r="BU16" s="18">
        <v>65000</v>
      </c>
      <c r="BV16" s="28">
        <f t="shared" si="6"/>
        <v>2480400</v>
      </c>
    </row>
    <row r="17" spans="1:75" ht="20.25" customHeight="1" x14ac:dyDescent="0.3">
      <c r="A17" s="330"/>
      <c r="B17" s="127" t="s">
        <v>830</v>
      </c>
      <c r="C17" s="129">
        <v>152</v>
      </c>
      <c r="D17" s="129">
        <f t="shared" si="4"/>
        <v>152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67"/>
      <c r="BQ17" s="108">
        <f t="shared" si="2"/>
        <v>0</v>
      </c>
      <c r="BR17" s="108">
        <f t="shared" si="3"/>
        <v>0</v>
      </c>
      <c r="BS17" s="11">
        <v>1.44</v>
      </c>
      <c r="BT17" s="24">
        <f t="shared" si="5"/>
        <v>218.88</v>
      </c>
      <c r="BU17" s="18">
        <v>65000</v>
      </c>
      <c r="BV17" s="28">
        <f t="shared" si="6"/>
        <v>14227200</v>
      </c>
      <c r="BW17" s="267"/>
    </row>
    <row r="18" spans="1:75" ht="20.25" customHeight="1" x14ac:dyDescent="0.3">
      <c r="A18" s="330"/>
      <c r="B18" s="21" t="s">
        <v>831</v>
      </c>
      <c r="C18" s="18">
        <v>116</v>
      </c>
      <c r="D18" s="18">
        <f t="shared" si="4"/>
        <v>116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08">
        <f t="shared" si="2"/>
        <v>0</v>
      </c>
      <c r="BR18" s="108">
        <f t="shared" si="3"/>
        <v>0</v>
      </c>
      <c r="BS18" s="11">
        <v>1.44</v>
      </c>
      <c r="BT18" s="24">
        <f t="shared" si="5"/>
        <v>167.04</v>
      </c>
      <c r="BU18" s="18">
        <v>65000</v>
      </c>
      <c r="BV18" s="28">
        <f t="shared" si="6"/>
        <v>10857600</v>
      </c>
    </row>
    <row r="19" spans="1:75" ht="20.25" customHeight="1" x14ac:dyDescent="0.3">
      <c r="A19" s="330"/>
      <c r="B19" s="21" t="s">
        <v>868</v>
      </c>
      <c r="C19" s="18">
        <v>46</v>
      </c>
      <c r="D19" s="18">
        <f t="shared" si="4"/>
        <v>46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08">
        <f t="shared" si="2"/>
        <v>0</v>
      </c>
      <c r="BR19" s="108">
        <f t="shared" si="3"/>
        <v>0</v>
      </c>
      <c r="BS19" s="11">
        <v>1.44</v>
      </c>
      <c r="BT19" s="24">
        <f t="shared" si="5"/>
        <v>66.239999999999995</v>
      </c>
      <c r="BU19" s="18">
        <v>65000</v>
      </c>
      <c r="BV19" s="28">
        <f t="shared" si="6"/>
        <v>4305600</v>
      </c>
    </row>
    <row r="20" spans="1:75" ht="20.25" customHeight="1" x14ac:dyDescent="0.3">
      <c r="A20" s="330"/>
      <c r="B20" s="21" t="s">
        <v>832</v>
      </c>
      <c r="C20" s="18">
        <v>57</v>
      </c>
      <c r="D20" s="18">
        <f t="shared" si="4"/>
        <v>46</v>
      </c>
      <c r="E20" s="11"/>
      <c r="F20" s="11">
        <v>11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08">
        <f t="shared" si="2"/>
        <v>0</v>
      </c>
      <c r="BR20" s="108">
        <f t="shared" si="3"/>
        <v>11</v>
      </c>
      <c r="BS20" s="11">
        <v>1.44</v>
      </c>
      <c r="BT20" s="24">
        <f t="shared" si="5"/>
        <v>66.239999999999995</v>
      </c>
      <c r="BU20" s="18">
        <v>65000</v>
      </c>
      <c r="BV20" s="28">
        <f t="shared" si="6"/>
        <v>4305600</v>
      </c>
    </row>
    <row r="21" spans="1:75" ht="20.25" customHeight="1" x14ac:dyDescent="0.3">
      <c r="A21" s="330"/>
      <c r="B21" s="21" t="s">
        <v>833</v>
      </c>
      <c r="C21" s="18">
        <v>135</v>
      </c>
      <c r="D21" s="18">
        <f t="shared" si="4"/>
        <v>120</v>
      </c>
      <c r="E21" s="11"/>
      <c r="F21" s="11">
        <v>15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08">
        <f t="shared" si="2"/>
        <v>0</v>
      </c>
      <c r="BR21" s="108">
        <f t="shared" si="3"/>
        <v>15</v>
      </c>
      <c r="BS21" s="11">
        <v>1.44</v>
      </c>
      <c r="BT21" s="24">
        <f t="shared" si="5"/>
        <v>172.79999999999998</v>
      </c>
      <c r="BU21" s="18">
        <v>65000</v>
      </c>
      <c r="BV21" s="28">
        <f t="shared" si="6"/>
        <v>11231999.999999998</v>
      </c>
    </row>
    <row r="22" spans="1:75" ht="20.25" customHeight="1" x14ac:dyDescent="0.3">
      <c r="A22" s="330"/>
      <c r="B22" s="21" t="s">
        <v>869</v>
      </c>
      <c r="C22" s="18">
        <v>36.5</v>
      </c>
      <c r="D22" s="18">
        <f t="shared" si="4"/>
        <v>36.5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08">
        <f t="shared" si="2"/>
        <v>0</v>
      </c>
      <c r="BR22" s="108">
        <f t="shared" si="3"/>
        <v>0</v>
      </c>
      <c r="BS22" s="11">
        <v>1.44</v>
      </c>
      <c r="BT22" s="24">
        <f t="shared" si="5"/>
        <v>52.559999999999995</v>
      </c>
      <c r="BU22" s="18">
        <v>65000</v>
      </c>
      <c r="BV22" s="28">
        <f t="shared" si="6"/>
        <v>3416399.9999999995</v>
      </c>
    </row>
    <row r="23" spans="1:75" ht="20.25" customHeight="1" x14ac:dyDescent="0.3">
      <c r="A23" s="330"/>
      <c r="B23" s="21" t="s">
        <v>834</v>
      </c>
      <c r="C23" s="18">
        <v>8</v>
      </c>
      <c r="D23" s="18">
        <f t="shared" si="4"/>
        <v>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08">
        <f t="shared" si="2"/>
        <v>0</v>
      </c>
      <c r="BR23" s="108">
        <f t="shared" si="3"/>
        <v>0</v>
      </c>
      <c r="BS23" s="11">
        <v>1.44</v>
      </c>
      <c r="BT23" s="24">
        <f t="shared" si="5"/>
        <v>11.52</v>
      </c>
      <c r="BU23" s="18">
        <v>65000</v>
      </c>
      <c r="BV23" s="28">
        <f t="shared" si="6"/>
        <v>748800</v>
      </c>
      <c r="BW23" s="358" t="s">
        <v>2246</v>
      </c>
    </row>
    <row r="24" spans="1:75" ht="20.25" customHeight="1" x14ac:dyDescent="0.3">
      <c r="A24" s="330"/>
      <c r="B24" s="21" t="s">
        <v>835</v>
      </c>
      <c r="C24" s="18">
        <v>7</v>
      </c>
      <c r="D24" s="18">
        <f t="shared" si="4"/>
        <v>0</v>
      </c>
      <c r="E24" s="11"/>
      <c r="F24" s="11"/>
      <c r="G24" s="11"/>
      <c r="H24" s="11"/>
      <c r="I24" s="11"/>
      <c r="J24" s="11"/>
      <c r="K24" s="11"/>
      <c r="L24" s="11">
        <v>7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08">
        <f t="shared" si="2"/>
        <v>0</v>
      </c>
      <c r="BR24" s="108">
        <f t="shared" si="3"/>
        <v>7</v>
      </c>
      <c r="BS24" s="11">
        <v>1.44</v>
      </c>
      <c r="BT24" s="24">
        <f t="shared" si="5"/>
        <v>0</v>
      </c>
      <c r="BU24" s="18">
        <v>65000</v>
      </c>
      <c r="BV24" s="28">
        <f t="shared" si="6"/>
        <v>0</v>
      </c>
      <c r="BW24" s="358"/>
    </row>
    <row r="25" spans="1:75" ht="20.25" customHeight="1" x14ac:dyDescent="0.3">
      <c r="A25" s="330"/>
      <c r="B25" s="21" t="s">
        <v>870</v>
      </c>
      <c r="C25" s="18">
        <v>20</v>
      </c>
      <c r="D25" s="18">
        <f t="shared" si="4"/>
        <v>20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08">
        <f t="shared" si="2"/>
        <v>0</v>
      </c>
      <c r="BR25" s="108">
        <f t="shared" si="3"/>
        <v>0</v>
      </c>
      <c r="BS25" s="11">
        <v>1.44</v>
      </c>
      <c r="BT25" s="24">
        <f t="shared" si="5"/>
        <v>28.799999999999997</v>
      </c>
      <c r="BU25" s="18">
        <v>65000</v>
      </c>
      <c r="BV25" s="28">
        <f t="shared" si="6"/>
        <v>1871999.9999999998</v>
      </c>
      <c r="BW25" s="358"/>
    </row>
    <row r="26" spans="1:75" ht="20.25" customHeight="1" x14ac:dyDescent="0.3">
      <c r="A26" s="330"/>
      <c r="B26" s="21" t="s">
        <v>837</v>
      </c>
      <c r="C26" s="18">
        <v>19</v>
      </c>
      <c r="D26" s="18">
        <f t="shared" si="4"/>
        <v>19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08">
        <f t="shared" si="2"/>
        <v>0</v>
      </c>
      <c r="BR26" s="108">
        <f t="shared" si="3"/>
        <v>0</v>
      </c>
      <c r="BS26" s="11">
        <v>1.44</v>
      </c>
      <c r="BT26" s="24">
        <f t="shared" si="5"/>
        <v>27.36</v>
      </c>
      <c r="BU26" s="18">
        <v>65000</v>
      </c>
      <c r="BV26" s="28">
        <f t="shared" si="6"/>
        <v>1778400</v>
      </c>
    </row>
    <row r="27" spans="1:75" ht="20.25" customHeight="1" x14ac:dyDescent="0.3">
      <c r="A27" s="330"/>
      <c r="B27" s="21" t="s">
        <v>838</v>
      </c>
      <c r="C27" s="18">
        <v>19.5</v>
      </c>
      <c r="D27" s="18">
        <f t="shared" si="4"/>
        <v>19.5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08">
        <f t="shared" si="2"/>
        <v>0</v>
      </c>
      <c r="BR27" s="108">
        <f t="shared" si="3"/>
        <v>0</v>
      </c>
      <c r="BS27" s="11">
        <v>1.44</v>
      </c>
      <c r="BT27" s="24">
        <f t="shared" si="5"/>
        <v>28.08</v>
      </c>
      <c r="BU27" s="18">
        <v>65000</v>
      </c>
      <c r="BV27" s="28">
        <f t="shared" si="6"/>
        <v>1825200</v>
      </c>
    </row>
    <row r="28" spans="1:75" ht="20.25" customHeight="1" x14ac:dyDescent="0.3">
      <c r="A28" s="331"/>
      <c r="B28" s="21" t="s">
        <v>836</v>
      </c>
      <c r="C28" s="18">
        <v>21.5</v>
      </c>
      <c r="D28" s="18">
        <f t="shared" si="4"/>
        <v>21.5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08">
        <f t="shared" si="2"/>
        <v>0</v>
      </c>
      <c r="BR28" s="108">
        <f t="shared" si="3"/>
        <v>0</v>
      </c>
      <c r="BS28" s="11">
        <v>1.44</v>
      </c>
      <c r="BT28" s="24">
        <f t="shared" si="5"/>
        <v>30.959999999999997</v>
      </c>
      <c r="BU28" s="18">
        <v>65000</v>
      </c>
      <c r="BV28" s="28">
        <f t="shared" si="6"/>
        <v>2012399.9999999998</v>
      </c>
    </row>
    <row r="29" spans="1:75" x14ac:dyDescent="0.3">
      <c r="A29" s="59"/>
      <c r="B29" s="21"/>
      <c r="C29" s="18">
        <v>0</v>
      </c>
      <c r="D29" s="18">
        <f t="shared" si="4"/>
        <v>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08">
        <f t="shared" si="2"/>
        <v>0</v>
      </c>
      <c r="BR29" s="108">
        <f t="shared" si="3"/>
        <v>0</v>
      </c>
      <c r="BS29" s="11"/>
      <c r="BT29" s="24">
        <f t="shared" si="5"/>
        <v>0</v>
      </c>
      <c r="BU29" s="18"/>
      <c r="BV29" s="28">
        <f t="shared" si="6"/>
        <v>0</v>
      </c>
    </row>
    <row r="30" spans="1:75" ht="23.25" customHeight="1" x14ac:dyDescent="0.3">
      <c r="A30" s="329" t="s">
        <v>4321</v>
      </c>
      <c r="B30" s="21" t="s">
        <v>4322</v>
      </c>
      <c r="C30" s="18">
        <v>314</v>
      </c>
      <c r="D30" s="18">
        <f t="shared" si="4"/>
        <v>289</v>
      </c>
      <c r="E30" s="11"/>
      <c r="F30" s="11"/>
      <c r="G30" s="11"/>
      <c r="H30" s="11">
        <v>25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08">
        <f t="shared" si="2"/>
        <v>0</v>
      </c>
      <c r="BR30" s="108">
        <f t="shared" si="3"/>
        <v>25</v>
      </c>
      <c r="BS30" s="11">
        <v>1.2</v>
      </c>
      <c r="BT30" s="24">
        <f t="shared" si="5"/>
        <v>346.8</v>
      </c>
      <c r="BU30" s="18">
        <v>85000</v>
      </c>
      <c r="BV30" s="28">
        <f t="shared" si="6"/>
        <v>29478000</v>
      </c>
    </row>
    <row r="31" spans="1:75" ht="23.25" customHeight="1" x14ac:dyDescent="0.3">
      <c r="A31" s="330"/>
      <c r="B31" s="21" t="s">
        <v>4323</v>
      </c>
      <c r="C31" s="18">
        <v>149</v>
      </c>
      <c r="D31" s="18">
        <f t="shared" si="4"/>
        <v>149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08">
        <f t="shared" si="2"/>
        <v>0</v>
      </c>
      <c r="BR31" s="108">
        <f t="shared" si="3"/>
        <v>0</v>
      </c>
      <c r="BS31" s="11">
        <v>1.2</v>
      </c>
      <c r="BT31" s="24">
        <f t="shared" si="5"/>
        <v>178.79999999999998</v>
      </c>
      <c r="BU31" s="18">
        <v>85000</v>
      </c>
      <c r="BV31" s="28">
        <f t="shared" si="6"/>
        <v>15197999.999999998</v>
      </c>
    </row>
    <row r="32" spans="1:75" ht="23.25" customHeight="1" x14ac:dyDescent="0.3">
      <c r="A32" s="330"/>
      <c r="B32" s="21" t="s">
        <v>4324</v>
      </c>
      <c r="C32" s="18">
        <v>255</v>
      </c>
      <c r="D32" s="18">
        <f t="shared" si="4"/>
        <v>255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08">
        <f t="shared" si="2"/>
        <v>0</v>
      </c>
      <c r="BR32" s="108">
        <f t="shared" si="3"/>
        <v>0</v>
      </c>
      <c r="BS32" s="11">
        <v>1.2</v>
      </c>
      <c r="BT32" s="24">
        <f t="shared" si="5"/>
        <v>306</v>
      </c>
      <c r="BU32" s="18">
        <v>85000</v>
      </c>
      <c r="BV32" s="28">
        <f t="shared" si="6"/>
        <v>26010000</v>
      </c>
    </row>
    <row r="33" spans="1:74" x14ac:dyDescent="0.3">
      <c r="A33" s="59"/>
      <c r="B33" s="11"/>
      <c r="C33" s="18">
        <v>0</v>
      </c>
      <c r="D33" s="18">
        <f t="shared" si="4"/>
        <v>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08">
        <f t="shared" si="2"/>
        <v>0</v>
      </c>
      <c r="BR33" s="108">
        <f t="shared" si="3"/>
        <v>0</v>
      </c>
      <c r="BS33" s="11"/>
      <c r="BT33" s="24">
        <f t="shared" si="5"/>
        <v>0</v>
      </c>
      <c r="BU33" s="18"/>
      <c r="BV33" s="28">
        <f t="shared" si="6"/>
        <v>0</v>
      </c>
    </row>
    <row r="34" spans="1:74" x14ac:dyDescent="0.3">
      <c r="A34" s="345" t="s">
        <v>224</v>
      </c>
      <c r="B34" s="21" t="s">
        <v>268</v>
      </c>
      <c r="C34" s="18">
        <v>10</v>
      </c>
      <c r="D34" s="18">
        <f t="shared" si="4"/>
        <v>10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08">
        <f t="shared" si="2"/>
        <v>0</v>
      </c>
      <c r="BR34" s="108">
        <f t="shared" si="3"/>
        <v>0</v>
      </c>
      <c r="BS34" s="11">
        <v>1.2</v>
      </c>
      <c r="BT34" s="24">
        <f t="shared" si="5"/>
        <v>12</v>
      </c>
      <c r="BU34" s="18">
        <v>79500</v>
      </c>
      <c r="BV34" s="28">
        <f t="shared" si="6"/>
        <v>954000</v>
      </c>
    </row>
    <row r="35" spans="1:74" x14ac:dyDescent="0.3">
      <c r="A35" s="356"/>
      <c r="B35" s="21" t="s">
        <v>269</v>
      </c>
      <c r="C35" s="18">
        <v>187</v>
      </c>
      <c r="D35" s="18">
        <f t="shared" si="4"/>
        <v>187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08">
        <f t="shared" si="2"/>
        <v>0</v>
      </c>
      <c r="BR35" s="108">
        <f t="shared" si="3"/>
        <v>0</v>
      </c>
      <c r="BS35" s="11">
        <v>1.2</v>
      </c>
      <c r="BT35" s="24">
        <f t="shared" si="5"/>
        <v>224.4</v>
      </c>
      <c r="BU35" s="18">
        <v>79500</v>
      </c>
      <c r="BV35" s="28">
        <f t="shared" si="6"/>
        <v>17839800</v>
      </c>
    </row>
    <row r="36" spans="1:74" x14ac:dyDescent="0.3">
      <c r="A36" s="356"/>
      <c r="B36" s="21" t="s">
        <v>270</v>
      </c>
      <c r="C36" s="18">
        <v>163</v>
      </c>
      <c r="D36" s="18">
        <f t="shared" si="4"/>
        <v>163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08">
        <f t="shared" si="2"/>
        <v>0</v>
      </c>
      <c r="BR36" s="108">
        <f t="shared" si="3"/>
        <v>0</v>
      </c>
      <c r="BS36" s="11">
        <v>1.2</v>
      </c>
      <c r="BT36" s="24">
        <f t="shared" si="5"/>
        <v>195.6</v>
      </c>
      <c r="BU36" s="18">
        <v>79500</v>
      </c>
      <c r="BV36" s="28">
        <f t="shared" si="6"/>
        <v>15550200</v>
      </c>
    </row>
    <row r="37" spans="1:74" x14ac:dyDescent="0.3">
      <c r="A37" s="357"/>
      <c r="B37" s="21" t="s">
        <v>271</v>
      </c>
      <c r="C37" s="18">
        <v>66</v>
      </c>
      <c r="D37" s="18">
        <f t="shared" si="4"/>
        <v>60</v>
      </c>
      <c r="E37" s="11"/>
      <c r="F37" s="11"/>
      <c r="G37" s="11"/>
      <c r="H37" s="11">
        <v>6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08">
        <f t="shared" si="2"/>
        <v>0</v>
      </c>
      <c r="BR37" s="108">
        <f t="shared" si="3"/>
        <v>6</v>
      </c>
      <c r="BS37" s="11">
        <v>1.2</v>
      </c>
      <c r="BT37" s="24">
        <f t="shared" si="5"/>
        <v>72</v>
      </c>
      <c r="BU37" s="18">
        <v>79500</v>
      </c>
      <c r="BV37" s="28">
        <f t="shared" si="6"/>
        <v>5724000</v>
      </c>
    </row>
    <row r="38" spans="1:74" x14ac:dyDescent="0.3">
      <c r="A38" s="59"/>
      <c r="B38" s="21"/>
      <c r="C38" s="18">
        <v>0</v>
      </c>
      <c r="D38" s="18">
        <f t="shared" si="4"/>
        <v>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08">
        <f t="shared" si="2"/>
        <v>0</v>
      </c>
      <c r="BR38" s="108">
        <f t="shared" si="3"/>
        <v>0</v>
      </c>
      <c r="BS38" s="11"/>
      <c r="BT38" s="24">
        <f t="shared" si="5"/>
        <v>0</v>
      </c>
      <c r="BU38" s="18"/>
      <c r="BV38" s="28">
        <f t="shared" si="6"/>
        <v>0</v>
      </c>
    </row>
    <row r="39" spans="1:74" x14ac:dyDescent="0.3">
      <c r="A39" s="345" t="s">
        <v>222</v>
      </c>
      <c r="B39" s="21" t="s">
        <v>272</v>
      </c>
      <c r="C39" s="18">
        <v>61</v>
      </c>
      <c r="D39" s="18">
        <f t="shared" si="4"/>
        <v>61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08">
        <f t="shared" si="2"/>
        <v>0</v>
      </c>
      <c r="BR39" s="108">
        <f t="shared" si="3"/>
        <v>0</v>
      </c>
      <c r="BS39" s="11">
        <v>1</v>
      </c>
      <c r="BT39" s="24">
        <f t="shared" si="5"/>
        <v>61</v>
      </c>
      <c r="BU39" s="18">
        <v>76000</v>
      </c>
      <c r="BV39" s="28">
        <f t="shared" si="6"/>
        <v>4636000</v>
      </c>
    </row>
    <row r="40" spans="1:74" ht="22.5" customHeight="1" x14ac:dyDescent="0.3">
      <c r="A40" s="356"/>
      <c r="B40" s="11" t="s">
        <v>2165</v>
      </c>
      <c r="C40" s="18">
        <v>224</v>
      </c>
      <c r="D40" s="18">
        <f t="shared" si="4"/>
        <v>224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08">
        <f t="shared" si="2"/>
        <v>0</v>
      </c>
      <c r="BR40" s="108">
        <f t="shared" si="3"/>
        <v>0</v>
      </c>
      <c r="BS40" s="11">
        <v>1</v>
      </c>
      <c r="BT40" s="24">
        <f t="shared" si="5"/>
        <v>224</v>
      </c>
      <c r="BU40" s="18">
        <v>76000</v>
      </c>
      <c r="BV40" s="28">
        <f t="shared" si="6"/>
        <v>17024000</v>
      </c>
    </row>
    <row r="41" spans="1:74" x14ac:dyDescent="0.3">
      <c r="A41" s="357"/>
      <c r="B41" s="11" t="s">
        <v>2166</v>
      </c>
      <c r="C41" s="18">
        <v>62</v>
      </c>
      <c r="D41" s="18">
        <f t="shared" si="4"/>
        <v>55</v>
      </c>
      <c r="E41" s="11"/>
      <c r="F41" s="11">
        <v>7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08">
        <f t="shared" si="2"/>
        <v>0</v>
      </c>
      <c r="BR41" s="108">
        <f t="shared" si="3"/>
        <v>7</v>
      </c>
      <c r="BS41" s="11">
        <v>1</v>
      </c>
      <c r="BT41" s="24">
        <f t="shared" si="5"/>
        <v>55</v>
      </c>
      <c r="BU41" s="18">
        <v>76000</v>
      </c>
      <c r="BV41" s="28">
        <f t="shared" si="6"/>
        <v>4180000</v>
      </c>
    </row>
    <row r="42" spans="1:74" x14ac:dyDescent="0.3">
      <c r="A42" s="65"/>
      <c r="B42" s="11"/>
      <c r="C42" s="18"/>
      <c r="D42" s="18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08">
        <f t="shared" si="2"/>
        <v>0</v>
      </c>
      <c r="BR42" s="108">
        <f t="shared" si="3"/>
        <v>0</v>
      </c>
      <c r="BS42" s="11"/>
      <c r="BT42" s="24">
        <f t="shared" si="5"/>
        <v>0</v>
      </c>
      <c r="BU42" s="18"/>
      <c r="BV42" s="28">
        <f t="shared" si="6"/>
        <v>0</v>
      </c>
    </row>
    <row r="43" spans="1:74" ht="24" customHeight="1" x14ac:dyDescent="0.3">
      <c r="A43" s="345" t="s">
        <v>12164</v>
      </c>
      <c r="B43" s="11" t="s">
        <v>12202</v>
      </c>
      <c r="C43" s="18">
        <v>308</v>
      </c>
      <c r="D43" s="18">
        <f t="shared" si="4"/>
        <v>168</v>
      </c>
      <c r="E43" s="11"/>
      <c r="F43" s="11">
        <f>136+4</f>
        <v>140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08">
        <f t="shared" si="2"/>
        <v>0</v>
      </c>
      <c r="BR43" s="108">
        <f t="shared" si="3"/>
        <v>140</v>
      </c>
      <c r="BS43" s="11">
        <v>1.44</v>
      </c>
      <c r="BT43" s="24">
        <f t="shared" si="5"/>
        <v>241.92</v>
      </c>
      <c r="BU43" s="18">
        <v>65000</v>
      </c>
      <c r="BV43" s="28">
        <f t="shared" si="6"/>
        <v>15724800</v>
      </c>
    </row>
    <row r="44" spans="1:74" ht="24" customHeight="1" x14ac:dyDescent="0.3">
      <c r="A44" s="356"/>
      <c r="B44" s="11" t="s">
        <v>4385</v>
      </c>
      <c r="C44" s="18">
        <v>319</v>
      </c>
      <c r="D44" s="18">
        <f t="shared" si="4"/>
        <v>301</v>
      </c>
      <c r="E44" s="11"/>
      <c r="F44" s="11"/>
      <c r="G44" s="11"/>
      <c r="H44" s="11"/>
      <c r="I44" s="11"/>
      <c r="J44" s="11"/>
      <c r="K44" s="11"/>
      <c r="L44" s="11"/>
      <c r="M44" s="11"/>
      <c r="N44" s="11">
        <v>18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08">
        <f t="shared" si="2"/>
        <v>0</v>
      </c>
      <c r="BR44" s="108">
        <f t="shared" si="3"/>
        <v>18</v>
      </c>
      <c r="BS44" s="11">
        <v>1.44</v>
      </c>
      <c r="BT44" s="24">
        <f t="shared" si="5"/>
        <v>433.44</v>
      </c>
      <c r="BU44" s="18">
        <v>65000</v>
      </c>
      <c r="BV44" s="28">
        <f t="shared" si="6"/>
        <v>28173600</v>
      </c>
    </row>
    <row r="45" spans="1:74" ht="24" customHeight="1" x14ac:dyDescent="0.3">
      <c r="A45" s="357"/>
      <c r="B45" s="11" t="s">
        <v>12208</v>
      </c>
      <c r="C45" s="18">
        <v>373</v>
      </c>
      <c r="D45" s="18">
        <f t="shared" si="4"/>
        <v>361</v>
      </c>
      <c r="E45" s="11"/>
      <c r="F45" s="11"/>
      <c r="G45" s="11"/>
      <c r="H45" s="11">
        <v>12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08">
        <f t="shared" si="2"/>
        <v>0</v>
      </c>
      <c r="BR45" s="108">
        <f t="shared" si="3"/>
        <v>12</v>
      </c>
      <c r="BS45" s="11">
        <v>1.44</v>
      </c>
      <c r="BT45" s="24">
        <f t="shared" si="5"/>
        <v>519.84</v>
      </c>
      <c r="BU45" s="18">
        <v>65000</v>
      </c>
      <c r="BV45" s="28">
        <f t="shared" si="6"/>
        <v>33789600</v>
      </c>
    </row>
    <row r="46" spans="1:74" x14ac:dyDescent="0.3">
      <c r="BQ46" s="108">
        <f t="shared" si="2"/>
        <v>0</v>
      </c>
      <c r="BR46" s="108">
        <f t="shared" si="3"/>
        <v>0</v>
      </c>
    </row>
  </sheetData>
  <mergeCells count="45">
    <mergeCell ref="BW23:BW25"/>
    <mergeCell ref="A34:A37"/>
    <mergeCell ref="A13:A28"/>
    <mergeCell ref="A1:A2"/>
    <mergeCell ref="B1:B2"/>
    <mergeCell ref="C1:C2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39:A41"/>
    <mergeCell ref="A43:A45"/>
    <mergeCell ref="A3:B3"/>
    <mergeCell ref="A30:A32"/>
    <mergeCell ref="D1:D2"/>
    <mergeCell ref="A5:A1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K1:BL1"/>
    <mergeCell ref="BM1:BN1"/>
    <mergeCell ref="BQ1:BR1"/>
    <mergeCell ref="BA1:BB1"/>
    <mergeCell ref="BC1:BD1"/>
    <mergeCell ref="BE1:BF1"/>
    <mergeCell ref="BG1:BH1"/>
    <mergeCell ref="BI1:BJ1"/>
    <mergeCell ref="BO1:BP1"/>
  </mergeCells>
  <pageMargins left="0.22" right="0.2" top="0.16" bottom="0.24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6"/>
  <sheetViews>
    <sheetView workbookViewId="0">
      <pane xSplit="4" ySplit="3" topLeftCell="K4" activePane="bottomRight" state="frozen"/>
      <selection pane="topRight" activeCell="E1" sqref="E1"/>
      <selection pane="bottomLeft" activeCell="A4" sqref="A4"/>
      <selection pane="bottomRight" activeCell="P25" sqref="P25"/>
    </sheetView>
  </sheetViews>
  <sheetFormatPr defaultRowHeight="18.75" x14ac:dyDescent="0.3"/>
  <cols>
    <col min="1" max="1" width="22" style="49" customWidth="1"/>
    <col min="2" max="2" width="16.7109375" style="5" customWidth="1"/>
    <col min="3" max="3" width="36" style="5" hidden="1" customWidth="1"/>
    <col min="4" max="4" width="15" style="5" customWidth="1"/>
    <col min="5" max="63" width="8.140625" style="5" customWidth="1"/>
    <col min="64" max="67" width="7.42578125" style="5" customWidth="1"/>
    <col min="68" max="68" width="11.140625" style="5" customWidth="1"/>
    <col min="69" max="69" width="7.42578125" style="5" customWidth="1"/>
    <col min="70" max="70" width="16.42578125" style="5" customWidth="1"/>
    <col min="71" max="71" width="11.5703125" style="5" customWidth="1"/>
    <col min="72" max="72" width="15.28515625" style="19" customWidth="1"/>
    <col min="73" max="73" width="31.140625" style="19" customWidth="1"/>
    <col min="74" max="74" width="33.5703125" style="19" customWidth="1"/>
    <col min="75" max="76" width="9.140625" style="5"/>
    <col min="77" max="77" width="24.85546875" style="19" customWidth="1"/>
    <col min="78" max="16384" width="9.140625" style="5"/>
  </cols>
  <sheetData>
    <row r="1" spans="1:74" ht="31.5" customHeight="1" x14ac:dyDescent="0.3">
      <c r="A1" s="355" t="s">
        <v>189</v>
      </c>
      <c r="B1" s="307" t="s">
        <v>12138</v>
      </c>
      <c r="C1" s="337" t="s">
        <v>12306</v>
      </c>
      <c r="D1" s="339" t="s">
        <v>12307</v>
      </c>
      <c r="E1" s="307">
        <v>1</v>
      </c>
      <c r="F1" s="307"/>
      <c r="G1" s="307">
        <f>1+E1</f>
        <v>2</v>
      </c>
      <c r="H1" s="307"/>
      <c r="I1" s="307">
        <f>1+G1</f>
        <v>3</v>
      </c>
      <c r="J1" s="307"/>
      <c r="K1" s="307">
        <f>1+I1</f>
        <v>4</v>
      </c>
      <c r="L1" s="307"/>
      <c r="M1" s="307">
        <f>1+K1</f>
        <v>5</v>
      </c>
      <c r="N1" s="307"/>
      <c r="O1" s="307">
        <f>1+M1</f>
        <v>6</v>
      </c>
      <c r="P1" s="307"/>
      <c r="Q1" s="307">
        <f>1+O1</f>
        <v>7</v>
      </c>
      <c r="R1" s="307"/>
      <c r="S1" s="307">
        <f>1+Q1</f>
        <v>8</v>
      </c>
      <c r="T1" s="307"/>
      <c r="U1" s="307">
        <f>1+S1</f>
        <v>9</v>
      </c>
      <c r="V1" s="307"/>
      <c r="W1" s="307">
        <f>1+U1</f>
        <v>10</v>
      </c>
      <c r="X1" s="307"/>
      <c r="Y1" s="307">
        <f>1+W1</f>
        <v>11</v>
      </c>
      <c r="Z1" s="307"/>
      <c r="AA1" s="307">
        <f>1+Y1</f>
        <v>12</v>
      </c>
      <c r="AB1" s="307"/>
      <c r="AC1" s="307">
        <f>1+AA1</f>
        <v>13</v>
      </c>
      <c r="AD1" s="307"/>
      <c r="AE1" s="307">
        <f>1+AC1</f>
        <v>14</v>
      </c>
      <c r="AF1" s="307"/>
      <c r="AG1" s="307">
        <f>1+AE1</f>
        <v>15</v>
      </c>
      <c r="AH1" s="307"/>
      <c r="AI1" s="307">
        <f>1+AG1</f>
        <v>16</v>
      </c>
      <c r="AJ1" s="307"/>
      <c r="AK1" s="307">
        <f>1+AI1</f>
        <v>17</v>
      </c>
      <c r="AL1" s="307"/>
      <c r="AM1" s="307">
        <f>1+AK1</f>
        <v>18</v>
      </c>
      <c r="AN1" s="307"/>
      <c r="AO1" s="307">
        <f>1+AM1</f>
        <v>19</v>
      </c>
      <c r="AP1" s="307"/>
      <c r="AQ1" s="307">
        <f>1+AO1</f>
        <v>20</v>
      </c>
      <c r="AR1" s="307"/>
      <c r="AS1" s="307">
        <f>1+AQ1</f>
        <v>21</v>
      </c>
      <c r="AT1" s="307"/>
      <c r="AU1" s="307">
        <f>1+AS1</f>
        <v>22</v>
      </c>
      <c r="AV1" s="307"/>
      <c r="AW1" s="307">
        <f>1+AU1</f>
        <v>23</v>
      </c>
      <c r="AX1" s="307"/>
      <c r="AY1" s="307">
        <f>1+AW1</f>
        <v>24</v>
      </c>
      <c r="AZ1" s="307"/>
      <c r="BA1" s="307">
        <f>1+AY1</f>
        <v>25</v>
      </c>
      <c r="BB1" s="307"/>
      <c r="BC1" s="307">
        <f>1+BA1</f>
        <v>26</v>
      </c>
      <c r="BD1" s="307"/>
      <c r="BE1" s="307">
        <f>1+BC1</f>
        <v>27</v>
      </c>
      <c r="BF1" s="307"/>
      <c r="BG1" s="307">
        <f>1+BE1</f>
        <v>28</v>
      </c>
      <c r="BH1" s="307"/>
      <c r="BI1" s="307">
        <f>1+BG1</f>
        <v>29</v>
      </c>
      <c r="BJ1" s="307"/>
      <c r="BK1" s="307">
        <f>1+BI1</f>
        <v>30</v>
      </c>
      <c r="BL1" s="307"/>
      <c r="BM1" s="307">
        <f>1+BK1</f>
        <v>31</v>
      </c>
      <c r="BN1" s="307"/>
      <c r="BO1" s="340" t="s">
        <v>12172</v>
      </c>
      <c r="BP1" s="341"/>
      <c r="BQ1" s="307" t="s">
        <v>12139</v>
      </c>
      <c r="BR1" s="307"/>
      <c r="BS1" s="149" t="s">
        <v>408</v>
      </c>
      <c r="BT1" s="48" t="s">
        <v>405</v>
      </c>
      <c r="BU1" s="48" t="s">
        <v>406</v>
      </c>
      <c r="BV1" s="8" t="s">
        <v>407</v>
      </c>
    </row>
    <row r="2" spans="1:74" ht="24.75" customHeight="1" x14ac:dyDescent="0.3">
      <c r="A2" s="355"/>
      <c r="B2" s="307"/>
      <c r="C2" s="338"/>
      <c r="D2" s="338"/>
      <c r="E2" s="87" t="s">
        <v>12140</v>
      </c>
      <c r="F2" s="87" t="s">
        <v>12141</v>
      </c>
      <c r="G2" s="87" t="s">
        <v>12140</v>
      </c>
      <c r="H2" s="87" t="s">
        <v>12141</v>
      </c>
      <c r="I2" s="87" t="s">
        <v>12140</v>
      </c>
      <c r="J2" s="87" t="s">
        <v>12141</v>
      </c>
      <c r="K2" s="87" t="s">
        <v>12140</v>
      </c>
      <c r="L2" s="87" t="s">
        <v>12141</v>
      </c>
      <c r="M2" s="87" t="s">
        <v>12140</v>
      </c>
      <c r="N2" s="87" t="s">
        <v>12141</v>
      </c>
      <c r="O2" s="87" t="s">
        <v>12140</v>
      </c>
      <c r="P2" s="87" t="s">
        <v>12141</v>
      </c>
      <c r="Q2" s="87" t="s">
        <v>12140</v>
      </c>
      <c r="R2" s="87" t="s">
        <v>12141</v>
      </c>
      <c r="S2" s="87" t="s">
        <v>12140</v>
      </c>
      <c r="T2" s="87" t="s">
        <v>12141</v>
      </c>
      <c r="U2" s="87" t="s">
        <v>12140</v>
      </c>
      <c r="V2" s="87" t="s">
        <v>12141</v>
      </c>
      <c r="W2" s="87" t="s">
        <v>12140</v>
      </c>
      <c r="X2" s="87" t="s">
        <v>12141</v>
      </c>
      <c r="Y2" s="87" t="s">
        <v>12140</v>
      </c>
      <c r="Z2" s="87" t="s">
        <v>12141</v>
      </c>
      <c r="AA2" s="87" t="s">
        <v>12140</v>
      </c>
      <c r="AB2" s="87" t="s">
        <v>12141</v>
      </c>
      <c r="AC2" s="87" t="s">
        <v>12140</v>
      </c>
      <c r="AD2" s="87" t="s">
        <v>12141</v>
      </c>
      <c r="AE2" s="87" t="s">
        <v>12140</v>
      </c>
      <c r="AF2" s="87" t="s">
        <v>12141</v>
      </c>
      <c r="AG2" s="87" t="s">
        <v>12140</v>
      </c>
      <c r="AH2" s="87" t="s">
        <v>12141</v>
      </c>
      <c r="AI2" s="87" t="s">
        <v>12140</v>
      </c>
      <c r="AJ2" s="87" t="s">
        <v>12141</v>
      </c>
      <c r="AK2" s="87" t="s">
        <v>12140</v>
      </c>
      <c r="AL2" s="87" t="s">
        <v>12141</v>
      </c>
      <c r="AM2" s="87" t="s">
        <v>12140</v>
      </c>
      <c r="AN2" s="87" t="s">
        <v>12141</v>
      </c>
      <c r="AO2" s="87" t="s">
        <v>12140</v>
      </c>
      <c r="AP2" s="87" t="s">
        <v>12141</v>
      </c>
      <c r="AQ2" s="87" t="s">
        <v>12140</v>
      </c>
      <c r="AR2" s="87" t="s">
        <v>12141</v>
      </c>
      <c r="AS2" s="87" t="s">
        <v>12140</v>
      </c>
      <c r="AT2" s="87" t="s">
        <v>12141</v>
      </c>
      <c r="AU2" s="87" t="s">
        <v>12140</v>
      </c>
      <c r="AV2" s="87" t="s">
        <v>12141</v>
      </c>
      <c r="AW2" s="87" t="s">
        <v>12140</v>
      </c>
      <c r="AX2" s="87" t="s">
        <v>12141</v>
      </c>
      <c r="AY2" s="87" t="s">
        <v>12140</v>
      </c>
      <c r="AZ2" s="87" t="s">
        <v>12141</v>
      </c>
      <c r="BA2" s="87" t="s">
        <v>12140</v>
      </c>
      <c r="BB2" s="87" t="s">
        <v>12141</v>
      </c>
      <c r="BC2" s="87" t="s">
        <v>12140</v>
      </c>
      <c r="BD2" s="87" t="s">
        <v>12141</v>
      </c>
      <c r="BE2" s="87" t="s">
        <v>12140</v>
      </c>
      <c r="BF2" s="87" t="s">
        <v>12141</v>
      </c>
      <c r="BG2" s="87" t="s">
        <v>12140</v>
      </c>
      <c r="BH2" s="87" t="s">
        <v>12141</v>
      </c>
      <c r="BI2" s="87" t="s">
        <v>12140</v>
      </c>
      <c r="BJ2" s="87" t="s">
        <v>12141</v>
      </c>
      <c r="BK2" s="87" t="s">
        <v>12140</v>
      </c>
      <c r="BL2" s="87" t="s">
        <v>12141</v>
      </c>
      <c r="BM2" s="87" t="s">
        <v>12140</v>
      </c>
      <c r="BN2" s="87" t="s">
        <v>12141</v>
      </c>
      <c r="BO2" s="87" t="s">
        <v>12140</v>
      </c>
      <c r="BP2" s="87" t="s">
        <v>12141</v>
      </c>
      <c r="BQ2" s="87" t="s">
        <v>12140</v>
      </c>
      <c r="BR2" s="87" t="s">
        <v>12141</v>
      </c>
      <c r="BS2" s="149"/>
      <c r="BT2" s="48"/>
      <c r="BU2" s="48"/>
      <c r="BV2" s="8"/>
    </row>
    <row r="3" spans="1:74" ht="18" customHeight="1" x14ac:dyDescent="0.3">
      <c r="A3" s="314" t="s">
        <v>242</v>
      </c>
      <c r="B3" s="314"/>
      <c r="C3" s="14">
        <f>SUM(C5:C26)</f>
        <v>712</v>
      </c>
      <c r="D3" s="14">
        <f>SUM(D6:D26)</f>
        <v>624</v>
      </c>
      <c r="E3" s="108">
        <f t="shared" ref="E3:AJ3" si="0">SUM(E5:E255)</f>
        <v>0</v>
      </c>
      <c r="F3" s="108">
        <f t="shared" si="0"/>
        <v>0</v>
      </c>
      <c r="G3" s="108">
        <f t="shared" si="0"/>
        <v>0</v>
      </c>
      <c r="H3" s="108">
        <f t="shared" si="0"/>
        <v>0</v>
      </c>
      <c r="I3" s="108">
        <f t="shared" si="0"/>
        <v>0</v>
      </c>
      <c r="J3" s="108">
        <f t="shared" si="0"/>
        <v>0</v>
      </c>
      <c r="K3" s="108">
        <f t="shared" si="0"/>
        <v>0</v>
      </c>
      <c r="L3" s="108">
        <f t="shared" si="0"/>
        <v>80</v>
      </c>
      <c r="M3" s="108">
        <f t="shared" si="0"/>
        <v>0</v>
      </c>
      <c r="N3" s="108">
        <f t="shared" si="0"/>
        <v>0</v>
      </c>
      <c r="O3" s="108">
        <f t="shared" si="0"/>
        <v>0</v>
      </c>
      <c r="P3" s="108">
        <f t="shared" si="0"/>
        <v>8</v>
      </c>
      <c r="Q3" s="108">
        <f t="shared" si="0"/>
        <v>0</v>
      </c>
      <c r="R3" s="108">
        <f t="shared" si="0"/>
        <v>0</v>
      </c>
      <c r="S3" s="108">
        <f t="shared" si="0"/>
        <v>0</v>
      </c>
      <c r="T3" s="108">
        <f t="shared" si="0"/>
        <v>0</v>
      </c>
      <c r="U3" s="108">
        <f t="shared" si="0"/>
        <v>0</v>
      </c>
      <c r="V3" s="108">
        <f t="shared" si="0"/>
        <v>0</v>
      </c>
      <c r="W3" s="108">
        <f t="shared" si="0"/>
        <v>0</v>
      </c>
      <c r="X3" s="108">
        <f t="shared" si="0"/>
        <v>0</v>
      </c>
      <c r="Y3" s="108">
        <f t="shared" si="0"/>
        <v>0</v>
      </c>
      <c r="Z3" s="108">
        <f t="shared" si="0"/>
        <v>0</v>
      </c>
      <c r="AA3" s="108">
        <f t="shared" si="0"/>
        <v>0</v>
      </c>
      <c r="AB3" s="108">
        <f t="shared" si="0"/>
        <v>0</v>
      </c>
      <c r="AC3" s="108">
        <f t="shared" si="0"/>
        <v>0</v>
      </c>
      <c r="AD3" s="108">
        <f t="shared" si="0"/>
        <v>0</v>
      </c>
      <c r="AE3" s="108">
        <f t="shared" si="0"/>
        <v>0</v>
      </c>
      <c r="AF3" s="108">
        <f t="shared" si="0"/>
        <v>0</v>
      </c>
      <c r="AG3" s="108">
        <f t="shared" si="0"/>
        <v>0</v>
      </c>
      <c r="AH3" s="108">
        <f t="shared" si="0"/>
        <v>0</v>
      </c>
      <c r="AI3" s="108">
        <f t="shared" si="0"/>
        <v>0</v>
      </c>
      <c r="AJ3" s="108">
        <f t="shared" si="0"/>
        <v>0</v>
      </c>
      <c r="AK3" s="108">
        <f t="shared" ref="AK3:BP3" si="1">SUM(AK5:AK255)</f>
        <v>0</v>
      </c>
      <c r="AL3" s="108">
        <f t="shared" si="1"/>
        <v>0</v>
      </c>
      <c r="AM3" s="108">
        <f t="shared" si="1"/>
        <v>0</v>
      </c>
      <c r="AN3" s="108">
        <f t="shared" si="1"/>
        <v>0</v>
      </c>
      <c r="AO3" s="108">
        <f t="shared" si="1"/>
        <v>0</v>
      </c>
      <c r="AP3" s="108">
        <f t="shared" si="1"/>
        <v>0</v>
      </c>
      <c r="AQ3" s="108">
        <f t="shared" si="1"/>
        <v>0</v>
      </c>
      <c r="AR3" s="108">
        <f t="shared" si="1"/>
        <v>0</v>
      </c>
      <c r="AS3" s="108">
        <f t="shared" si="1"/>
        <v>0</v>
      </c>
      <c r="AT3" s="108">
        <f t="shared" si="1"/>
        <v>0</v>
      </c>
      <c r="AU3" s="108">
        <f t="shared" si="1"/>
        <v>0</v>
      </c>
      <c r="AV3" s="108">
        <f t="shared" si="1"/>
        <v>0</v>
      </c>
      <c r="AW3" s="108">
        <f t="shared" si="1"/>
        <v>0</v>
      </c>
      <c r="AX3" s="108">
        <f t="shared" si="1"/>
        <v>0</v>
      </c>
      <c r="AY3" s="108">
        <f t="shared" si="1"/>
        <v>0</v>
      </c>
      <c r="AZ3" s="108">
        <f t="shared" si="1"/>
        <v>0</v>
      </c>
      <c r="BA3" s="108">
        <f t="shared" si="1"/>
        <v>0</v>
      </c>
      <c r="BB3" s="108">
        <f t="shared" si="1"/>
        <v>0</v>
      </c>
      <c r="BC3" s="108">
        <f t="shared" si="1"/>
        <v>0</v>
      </c>
      <c r="BD3" s="108">
        <f t="shared" si="1"/>
        <v>0</v>
      </c>
      <c r="BE3" s="108">
        <f t="shared" si="1"/>
        <v>0</v>
      </c>
      <c r="BF3" s="108">
        <f t="shared" si="1"/>
        <v>0</v>
      </c>
      <c r="BG3" s="108">
        <f t="shared" si="1"/>
        <v>0</v>
      </c>
      <c r="BH3" s="108">
        <f t="shared" si="1"/>
        <v>0</v>
      </c>
      <c r="BI3" s="108">
        <f t="shared" si="1"/>
        <v>0</v>
      </c>
      <c r="BJ3" s="108">
        <f t="shared" si="1"/>
        <v>0</v>
      </c>
      <c r="BK3" s="108">
        <f t="shared" si="1"/>
        <v>0</v>
      </c>
      <c r="BL3" s="108">
        <f t="shared" si="1"/>
        <v>0</v>
      </c>
      <c r="BM3" s="108">
        <f t="shared" si="1"/>
        <v>0</v>
      </c>
      <c r="BN3" s="108">
        <f t="shared" si="1"/>
        <v>0</v>
      </c>
      <c r="BO3" s="108">
        <f t="shared" si="1"/>
        <v>0</v>
      </c>
      <c r="BP3" s="108">
        <f t="shared" si="1"/>
        <v>0</v>
      </c>
      <c r="BQ3" s="108">
        <f>+E3+G3+I3+K3+M3+O3+Q3+S3+U3+W3+Y3+AA3+AC3+AE3+AG3+AI3+AK3+AM3+AO3+AQ3+AS3+AU3+AW3+AY3+BA3+BC3+BE3+BG3+BI3+BK3+BM3+BO3</f>
        <v>0</v>
      </c>
      <c r="BR3" s="108">
        <f>+F3+H3+J3+L3+N3+P3+R3+T3+V3+X3+Z3+AB3+AD3+AF3+AH3+AJ3+AL3+AN3+AP3+AR3+AT3+AV3+AX3+AZ3+BB3+BD3+BF3+BH3+BJ3+BL3+BN3+BP3</f>
        <v>88</v>
      </c>
      <c r="BS3" s="14"/>
      <c r="BT3" s="14">
        <f>SUM(BT6:BT26)</f>
        <v>1080.96</v>
      </c>
      <c r="BU3" s="14"/>
      <c r="BV3" s="14">
        <f>SUM(BV6:BV26)</f>
        <v>132511840</v>
      </c>
    </row>
    <row r="4" spans="1:74" ht="16.5" customHeight="1" x14ac:dyDescent="0.3">
      <c r="A4" s="146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108">
        <f t="shared" ref="BQ4:BQ26" si="2">+E4+G4+I4+K4+M4+O4+Q4+S4+U4+W4+Y4+AA4+AC4+AE4+AG4+AI4+AK4+AM4+AO4+AQ4+AS4+AU4+AW4+AY4+BA4+BC4+BE4+BG4+BI4+BK4+BM4+BO4</f>
        <v>0</v>
      </c>
      <c r="BR4" s="108">
        <f t="shared" ref="BR4:BR26" si="3">+F4+H4+J4+L4+N4+P4+R4+T4+V4+X4+Z4+AB4+AD4+AF4+AH4+AJ4+AL4+AN4+AP4+AR4+AT4+AV4+AX4+AZ4+BB4+BD4+BF4+BH4+BJ4+BL4+BN4+BP4</f>
        <v>0</v>
      </c>
      <c r="BS4" s="147"/>
      <c r="BT4" s="18"/>
      <c r="BU4" s="18"/>
      <c r="BV4" s="18"/>
    </row>
    <row r="5" spans="1:74" x14ac:dyDescent="0.3">
      <c r="A5" s="360" t="s">
        <v>273</v>
      </c>
      <c r="B5" s="360"/>
      <c r="C5" s="11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108">
        <f t="shared" si="2"/>
        <v>0</v>
      </c>
      <c r="BR5" s="108">
        <f t="shared" si="3"/>
        <v>0</v>
      </c>
      <c r="BS5" s="11"/>
      <c r="BT5" s="18"/>
      <c r="BU5" s="18"/>
      <c r="BV5" s="18"/>
    </row>
    <row r="6" spans="1:74" x14ac:dyDescent="0.3">
      <c r="A6" s="359" t="s">
        <v>258</v>
      </c>
      <c r="B6" s="21" t="s">
        <v>274</v>
      </c>
      <c r="C6" s="11">
        <v>11</v>
      </c>
      <c r="D6" s="131">
        <f>+C6+BQ6-BR6</f>
        <v>11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108">
        <f t="shared" si="2"/>
        <v>0</v>
      </c>
      <c r="BR6" s="108">
        <f t="shared" si="3"/>
        <v>0</v>
      </c>
      <c r="BS6" s="11">
        <v>1.44</v>
      </c>
      <c r="BT6" s="136">
        <f>+BS6*D6</f>
        <v>15.84</v>
      </c>
      <c r="BU6" s="18">
        <v>100000</v>
      </c>
      <c r="BV6" s="18">
        <f>+BU6*BT6</f>
        <v>1584000</v>
      </c>
    </row>
    <row r="7" spans="1:74" x14ac:dyDescent="0.3">
      <c r="A7" s="359"/>
      <c r="B7" s="21" t="s">
        <v>275</v>
      </c>
      <c r="C7" s="11">
        <v>227</v>
      </c>
      <c r="D7" s="131">
        <f t="shared" ref="D7:D26" si="4">+C7+BQ7-BR7</f>
        <v>227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108">
        <f t="shared" si="2"/>
        <v>0</v>
      </c>
      <c r="BR7" s="108">
        <f t="shared" si="3"/>
        <v>0</v>
      </c>
      <c r="BS7" s="11">
        <v>1.44</v>
      </c>
      <c r="BT7" s="136">
        <f t="shared" ref="BT7:BT26" si="5">+BS7*D7</f>
        <v>326.88</v>
      </c>
      <c r="BU7" s="18">
        <v>100000</v>
      </c>
      <c r="BV7" s="18">
        <f t="shared" ref="BV7:BV26" si="6">+BU7*BT7</f>
        <v>32688000</v>
      </c>
    </row>
    <row r="8" spans="1:74" x14ac:dyDescent="0.3">
      <c r="A8" s="359"/>
      <c r="B8" s="21" t="s">
        <v>276</v>
      </c>
      <c r="C8" s="11">
        <v>6</v>
      </c>
      <c r="D8" s="131">
        <f t="shared" si="4"/>
        <v>6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108">
        <f t="shared" si="2"/>
        <v>0</v>
      </c>
      <c r="BR8" s="108">
        <f t="shared" si="3"/>
        <v>0</v>
      </c>
      <c r="BS8" s="11">
        <v>1.44</v>
      </c>
      <c r="BT8" s="136">
        <f t="shared" si="5"/>
        <v>8.64</v>
      </c>
      <c r="BU8" s="18">
        <v>100000</v>
      </c>
      <c r="BV8" s="18">
        <f t="shared" si="6"/>
        <v>864000</v>
      </c>
    </row>
    <row r="9" spans="1:74" x14ac:dyDescent="0.3">
      <c r="A9" s="359"/>
      <c r="B9" s="21" t="s">
        <v>277</v>
      </c>
      <c r="C9" s="11">
        <v>9</v>
      </c>
      <c r="D9" s="131">
        <f t="shared" si="4"/>
        <v>9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108">
        <f t="shared" si="2"/>
        <v>0</v>
      </c>
      <c r="BR9" s="108">
        <f t="shared" si="3"/>
        <v>0</v>
      </c>
      <c r="BS9" s="11">
        <v>1.44</v>
      </c>
      <c r="BT9" s="136">
        <f t="shared" si="5"/>
        <v>12.959999999999999</v>
      </c>
      <c r="BU9" s="18">
        <v>100000</v>
      </c>
      <c r="BV9" s="18">
        <f t="shared" si="6"/>
        <v>1296000</v>
      </c>
    </row>
    <row r="10" spans="1:74" x14ac:dyDescent="0.3">
      <c r="A10" s="359"/>
      <c r="B10" s="21" t="s">
        <v>278</v>
      </c>
      <c r="C10" s="11">
        <v>23</v>
      </c>
      <c r="D10" s="131">
        <f t="shared" si="4"/>
        <v>23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108">
        <f t="shared" si="2"/>
        <v>0</v>
      </c>
      <c r="BR10" s="108">
        <f t="shared" si="3"/>
        <v>0</v>
      </c>
      <c r="BS10" s="11">
        <v>1.44</v>
      </c>
      <c r="BT10" s="136">
        <f t="shared" si="5"/>
        <v>33.119999999999997</v>
      </c>
      <c r="BU10" s="18">
        <v>100000</v>
      </c>
      <c r="BV10" s="18">
        <f t="shared" si="6"/>
        <v>3311999.9999999995</v>
      </c>
    </row>
    <row r="11" spans="1:74" x14ac:dyDescent="0.3">
      <c r="A11" s="359" t="s">
        <v>259</v>
      </c>
      <c r="B11" s="21" t="s">
        <v>279</v>
      </c>
      <c r="C11" s="11">
        <v>18</v>
      </c>
      <c r="D11" s="131">
        <f t="shared" si="4"/>
        <v>18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108">
        <f t="shared" si="2"/>
        <v>0</v>
      </c>
      <c r="BR11" s="108">
        <f t="shared" si="3"/>
        <v>0</v>
      </c>
      <c r="BS11" s="11">
        <v>1.92</v>
      </c>
      <c r="BT11" s="136">
        <f t="shared" si="5"/>
        <v>34.56</v>
      </c>
      <c r="BU11" s="18">
        <v>121000</v>
      </c>
      <c r="BV11" s="18">
        <f t="shared" si="6"/>
        <v>4181760.0000000005</v>
      </c>
    </row>
    <row r="12" spans="1:74" x14ac:dyDescent="0.3">
      <c r="A12" s="359"/>
      <c r="B12" s="21" t="s">
        <v>280</v>
      </c>
      <c r="C12" s="11">
        <v>69</v>
      </c>
      <c r="D12" s="131">
        <f t="shared" si="4"/>
        <v>69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108">
        <f t="shared" si="2"/>
        <v>0</v>
      </c>
      <c r="BR12" s="108">
        <f t="shared" si="3"/>
        <v>0</v>
      </c>
      <c r="BS12" s="11">
        <v>1.92</v>
      </c>
      <c r="BT12" s="136">
        <f t="shared" si="5"/>
        <v>132.47999999999999</v>
      </c>
      <c r="BU12" s="18">
        <v>121000</v>
      </c>
      <c r="BV12" s="18">
        <f t="shared" si="6"/>
        <v>16030079.999999998</v>
      </c>
    </row>
    <row r="13" spans="1:74" x14ac:dyDescent="0.3">
      <c r="A13" s="359"/>
      <c r="B13" s="21" t="s">
        <v>281</v>
      </c>
      <c r="C13" s="11">
        <v>11</v>
      </c>
      <c r="D13" s="131">
        <f t="shared" si="4"/>
        <v>11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108">
        <f t="shared" si="2"/>
        <v>0</v>
      </c>
      <c r="BR13" s="108">
        <f t="shared" si="3"/>
        <v>0</v>
      </c>
      <c r="BS13" s="11">
        <v>1.92</v>
      </c>
      <c r="BT13" s="136">
        <f t="shared" si="5"/>
        <v>21.119999999999997</v>
      </c>
      <c r="BU13" s="18">
        <v>121000</v>
      </c>
      <c r="BV13" s="18">
        <f t="shared" si="6"/>
        <v>2555519.9999999995</v>
      </c>
    </row>
    <row r="14" spans="1:74" x14ac:dyDescent="0.3">
      <c r="A14" s="359"/>
      <c r="B14" s="21" t="s">
        <v>282</v>
      </c>
      <c r="C14" s="11">
        <v>97</v>
      </c>
      <c r="D14" s="131">
        <f t="shared" si="4"/>
        <v>97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108">
        <f t="shared" si="2"/>
        <v>0</v>
      </c>
      <c r="BR14" s="108">
        <f t="shared" si="3"/>
        <v>0</v>
      </c>
      <c r="BS14" s="11">
        <v>1.92</v>
      </c>
      <c r="BT14" s="136">
        <f t="shared" si="5"/>
        <v>186.23999999999998</v>
      </c>
      <c r="BU14" s="18">
        <v>121000</v>
      </c>
      <c r="BV14" s="18">
        <f t="shared" si="6"/>
        <v>22535039.999999996</v>
      </c>
    </row>
    <row r="15" spans="1:74" ht="17.25" customHeight="1" x14ac:dyDescent="0.3">
      <c r="A15" s="359"/>
      <c r="B15" s="21" t="s">
        <v>283</v>
      </c>
      <c r="C15" s="11">
        <v>27</v>
      </c>
      <c r="D15" s="131">
        <f t="shared" si="4"/>
        <v>27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108">
        <f t="shared" si="2"/>
        <v>0</v>
      </c>
      <c r="BR15" s="108">
        <f t="shared" si="3"/>
        <v>0</v>
      </c>
      <c r="BS15" s="11">
        <v>1.92</v>
      </c>
      <c r="BT15" s="136">
        <f t="shared" si="5"/>
        <v>51.839999999999996</v>
      </c>
      <c r="BU15" s="18">
        <v>121000</v>
      </c>
      <c r="BV15" s="18">
        <f t="shared" si="6"/>
        <v>6272640</v>
      </c>
    </row>
    <row r="16" spans="1:74" x14ac:dyDescent="0.3">
      <c r="A16" s="133"/>
      <c r="B16" s="133"/>
      <c r="C16" s="11">
        <v>0</v>
      </c>
      <c r="D16" s="131">
        <f t="shared" si="4"/>
        <v>0</v>
      </c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08">
        <f t="shared" si="2"/>
        <v>0</v>
      </c>
      <c r="BR16" s="108">
        <f t="shared" si="3"/>
        <v>0</v>
      </c>
      <c r="BS16" s="133"/>
      <c r="BT16" s="136">
        <f t="shared" si="5"/>
        <v>0</v>
      </c>
      <c r="BU16" s="18"/>
      <c r="BV16" s="18">
        <f t="shared" si="6"/>
        <v>0</v>
      </c>
    </row>
    <row r="17" spans="1:74" ht="18" customHeight="1" x14ac:dyDescent="0.3">
      <c r="A17" s="184" t="s">
        <v>284</v>
      </c>
      <c r="B17" s="21" t="s">
        <v>285</v>
      </c>
      <c r="C17" s="11">
        <v>16</v>
      </c>
      <c r="D17" s="131">
        <f t="shared" si="4"/>
        <v>16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108">
        <f t="shared" si="2"/>
        <v>0</v>
      </c>
      <c r="BR17" s="108">
        <f t="shared" si="3"/>
        <v>0</v>
      </c>
      <c r="BS17" s="11">
        <v>2.16</v>
      </c>
      <c r="BT17" s="136">
        <f t="shared" si="5"/>
        <v>34.56</v>
      </c>
      <c r="BU17" s="18">
        <v>165000</v>
      </c>
      <c r="BV17" s="18">
        <f t="shared" si="6"/>
        <v>5702400</v>
      </c>
    </row>
    <row r="18" spans="1:74" x14ac:dyDescent="0.3">
      <c r="A18" s="133"/>
      <c r="B18" s="133"/>
      <c r="C18" s="11">
        <v>0</v>
      </c>
      <c r="D18" s="131">
        <f t="shared" si="4"/>
        <v>0</v>
      </c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08">
        <f t="shared" si="2"/>
        <v>0</v>
      </c>
      <c r="BR18" s="108">
        <f t="shared" si="3"/>
        <v>0</v>
      </c>
      <c r="BS18" s="133"/>
      <c r="BT18" s="136">
        <f t="shared" si="5"/>
        <v>0</v>
      </c>
      <c r="BU18" s="18"/>
      <c r="BV18" s="18">
        <f t="shared" si="6"/>
        <v>0</v>
      </c>
    </row>
    <row r="19" spans="1:74" x14ac:dyDescent="0.3">
      <c r="A19" s="359" t="s">
        <v>252</v>
      </c>
      <c r="B19" s="21" t="s">
        <v>286</v>
      </c>
      <c r="C19" s="11">
        <v>18</v>
      </c>
      <c r="D19" s="131">
        <f t="shared" si="4"/>
        <v>18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108">
        <f t="shared" si="2"/>
        <v>0</v>
      </c>
      <c r="BR19" s="108">
        <f t="shared" si="3"/>
        <v>0</v>
      </c>
      <c r="BS19" s="11">
        <v>2</v>
      </c>
      <c r="BT19" s="136">
        <f t="shared" si="5"/>
        <v>36</v>
      </c>
      <c r="BU19" s="18">
        <v>160000</v>
      </c>
      <c r="BV19" s="18">
        <f t="shared" si="6"/>
        <v>5760000</v>
      </c>
    </row>
    <row r="20" spans="1:74" x14ac:dyDescent="0.3">
      <c r="A20" s="359"/>
      <c r="B20" s="21" t="s">
        <v>287</v>
      </c>
      <c r="C20" s="11">
        <v>23</v>
      </c>
      <c r="D20" s="131">
        <f t="shared" si="4"/>
        <v>23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108">
        <f t="shared" si="2"/>
        <v>0</v>
      </c>
      <c r="BR20" s="108">
        <f t="shared" si="3"/>
        <v>0</v>
      </c>
      <c r="BS20" s="11">
        <v>2</v>
      </c>
      <c r="BT20" s="136">
        <f t="shared" si="5"/>
        <v>46</v>
      </c>
      <c r="BU20" s="18">
        <v>160000</v>
      </c>
      <c r="BV20" s="18">
        <f t="shared" si="6"/>
        <v>7360000</v>
      </c>
    </row>
    <row r="21" spans="1:74" x14ac:dyDescent="0.3">
      <c r="A21" s="359"/>
      <c r="B21" s="21" t="s">
        <v>288</v>
      </c>
      <c r="C21" s="11">
        <v>23</v>
      </c>
      <c r="D21" s="131">
        <f t="shared" si="4"/>
        <v>23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08">
        <f t="shared" si="2"/>
        <v>0</v>
      </c>
      <c r="BR21" s="108">
        <f t="shared" si="3"/>
        <v>0</v>
      </c>
      <c r="BS21" s="11">
        <v>2</v>
      </c>
      <c r="BT21" s="136">
        <f t="shared" si="5"/>
        <v>46</v>
      </c>
      <c r="BU21" s="18">
        <v>160000</v>
      </c>
      <c r="BV21" s="18">
        <f t="shared" si="6"/>
        <v>7360000</v>
      </c>
    </row>
    <row r="22" spans="1:74" x14ac:dyDescent="0.3">
      <c r="A22" s="150" t="s">
        <v>289</v>
      </c>
      <c r="B22" s="150"/>
      <c r="C22" s="11">
        <v>0</v>
      </c>
      <c r="D22" s="131">
        <f t="shared" si="4"/>
        <v>0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108">
        <f t="shared" si="2"/>
        <v>0</v>
      </c>
      <c r="BR22" s="108">
        <f t="shared" si="3"/>
        <v>0</v>
      </c>
      <c r="BS22" s="11">
        <v>2</v>
      </c>
      <c r="BT22" s="136">
        <f t="shared" si="5"/>
        <v>0</v>
      </c>
      <c r="BU22" s="18"/>
      <c r="BV22" s="18">
        <f t="shared" si="6"/>
        <v>0</v>
      </c>
    </row>
    <row r="23" spans="1:74" x14ac:dyDescent="0.3">
      <c r="A23" s="184" t="s">
        <v>284</v>
      </c>
      <c r="B23" s="21" t="s">
        <v>292</v>
      </c>
      <c r="C23" s="11">
        <v>17</v>
      </c>
      <c r="D23" s="131">
        <f t="shared" si="4"/>
        <v>17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108">
        <f t="shared" si="2"/>
        <v>0</v>
      </c>
      <c r="BR23" s="108">
        <f t="shared" si="3"/>
        <v>0</v>
      </c>
      <c r="BS23" s="11">
        <v>2.16</v>
      </c>
      <c r="BT23" s="136">
        <f t="shared" si="5"/>
        <v>36.72</v>
      </c>
      <c r="BU23" s="18">
        <v>145000</v>
      </c>
      <c r="BV23" s="18">
        <f t="shared" si="6"/>
        <v>5324400</v>
      </c>
    </row>
    <row r="24" spans="1:74" x14ac:dyDescent="0.3">
      <c r="A24" s="359" t="s">
        <v>252</v>
      </c>
      <c r="B24" s="21" t="s">
        <v>290</v>
      </c>
      <c r="C24" s="11">
        <v>108</v>
      </c>
      <c r="D24" s="131">
        <f t="shared" si="4"/>
        <v>20</v>
      </c>
      <c r="E24" s="21"/>
      <c r="F24" s="21"/>
      <c r="G24" s="21"/>
      <c r="H24" s="21"/>
      <c r="I24" s="21"/>
      <c r="J24" s="21"/>
      <c r="K24" s="21"/>
      <c r="L24" s="21">
        <v>80</v>
      </c>
      <c r="M24" s="21"/>
      <c r="N24" s="21"/>
      <c r="O24" s="21"/>
      <c r="P24" s="21">
        <v>8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108">
        <f t="shared" si="2"/>
        <v>0</v>
      </c>
      <c r="BR24" s="108">
        <f t="shared" si="3"/>
        <v>88</v>
      </c>
      <c r="BS24" s="11">
        <v>2</v>
      </c>
      <c r="BT24" s="136">
        <f t="shared" si="5"/>
        <v>40</v>
      </c>
      <c r="BU24" s="18">
        <v>167000</v>
      </c>
      <c r="BV24" s="18">
        <f t="shared" si="6"/>
        <v>6680000</v>
      </c>
    </row>
    <row r="25" spans="1:74" x14ac:dyDescent="0.3">
      <c r="A25" s="359"/>
      <c r="B25" s="21" t="s">
        <v>291</v>
      </c>
      <c r="C25" s="11">
        <v>9</v>
      </c>
      <c r="D25" s="131">
        <f t="shared" si="4"/>
        <v>9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108">
        <f t="shared" si="2"/>
        <v>0</v>
      </c>
      <c r="BR25" s="108">
        <f t="shared" si="3"/>
        <v>0</v>
      </c>
      <c r="BS25" s="11">
        <v>2</v>
      </c>
      <c r="BT25" s="136">
        <f t="shared" si="5"/>
        <v>18</v>
      </c>
      <c r="BU25" s="18">
        <v>167000</v>
      </c>
      <c r="BV25" s="18">
        <f t="shared" si="6"/>
        <v>3006000</v>
      </c>
    </row>
    <row r="26" spans="1:74" x14ac:dyDescent="0.3">
      <c r="A26" s="359"/>
      <c r="B26" s="21" t="s">
        <v>867</v>
      </c>
      <c r="C26" s="11">
        <v>0</v>
      </c>
      <c r="D26" s="131">
        <f t="shared" si="4"/>
        <v>0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108">
        <f t="shared" si="2"/>
        <v>0</v>
      </c>
      <c r="BR26" s="108">
        <f t="shared" si="3"/>
        <v>0</v>
      </c>
      <c r="BS26" s="11">
        <v>2</v>
      </c>
      <c r="BT26" s="136">
        <f t="shared" si="5"/>
        <v>0</v>
      </c>
      <c r="BU26" s="18">
        <v>167000</v>
      </c>
      <c r="BV26" s="18">
        <f t="shared" si="6"/>
        <v>0</v>
      </c>
    </row>
  </sheetData>
  <mergeCells count="43">
    <mergeCell ref="A24:A26"/>
    <mergeCell ref="A5:B5"/>
    <mergeCell ref="A3:B3"/>
    <mergeCell ref="A6:A10"/>
    <mergeCell ref="A11:A15"/>
    <mergeCell ref="A19:A21"/>
    <mergeCell ref="A1:A2"/>
    <mergeCell ref="B1:B2"/>
    <mergeCell ref="C1:C2"/>
    <mergeCell ref="D1:D2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Q1:BR1"/>
    <mergeCell ref="BE1:BF1"/>
    <mergeCell ref="BG1:BH1"/>
    <mergeCell ref="BI1:BJ1"/>
    <mergeCell ref="BK1:BL1"/>
    <mergeCell ref="BM1:BN1"/>
    <mergeCell ref="BO1:BP1"/>
  </mergeCells>
  <pageMargins left="0.2" right="0.2" top="0.28000000000000003" bottom="0.24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21"/>
  <sheetViews>
    <sheetView workbookViewId="0">
      <selection activeCell="U15" sqref="U15"/>
    </sheetView>
  </sheetViews>
  <sheetFormatPr defaultRowHeight="15" x14ac:dyDescent="0.25"/>
  <cols>
    <col min="1" max="4" width="9.140625" style="1"/>
    <col min="5" max="5" width="49.5703125" style="1" customWidth="1"/>
    <col min="6" max="16384" width="9.140625" style="1"/>
  </cols>
  <sheetData>
    <row r="1" spans="1:11" x14ac:dyDescent="0.25">
      <c r="A1" s="1" t="s">
        <v>2320</v>
      </c>
      <c r="B1" s="1" t="s">
        <v>2321</v>
      </c>
      <c r="C1" s="1" t="s">
        <v>863</v>
      </c>
      <c r="D1" s="1" t="s">
        <v>864</v>
      </c>
      <c r="E1" s="1" t="s">
        <v>865</v>
      </c>
      <c r="F1" s="1" t="s">
        <v>866</v>
      </c>
      <c r="G1" s="1" t="s">
        <v>4412</v>
      </c>
      <c r="H1" s="1" t="s">
        <v>4413</v>
      </c>
      <c r="I1" s="1" t="s">
        <v>4414</v>
      </c>
      <c r="J1" s="1" t="s">
        <v>4415</v>
      </c>
      <c r="K1" s="1" t="s">
        <v>4416</v>
      </c>
    </row>
    <row r="2" spans="1:11" x14ac:dyDescent="0.25">
      <c r="D2" s="1" t="s">
        <v>4417</v>
      </c>
      <c r="E2" s="1" t="s">
        <v>4418</v>
      </c>
      <c r="F2" s="1">
        <v>-186080</v>
      </c>
      <c r="G2" s="1">
        <v>-186080</v>
      </c>
      <c r="H2" s="1">
        <v>0</v>
      </c>
      <c r="I2" s="1">
        <v>0</v>
      </c>
      <c r="J2" s="1">
        <v>186080</v>
      </c>
      <c r="K2" s="1">
        <v>-186080</v>
      </c>
    </row>
    <row r="3" spans="1:11" x14ac:dyDescent="0.25">
      <c r="D3" s="1" t="s">
        <v>4419</v>
      </c>
      <c r="E3" s="1" t="s">
        <v>4420</v>
      </c>
      <c r="F3" s="1">
        <v>-5318</v>
      </c>
      <c r="G3" s="1">
        <v>-5318</v>
      </c>
      <c r="H3" s="1">
        <v>0</v>
      </c>
      <c r="I3" s="1">
        <v>5</v>
      </c>
      <c r="J3" s="1">
        <v>5323</v>
      </c>
      <c r="K3" s="1">
        <v>-5318</v>
      </c>
    </row>
    <row r="4" spans="1:11" x14ac:dyDescent="0.25">
      <c r="D4" s="1" t="s">
        <v>4421</v>
      </c>
      <c r="E4" s="1" t="s">
        <v>4422</v>
      </c>
      <c r="F4" s="1">
        <v>-4200</v>
      </c>
      <c r="G4" s="1">
        <v>-4200</v>
      </c>
      <c r="H4" s="1">
        <v>0</v>
      </c>
      <c r="I4" s="1">
        <v>0</v>
      </c>
      <c r="J4" s="1">
        <v>4200</v>
      </c>
      <c r="K4" s="1">
        <v>-4200</v>
      </c>
    </row>
    <row r="5" spans="1:11" x14ac:dyDescent="0.25">
      <c r="C5" s="1" t="s">
        <v>4423</v>
      </c>
      <c r="D5" s="1" t="s">
        <v>4424</v>
      </c>
      <c r="E5" s="1" t="s">
        <v>4425</v>
      </c>
      <c r="F5" s="1">
        <v>-3644</v>
      </c>
      <c r="G5" s="1">
        <v>-3644</v>
      </c>
      <c r="H5" s="1">
        <v>0</v>
      </c>
      <c r="I5" s="1">
        <v>13</v>
      </c>
      <c r="J5" s="1">
        <v>3657</v>
      </c>
      <c r="K5" s="1">
        <v>-3644</v>
      </c>
    </row>
    <row r="6" spans="1:11" x14ac:dyDescent="0.25">
      <c r="D6" s="1" t="s">
        <v>4426</v>
      </c>
      <c r="E6" s="1" t="s">
        <v>4427</v>
      </c>
      <c r="F6" s="1">
        <v>-2217</v>
      </c>
      <c r="G6" s="1">
        <v>-2217</v>
      </c>
      <c r="H6" s="1">
        <v>0</v>
      </c>
      <c r="I6" s="1">
        <v>143</v>
      </c>
      <c r="J6" s="1">
        <v>2360</v>
      </c>
      <c r="K6" s="1">
        <v>-2217</v>
      </c>
    </row>
    <row r="7" spans="1:11" x14ac:dyDescent="0.25">
      <c r="C7" s="1" t="s">
        <v>4428</v>
      </c>
      <c r="D7" s="1" t="s">
        <v>4429</v>
      </c>
      <c r="E7" s="1" t="s">
        <v>4430</v>
      </c>
      <c r="F7" s="1">
        <v>-1561</v>
      </c>
      <c r="G7" s="1">
        <v>-1561</v>
      </c>
      <c r="H7" s="1">
        <v>0</v>
      </c>
      <c r="I7" s="1">
        <v>1</v>
      </c>
      <c r="J7" s="1">
        <v>1562</v>
      </c>
      <c r="K7" s="1">
        <v>-1561</v>
      </c>
    </row>
    <row r="8" spans="1:11" x14ac:dyDescent="0.25">
      <c r="D8" s="1" t="s">
        <v>4431</v>
      </c>
      <c r="E8" s="1" t="s">
        <v>4432</v>
      </c>
      <c r="F8" s="1">
        <v>-1087</v>
      </c>
      <c r="G8" s="1">
        <v>-1087</v>
      </c>
      <c r="H8" s="1">
        <v>0</v>
      </c>
      <c r="I8" s="1">
        <v>2</v>
      </c>
      <c r="J8" s="1">
        <v>1089</v>
      </c>
      <c r="K8" s="1">
        <v>-1087</v>
      </c>
    </row>
    <row r="9" spans="1:11" x14ac:dyDescent="0.25">
      <c r="D9" s="1" t="s">
        <v>4433</v>
      </c>
      <c r="E9" s="1" t="s">
        <v>4434</v>
      </c>
      <c r="F9" s="1">
        <v>-784</v>
      </c>
      <c r="G9" s="1">
        <v>-784</v>
      </c>
      <c r="H9" s="1">
        <v>0</v>
      </c>
      <c r="I9" s="1">
        <v>115</v>
      </c>
      <c r="J9" s="1">
        <v>899</v>
      </c>
      <c r="K9" s="1">
        <v>-784</v>
      </c>
    </row>
    <row r="10" spans="1:11" x14ac:dyDescent="0.25">
      <c r="C10" s="1" t="s">
        <v>4435</v>
      </c>
      <c r="D10" s="1" t="s">
        <v>4436</v>
      </c>
      <c r="E10" s="1" t="s">
        <v>4437</v>
      </c>
      <c r="F10" s="1">
        <v>-750</v>
      </c>
      <c r="G10" s="1">
        <v>-750</v>
      </c>
      <c r="H10" s="1">
        <v>0</v>
      </c>
      <c r="I10" s="1">
        <v>75</v>
      </c>
      <c r="J10" s="1">
        <v>825</v>
      </c>
      <c r="K10" s="1">
        <v>-750</v>
      </c>
    </row>
    <row r="11" spans="1:11" x14ac:dyDescent="0.25">
      <c r="D11" s="1" t="s">
        <v>4438</v>
      </c>
      <c r="E11" s="1" t="s">
        <v>4439</v>
      </c>
      <c r="F11" s="1">
        <v>-741</v>
      </c>
      <c r="G11" s="1">
        <v>-741</v>
      </c>
      <c r="H11" s="1">
        <v>0</v>
      </c>
      <c r="I11" s="1">
        <v>0</v>
      </c>
      <c r="J11" s="1">
        <v>741</v>
      </c>
      <c r="K11" s="1">
        <v>-741</v>
      </c>
    </row>
    <row r="12" spans="1:11" x14ac:dyDescent="0.25">
      <c r="C12" s="1" t="s">
        <v>4440</v>
      </c>
      <c r="D12" s="1" t="s">
        <v>4441</v>
      </c>
      <c r="E12" s="1" t="s">
        <v>4442</v>
      </c>
      <c r="F12" s="1">
        <v>-729</v>
      </c>
      <c r="G12" s="1">
        <v>-729</v>
      </c>
      <c r="H12" s="1">
        <v>0</v>
      </c>
      <c r="I12" s="1">
        <v>355</v>
      </c>
      <c r="J12" s="1">
        <v>1084</v>
      </c>
      <c r="K12" s="1">
        <v>-729</v>
      </c>
    </row>
    <row r="13" spans="1:11" x14ac:dyDescent="0.25">
      <c r="D13" s="1" t="s">
        <v>4443</v>
      </c>
      <c r="E13" s="1" t="s">
        <v>4444</v>
      </c>
      <c r="F13" s="1">
        <v>-701</v>
      </c>
      <c r="G13" s="1">
        <v>-701</v>
      </c>
      <c r="H13" s="1">
        <v>0</v>
      </c>
      <c r="I13" s="1">
        <v>0</v>
      </c>
      <c r="J13" s="1">
        <v>701</v>
      </c>
      <c r="K13" s="1">
        <v>-701</v>
      </c>
    </row>
    <row r="14" spans="1:11" x14ac:dyDescent="0.25">
      <c r="D14" s="1" t="s">
        <v>4445</v>
      </c>
      <c r="E14" s="1" t="s">
        <v>4446</v>
      </c>
      <c r="F14" s="1">
        <v>-662</v>
      </c>
      <c r="G14" s="1">
        <v>-662</v>
      </c>
      <c r="H14" s="1">
        <v>0</v>
      </c>
      <c r="I14" s="1">
        <v>24</v>
      </c>
      <c r="J14" s="1">
        <v>686</v>
      </c>
      <c r="K14" s="1">
        <v>-662</v>
      </c>
    </row>
    <row r="15" spans="1:11" x14ac:dyDescent="0.25">
      <c r="C15" s="1" t="s">
        <v>4447</v>
      </c>
      <c r="D15" s="1" t="s">
        <v>4448</v>
      </c>
      <c r="E15" s="1" t="s">
        <v>4449</v>
      </c>
      <c r="F15" s="1">
        <v>-636</v>
      </c>
      <c r="G15" s="1">
        <v>-636</v>
      </c>
      <c r="H15" s="1">
        <v>0</v>
      </c>
      <c r="I15" s="1">
        <v>0</v>
      </c>
      <c r="J15" s="1">
        <v>636</v>
      </c>
      <c r="K15" s="1">
        <v>-636</v>
      </c>
    </row>
    <row r="16" spans="1:11" x14ac:dyDescent="0.25">
      <c r="C16" s="1" t="s">
        <v>4450</v>
      </c>
      <c r="D16" s="1" t="s">
        <v>4451</v>
      </c>
      <c r="E16" s="1" t="s">
        <v>4452</v>
      </c>
      <c r="F16" s="1">
        <v>-636</v>
      </c>
      <c r="G16" s="1">
        <v>-636</v>
      </c>
      <c r="H16" s="1">
        <v>0</v>
      </c>
      <c r="I16" s="1">
        <v>0</v>
      </c>
      <c r="J16" s="1">
        <v>636</v>
      </c>
      <c r="K16" s="1">
        <v>-636</v>
      </c>
    </row>
    <row r="17" spans="3:11" x14ac:dyDescent="0.25">
      <c r="D17" s="1" t="s">
        <v>4453</v>
      </c>
      <c r="E17" s="1" t="s">
        <v>4454</v>
      </c>
      <c r="F17" s="1">
        <v>-618</v>
      </c>
      <c r="G17" s="1">
        <v>-618</v>
      </c>
      <c r="H17" s="1">
        <v>0</v>
      </c>
      <c r="I17" s="1">
        <v>0</v>
      </c>
      <c r="J17" s="1">
        <v>618</v>
      </c>
      <c r="K17" s="1">
        <v>-618</v>
      </c>
    </row>
    <row r="18" spans="3:11" x14ac:dyDescent="0.25">
      <c r="D18" s="1" t="s">
        <v>4455</v>
      </c>
      <c r="E18" s="1" t="s">
        <v>4456</v>
      </c>
      <c r="F18" s="1">
        <v>-569</v>
      </c>
      <c r="G18" s="1">
        <v>-569</v>
      </c>
      <c r="H18" s="1">
        <v>0</v>
      </c>
      <c r="I18" s="1">
        <v>2</v>
      </c>
      <c r="J18" s="1">
        <v>571</v>
      </c>
      <c r="K18" s="1">
        <v>-569</v>
      </c>
    </row>
    <row r="19" spans="3:11" x14ac:dyDescent="0.25">
      <c r="D19" s="1" t="s">
        <v>4457</v>
      </c>
      <c r="E19" s="1" t="s">
        <v>4458</v>
      </c>
      <c r="F19" s="1">
        <v>-509</v>
      </c>
      <c r="G19" s="1">
        <v>-509</v>
      </c>
      <c r="H19" s="1">
        <v>0</v>
      </c>
      <c r="I19" s="1">
        <v>0</v>
      </c>
      <c r="J19" s="1">
        <v>509</v>
      </c>
      <c r="K19" s="1">
        <v>-509</v>
      </c>
    </row>
    <row r="20" spans="3:11" x14ac:dyDescent="0.25">
      <c r="C20" s="1" t="s">
        <v>4459</v>
      </c>
      <c r="D20" s="1" t="s">
        <v>4460</v>
      </c>
      <c r="E20" s="1" t="s">
        <v>4461</v>
      </c>
      <c r="F20" s="1">
        <v>-500</v>
      </c>
      <c r="G20" s="1">
        <v>-500</v>
      </c>
      <c r="H20" s="1">
        <v>0</v>
      </c>
      <c r="I20" s="1">
        <v>0</v>
      </c>
      <c r="J20" s="1">
        <v>500</v>
      </c>
      <c r="K20" s="1">
        <v>-500</v>
      </c>
    </row>
    <row r="21" spans="3:11" x14ac:dyDescent="0.25">
      <c r="C21" s="1" t="s">
        <v>4462</v>
      </c>
      <c r="D21" s="1" t="s">
        <v>4463</v>
      </c>
      <c r="E21" s="1" t="s">
        <v>4464</v>
      </c>
      <c r="F21" s="1">
        <v>-475</v>
      </c>
      <c r="G21" s="1">
        <v>-475</v>
      </c>
      <c r="H21" s="1">
        <v>0</v>
      </c>
      <c r="I21" s="1">
        <v>0</v>
      </c>
      <c r="J21" s="1">
        <v>475</v>
      </c>
      <c r="K21" s="1">
        <v>-475</v>
      </c>
    </row>
    <row r="22" spans="3:11" x14ac:dyDescent="0.25">
      <c r="C22" s="1" t="s">
        <v>4465</v>
      </c>
      <c r="D22" s="1" t="s">
        <v>4466</v>
      </c>
      <c r="E22" s="1" t="s">
        <v>4465</v>
      </c>
      <c r="F22" s="1">
        <v>-447</v>
      </c>
      <c r="G22" s="1">
        <v>-447</v>
      </c>
      <c r="H22" s="1">
        <v>0</v>
      </c>
      <c r="I22" s="1">
        <v>4</v>
      </c>
      <c r="J22" s="1">
        <v>451</v>
      </c>
      <c r="K22" s="1">
        <v>-447</v>
      </c>
    </row>
    <row r="23" spans="3:11" x14ac:dyDescent="0.25">
      <c r="C23" s="1" t="s">
        <v>4467</v>
      </c>
      <c r="D23" s="1" t="s">
        <v>4468</v>
      </c>
      <c r="E23" s="1" t="s">
        <v>4469</v>
      </c>
      <c r="F23" s="1">
        <v>-435</v>
      </c>
      <c r="G23" s="1">
        <v>-435</v>
      </c>
      <c r="H23" s="1">
        <v>0</v>
      </c>
      <c r="I23" s="1">
        <v>45</v>
      </c>
      <c r="J23" s="1">
        <v>480</v>
      </c>
      <c r="K23" s="1">
        <v>-435</v>
      </c>
    </row>
    <row r="24" spans="3:11" x14ac:dyDescent="0.25">
      <c r="C24" s="1" t="s">
        <v>4470</v>
      </c>
      <c r="D24" s="1" t="s">
        <v>4471</v>
      </c>
      <c r="E24" s="1" t="s">
        <v>4470</v>
      </c>
      <c r="F24" s="1">
        <v>-426</v>
      </c>
      <c r="G24" s="1">
        <v>-426</v>
      </c>
      <c r="H24" s="1">
        <v>0</v>
      </c>
      <c r="I24" s="1">
        <v>28</v>
      </c>
      <c r="J24" s="1">
        <v>454</v>
      </c>
      <c r="K24" s="1">
        <v>-426</v>
      </c>
    </row>
    <row r="25" spans="3:11" x14ac:dyDescent="0.25">
      <c r="D25" s="1" t="s">
        <v>4472</v>
      </c>
      <c r="E25" s="1" t="s">
        <v>4473</v>
      </c>
      <c r="F25" s="1">
        <v>-405</v>
      </c>
      <c r="G25" s="1">
        <v>-405</v>
      </c>
      <c r="H25" s="1">
        <v>0</v>
      </c>
      <c r="I25" s="1">
        <v>0</v>
      </c>
      <c r="J25" s="1">
        <v>405</v>
      </c>
      <c r="K25" s="1">
        <v>-405</v>
      </c>
    </row>
    <row r="26" spans="3:11" x14ac:dyDescent="0.25">
      <c r="D26" s="1" t="s">
        <v>4474</v>
      </c>
      <c r="E26" s="1" t="s">
        <v>4475</v>
      </c>
      <c r="F26" s="1">
        <v>-401</v>
      </c>
      <c r="G26" s="1">
        <v>-401</v>
      </c>
      <c r="H26" s="1">
        <v>0</v>
      </c>
      <c r="I26" s="1">
        <v>0</v>
      </c>
      <c r="J26" s="1">
        <v>401</v>
      </c>
      <c r="K26" s="1">
        <v>-401</v>
      </c>
    </row>
    <row r="27" spans="3:11" x14ac:dyDescent="0.25">
      <c r="C27" s="1" t="s">
        <v>4476</v>
      </c>
      <c r="D27" s="1" t="s">
        <v>4477</v>
      </c>
      <c r="E27" s="1" t="s">
        <v>4476</v>
      </c>
      <c r="F27" s="1">
        <v>-374</v>
      </c>
      <c r="G27" s="1">
        <v>-374</v>
      </c>
      <c r="H27" s="1">
        <v>0</v>
      </c>
      <c r="I27" s="1">
        <v>0</v>
      </c>
      <c r="J27" s="1">
        <v>374</v>
      </c>
      <c r="K27" s="1">
        <v>-374</v>
      </c>
    </row>
    <row r="28" spans="3:11" x14ac:dyDescent="0.25">
      <c r="D28" s="1" t="s">
        <v>4478</v>
      </c>
      <c r="E28" s="1" t="s">
        <v>4479</v>
      </c>
      <c r="F28" s="1">
        <v>-358</v>
      </c>
      <c r="G28" s="1">
        <v>-358</v>
      </c>
      <c r="H28" s="1">
        <v>0</v>
      </c>
      <c r="I28" s="1">
        <v>0</v>
      </c>
      <c r="J28" s="1">
        <v>358</v>
      </c>
      <c r="K28" s="1">
        <v>-358</v>
      </c>
    </row>
    <row r="29" spans="3:11" x14ac:dyDescent="0.25">
      <c r="C29" s="1" t="s">
        <v>4480</v>
      </c>
      <c r="D29" s="1" t="s">
        <v>4481</v>
      </c>
      <c r="E29" s="1" t="s">
        <v>4482</v>
      </c>
      <c r="F29" s="1">
        <v>-321</v>
      </c>
      <c r="G29" s="1">
        <v>-321</v>
      </c>
      <c r="H29" s="1">
        <v>0</v>
      </c>
      <c r="I29" s="1">
        <v>220</v>
      </c>
      <c r="J29" s="1">
        <v>541</v>
      </c>
      <c r="K29" s="1">
        <v>-321</v>
      </c>
    </row>
    <row r="30" spans="3:11" x14ac:dyDescent="0.25">
      <c r="C30" s="1" t="s">
        <v>4483</v>
      </c>
      <c r="D30" s="1" t="s">
        <v>4484</v>
      </c>
      <c r="E30" s="1" t="s">
        <v>4485</v>
      </c>
      <c r="F30" s="1">
        <v>-295</v>
      </c>
      <c r="G30" s="1">
        <v>-295</v>
      </c>
      <c r="H30" s="1">
        <v>0</v>
      </c>
      <c r="I30" s="1">
        <v>0</v>
      </c>
      <c r="J30" s="1">
        <v>295</v>
      </c>
      <c r="K30" s="1">
        <v>-295</v>
      </c>
    </row>
    <row r="31" spans="3:11" x14ac:dyDescent="0.25">
      <c r="C31" s="1" t="s">
        <v>4486</v>
      </c>
      <c r="D31" s="1" t="s">
        <v>4487</v>
      </c>
      <c r="E31" s="1" t="s">
        <v>4486</v>
      </c>
      <c r="F31" s="1">
        <v>-284</v>
      </c>
      <c r="G31" s="1">
        <v>-284</v>
      </c>
      <c r="H31" s="1">
        <v>0</v>
      </c>
      <c r="I31" s="1">
        <v>69</v>
      </c>
      <c r="J31" s="1">
        <v>353</v>
      </c>
      <c r="K31" s="1">
        <v>-284</v>
      </c>
    </row>
    <row r="32" spans="3:11" x14ac:dyDescent="0.25">
      <c r="D32" s="1" t="s">
        <v>4488</v>
      </c>
      <c r="E32" s="1" t="s">
        <v>4489</v>
      </c>
      <c r="F32" s="1">
        <v>-281</v>
      </c>
      <c r="G32" s="1">
        <v>-281</v>
      </c>
      <c r="H32" s="1">
        <v>0</v>
      </c>
      <c r="I32" s="1">
        <v>0</v>
      </c>
      <c r="J32" s="1">
        <v>281</v>
      </c>
      <c r="K32" s="1">
        <v>-281</v>
      </c>
    </row>
    <row r="33" spans="3:11" x14ac:dyDescent="0.25">
      <c r="C33" s="1" t="s">
        <v>4490</v>
      </c>
      <c r="D33" s="1" t="s">
        <v>4491</v>
      </c>
      <c r="E33" s="1" t="s">
        <v>4492</v>
      </c>
      <c r="F33" s="1">
        <v>-272</v>
      </c>
      <c r="G33" s="1">
        <v>-272</v>
      </c>
      <c r="H33" s="1">
        <v>0</v>
      </c>
      <c r="I33" s="1">
        <v>1</v>
      </c>
      <c r="J33" s="1">
        <v>273</v>
      </c>
      <c r="K33" s="1">
        <v>-272</v>
      </c>
    </row>
    <row r="34" spans="3:11" x14ac:dyDescent="0.25">
      <c r="C34" s="1" t="s">
        <v>4493</v>
      </c>
      <c r="D34" s="1" t="s">
        <v>4494</v>
      </c>
      <c r="E34" s="1" t="s">
        <v>4495</v>
      </c>
      <c r="F34" s="1">
        <v>-250</v>
      </c>
      <c r="G34" s="1">
        <v>-250</v>
      </c>
      <c r="H34" s="1">
        <v>0</v>
      </c>
      <c r="I34" s="1">
        <v>12</v>
      </c>
      <c r="J34" s="1">
        <v>262</v>
      </c>
      <c r="K34" s="1">
        <v>-250</v>
      </c>
    </row>
    <row r="35" spans="3:11" x14ac:dyDescent="0.25">
      <c r="C35" s="1" t="s">
        <v>4496</v>
      </c>
      <c r="D35" s="1" t="s">
        <v>4497</v>
      </c>
      <c r="E35" s="1" t="s">
        <v>4498</v>
      </c>
      <c r="F35" s="1">
        <v>-246</v>
      </c>
      <c r="G35" s="1">
        <v>-246</v>
      </c>
      <c r="H35" s="1">
        <v>0</v>
      </c>
      <c r="I35" s="1">
        <v>45</v>
      </c>
      <c r="J35" s="1">
        <v>291</v>
      </c>
      <c r="K35" s="1">
        <v>-246</v>
      </c>
    </row>
    <row r="36" spans="3:11" x14ac:dyDescent="0.25">
      <c r="C36" s="1" t="s">
        <v>4499</v>
      </c>
      <c r="D36" s="1" t="s">
        <v>4500</v>
      </c>
      <c r="E36" s="1" t="s">
        <v>4501</v>
      </c>
      <c r="F36" s="1">
        <v>-238</v>
      </c>
      <c r="G36" s="1">
        <v>-238</v>
      </c>
      <c r="H36" s="1">
        <v>0</v>
      </c>
      <c r="I36" s="1">
        <v>0</v>
      </c>
      <c r="J36" s="1">
        <v>238</v>
      </c>
      <c r="K36" s="1">
        <v>-238</v>
      </c>
    </row>
    <row r="37" spans="3:11" x14ac:dyDescent="0.25">
      <c r="C37" s="1" t="s">
        <v>4502</v>
      </c>
      <c r="D37" s="1" t="s">
        <v>4503</v>
      </c>
      <c r="E37" s="1" t="s">
        <v>4504</v>
      </c>
      <c r="F37" s="1">
        <v>-237</v>
      </c>
      <c r="G37" s="1">
        <v>-237</v>
      </c>
      <c r="H37" s="1">
        <v>0</v>
      </c>
      <c r="I37" s="1">
        <v>170</v>
      </c>
      <c r="J37" s="1">
        <v>407</v>
      </c>
      <c r="K37" s="1">
        <v>-237</v>
      </c>
    </row>
    <row r="38" spans="3:11" x14ac:dyDescent="0.25">
      <c r="C38" s="1" t="s">
        <v>4505</v>
      </c>
      <c r="D38" s="1" t="s">
        <v>4506</v>
      </c>
      <c r="E38" s="1" t="s">
        <v>4507</v>
      </c>
      <c r="F38" s="1">
        <v>-237</v>
      </c>
      <c r="G38" s="1">
        <v>-237</v>
      </c>
      <c r="H38" s="1">
        <v>0</v>
      </c>
      <c r="I38" s="1">
        <v>4</v>
      </c>
      <c r="J38" s="1">
        <v>241</v>
      </c>
      <c r="K38" s="1">
        <v>-237</v>
      </c>
    </row>
    <row r="39" spans="3:11" x14ac:dyDescent="0.25">
      <c r="C39" s="1" t="s">
        <v>4508</v>
      </c>
      <c r="D39" s="1" t="s">
        <v>4509</v>
      </c>
      <c r="E39" s="1" t="s">
        <v>4508</v>
      </c>
      <c r="F39" s="1">
        <v>-234</v>
      </c>
      <c r="G39" s="1">
        <v>-234</v>
      </c>
      <c r="H39" s="1">
        <v>0</v>
      </c>
      <c r="I39" s="1">
        <v>0</v>
      </c>
      <c r="J39" s="1">
        <v>234</v>
      </c>
      <c r="K39" s="1">
        <v>-234</v>
      </c>
    </row>
    <row r="40" spans="3:11" x14ac:dyDescent="0.25">
      <c r="D40" s="1" t="s">
        <v>4510</v>
      </c>
      <c r="E40" s="1" t="s">
        <v>4511</v>
      </c>
      <c r="F40" s="1">
        <v>-232</v>
      </c>
      <c r="G40" s="1">
        <v>-232</v>
      </c>
      <c r="H40" s="1">
        <v>0</v>
      </c>
      <c r="I40" s="1">
        <v>19</v>
      </c>
      <c r="J40" s="1">
        <v>251</v>
      </c>
      <c r="K40" s="1">
        <v>-232</v>
      </c>
    </row>
    <row r="41" spans="3:11" x14ac:dyDescent="0.25">
      <c r="C41" s="1" t="s">
        <v>4512</v>
      </c>
      <c r="D41" s="1" t="s">
        <v>4513</v>
      </c>
      <c r="E41" s="1" t="s">
        <v>4514</v>
      </c>
      <c r="F41" s="1">
        <v>-223</v>
      </c>
      <c r="G41" s="1">
        <v>-223</v>
      </c>
      <c r="H41" s="1">
        <v>0</v>
      </c>
      <c r="I41" s="1">
        <v>171</v>
      </c>
      <c r="J41" s="1">
        <v>394</v>
      </c>
      <c r="K41" s="1">
        <v>-223</v>
      </c>
    </row>
    <row r="42" spans="3:11" x14ac:dyDescent="0.25">
      <c r="C42" s="1" t="s">
        <v>4515</v>
      </c>
      <c r="D42" s="1" t="s">
        <v>4516</v>
      </c>
      <c r="E42" s="1" t="s">
        <v>4515</v>
      </c>
      <c r="F42" s="1">
        <v>-212</v>
      </c>
      <c r="G42" s="1">
        <v>-212</v>
      </c>
      <c r="H42" s="1">
        <v>0</v>
      </c>
      <c r="I42" s="1">
        <v>0</v>
      </c>
      <c r="J42" s="1">
        <v>212</v>
      </c>
      <c r="K42" s="1">
        <v>-212</v>
      </c>
    </row>
    <row r="43" spans="3:11" x14ac:dyDescent="0.25">
      <c r="D43" s="1" t="s">
        <v>4517</v>
      </c>
      <c r="E43" s="1" t="s">
        <v>4518</v>
      </c>
      <c r="F43" s="1">
        <v>-211</v>
      </c>
      <c r="G43" s="1">
        <v>-211</v>
      </c>
      <c r="H43" s="1">
        <v>0</v>
      </c>
      <c r="I43" s="1">
        <v>0</v>
      </c>
      <c r="J43" s="1">
        <v>211</v>
      </c>
      <c r="K43" s="1">
        <v>-211</v>
      </c>
    </row>
    <row r="44" spans="3:11" x14ac:dyDescent="0.25">
      <c r="D44" s="1" t="s">
        <v>4519</v>
      </c>
      <c r="E44" s="1" t="s">
        <v>4520</v>
      </c>
      <c r="F44" s="1">
        <v>-208</v>
      </c>
      <c r="G44" s="1">
        <v>-208</v>
      </c>
      <c r="H44" s="1">
        <v>0</v>
      </c>
      <c r="I44" s="1">
        <v>30</v>
      </c>
      <c r="J44" s="1">
        <v>238</v>
      </c>
      <c r="K44" s="1">
        <v>-208</v>
      </c>
    </row>
    <row r="45" spans="3:11" x14ac:dyDescent="0.25">
      <c r="C45" s="1" t="s">
        <v>4521</v>
      </c>
      <c r="D45" s="1" t="s">
        <v>4522</v>
      </c>
      <c r="E45" s="1" t="s">
        <v>4523</v>
      </c>
      <c r="F45" s="1">
        <v>-206</v>
      </c>
      <c r="G45" s="1">
        <v>-206</v>
      </c>
      <c r="H45" s="1">
        <v>0</v>
      </c>
      <c r="I45" s="1">
        <v>150</v>
      </c>
      <c r="J45" s="1">
        <v>356</v>
      </c>
      <c r="K45" s="1">
        <v>-206</v>
      </c>
    </row>
    <row r="46" spans="3:11" x14ac:dyDescent="0.25">
      <c r="C46" s="1" t="s">
        <v>4524</v>
      </c>
      <c r="D46" s="1" t="s">
        <v>4525</v>
      </c>
      <c r="E46" s="1" t="s">
        <v>4524</v>
      </c>
      <c r="F46" s="1">
        <v>-205</v>
      </c>
      <c r="G46" s="1">
        <v>-205</v>
      </c>
      <c r="H46" s="1">
        <v>0</v>
      </c>
      <c r="I46" s="1">
        <v>32</v>
      </c>
      <c r="J46" s="1">
        <v>237</v>
      </c>
      <c r="K46" s="1">
        <v>-205</v>
      </c>
    </row>
    <row r="47" spans="3:11" x14ac:dyDescent="0.25">
      <c r="C47" s="1" t="s">
        <v>4526</v>
      </c>
      <c r="D47" s="1" t="s">
        <v>4527</v>
      </c>
      <c r="E47" s="1" t="s">
        <v>4526</v>
      </c>
      <c r="F47" s="1">
        <v>-198</v>
      </c>
      <c r="G47" s="1">
        <v>-198</v>
      </c>
      <c r="H47" s="1">
        <v>0</v>
      </c>
      <c r="I47" s="1">
        <v>0</v>
      </c>
      <c r="J47" s="1">
        <v>198</v>
      </c>
      <c r="K47" s="1">
        <v>-198</v>
      </c>
    </row>
    <row r="48" spans="3:11" x14ac:dyDescent="0.25">
      <c r="C48" s="1" t="s">
        <v>4528</v>
      </c>
      <c r="D48" s="1" t="s">
        <v>4529</v>
      </c>
      <c r="E48" s="1" t="s">
        <v>4528</v>
      </c>
      <c r="F48" s="1">
        <v>-192</v>
      </c>
      <c r="G48" s="1">
        <v>-192</v>
      </c>
      <c r="H48" s="1">
        <v>0</v>
      </c>
      <c r="I48" s="1">
        <v>0</v>
      </c>
      <c r="J48" s="1">
        <v>192</v>
      </c>
      <c r="K48" s="1">
        <v>-192</v>
      </c>
    </row>
    <row r="49" spans="3:11" x14ac:dyDescent="0.25">
      <c r="D49" s="1" t="s">
        <v>4530</v>
      </c>
      <c r="E49" s="1" t="s">
        <v>4531</v>
      </c>
      <c r="F49" s="1">
        <v>-190</v>
      </c>
      <c r="G49" s="1">
        <v>-190</v>
      </c>
      <c r="H49" s="1">
        <v>0</v>
      </c>
      <c r="I49" s="1">
        <v>0</v>
      </c>
      <c r="J49" s="1">
        <v>190</v>
      </c>
      <c r="K49" s="1">
        <v>-190</v>
      </c>
    </row>
    <row r="50" spans="3:11" x14ac:dyDescent="0.25">
      <c r="C50" s="1" t="s">
        <v>4532</v>
      </c>
      <c r="D50" s="1" t="s">
        <v>4533</v>
      </c>
      <c r="E50" s="1" t="s">
        <v>4534</v>
      </c>
      <c r="F50" s="1">
        <v>-186</v>
      </c>
      <c r="G50" s="1">
        <v>-186</v>
      </c>
      <c r="H50" s="1">
        <v>0</v>
      </c>
      <c r="I50" s="1">
        <v>35</v>
      </c>
      <c r="J50" s="1">
        <v>221</v>
      </c>
      <c r="K50" s="1">
        <v>-186</v>
      </c>
    </row>
    <row r="51" spans="3:11" x14ac:dyDescent="0.25">
      <c r="C51" s="1" t="s">
        <v>4535</v>
      </c>
      <c r="D51" s="1" t="s">
        <v>4536</v>
      </c>
      <c r="E51" s="1" t="s">
        <v>4537</v>
      </c>
      <c r="F51" s="1">
        <v>-186</v>
      </c>
      <c r="G51" s="1">
        <v>-186</v>
      </c>
      <c r="H51" s="1">
        <v>0</v>
      </c>
      <c r="I51" s="1">
        <v>0</v>
      </c>
      <c r="J51" s="1">
        <v>186</v>
      </c>
      <c r="K51" s="1">
        <v>-186</v>
      </c>
    </row>
    <row r="52" spans="3:11" x14ac:dyDescent="0.25">
      <c r="D52" s="1" t="s">
        <v>4538</v>
      </c>
      <c r="E52" s="1" t="s">
        <v>4539</v>
      </c>
      <c r="F52" s="1">
        <v>-175</v>
      </c>
      <c r="G52" s="1">
        <v>-175</v>
      </c>
      <c r="H52" s="1">
        <v>0</v>
      </c>
      <c r="I52" s="1">
        <v>0</v>
      </c>
      <c r="J52" s="1">
        <v>175</v>
      </c>
      <c r="K52" s="1">
        <v>-175</v>
      </c>
    </row>
    <row r="53" spans="3:11" x14ac:dyDescent="0.25">
      <c r="C53" s="1" t="s">
        <v>4540</v>
      </c>
      <c r="D53" s="1" t="s">
        <v>4541</v>
      </c>
      <c r="E53" s="1" t="s">
        <v>4542</v>
      </c>
      <c r="F53" s="1">
        <v>-167</v>
      </c>
      <c r="G53" s="1">
        <v>-167</v>
      </c>
      <c r="H53" s="1">
        <v>0</v>
      </c>
      <c r="I53" s="1">
        <v>0</v>
      </c>
      <c r="J53" s="1">
        <v>167</v>
      </c>
      <c r="K53" s="1">
        <v>-167</v>
      </c>
    </row>
    <row r="54" spans="3:11" x14ac:dyDescent="0.25">
      <c r="C54" s="1" t="s">
        <v>4543</v>
      </c>
      <c r="D54" s="1" t="s">
        <v>4544</v>
      </c>
      <c r="E54" s="1" t="s">
        <v>4545</v>
      </c>
      <c r="F54" s="1">
        <v>-163</v>
      </c>
      <c r="G54" s="1">
        <v>-163</v>
      </c>
      <c r="H54" s="1">
        <v>0</v>
      </c>
      <c r="I54" s="1">
        <v>1</v>
      </c>
      <c r="J54" s="1">
        <v>164</v>
      </c>
      <c r="K54" s="1">
        <v>-163</v>
      </c>
    </row>
    <row r="55" spans="3:11" x14ac:dyDescent="0.25">
      <c r="D55" s="1" t="s">
        <v>4546</v>
      </c>
      <c r="E55" s="1" t="s">
        <v>4547</v>
      </c>
      <c r="F55" s="1">
        <v>-162</v>
      </c>
      <c r="G55" s="1">
        <v>-162</v>
      </c>
      <c r="H55" s="1">
        <v>0</v>
      </c>
      <c r="I55" s="1">
        <v>74</v>
      </c>
      <c r="J55" s="1">
        <v>236</v>
      </c>
      <c r="K55" s="1">
        <v>-162</v>
      </c>
    </row>
    <row r="56" spans="3:11" x14ac:dyDescent="0.25">
      <c r="C56" s="1" t="s">
        <v>4548</v>
      </c>
      <c r="D56" s="1" t="s">
        <v>4549</v>
      </c>
      <c r="E56" s="1" t="s">
        <v>4548</v>
      </c>
      <c r="F56" s="1">
        <v>-161</v>
      </c>
      <c r="G56" s="1">
        <v>-161</v>
      </c>
      <c r="H56" s="1">
        <v>0</v>
      </c>
      <c r="I56" s="1">
        <v>16</v>
      </c>
      <c r="J56" s="1">
        <v>177</v>
      </c>
      <c r="K56" s="1">
        <v>-161</v>
      </c>
    </row>
    <row r="57" spans="3:11" x14ac:dyDescent="0.25">
      <c r="D57" s="1" t="s">
        <v>4550</v>
      </c>
      <c r="E57" s="1" t="s">
        <v>4551</v>
      </c>
      <c r="F57" s="1">
        <v>-161</v>
      </c>
      <c r="G57" s="1">
        <v>-161</v>
      </c>
      <c r="H57" s="1">
        <v>0</v>
      </c>
      <c r="I57" s="1">
        <v>6</v>
      </c>
      <c r="J57" s="1">
        <v>167</v>
      </c>
      <c r="K57" s="1">
        <v>-161</v>
      </c>
    </row>
    <row r="58" spans="3:11" x14ac:dyDescent="0.25">
      <c r="C58" s="1" t="s">
        <v>4552</v>
      </c>
      <c r="D58" s="1" t="s">
        <v>4553</v>
      </c>
      <c r="E58" s="1" t="s">
        <v>4554</v>
      </c>
      <c r="F58" s="1">
        <v>-156</v>
      </c>
      <c r="G58" s="1">
        <v>-156</v>
      </c>
      <c r="H58" s="1">
        <v>0</v>
      </c>
      <c r="I58" s="1">
        <v>1877</v>
      </c>
      <c r="J58" s="1">
        <v>2033</v>
      </c>
      <c r="K58" s="1">
        <v>-156</v>
      </c>
    </row>
    <row r="59" spans="3:11" x14ac:dyDescent="0.25">
      <c r="D59" s="1" t="s">
        <v>4555</v>
      </c>
      <c r="E59" s="1" t="s">
        <v>4556</v>
      </c>
      <c r="F59" s="1">
        <v>-153</v>
      </c>
      <c r="G59" s="1">
        <v>-153</v>
      </c>
      <c r="H59" s="1">
        <v>0</v>
      </c>
      <c r="I59" s="1">
        <v>1</v>
      </c>
      <c r="J59" s="1">
        <v>154</v>
      </c>
      <c r="K59" s="1">
        <v>-153</v>
      </c>
    </row>
    <row r="60" spans="3:11" x14ac:dyDescent="0.25">
      <c r="D60" s="1" t="s">
        <v>4557</v>
      </c>
      <c r="E60" s="1" t="s">
        <v>4558</v>
      </c>
      <c r="F60" s="1">
        <v>-151</v>
      </c>
      <c r="G60" s="1">
        <v>-151</v>
      </c>
      <c r="H60" s="1">
        <v>0</v>
      </c>
      <c r="I60" s="1">
        <v>4</v>
      </c>
      <c r="J60" s="1">
        <v>155</v>
      </c>
      <c r="K60" s="1">
        <v>-151</v>
      </c>
    </row>
    <row r="61" spans="3:11" x14ac:dyDescent="0.25">
      <c r="D61" s="1" t="s">
        <v>4559</v>
      </c>
      <c r="E61" s="1" t="s">
        <v>4560</v>
      </c>
      <c r="F61" s="1">
        <v>-150</v>
      </c>
      <c r="G61" s="1">
        <v>-150</v>
      </c>
      <c r="H61" s="1">
        <v>0</v>
      </c>
      <c r="I61" s="1">
        <v>0</v>
      </c>
      <c r="J61" s="1">
        <v>150</v>
      </c>
      <c r="K61" s="1">
        <v>-150</v>
      </c>
    </row>
    <row r="62" spans="3:11" x14ac:dyDescent="0.25">
      <c r="C62" s="1" t="s">
        <v>4561</v>
      </c>
      <c r="D62" s="1" t="s">
        <v>4562</v>
      </c>
      <c r="E62" s="1" t="s">
        <v>4561</v>
      </c>
      <c r="F62" s="1">
        <v>-148</v>
      </c>
      <c r="G62" s="1">
        <v>-148</v>
      </c>
      <c r="H62" s="1">
        <v>0</v>
      </c>
      <c r="I62" s="1">
        <v>4</v>
      </c>
      <c r="J62" s="1">
        <v>152</v>
      </c>
      <c r="K62" s="1">
        <v>-148</v>
      </c>
    </row>
    <row r="63" spans="3:11" x14ac:dyDescent="0.25">
      <c r="C63" s="1" t="s">
        <v>4563</v>
      </c>
      <c r="D63" s="1" t="s">
        <v>4564</v>
      </c>
      <c r="E63" s="1" t="s">
        <v>4565</v>
      </c>
      <c r="F63" s="1">
        <v>-148</v>
      </c>
      <c r="G63" s="1">
        <v>-148</v>
      </c>
      <c r="H63" s="1">
        <v>0</v>
      </c>
      <c r="I63" s="1">
        <v>0</v>
      </c>
      <c r="J63" s="1">
        <v>148</v>
      </c>
      <c r="K63" s="1">
        <v>-148</v>
      </c>
    </row>
    <row r="64" spans="3:11" x14ac:dyDescent="0.25">
      <c r="D64" s="1" t="s">
        <v>4566</v>
      </c>
      <c r="E64" s="1" t="s">
        <v>4567</v>
      </c>
      <c r="F64" s="1">
        <v>-148</v>
      </c>
      <c r="G64" s="1">
        <v>-148</v>
      </c>
      <c r="H64" s="1">
        <v>0</v>
      </c>
      <c r="I64" s="1">
        <v>0</v>
      </c>
      <c r="J64" s="1">
        <v>148</v>
      </c>
      <c r="K64" s="1">
        <v>-148</v>
      </c>
    </row>
    <row r="65" spans="3:11" x14ac:dyDescent="0.25">
      <c r="C65" s="1" t="s">
        <v>4568</v>
      </c>
      <c r="D65" s="1" t="s">
        <v>4569</v>
      </c>
      <c r="E65" s="1" t="s">
        <v>4570</v>
      </c>
      <c r="F65" s="1">
        <v>-147</v>
      </c>
      <c r="G65" s="1">
        <v>-147</v>
      </c>
      <c r="H65" s="1">
        <v>0</v>
      </c>
      <c r="I65" s="1">
        <v>0</v>
      </c>
      <c r="J65" s="1">
        <v>147</v>
      </c>
      <c r="K65" s="1">
        <v>-147</v>
      </c>
    </row>
    <row r="66" spans="3:11" x14ac:dyDescent="0.25">
      <c r="C66" s="1" t="s">
        <v>4571</v>
      </c>
      <c r="D66" s="1" t="s">
        <v>4572</v>
      </c>
      <c r="E66" s="1" t="s">
        <v>4573</v>
      </c>
      <c r="F66" s="1">
        <v>-142</v>
      </c>
      <c r="G66" s="1">
        <v>-142</v>
      </c>
      <c r="H66" s="1">
        <v>0</v>
      </c>
      <c r="I66" s="1">
        <v>34</v>
      </c>
      <c r="J66" s="1">
        <v>176</v>
      </c>
      <c r="K66" s="1">
        <v>-142</v>
      </c>
    </row>
    <row r="67" spans="3:11" x14ac:dyDescent="0.25">
      <c r="C67" s="1" t="s">
        <v>4574</v>
      </c>
      <c r="D67" s="1" t="s">
        <v>4575</v>
      </c>
      <c r="E67" s="1" t="s">
        <v>4576</v>
      </c>
      <c r="F67" s="1">
        <v>-140</v>
      </c>
      <c r="G67" s="1">
        <v>-140</v>
      </c>
      <c r="H67" s="1">
        <v>0</v>
      </c>
      <c r="I67" s="1">
        <v>1876</v>
      </c>
      <c r="J67" s="1">
        <v>2016</v>
      </c>
      <c r="K67" s="1">
        <v>-140</v>
      </c>
    </row>
    <row r="68" spans="3:11" x14ac:dyDescent="0.25">
      <c r="C68" s="1" t="s">
        <v>4577</v>
      </c>
      <c r="D68" s="1" t="s">
        <v>4578</v>
      </c>
      <c r="E68" s="1" t="s">
        <v>4579</v>
      </c>
      <c r="F68" s="1">
        <v>-137</v>
      </c>
      <c r="G68" s="1">
        <v>-137</v>
      </c>
      <c r="H68" s="1">
        <v>0</v>
      </c>
      <c r="I68" s="1">
        <v>2</v>
      </c>
      <c r="J68" s="1">
        <v>139</v>
      </c>
      <c r="K68" s="1">
        <v>-137</v>
      </c>
    </row>
    <row r="69" spans="3:11" x14ac:dyDescent="0.25">
      <c r="D69" s="1" t="s">
        <v>4580</v>
      </c>
      <c r="E69" s="1" t="s">
        <v>4581</v>
      </c>
      <c r="F69" s="1">
        <v>-137</v>
      </c>
      <c r="G69" s="1">
        <v>-137</v>
      </c>
      <c r="H69" s="1">
        <v>0</v>
      </c>
      <c r="I69" s="1">
        <v>0</v>
      </c>
      <c r="J69" s="1">
        <v>137</v>
      </c>
      <c r="K69" s="1">
        <v>-137</v>
      </c>
    </row>
    <row r="70" spans="3:11" x14ac:dyDescent="0.25">
      <c r="C70" s="1" t="s">
        <v>4582</v>
      </c>
      <c r="D70" s="1" t="s">
        <v>4583</v>
      </c>
      <c r="E70" s="1" t="s">
        <v>4582</v>
      </c>
      <c r="F70" s="1">
        <v>-136</v>
      </c>
      <c r="G70" s="1">
        <v>-136</v>
      </c>
      <c r="H70" s="1">
        <v>0</v>
      </c>
      <c r="I70" s="1">
        <v>80</v>
      </c>
      <c r="J70" s="1">
        <v>216</v>
      </c>
      <c r="K70" s="1">
        <v>-136</v>
      </c>
    </row>
    <row r="71" spans="3:11" x14ac:dyDescent="0.25">
      <c r="C71" s="1" t="s">
        <v>4584</v>
      </c>
      <c r="D71" s="1" t="s">
        <v>4585</v>
      </c>
      <c r="E71" s="1" t="s">
        <v>4586</v>
      </c>
      <c r="F71" s="1">
        <v>-136</v>
      </c>
      <c r="G71" s="1">
        <v>-136</v>
      </c>
      <c r="H71" s="1">
        <v>0</v>
      </c>
      <c r="I71" s="1">
        <v>0</v>
      </c>
      <c r="J71" s="1">
        <v>136</v>
      </c>
      <c r="K71" s="1">
        <v>-136</v>
      </c>
    </row>
    <row r="72" spans="3:11" x14ac:dyDescent="0.25">
      <c r="C72" s="1" t="s">
        <v>4587</v>
      </c>
      <c r="D72" s="1" t="s">
        <v>4588</v>
      </c>
      <c r="E72" s="1" t="s">
        <v>4589</v>
      </c>
      <c r="F72" s="1">
        <v>-133</v>
      </c>
      <c r="G72" s="1">
        <v>-133</v>
      </c>
      <c r="H72" s="1">
        <v>0</v>
      </c>
      <c r="I72" s="1">
        <v>3453</v>
      </c>
      <c r="J72" s="1">
        <v>3586</v>
      </c>
      <c r="K72" s="1">
        <v>-133</v>
      </c>
    </row>
    <row r="73" spans="3:11" x14ac:dyDescent="0.25">
      <c r="C73" s="1" t="s">
        <v>4590</v>
      </c>
      <c r="D73" s="1" t="s">
        <v>4591</v>
      </c>
      <c r="E73" s="1" t="s">
        <v>4590</v>
      </c>
      <c r="F73" s="1">
        <v>-131</v>
      </c>
      <c r="G73" s="1">
        <v>-131</v>
      </c>
      <c r="H73" s="1">
        <v>0</v>
      </c>
      <c r="I73" s="1">
        <v>0</v>
      </c>
      <c r="J73" s="1">
        <v>131</v>
      </c>
      <c r="K73" s="1">
        <v>-131</v>
      </c>
    </row>
    <row r="74" spans="3:11" x14ac:dyDescent="0.25">
      <c r="C74" s="1" t="s">
        <v>4592</v>
      </c>
      <c r="D74" s="1" t="s">
        <v>4593</v>
      </c>
      <c r="E74" s="1" t="s">
        <v>4592</v>
      </c>
      <c r="F74" s="1">
        <v>-130</v>
      </c>
      <c r="G74" s="1">
        <v>-130</v>
      </c>
      <c r="H74" s="1">
        <v>0</v>
      </c>
      <c r="I74" s="1">
        <v>12</v>
      </c>
      <c r="J74" s="1">
        <v>142</v>
      </c>
      <c r="K74" s="1">
        <v>-130</v>
      </c>
    </row>
    <row r="75" spans="3:11" x14ac:dyDescent="0.25">
      <c r="C75" s="1" t="s">
        <v>4594</v>
      </c>
      <c r="D75" s="1" t="s">
        <v>4595</v>
      </c>
      <c r="E75" s="1" t="s">
        <v>4596</v>
      </c>
      <c r="F75" s="1">
        <v>-129</v>
      </c>
      <c r="G75" s="1">
        <v>-129</v>
      </c>
      <c r="H75" s="1">
        <v>0</v>
      </c>
      <c r="I75" s="1">
        <v>22</v>
      </c>
      <c r="J75" s="1">
        <v>151</v>
      </c>
      <c r="K75" s="1">
        <v>-129</v>
      </c>
    </row>
    <row r="76" spans="3:11" x14ac:dyDescent="0.25">
      <c r="C76" s="1" t="s">
        <v>4597</v>
      </c>
      <c r="D76" s="1" t="s">
        <v>4598</v>
      </c>
      <c r="E76" s="1" t="s">
        <v>4599</v>
      </c>
      <c r="F76" s="1">
        <v>-129</v>
      </c>
      <c r="G76" s="1">
        <v>-129</v>
      </c>
      <c r="H76" s="1">
        <v>0</v>
      </c>
      <c r="I76" s="1">
        <v>0</v>
      </c>
      <c r="J76" s="1">
        <v>129</v>
      </c>
      <c r="K76" s="1">
        <v>-129</v>
      </c>
    </row>
    <row r="77" spans="3:11" x14ac:dyDescent="0.25">
      <c r="C77" s="1" t="s">
        <v>4600</v>
      </c>
      <c r="D77" s="1" t="s">
        <v>4601</v>
      </c>
      <c r="E77" s="1" t="s">
        <v>4602</v>
      </c>
      <c r="F77" s="1">
        <v>-129</v>
      </c>
      <c r="G77" s="1">
        <v>-129</v>
      </c>
      <c r="H77" s="1">
        <v>0</v>
      </c>
      <c r="I77" s="1">
        <v>0</v>
      </c>
      <c r="J77" s="1">
        <v>129</v>
      </c>
      <c r="K77" s="1">
        <v>-129</v>
      </c>
    </row>
    <row r="78" spans="3:11" x14ac:dyDescent="0.25">
      <c r="C78" s="1" t="s">
        <v>4603</v>
      </c>
      <c r="D78" s="1" t="s">
        <v>4604</v>
      </c>
      <c r="E78" s="1" t="s">
        <v>4603</v>
      </c>
      <c r="F78" s="1">
        <v>-128</v>
      </c>
      <c r="G78" s="1">
        <v>-128</v>
      </c>
      <c r="H78" s="1">
        <v>0</v>
      </c>
      <c r="I78" s="1">
        <v>2</v>
      </c>
      <c r="J78" s="1">
        <v>130</v>
      </c>
      <c r="K78" s="1">
        <v>-128</v>
      </c>
    </row>
    <row r="79" spans="3:11" x14ac:dyDescent="0.25">
      <c r="C79" s="1" t="s">
        <v>4605</v>
      </c>
      <c r="D79" s="1" t="s">
        <v>4606</v>
      </c>
      <c r="E79" s="1" t="s">
        <v>4605</v>
      </c>
      <c r="F79" s="1">
        <v>-126</v>
      </c>
      <c r="G79" s="1">
        <v>-126</v>
      </c>
      <c r="H79" s="1">
        <v>0</v>
      </c>
      <c r="I79" s="1">
        <v>0</v>
      </c>
      <c r="J79" s="1">
        <v>126</v>
      </c>
      <c r="K79" s="1">
        <v>-126</v>
      </c>
    </row>
    <row r="80" spans="3:11" x14ac:dyDescent="0.25">
      <c r="C80" s="1" t="s">
        <v>4607</v>
      </c>
      <c r="D80" s="1" t="s">
        <v>4608</v>
      </c>
      <c r="E80" s="1" t="s">
        <v>4609</v>
      </c>
      <c r="F80" s="1">
        <v>-125</v>
      </c>
      <c r="G80" s="1">
        <v>-125</v>
      </c>
      <c r="H80" s="1">
        <v>0</v>
      </c>
      <c r="I80" s="1">
        <v>3</v>
      </c>
      <c r="J80" s="1">
        <v>128</v>
      </c>
      <c r="K80" s="1">
        <v>-125</v>
      </c>
    </row>
    <row r="81" spans="3:11" x14ac:dyDescent="0.25">
      <c r="C81" s="1" t="s">
        <v>4610</v>
      </c>
      <c r="D81" s="1" t="s">
        <v>4611</v>
      </c>
      <c r="E81" s="1" t="s">
        <v>4612</v>
      </c>
      <c r="F81" s="1">
        <v>-124</v>
      </c>
      <c r="G81" s="1">
        <v>-124</v>
      </c>
      <c r="H81" s="1">
        <v>0</v>
      </c>
      <c r="I81" s="1">
        <v>3</v>
      </c>
      <c r="J81" s="1">
        <v>127</v>
      </c>
      <c r="K81" s="1">
        <v>-124</v>
      </c>
    </row>
    <row r="82" spans="3:11" x14ac:dyDescent="0.25">
      <c r="C82" s="1" t="s">
        <v>4613</v>
      </c>
      <c r="D82" s="1" t="s">
        <v>4614</v>
      </c>
      <c r="E82" s="1" t="s">
        <v>4615</v>
      </c>
      <c r="F82" s="1">
        <v>-123</v>
      </c>
      <c r="G82" s="1">
        <v>-123</v>
      </c>
      <c r="H82" s="1">
        <v>0</v>
      </c>
      <c r="I82" s="1">
        <v>12</v>
      </c>
      <c r="J82" s="1">
        <v>135</v>
      </c>
      <c r="K82" s="1">
        <v>-123</v>
      </c>
    </row>
    <row r="83" spans="3:11" x14ac:dyDescent="0.25">
      <c r="C83" s="1" t="s">
        <v>4616</v>
      </c>
      <c r="D83" s="1" t="s">
        <v>4617</v>
      </c>
      <c r="E83" s="1" t="s">
        <v>4618</v>
      </c>
      <c r="F83" s="1">
        <v>-122</v>
      </c>
      <c r="G83" s="1">
        <v>-122</v>
      </c>
      <c r="H83" s="1">
        <v>0</v>
      </c>
      <c r="I83" s="1">
        <v>186</v>
      </c>
      <c r="J83" s="1">
        <v>308</v>
      </c>
      <c r="K83" s="1">
        <v>-122</v>
      </c>
    </row>
    <row r="84" spans="3:11" x14ac:dyDescent="0.25">
      <c r="C84" s="1" t="s">
        <v>4619</v>
      </c>
      <c r="D84" s="1" t="s">
        <v>4620</v>
      </c>
      <c r="E84" s="1" t="s">
        <v>4621</v>
      </c>
      <c r="F84" s="1">
        <v>-120</v>
      </c>
      <c r="G84" s="1">
        <v>-120</v>
      </c>
      <c r="H84" s="1">
        <v>0</v>
      </c>
      <c r="I84" s="1">
        <v>1</v>
      </c>
      <c r="J84" s="1">
        <v>121</v>
      </c>
      <c r="K84" s="1">
        <v>-120</v>
      </c>
    </row>
    <row r="85" spans="3:11" x14ac:dyDescent="0.25">
      <c r="C85" s="1" t="s">
        <v>4622</v>
      </c>
      <c r="D85" s="1" t="s">
        <v>4623</v>
      </c>
      <c r="E85" s="1" t="s">
        <v>4624</v>
      </c>
      <c r="F85" s="1">
        <v>-119</v>
      </c>
      <c r="G85" s="1">
        <v>-119</v>
      </c>
      <c r="H85" s="1">
        <v>0</v>
      </c>
      <c r="I85" s="1">
        <v>0</v>
      </c>
      <c r="J85" s="1">
        <v>119</v>
      </c>
      <c r="K85" s="1">
        <v>-119</v>
      </c>
    </row>
    <row r="86" spans="3:11" x14ac:dyDescent="0.25">
      <c r="C86" s="1" t="s">
        <v>4625</v>
      </c>
      <c r="D86" s="1" t="s">
        <v>4626</v>
      </c>
      <c r="E86" s="1" t="s">
        <v>4627</v>
      </c>
      <c r="F86" s="1">
        <v>-118</v>
      </c>
      <c r="G86" s="1">
        <v>-118</v>
      </c>
      <c r="H86" s="1">
        <v>0</v>
      </c>
      <c r="I86" s="1">
        <v>0</v>
      </c>
      <c r="J86" s="1">
        <v>118</v>
      </c>
      <c r="K86" s="1">
        <v>-118</v>
      </c>
    </row>
    <row r="87" spans="3:11" x14ac:dyDescent="0.25">
      <c r="C87" s="1" t="s">
        <v>4628</v>
      </c>
      <c r="D87" s="1" t="s">
        <v>4629</v>
      </c>
      <c r="E87" s="1" t="s">
        <v>4630</v>
      </c>
      <c r="F87" s="1">
        <v>-117</v>
      </c>
      <c r="G87" s="1">
        <v>-117</v>
      </c>
      <c r="H87" s="1">
        <v>0</v>
      </c>
      <c r="I87" s="1">
        <v>207</v>
      </c>
      <c r="J87" s="1">
        <v>324</v>
      </c>
      <c r="K87" s="1">
        <v>-117</v>
      </c>
    </row>
    <row r="88" spans="3:11" x14ac:dyDescent="0.25">
      <c r="C88" s="1" t="s">
        <v>4631</v>
      </c>
      <c r="D88" s="1" t="s">
        <v>4632</v>
      </c>
      <c r="E88" s="1" t="s">
        <v>4631</v>
      </c>
      <c r="F88" s="1">
        <v>-116</v>
      </c>
      <c r="G88" s="1">
        <v>-116</v>
      </c>
      <c r="H88" s="1">
        <v>0</v>
      </c>
      <c r="I88" s="1">
        <v>4</v>
      </c>
      <c r="J88" s="1">
        <v>120</v>
      </c>
      <c r="K88" s="1">
        <v>-116</v>
      </c>
    </row>
    <row r="89" spans="3:11" x14ac:dyDescent="0.25">
      <c r="C89" s="1" t="s">
        <v>4633</v>
      </c>
      <c r="D89" s="1" t="s">
        <v>4634</v>
      </c>
      <c r="E89" s="1" t="s">
        <v>4635</v>
      </c>
      <c r="F89" s="1">
        <v>-111</v>
      </c>
      <c r="G89" s="1">
        <v>-111</v>
      </c>
      <c r="H89" s="1">
        <v>0</v>
      </c>
      <c r="I89" s="1">
        <v>0</v>
      </c>
      <c r="J89" s="1">
        <v>111</v>
      </c>
      <c r="K89" s="1">
        <v>-111</v>
      </c>
    </row>
    <row r="90" spans="3:11" x14ac:dyDescent="0.25">
      <c r="C90" s="1" t="s">
        <v>4636</v>
      </c>
      <c r="D90" s="1" t="s">
        <v>4637</v>
      </c>
      <c r="E90" s="1" t="s">
        <v>4638</v>
      </c>
      <c r="F90" s="1">
        <v>-106</v>
      </c>
      <c r="G90" s="1">
        <v>-106</v>
      </c>
      <c r="H90" s="1">
        <v>0</v>
      </c>
      <c r="I90" s="1">
        <v>0</v>
      </c>
      <c r="J90" s="1">
        <v>106</v>
      </c>
      <c r="K90" s="1">
        <v>-106</v>
      </c>
    </row>
    <row r="91" spans="3:11" x14ac:dyDescent="0.25">
      <c r="C91" s="1" t="s">
        <v>4639</v>
      </c>
      <c r="D91" s="1" t="s">
        <v>4640</v>
      </c>
      <c r="E91" s="1" t="s">
        <v>4641</v>
      </c>
      <c r="F91" s="1">
        <v>-105</v>
      </c>
      <c r="G91" s="1">
        <v>-105</v>
      </c>
      <c r="H91" s="1">
        <v>0</v>
      </c>
      <c r="I91" s="1">
        <v>0</v>
      </c>
      <c r="J91" s="1">
        <v>105</v>
      </c>
      <c r="K91" s="1">
        <v>-105</v>
      </c>
    </row>
    <row r="92" spans="3:11" x14ac:dyDescent="0.25">
      <c r="C92" s="1" t="s">
        <v>4642</v>
      </c>
      <c r="D92" s="1" t="s">
        <v>4643</v>
      </c>
      <c r="E92" s="1" t="s">
        <v>4644</v>
      </c>
      <c r="F92" s="1">
        <v>-102</v>
      </c>
      <c r="G92" s="1">
        <v>-102</v>
      </c>
      <c r="H92" s="1">
        <v>0</v>
      </c>
      <c r="I92" s="1">
        <v>19</v>
      </c>
      <c r="J92" s="1">
        <v>121</v>
      </c>
      <c r="K92" s="1">
        <v>-102</v>
      </c>
    </row>
    <row r="93" spans="3:11" x14ac:dyDescent="0.25">
      <c r="C93" s="1" t="s">
        <v>4645</v>
      </c>
      <c r="D93" s="1" t="s">
        <v>4646</v>
      </c>
      <c r="E93" s="1" t="s">
        <v>4645</v>
      </c>
      <c r="F93" s="1">
        <v>-102</v>
      </c>
      <c r="G93" s="1">
        <v>-102</v>
      </c>
      <c r="H93" s="1">
        <v>0</v>
      </c>
      <c r="I93" s="1">
        <v>0</v>
      </c>
      <c r="J93" s="1">
        <v>102</v>
      </c>
      <c r="K93" s="1">
        <v>-102</v>
      </c>
    </row>
    <row r="94" spans="3:11" x14ac:dyDescent="0.25">
      <c r="D94" s="1" t="s">
        <v>4647</v>
      </c>
      <c r="E94" s="1" t="s">
        <v>4648</v>
      </c>
      <c r="F94" s="1">
        <v>-100</v>
      </c>
      <c r="G94" s="1">
        <v>-100</v>
      </c>
      <c r="H94" s="1">
        <v>0</v>
      </c>
      <c r="I94" s="1">
        <v>0</v>
      </c>
      <c r="J94" s="1">
        <v>100</v>
      </c>
      <c r="K94" s="1">
        <v>-100</v>
      </c>
    </row>
    <row r="95" spans="3:11" x14ac:dyDescent="0.25">
      <c r="D95" s="1" t="s">
        <v>4649</v>
      </c>
      <c r="E95" s="1" t="s">
        <v>4650</v>
      </c>
      <c r="F95" s="1">
        <v>-99</v>
      </c>
      <c r="G95" s="1">
        <v>-99</v>
      </c>
      <c r="H95" s="1">
        <v>0</v>
      </c>
      <c r="I95" s="1">
        <v>0</v>
      </c>
      <c r="J95" s="1">
        <v>99</v>
      </c>
      <c r="K95" s="1">
        <v>-99</v>
      </c>
    </row>
    <row r="96" spans="3:11" x14ac:dyDescent="0.25">
      <c r="C96" s="1" t="s">
        <v>4651</v>
      </c>
      <c r="D96" s="1" t="s">
        <v>4652</v>
      </c>
      <c r="E96" s="1" t="s">
        <v>4653</v>
      </c>
      <c r="F96" s="1">
        <v>-99</v>
      </c>
      <c r="G96" s="1">
        <v>-99</v>
      </c>
      <c r="H96" s="1">
        <v>0</v>
      </c>
      <c r="I96" s="1">
        <v>0</v>
      </c>
      <c r="J96" s="1">
        <v>99</v>
      </c>
      <c r="K96" s="1">
        <v>-99</v>
      </c>
    </row>
    <row r="97" spans="3:11" x14ac:dyDescent="0.25">
      <c r="C97" s="1" t="s">
        <v>4654</v>
      </c>
      <c r="D97" s="1" t="s">
        <v>4655</v>
      </c>
      <c r="E97" s="1" t="s">
        <v>4654</v>
      </c>
      <c r="F97" s="1">
        <v>-97</v>
      </c>
      <c r="G97" s="1">
        <v>-97</v>
      </c>
      <c r="H97" s="1">
        <v>0</v>
      </c>
      <c r="I97" s="1">
        <v>0</v>
      </c>
      <c r="J97" s="1">
        <v>97</v>
      </c>
      <c r="K97" s="1">
        <v>-97</v>
      </c>
    </row>
    <row r="98" spans="3:11" x14ac:dyDescent="0.25">
      <c r="C98" s="1" t="s">
        <v>4656</v>
      </c>
      <c r="D98" s="1" t="s">
        <v>4657</v>
      </c>
      <c r="E98" s="1" t="s">
        <v>4658</v>
      </c>
      <c r="F98" s="1">
        <v>-95</v>
      </c>
      <c r="G98" s="1">
        <v>-95</v>
      </c>
      <c r="H98" s="1">
        <v>0</v>
      </c>
      <c r="I98" s="1">
        <v>0</v>
      </c>
      <c r="J98" s="1">
        <v>95</v>
      </c>
      <c r="K98" s="1">
        <v>-95</v>
      </c>
    </row>
    <row r="99" spans="3:11" x14ac:dyDescent="0.25">
      <c r="D99" s="1" t="s">
        <v>4659</v>
      </c>
      <c r="E99" s="1" t="s">
        <v>4660</v>
      </c>
      <c r="F99" s="1">
        <v>-94</v>
      </c>
      <c r="G99" s="1">
        <v>-94</v>
      </c>
      <c r="H99" s="1">
        <v>0</v>
      </c>
      <c r="I99" s="1">
        <v>0</v>
      </c>
      <c r="J99" s="1">
        <v>94</v>
      </c>
      <c r="K99" s="1">
        <v>-94</v>
      </c>
    </row>
    <row r="100" spans="3:11" x14ac:dyDescent="0.25">
      <c r="D100" s="1" t="s">
        <v>4661</v>
      </c>
      <c r="E100" s="1" t="s">
        <v>4662</v>
      </c>
      <c r="F100" s="1">
        <v>-93</v>
      </c>
      <c r="G100" s="1">
        <v>-93</v>
      </c>
      <c r="H100" s="1">
        <v>0</v>
      </c>
      <c r="I100" s="1">
        <v>12</v>
      </c>
      <c r="J100" s="1">
        <v>105</v>
      </c>
      <c r="K100" s="1">
        <v>-93</v>
      </c>
    </row>
    <row r="101" spans="3:11" x14ac:dyDescent="0.25">
      <c r="C101" s="1" t="s">
        <v>4663</v>
      </c>
      <c r="D101" s="1" t="s">
        <v>4664</v>
      </c>
      <c r="E101" s="1" t="s">
        <v>4663</v>
      </c>
      <c r="F101" s="1">
        <v>-93</v>
      </c>
      <c r="G101" s="1">
        <v>-93</v>
      </c>
      <c r="H101" s="1">
        <v>0</v>
      </c>
      <c r="I101" s="1">
        <v>10</v>
      </c>
      <c r="J101" s="1">
        <v>103</v>
      </c>
      <c r="K101" s="1">
        <v>-93</v>
      </c>
    </row>
    <row r="102" spans="3:11" x14ac:dyDescent="0.25">
      <c r="C102" s="1" t="s">
        <v>4665</v>
      </c>
      <c r="D102" s="1" t="s">
        <v>4666</v>
      </c>
      <c r="E102" s="1" t="s">
        <v>4667</v>
      </c>
      <c r="F102" s="1">
        <v>-93</v>
      </c>
      <c r="G102" s="1">
        <v>-93</v>
      </c>
      <c r="H102" s="1">
        <v>0</v>
      </c>
      <c r="I102" s="1">
        <v>2</v>
      </c>
      <c r="J102" s="1">
        <v>95</v>
      </c>
      <c r="K102" s="1">
        <v>-93</v>
      </c>
    </row>
    <row r="103" spans="3:11" x14ac:dyDescent="0.25">
      <c r="D103" s="1" t="s">
        <v>4668</v>
      </c>
      <c r="E103" s="1" t="s">
        <v>4669</v>
      </c>
      <c r="F103" s="1">
        <v>-92</v>
      </c>
      <c r="G103" s="1">
        <v>-92</v>
      </c>
      <c r="H103" s="1">
        <v>0</v>
      </c>
      <c r="I103" s="1">
        <v>0</v>
      </c>
      <c r="J103" s="1">
        <v>92</v>
      </c>
      <c r="K103" s="1">
        <v>-92</v>
      </c>
    </row>
    <row r="104" spans="3:11" x14ac:dyDescent="0.25">
      <c r="C104" s="1" t="s">
        <v>4670</v>
      </c>
      <c r="D104" s="1" t="s">
        <v>4671</v>
      </c>
      <c r="E104" s="1" t="s">
        <v>4672</v>
      </c>
      <c r="F104" s="1">
        <v>-92</v>
      </c>
      <c r="G104" s="1">
        <v>-92</v>
      </c>
      <c r="H104" s="1">
        <v>0</v>
      </c>
      <c r="I104" s="1">
        <v>0</v>
      </c>
      <c r="J104" s="1">
        <v>92</v>
      </c>
      <c r="K104" s="1">
        <v>-92</v>
      </c>
    </row>
    <row r="105" spans="3:11" x14ac:dyDescent="0.25">
      <c r="C105" s="1" t="s">
        <v>4673</v>
      </c>
      <c r="D105" s="1" t="s">
        <v>4674</v>
      </c>
      <c r="E105" s="1" t="s">
        <v>4675</v>
      </c>
      <c r="F105" s="1">
        <v>-91</v>
      </c>
      <c r="G105" s="1">
        <v>-91</v>
      </c>
      <c r="H105" s="1">
        <v>0</v>
      </c>
      <c r="I105" s="1">
        <v>456</v>
      </c>
      <c r="J105" s="1">
        <v>547</v>
      </c>
      <c r="K105" s="1">
        <v>-91</v>
      </c>
    </row>
    <row r="106" spans="3:11" x14ac:dyDescent="0.25">
      <c r="D106" s="1" t="s">
        <v>4676</v>
      </c>
      <c r="E106" s="1" t="s">
        <v>4677</v>
      </c>
      <c r="F106" s="1">
        <v>-90</v>
      </c>
      <c r="G106" s="1">
        <v>-90</v>
      </c>
      <c r="H106" s="1">
        <v>0</v>
      </c>
      <c r="I106" s="1">
        <v>0</v>
      </c>
      <c r="J106" s="1">
        <v>90</v>
      </c>
      <c r="K106" s="1">
        <v>-90</v>
      </c>
    </row>
    <row r="107" spans="3:11" x14ac:dyDescent="0.25">
      <c r="D107" s="1" t="s">
        <v>4678</v>
      </c>
      <c r="E107" s="1" t="s">
        <v>4679</v>
      </c>
      <c r="F107" s="1">
        <v>-90</v>
      </c>
      <c r="G107" s="1">
        <v>-90</v>
      </c>
      <c r="H107" s="1">
        <v>0</v>
      </c>
      <c r="I107" s="1">
        <v>0</v>
      </c>
      <c r="J107" s="1">
        <v>90</v>
      </c>
      <c r="K107" s="1">
        <v>-90</v>
      </c>
    </row>
    <row r="108" spans="3:11" x14ac:dyDescent="0.25">
      <c r="C108" s="1" t="s">
        <v>4680</v>
      </c>
      <c r="D108" s="1" t="s">
        <v>4681</v>
      </c>
      <c r="E108" s="1" t="s">
        <v>4682</v>
      </c>
      <c r="F108" s="1">
        <v>-88</v>
      </c>
      <c r="G108" s="1">
        <v>-88</v>
      </c>
      <c r="H108" s="1">
        <v>0</v>
      </c>
      <c r="I108" s="1">
        <v>10</v>
      </c>
      <c r="J108" s="1">
        <v>98</v>
      </c>
      <c r="K108" s="1">
        <v>-88</v>
      </c>
    </row>
    <row r="109" spans="3:11" x14ac:dyDescent="0.25">
      <c r="C109" s="1" t="s">
        <v>4683</v>
      </c>
      <c r="D109" s="1" t="s">
        <v>4684</v>
      </c>
      <c r="E109" s="1" t="s">
        <v>4685</v>
      </c>
      <c r="F109" s="1">
        <v>-88</v>
      </c>
      <c r="G109" s="1">
        <v>-88</v>
      </c>
      <c r="H109" s="1">
        <v>0</v>
      </c>
      <c r="I109" s="1">
        <v>4</v>
      </c>
      <c r="J109" s="1">
        <v>92</v>
      </c>
      <c r="K109" s="1">
        <v>-88</v>
      </c>
    </row>
    <row r="110" spans="3:11" x14ac:dyDescent="0.25">
      <c r="C110" s="1" t="s">
        <v>4686</v>
      </c>
      <c r="D110" s="1" t="s">
        <v>4687</v>
      </c>
      <c r="E110" s="1" t="s">
        <v>4688</v>
      </c>
      <c r="F110" s="1">
        <v>-86</v>
      </c>
      <c r="G110" s="1">
        <v>-86</v>
      </c>
      <c r="H110" s="1">
        <v>0</v>
      </c>
      <c r="I110" s="1">
        <v>993</v>
      </c>
      <c r="J110" s="1">
        <v>1079</v>
      </c>
      <c r="K110" s="1">
        <v>-86</v>
      </c>
    </row>
    <row r="111" spans="3:11" x14ac:dyDescent="0.25">
      <c r="C111" s="1" t="s">
        <v>4689</v>
      </c>
      <c r="D111" s="1" t="s">
        <v>4690</v>
      </c>
      <c r="E111" s="1" t="s">
        <v>4691</v>
      </c>
      <c r="F111" s="1">
        <v>-86</v>
      </c>
      <c r="G111" s="1">
        <v>-86</v>
      </c>
      <c r="H111" s="1">
        <v>0</v>
      </c>
      <c r="I111" s="1">
        <v>115</v>
      </c>
      <c r="J111" s="1">
        <v>201</v>
      </c>
      <c r="K111" s="1">
        <v>-86</v>
      </c>
    </row>
    <row r="112" spans="3:11" x14ac:dyDescent="0.25">
      <c r="C112" s="1" t="s">
        <v>4692</v>
      </c>
      <c r="D112" s="1" t="s">
        <v>4693</v>
      </c>
      <c r="E112" s="1" t="s">
        <v>4692</v>
      </c>
      <c r="F112" s="1">
        <v>-84</v>
      </c>
      <c r="G112" s="1">
        <v>-84</v>
      </c>
      <c r="H112" s="1">
        <v>0</v>
      </c>
      <c r="I112" s="1">
        <v>0</v>
      </c>
      <c r="J112" s="1">
        <v>84</v>
      </c>
      <c r="K112" s="1">
        <v>-84</v>
      </c>
    </row>
    <row r="113" spans="3:11" x14ac:dyDescent="0.25">
      <c r="C113" s="1" t="s">
        <v>4694</v>
      </c>
      <c r="D113" s="1" t="s">
        <v>4695</v>
      </c>
      <c r="E113" s="1" t="s">
        <v>4696</v>
      </c>
      <c r="F113" s="1">
        <v>-83</v>
      </c>
      <c r="G113" s="1">
        <v>-83</v>
      </c>
      <c r="H113" s="1">
        <v>0</v>
      </c>
      <c r="I113" s="1">
        <v>0</v>
      </c>
      <c r="J113" s="1">
        <v>83</v>
      </c>
      <c r="K113" s="1">
        <v>-83</v>
      </c>
    </row>
    <row r="114" spans="3:11" x14ac:dyDescent="0.25">
      <c r="D114" s="1" t="s">
        <v>4697</v>
      </c>
      <c r="E114" s="1" t="s">
        <v>4698</v>
      </c>
      <c r="F114" s="1">
        <v>-83</v>
      </c>
      <c r="G114" s="1">
        <v>-83</v>
      </c>
      <c r="H114" s="1">
        <v>0</v>
      </c>
      <c r="I114" s="1">
        <v>0</v>
      </c>
      <c r="J114" s="1">
        <v>83</v>
      </c>
      <c r="K114" s="1">
        <v>-83</v>
      </c>
    </row>
    <row r="115" spans="3:11" x14ac:dyDescent="0.25">
      <c r="C115" s="1" t="s">
        <v>4699</v>
      </c>
      <c r="D115" s="1" t="s">
        <v>4700</v>
      </c>
      <c r="E115" s="1" t="s">
        <v>4701</v>
      </c>
      <c r="F115" s="1">
        <v>-82</v>
      </c>
      <c r="G115" s="1">
        <v>-82</v>
      </c>
      <c r="H115" s="1">
        <v>0</v>
      </c>
      <c r="I115" s="1">
        <v>31</v>
      </c>
      <c r="J115" s="1">
        <v>113</v>
      </c>
      <c r="K115" s="1">
        <v>-82</v>
      </c>
    </row>
    <row r="116" spans="3:11" x14ac:dyDescent="0.25">
      <c r="C116" s="1" t="s">
        <v>4702</v>
      </c>
      <c r="D116" s="1" t="s">
        <v>4703</v>
      </c>
      <c r="E116" s="1" t="s">
        <v>4704</v>
      </c>
      <c r="F116" s="1">
        <v>-82</v>
      </c>
      <c r="G116" s="1">
        <v>-82</v>
      </c>
      <c r="H116" s="1">
        <v>0</v>
      </c>
      <c r="I116" s="1">
        <v>0</v>
      </c>
      <c r="J116" s="1">
        <v>82</v>
      </c>
      <c r="K116" s="1">
        <v>-82</v>
      </c>
    </row>
    <row r="117" spans="3:11" x14ac:dyDescent="0.25">
      <c r="C117" s="1" t="s">
        <v>4705</v>
      </c>
      <c r="D117" s="1" t="s">
        <v>4706</v>
      </c>
      <c r="E117" s="1" t="s">
        <v>4707</v>
      </c>
      <c r="F117" s="1">
        <v>-81</v>
      </c>
      <c r="G117" s="1">
        <v>-81</v>
      </c>
      <c r="H117" s="1">
        <v>0</v>
      </c>
      <c r="I117" s="1">
        <v>26</v>
      </c>
      <c r="J117" s="1">
        <v>107</v>
      </c>
      <c r="K117" s="1">
        <v>-81</v>
      </c>
    </row>
    <row r="118" spans="3:11" x14ac:dyDescent="0.25">
      <c r="C118" s="1" t="s">
        <v>4708</v>
      </c>
      <c r="D118" s="1" t="s">
        <v>4709</v>
      </c>
      <c r="E118" s="1" t="s">
        <v>4710</v>
      </c>
      <c r="F118" s="1">
        <v>-80</v>
      </c>
      <c r="G118" s="1">
        <v>-80</v>
      </c>
      <c r="H118" s="1">
        <v>0</v>
      </c>
      <c r="I118" s="1">
        <v>1</v>
      </c>
      <c r="J118" s="1">
        <v>81</v>
      </c>
      <c r="K118" s="1">
        <v>-80</v>
      </c>
    </row>
    <row r="119" spans="3:11" x14ac:dyDescent="0.25">
      <c r="C119" s="1" t="s">
        <v>4711</v>
      </c>
      <c r="D119" s="1" t="s">
        <v>4712</v>
      </c>
      <c r="E119" s="1" t="s">
        <v>4713</v>
      </c>
      <c r="F119" s="1">
        <v>-80</v>
      </c>
      <c r="G119" s="1">
        <v>-80</v>
      </c>
      <c r="H119" s="1">
        <v>0</v>
      </c>
      <c r="I119" s="1">
        <v>0</v>
      </c>
      <c r="J119" s="1">
        <v>80</v>
      </c>
      <c r="K119" s="1">
        <v>-80</v>
      </c>
    </row>
    <row r="120" spans="3:11" x14ac:dyDescent="0.25">
      <c r="C120" s="1" t="s">
        <v>4714</v>
      </c>
      <c r="D120" s="1" t="s">
        <v>4715</v>
      </c>
      <c r="E120" s="1" t="s">
        <v>4716</v>
      </c>
      <c r="F120" s="1">
        <v>-78</v>
      </c>
      <c r="G120" s="1">
        <v>-78</v>
      </c>
      <c r="H120" s="1">
        <v>0</v>
      </c>
      <c r="I120" s="1">
        <v>1662</v>
      </c>
      <c r="J120" s="1">
        <v>1740</v>
      </c>
      <c r="K120" s="1">
        <v>-78</v>
      </c>
    </row>
    <row r="121" spans="3:11" x14ac:dyDescent="0.25">
      <c r="C121" s="1" t="s">
        <v>4717</v>
      </c>
      <c r="D121" s="1" t="s">
        <v>4718</v>
      </c>
      <c r="E121" s="1" t="s">
        <v>4719</v>
      </c>
      <c r="F121" s="1">
        <v>-78</v>
      </c>
      <c r="G121" s="1">
        <v>-78</v>
      </c>
      <c r="H121" s="1">
        <v>0</v>
      </c>
      <c r="I121" s="1">
        <v>499</v>
      </c>
      <c r="J121" s="1">
        <v>577</v>
      </c>
      <c r="K121" s="1">
        <v>-78</v>
      </c>
    </row>
    <row r="122" spans="3:11" x14ac:dyDescent="0.25">
      <c r="C122" s="1" t="s">
        <v>4720</v>
      </c>
      <c r="D122" s="1" t="s">
        <v>4721</v>
      </c>
      <c r="E122" s="1" t="s">
        <v>4722</v>
      </c>
      <c r="F122" s="1">
        <v>-78</v>
      </c>
      <c r="G122" s="1">
        <v>-78</v>
      </c>
      <c r="H122" s="1">
        <v>0</v>
      </c>
      <c r="I122" s="1">
        <v>0</v>
      </c>
      <c r="J122" s="1">
        <v>78</v>
      </c>
      <c r="K122" s="1">
        <v>-78</v>
      </c>
    </row>
    <row r="123" spans="3:11" x14ac:dyDescent="0.25">
      <c r="C123" s="1" t="s">
        <v>4723</v>
      </c>
      <c r="D123" s="1" t="s">
        <v>4724</v>
      </c>
      <c r="E123" s="1" t="s">
        <v>4725</v>
      </c>
      <c r="F123" s="1">
        <v>-77</v>
      </c>
      <c r="G123" s="1">
        <v>-77</v>
      </c>
      <c r="H123" s="1">
        <v>0</v>
      </c>
      <c r="I123" s="1">
        <v>175</v>
      </c>
      <c r="J123" s="1">
        <v>252</v>
      </c>
      <c r="K123" s="1">
        <v>-77</v>
      </c>
    </row>
    <row r="124" spans="3:11" x14ac:dyDescent="0.25">
      <c r="C124" s="1" t="s">
        <v>4726</v>
      </c>
      <c r="D124" s="1" t="s">
        <v>4727</v>
      </c>
      <c r="E124" s="1" t="s">
        <v>4728</v>
      </c>
      <c r="F124" s="1">
        <v>-77</v>
      </c>
      <c r="G124" s="1">
        <v>-77</v>
      </c>
      <c r="H124" s="1">
        <v>0</v>
      </c>
      <c r="I124" s="1">
        <v>12</v>
      </c>
      <c r="J124" s="1">
        <v>89</v>
      </c>
      <c r="K124" s="1">
        <v>-77</v>
      </c>
    </row>
    <row r="125" spans="3:11" x14ac:dyDescent="0.25">
      <c r="D125" s="1" t="s">
        <v>4729</v>
      </c>
      <c r="E125" s="1" t="s">
        <v>4730</v>
      </c>
      <c r="F125" s="1">
        <v>-77</v>
      </c>
      <c r="G125" s="1">
        <v>-77</v>
      </c>
      <c r="H125" s="1">
        <v>0</v>
      </c>
      <c r="I125" s="1">
        <v>4</v>
      </c>
      <c r="J125" s="1">
        <v>81</v>
      </c>
      <c r="K125" s="1">
        <v>-77</v>
      </c>
    </row>
    <row r="126" spans="3:11" x14ac:dyDescent="0.25">
      <c r="C126" s="1" t="s">
        <v>4731</v>
      </c>
      <c r="D126" s="1" t="s">
        <v>4732</v>
      </c>
      <c r="E126" s="1" t="s">
        <v>4733</v>
      </c>
      <c r="F126" s="1">
        <v>-75</v>
      </c>
      <c r="G126" s="1">
        <v>-75</v>
      </c>
      <c r="H126" s="1">
        <v>0</v>
      </c>
      <c r="I126" s="1">
        <v>0</v>
      </c>
      <c r="J126" s="1">
        <v>75</v>
      </c>
      <c r="K126" s="1">
        <v>-75</v>
      </c>
    </row>
    <row r="127" spans="3:11" x14ac:dyDescent="0.25">
      <c r="C127" s="1" t="s">
        <v>4734</v>
      </c>
      <c r="D127" s="1" t="s">
        <v>4735</v>
      </c>
      <c r="E127" s="1" t="s">
        <v>4736</v>
      </c>
      <c r="F127" s="1">
        <v>-74</v>
      </c>
      <c r="G127" s="1">
        <v>-74</v>
      </c>
      <c r="H127" s="1">
        <v>0</v>
      </c>
      <c r="I127" s="1">
        <v>0</v>
      </c>
      <c r="J127" s="1">
        <v>74</v>
      </c>
      <c r="K127" s="1">
        <v>-74</v>
      </c>
    </row>
    <row r="128" spans="3:11" x14ac:dyDescent="0.25">
      <c r="C128" s="1" t="s">
        <v>4737</v>
      </c>
      <c r="D128" s="1" t="s">
        <v>4738</v>
      </c>
      <c r="E128" s="1" t="s">
        <v>4739</v>
      </c>
      <c r="F128" s="1">
        <v>-73</v>
      </c>
      <c r="G128" s="1">
        <v>-73</v>
      </c>
      <c r="H128" s="1">
        <v>0</v>
      </c>
      <c r="I128" s="1">
        <v>31</v>
      </c>
      <c r="J128" s="1">
        <v>104</v>
      </c>
      <c r="K128" s="1">
        <v>-73</v>
      </c>
    </row>
    <row r="129" spans="3:11" x14ac:dyDescent="0.25">
      <c r="C129" s="1" t="s">
        <v>4740</v>
      </c>
      <c r="D129" s="1" t="s">
        <v>4741</v>
      </c>
      <c r="E129" s="1" t="s">
        <v>4742</v>
      </c>
      <c r="F129" s="1">
        <v>-72</v>
      </c>
      <c r="G129" s="1">
        <v>-72</v>
      </c>
      <c r="H129" s="1">
        <v>0</v>
      </c>
      <c r="I129" s="1">
        <v>35</v>
      </c>
      <c r="J129" s="1">
        <v>107</v>
      </c>
      <c r="K129" s="1">
        <v>-72</v>
      </c>
    </row>
    <row r="130" spans="3:11" x14ac:dyDescent="0.25">
      <c r="C130" s="1" t="s">
        <v>4743</v>
      </c>
      <c r="D130" s="1" t="s">
        <v>4744</v>
      </c>
      <c r="E130" s="1" t="s">
        <v>4745</v>
      </c>
      <c r="F130" s="1">
        <v>-71</v>
      </c>
      <c r="G130" s="1">
        <v>-71</v>
      </c>
      <c r="H130" s="1">
        <v>0</v>
      </c>
      <c r="I130" s="1">
        <v>307</v>
      </c>
      <c r="J130" s="1">
        <v>378</v>
      </c>
      <c r="K130" s="1">
        <v>-71</v>
      </c>
    </row>
    <row r="131" spans="3:11" x14ac:dyDescent="0.25">
      <c r="C131" s="1" t="s">
        <v>4746</v>
      </c>
      <c r="D131" s="1" t="s">
        <v>4747</v>
      </c>
      <c r="E131" s="1" t="s">
        <v>4746</v>
      </c>
      <c r="F131" s="1">
        <v>-71</v>
      </c>
      <c r="G131" s="1">
        <v>-71</v>
      </c>
      <c r="H131" s="1">
        <v>0</v>
      </c>
      <c r="I131" s="1">
        <v>1</v>
      </c>
      <c r="J131" s="1">
        <v>72</v>
      </c>
      <c r="K131" s="1">
        <v>-71</v>
      </c>
    </row>
    <row r="132" spans="3:11" x14ac:dyDescent="0.25">
      <c r="C132" s="1" t="s">
        <v>4748</v>
      </c>
      <c r="D132" s="1" t="s">
        <v>4749</v>
      </c>
      <c r="E132" s="1" t="s">
        <v>4750</v>
      </c>
      <c r="F132" s="1">
        <v>-70</v>
      </c>
      <c r="G132" s="1">
        <v>-70</v>
      </c>
      <c r="H132" s="1">
        <v>0</v>
      </c>
      <c r="I132" s="1">
        <v>0</v>
      </c>
      <c r="J132" s="1">
        <v>70</v>
      </c>
      <c r="K132" s="1">
        <v>-70</v>
      </c>
    </row>
    <row r="133" spans="3:11" x14ac:dyDescent="0.25">
      <c r="D133" s="1" t="s">
        <v>4751</v>
      </c>
      <c r="E133" s="1" t="s">
        <v>4752</v>
      </c>
      <c r="F133" s="1">
        <v>-69</v>
      </c>
      <c r="G133" s="1">
        <v>-69</v>
      </c>
      <c r="H133" s="1">
        <v>0</v>
      </c>
      <c r="I133" s="1">
        <v>0</v>
      </c>
      <c r="J133" s="1">
        <v>69</v>
      </c>
      <c r="K133" s="1">
        <v>-69</v>
      </c>
    </row>
    <row r="134" spans="3:11" x14ac:dyDescent="0.25">
      <c r="C134" s="1" t="s">
        <v>4753</v>
      </c>
      <c r="D134" s="1" t="s">
        <v>4754</v>
      </c>
      <c r="E134" s="1" t="s">
        <v>4755</v>
      </c>
      <c r="F134" s="1">
        <v>-68</v>
      </c>
      <c r="G134" s="1">
        <v>-68</v>
      </c>
      <c r="H134" s="1">
        <v>0</v>
      </c>
      <c r="I134" s="1">
        <v>0</v>
      </c>
      <c r="J134" s="1">
        <v>68</v>
      </c>
      <c r="K134" s="1">
        <v>-68</v>
      </c>
    </row>
    <row r="135" spans="3:11" x14ac:dyDescent="0.25">
      <c r="C135" s="1" t="s">
        <v>4756</v>
      </c>
      <c r="D135" s="1" t="s">
        <v>4757</v>
      </c>
      <c r="E135" s="1" t="s">
        <v>4758</v>
      </c>
      <c r="F135" s="1">
        <v>-67</v>
      </c>
      <c r="G135" s="1">
        <v>-67</v>
      </c>
      <c r="H135" s="1">
        <v>0</v>
      </c>
      <c r="I135" s="1">
        <v>0</v>
      </c>
      <c r="J135" s="1">
        <v>67</v>
      </c>
      <c r="K135" s="1">
        <v>-67</v>
      </c>
    </row>
    <row r="136" spans="3:11" x14ac:dyDescent="0.25">
      <c r="C136" s="1" t="s">
        <v>4759</v>
      </c>
      <c r="D136" s="1" t="s">
        <v>4760</v>
      </c>
      <c r="E136" s="1" t="s">
        <v>4761</v>
      </c>
      <c r="F136" s="1">
        <v>-66</v>
      </c>
      <c r="G136" s="1">
        <v>-66</v>
      </c>
      <c r="H136" s="1">
        <v>0</v>
      </c>
      <c r="I136" s="1">
        <v>70</v>
      </c>
      <c r="J136" s="1">
        <v>136</v>
      </c>
      <c r="K136" s="1">
        <v>-66</v>
      </c>
    </row>
    <row r="137" spans="3:11" x14ac:dyDescent="0.25">
      <c r="C137" s="1" t="s">
        <v>4762</v>
      </c>
      <c r="D137" s="1" t="s">
        <v>4763</v>
      </c>
      <c r="E137" s="1" t="s">
        <v>4764</v>
      </c>
      <c r="F137" s="1">
        <v>-66</v>
      </c>
      <c r="G137" s="1">
        <v>-66</v>
      </c>
      <c r="H137" s="1">
        <v>0</v>
      </c>
      <c r="I137" s="1">
        <v>2</v>
      </c>
      <c r="J137" s="1">
        <v>68</v>
      </c>
      <c r="K137" s="1">
        <v>-66</v>
      </c>
    </row>
    <row r="138" spans="3:11" x14ac:dyDescent="0.25">
      <c r="C138" s="1" t="s">
        <v>4765</v>
      </c>
      <c r="D138" s="1" t="s">
        <v>4766</v>
      </c>
      <c r="E138" s="1" t="s">
        <v>4767</v>
      </c>
      <c r="F138" s="1">
        <v>-66</v>
      </c>
      <c r="G138" s="1">
        <v>-66</v>
      </c>
      <c r="H138" s="1">
        <v>0</v>
      </c>
      <c r="I138" s="1">
        <v>0</v>
      </c>
      <c r="J138" s="1">
        <v>66</v>
      </c>
      <c r="K138" s="1">
        <v>-66</v>
      </c>
    </row>
    <row r="139" spans="3:11" x14ac:dyDescent="0.25">
      <c r="C139" s="1" t="s">
        <v>4768</v>
      </c>
      <c r="D139" s="1" t="s">
        <v>4769</v>
      </c>
      <c r="E139" s="1" t="s">
        <v>4770</v>
      </c>
      <c r="F139" s="1">
        <v>-65</v>
      </c>
      <c r="G139" s="1">
        <v>-65</v>
      </c>
      <c r="H139" s="1">
        <v>0</v>
      </c>
      <c r="I139" s="1">
        <v>90</v>
      </c>
      <c r="J139" s="1">
        <v>155</v>
      </c>
      <c r="K139" s="1">
        <v>-65</v>
      </c>
    </row>
    <row r="140" spans="3:11" x14ac:dyDescent="0.25">
      <c r="C140" s="1" t="s">
        <v>4771</v>
      </c>
      <c r="D140" s="1" t="s">
        <v>4772</v>
      </c>
      <c r="E140" s="1" t="s">
        <v>4773</v>
      </c>
      <c r="F140" s="1">
        <v>-65</v>
      </c>
      <c r="G140" s="1">
        <v>-65</v>
      </c>
      <c r="H140" s="1">
        <v>0</v>
      </c>
      <c r="I140" s="1">
        <v>26</v>
      </c>
      <c r="J140" s="1">
        <v>91</v>
      </c>
      <c r="K140" s="1">
        <v>-65</v>
      </c>
    </row>
    <row r="141" spans="3:11" x14ac:dyDescent="0.25">
      <c r="C141" s="1" t="s">
        <v>4774</v>
      </c>
      <c r="D141" s="1" t="s">
        <v>4775</v>
      </c>
      <c r="E141" s="1" t="s">
        <v>4776</v>
      </c>
      <c r="F141" s="1">
        <v>-64</v>
      </c>
      <c r="G141" s="1">
        <v>-64</v>
      </c>
      <c r="H141" s="1">
        <v>0</v>
      </c>
      <c r="I141" s="1">
        <v>3</v>
      </c>
      <c r="J141" s="1">
        <v>67</v>
      </c>
      <c r="K141" s="1">
        <v>-64</v>
      </c>
    </row>
    <row r="142" spans="3:11" x14ac:dyDescent="0.25">
      <c r="C142" s="1" t="s">
        <v>4777</v>
      </c>
      <c r="D142" s="1" t="s">
        <v>4778</v>
      </c>
      <c r="E142" s="1" t="s">
        <v>4779</v>
      </c>
      <c r="F142" s="1">
        <v>-64</v>
      </c>
      <c r="G142" s="1">
        <v>-64</v>
      </c>
      <c r="H142" s="1">
        <v>0</v>
      </c>
      <c r="I142" s="1">
        <v>0</v>
      </c>
      <c r="J142" s="1">
        <v>64</v>
      </c>
      <c r="K142" s="1">
        <v>-64</v>
      </c>
    </row>
    <row r="143" spans="3:11" x14ac:dyDescent="0.25">
      <c r="C143" s="1" t="s">
        <v>4780</v>
      </c>
      <c r="D143" s="1" t="s">
        <v>4781</v>
      </c>
      <c r="E143" s="1" t="s">
        <v>4782</v>
      </c>
      <c r="F143" s="1">
        <v>-63</v>
      </c>
      <c r="G143" s="1">
        <v>-63</v>
      </c>
      <c r="H143" s="1">
        <v>0</v>
      </c>
      <c r="I143" s="1">
        <v>0</v>
      </c>
      <c r="J143" s="1">
        <v>63</v>
      </c>
      <c r="K143" s="1">
        <v>-63</v>
      </c>
    </row>
    <row r="144" spans="3:11" x14ac:dyDescent="0.25">
      <c r="C144" s="1" t="s">
        <v>4783</v>
      </c>
      <c r="D144" s="1" t="s">
        <v>4784</v>
      </c>
      <c r="E144" s="1" t="s">
        <v>4785</v>
      </c>
      <c r="F144" s="1">
        <v>-62</v>
      </c>
      <c r="G144" s="1">
        <v>-62</v>
      </c>
      <c r="H144" s="1">
        <v>0</v>
      </c>
      <c r="I144" s="1">
        <v>1</v>
      </c>
      <c r="J144" s="1">
        <v>63</v>
      </c>
      <c r="K144" s="1">
        <v>-62</v>
      </c>
    </row>
    <row r="145" spans="3:11" x14ac:dyDescent="0.25">
      <c r="C145" s="1" t="s">
        <v>4786</v>
      </c>
      <c r="D145" s="1" t="s">
        <v>4787</v>
      </c>
      <c r="E145" s="1" t="s">
        <v>4788</v>
      </c>
      <c r="F145" s="1">
        <v>-62</v>
      </c>
      <c r="G145" s="1">
        <v>-62</v>
      </c>
      <c r="H145" s="1">
        <v>0</v>
      </c>
      <c r="I145" s="1">
        <v>0</v>
      </c>
      <c r="J145" s="1">
        <v>62</v>
      </c>
      <c r="K145" s="1">
        <v>-62</v>
      </c>
    </row>
    <row r="146" spans="3:11" x14ac:dyDescent="0.25">
      <c r="D146" s="1" t="s">
        <v>4789</v>
      </c>
      <c r="E146" s="1" t="s">
        <v>4790</v>
      </c>
      <c r="F146" s="1">
        <v>-62</v>
      </c>
      <c r="G146" s="1">
        <v>-62</v>
      </c>
      <c r="H146" s="1">
        <v>0</v>
      </c>
      <c r="I146" s="1">
        <v>0</v>
      </c>
      <c r="J146" s="1">
        <v>62</v>
      </c>
      <c r="K146" s="1">
        <v>-62</v>
      </c>
    </row>
    <row r="147" spans="3:11" x14ac:dyDescent="0.25">
      <c r="D147" s="1" t="s">
        <v>4791</v>
      </c>
      <c r="E147" s="1" t="s">
        <v>4792</v>
      </c>
      <c r="F147" s="1">
        <v>-62</v>
      </c>
      <c r="G147" s="1">
        <v>-62</v>
      </c>
      <c r="H147" s="1">
        <v>0</v>
      </c>
      <c r="I147" s="1">
        <v>0</v>
      </c>
      <c r="J147" s="1">
        <v>62</v>
      </c>
      <c r="K147" s="1">
        <v>-62</v>
      </c>
    </row>
    <row r="148" spans="3:11" x14ac:dyDescent="0.25">
      <c r="C148" s="1" t="s">
        <v>4793</v>
      </c>
      <c r="D148" s="1" t="s">
        <v>4794</v>
      </c>
      <c r="E148" s="1" t="s">
        <v>4793</v>
      </c>
      <c r="F148" s="1">
        <v>-61</v>
      </c>
      <c r="G148" s="1">
        <v>-61</v>
      </c>
      <c r="H148" s="1">
        <v>0</v>
      </c>
      <c r="I148" s="1">
        <v>0</v>
      </c>
      <c r="J148" s="1">
        <v>61</v>
      </c>
      <c r="K148" s="1">
        <v>-61</v>
      </c>
    </row>
    <row r="149" spans="3:11" x14ac:dyDescent="0.25">
      <c r="C149" s="1" t="s">
        <v>4795</v>
      </c>
      <c r="D149" s="1" t="s">
        <v>4796</v>
      </c>
      <c r="E149" s="1" t="s">
        <v>4797</v>
      </c>
      <c r="F149" s="1">
        <v>-60</v>
      </c>
      <c r="G149" s="1">
        <v>-60</v>
      </c>
      <c r="H149" s="1">
        <v>0</v>
      </c>
      <c r="I149" s="1">
        <v>37</v>
      </c>
      <c r="J149" s="1">
        <v>97</v>
      </c>
      <c r="K149" s="1">
        <v>-60</v>
      </c>
    </row>
    <row r="150" spans="3:11" x14ac:dyDescent="0.25">
      <c r="C150" s="1" t="s">
        <v>4798</v>
      </c>
      <c r="D150" s="1" t="s">
        <v>4799</v>
      </c>
      <c r="E150" s="1" t="s">
        <v>4800</v>
      </c>
      <c r="F150" s="1">
        <v>-60</v>
      </c>
      <c r="G150" s="1">
        <v>-60</v>
      </c>
      <c r="H150" s="1">
        <v>0</v>
      </c>
      <c r="I150" s="1">
        <v>0</v>
      </c>
      <c r="J150" s="1">
        <v>60</v>
      </c>
      <c r="K150" s="1">
        <v>-60</v>
      </c>
    </row>
    <row r="151" spans="3:11" x14ac:dyDescent="0.25">
      <c r="D151" s="1" t="s">
        <v>4801</v>
      </c>
      <c r="E151" s="1" t="s">
        <v>4802</v>
      </c>
      <c r="F151" s="1">
        <v>-60</v>
      </c>
      <c r="G151" s="1">
        <v>-60</v>
      </c>
      <c r="H151" s="1">
        <v>0</v>
      </c>
      <c r="I151" s="1">
        <v>0</v>
      </c>
      <c r="J151" s="1">
        <v>60</v>
      </c>
      <c r="K151" s="1">
        <v>-60</v>
      </c>
    </row>
    <row r="152" spans="3:11" x14ac:dyDescent="0.25">
      <c r="D152" s="1" t="s">
        <v>4803</v>
      </c>
      <c r="E152" s="1" t="s">
        <v>4804</v>
      </c>
      <c r="F152" s="1">
        <v>-59</v>
      </c>
      <c r="G152" s="1">
        <v>-59</v>
      </c>
      <c r="H152" s="1">
        <v>0</v>
      </c>
      <c r="I152" s="1">
        <v>0</v>
      </c>
      <c r="J152" s="1">
        <v>59</v>
      </c>
      <c r="K152" s="1">
        <v>-59</v>
      </c>
    </row>
    <row r="153" spans="3:11" x14ac:dyDescent="0.25">
      <c r="C153" s="1" t="s">
        <v>4805</v>
      </c>
      <c r="D153" s="1" t="s">
        <v>4806</v>
      </c>
      <c r="E153" s="1" t="s">
        <v>4807</v>
      </c>
      <c r="F153" s="1">
        <v>-59</v>
      </c>
      <c r="G153" s="1">
        <v>-59</v>
      </c>
      <c r="H153" s="1">
        <v>0</v>
      </c>
      <c r="I153" s="1">
        <v>0</v>
      </c>
      <c r="J153" s="1">
        <v>59</v>
      </c>
      <c r="K153" s="1">
        <v>-59</v>
      </c>
    </row>
    <row r="154" spans="3:11" x14ac:dyDescent="0.25">
      <c r="C154" s="1" t="s">
        <v>4808</v>
      </c>
      <c r="D154" s="1" t="s">
        <v>4809</v>
      </c>
      <c r="E154" s="1" t="s">
        <v>4810</v>
      </c>
      <c r="F154" s="1">
        <v>-59</v>
      </c>
      <c r="G154" s="1">
        <v>-59</v>
      </c>
      <c r="H154" s="1">
        <v>0</v>
      </c>
      <c r="I154" s="1">
        <v>0</v>
      </c>
      <c r="J154" s="1">
        <v>59</v>
      </c>
      <c r="K154" s="1">
        <v>-59</v>
      </c>
    </row>
    <row r="155" spans="3:11" x14ac:dyDescent="0.25">
      <c r="C155" s="1" t="s">
        <v>4811</v>
      </c>
      <c r="D155" s="1" t="s">
        <v>4812</v>
      </c>
      <c r="E155" s="1" t="s">
        <v>4813</v>
      </c>
      <c r="F155" s="1">
        <v>-58</v>
      </c>
      <c r="G155" s="1">
        <v>-58</v>
      </c>
      <c r="H155" s="1">
        <v>0</v>
      </c>
      <c r="I155" s="1">
        <v>300</v>
      </c>
      <c r="J155" s="1">
        <v>358</v>
      </c>
      <c r="K155" s="1">
        <v>-58</v>
      </c>
    </row>
    <row r="156" spans="3:11" x14ac:dyDescent="0.25">
      <c r="C156" s="1" t="s">
        <v>4814</v>
      </c>
      <c r="D156" s="1" t="s">
        <v>4815</v>
      </c>
      <c r="E156" s="1" t="s">
        <v>4814</v>
      </c>
      <c r="F156" s="1">
        <v>-58</v>
      </c>
      <c r="G156" s="1">
        <v>-58</v>
      </c>
      <c r="H156" s="1">
        <v>0</v>
      </c>
      <c r="I156" s="1">
        <v>0</v>
      </c>
      <c r="J156" s="1">
        <v>58</v>
      </c>
      <c r="K156" s="1">
        <v>-58</v>
      </c>
    </row>
    <row r="157" spans="3:11" x14ac:dyDescent="0.25">
      <c r="D157" s="1" t="s">
        <v>4816</v>
      </c>
      <c r="E157" s="1" t="s">
        <v>4817</v>
      </c>
      <c r="F157" s="1">
        <v>-58</v>
      </c>
      <c r="G157" s="1">
        <v>-58</v>
      </c>
      <c r="H157" s="1">
        <v>0</v>
      </c>
      <c r="I157" s="1">
        <v>0</v>
      </c>
      <c r="J157" s="1">
        <v>58</v>
      </c>
      <c r="K157" s="1">
        <v>-58</v>
      </c>
    </row>
    <row r="158" spans="3:11" x14ac:dyDescent="0.25">
      <c r="C158" s="1" t="s">
        <v>4818</v>
      </c>
      <c r="D158" s="1" t="s">
        <v>4819</v>
      </c>
      <c r="E158" s="1" t="s">
        <v>4820</v>
      </c>
      <c r="F158" s="1">
        <v>-57</v>
      </c>
      <c r="G158" s="1">
        <v>-57</v>
      </c>
      <c r="H158" s="1">
        <v>0</v>
      </c>
      <c r="I158" s="1">
        <v>2130</v>
      </c>
      <c r="J158" s="1">
        <v>2187</v>
      </c>
      <c r="K158" s="1">
        <v>-57</v>
      </c>
    </row>
    <row r="159" spans="3:11" x14ac:dyDescent="0.25">
      <c r="C159" s="1" t="s">
        <v>4821</v>
      </c>
      <c r="D159" s="1" t="s">
        <v>4822</v>
      </c>
      <c r="E159" s="1" t="s">
        <v>4821</v>
      </c>
      <c r="F159" s="1">
        <v>-57</v>
      </c>
      <c r="G159" s="1">
        <v>-57</v>
      </c>
      <c r="H159" s="1">
        <v>0</v>
      </c>
      <c r="I159" s="1">
        <v>201</v>
      </c>
      <c r="J159" s="1">
        <v>258</v>
      </c>
      <c r="K159" s="1">
        <v>-57</v>
      </c>
    </row>
    <row r="160" spans="3:11" x14ac:dyDescent="0.25">
      <c r="C160" s="1" t="s">
        <v>4823</v>
      </c>
      <c r="D160" s="1" t="s">
        <v>4824</v>
      </c>
      <c r="E160" s="1" t="s">
        <v>4825</v>
      </c>
      <c r="F160" s="1">
        <v>-57</v>
      </c>
      <c r="G160" s="1">
        <v>-57</v>
      </c>
      <c r="H160" s="1">
        <v>0</v>
      </c>
      <c r="I160" s="1">
        <v>2</v>
      </c>
      <c r="J160" s="1">
        <v>59</v>
      </c>
      <c r="K160" s="1">
        <v>-57</v>
      </c>
    </row>
    <row r="161" spans="3:11" x14ac:dyDescent="0.25">
      <c r="D161" s="1" t="s">
        <v>4826</v>
      </c>
      <c r="E161" s="1" t="s">
        <v>4827</v>
      </c>
      <c r="F161" s="1">
        <v>-56</v>
      </c>
      <c r="G161" s="1">
        <v>-56</v>
      </c>
      <c r="H161" s="1">
        <v>0</v>
      </c>
      <c r="I161" s="1">
        <v>0</v>
      </c>
      <c r="J161" s="1">
        <v>56</v>
      </c>
      <c r="K161" s="1">
        <v>-56</v>
      </c>
    </row>
    <row r="162" spans="3:11" x14ac:dyDescent="0.25">
      <c r="C162" s="1" t="s">
        <v>4828</v>
      </c>
      <c r="D162" s="1" t="s">
        <v>4829</v>
      </c>
      <c r="E162" s="1" t="s">
        <v>4830</v>
      </c>
      <c r="F162" s="1">
        <v>-55</v>
      </c>
      <c r="G162" s="1">
        <v>-55</v>
      </c>
      <c r="H162" s="1">
        <v>0</v>
      </c>
      <c r="I162" s="1">
        <v>19</v>
      </c>
      <c r="J162" s="1">
        <v>74</v>
      </c>
      <c r="K162" s="1">
        <v>-55</v>
      </c>
    </row>
    <row r="163" spans="3:11" x14ac:dyDescent="0.25">
      <c r="C163" s="1" t="s">
        <v>4831</v>
      </c>
      <c r="D163" s="1" t="s">
        <v>4832</v>
      </c>
      <c r="E163" s="1" t="s">
        <v>4833</v>
      </c>
      <c r="F163" s="1">
        <v>-55</v>
      </c>
      <c r="G163" s="1">
        <v>-55</v>
      </c>
      <c r="H163" s="1">
        <v>0</v>
      </c>
      <c r="I163" s="1">
        <v>0</v>
      </c>
      <c r="J163" s="1">
        <v>55</v>
      </c>
      <c r="K163" s="1">
        <v>-55</v>
      </c>
    </row>
    <row r="164" spans="3:11" x14ac:dyDescent="0.25">
      <c r="C164" s="1" t="s">
        <v>4834</v>
      </c>
      <c r="D164" s="1" t="s">
        <v>4835</v>
      </c>
      <c r="E164" s="1" t="s">
        <v>4834</v>
      </c>
      <c r="F164" s="1">
        <v>-55</v>
      </c>
      <c r="G164" s="1">
        <v>-55</v>
      </c>
      <c r="H164" s="1">
        <v>0</v>
      </c>
      <c r="I164" s="1">
        <v>0</v>
      </c>
      <c r="J164" s="1">
        <v>55</v>
      </c>
      <c r="K164" s="1">
        <v>-55</v>
      </c>
    </row>
    <row r="165" spans="3:11" x14ac:dyDescent="0.25">
      <c r="C165" s="1" t="s">
        <v>4836</v>
      </c>
      <c r="D165" s="1" t="s">
        <v>4837</v>
      </c>
      <c r="E165" s="1" t="s">
        <v>4838</v>
      </c>
      <c r="F165" s="1">
        <v>-55</v>
      </c>
      <c r="G165" s="1">
        <v>-55</v>
      </c>
      <c r="H165" s="1">
        <v>0</v>
      </c>
      <c r="I165" s="1">
        <v>0</v>
      </c>
      <c r="J165" s="1">
        <v>55</v>
      </c>
      <c r="K165" s="1">
        <v>-55</v>
      </c>
    </row>
    <row r="166" spans="3:11" x14ac:dyDescent="0.25">
      <c r="C166" s="1" t="s">
        <v>4839</v>
      </c>
      <c r="D166" s="1" t="s">
        <v>4840</v>
      </c>
      <c r="E166" s="1" t="s">
        <v>4839</v>
      </c>
      <c r="F166" s="1">
        <v>-55</v>
      </c>
      <c r="G166" s="1">
        <v>-55</v>
      </c>
      <c r="H166" s="1">
        <v>0</v>
      </c>
      <c r="I166" s="1">
        <v>0</v>
      </c>
      <c r="J166" s="1">
        <v>55</v>
      </c>
      <c r="K166" s="1">
        <v>-55</v>
      </c>
    </row>
    <row r="167" spans="3:11" x14ac:dyDescent="0.25">
      <c r="C167" s="1" t="s">
        <v>4841</v>
      </c>
      <c r="D167" s="1" t="s">
        <v>4842</v>
      </c>
      <c r="E167" s="1" t="s">
        <v>4843</v>
      </c>
      <c r="F167" s="1">
        <v>-54</v>
      </c>
      <c r="G167" s="1">
        <v>-54</v>
      </c>
      <c r="H167" s="1">
        <v>0</v>
      </c>
      <c r="I167" s="1">
        <v>5</v>
      </c>
      <c r="J167" s="1">
        <v>59</v>
      </c>
      <c r="K167" s="1">
        <v>-54</v>
      </c>
    </row>
    <row r="168" spans="3:11" x14ac:dyDescent="0.25">
      <c r="C168" s="1" t="s">
        <v>4844</v>
      </c>
      <c r="D168" s="1" t="s">
        <v>4845</v>
      </c>
      <c r="E168" s="1" t="s">
        <v>4846</v>
      </c>
      <c r="F168" s="1">
        <v>-54</v>
      </c>
      <c r="G168" s="1">
        <v>-54</v>
      </c>
      <c r="H168" s="1">
        <v>0</v>
      </c>
      <c r="I168" s="1">
        <v>3</v>
      </c>
      <c r="J168" s="1">
        <v>57</v>
      </c>
      <c r="K168" s="1">
        <v>-54</v>
      </c>
    </row>
    <row r="169" spans="3:11" x14ac:dyDescent="0.25">
      <c r="C169" s="1" t="s">
        <v>4847</v>
      </c>
      <c r="D169" s="1" t="s">
        <v>4848</v>
      </c>
      <c r="E169" s="1" t="s">
        <v>4849</v>
      </c>
      <c r="F169" s="1">
        <v>-53</v>
      </c>
      <c r="G169" s="1">
        <v>-53</v>
      </c>
      <c r="H169" s="1">
        <v>0</v>
      </c>
      <c r="I169" s="1">
        <v>805</v>
      </c>
      <c r="J169" s="1">
        <v>858</v>
      </c>
      <c r="K169" s="1">
        <v>-53</v>
      </c>
    </row>
    <row r="170" spans="3:11" x14ac:dyDescent="0.25">
      <c r="C170" s="1" t="s">
        <v>4850</v>
      </c>
      <c r="D170" s="1" t="s">
        <v>4851</v>
      </c>
      <c r="E170" s="1" t="s">
        <v>4852</v>
      </c>
      <c r="F170" s="1">
        <v>-53</v>
      </c>
      <c r="G170" s="1">
        <v>-53</v>
      </c>
      <c r="H170" s="1">
        <v>0</v>
      </c>
      <c r="I170" s="1">
        <v>40</v>
      </c>
      <c r="J170" s="1">
        <v>93</v>
      </c>
      <c r="K170" s="1">
        <v>-53</v>
      </c>
    </row>
    <row r="171" spans="3:11" x14ac:dyDescent="0.25">
      <c r="C171" s="1" t="s">
        <v>4853</v>
      </c>
      <c r="D171" s="1" t="s">
        <v>4854</v>
      </c>
      <c r="E171" s="1" t="s">
        <v>4855</v>
      </c>
      <c r="F171" s="1">
        <v>-52</v>
      </c>
      <c r="G171" s="1">
        <v>-52</v>
      </c>
      <c r="H171" s="1">
        <v>0</v>
      </c>
      <c r="I171" s="1">
        <v>3</v>
      </c>
      <c r="J171" s="1">
        <v>55</v>
      </c>
      <c r="K171" s="1">
        <v>-52</v>
      </c>
    </row>
    <row r="172" spans="3:11" x14ac:dyDescent="0.25">
      <c r="C172" s="1" t="s">
        <v>4856</v>
      </c>
      <c r="D172" s="1" t="s">
        <v>4857</v>
      </c>
      <c r="E172" s="1" t="s">
        <v>4858</v>
      </c>
      <c r="F172" s="1">
        <v>-52</v>
      </c>
      <c r="G172" s="1">
        <v>-52</v>
      </c>
      <c r="H172" s="1">
        <v>0</v>
      </c>
      <c r="I172" s="1">
        <v>3</v>
      </c>
      <c r="J172" s="1">
        <v>55</v>
      </c>
      <c r="K172" s="1">
        <v>-52</v>
      </c>
    </row>
    <row r="173" spans="3:11" x14ac:dyDescent="0.25">
      <c r="D173" s="1" t="s">
        <v>4859</v>
      </c>
      <c r="E173" s="1" t="s">
        <v>4860</v>
      </c>
      <c r="F173" s="1">
        <v>-52</v>
      </c>
      <c r="G173" s="1">
        <v>-52</v>
      </c>
      <c r="H173" s="1">
        <v>0</v>
      </c>
      <c r="I173" s="1">
        <v>0</v>
      </c>
      <c r="J173" s="1">
        <v>52</v>
      </c>
      <c r="K173" s="1">
        <v>-52</v>
      </c>
    </row>
    <row r="174" spans="3:11" x14ac:dyDescent="0.25">
      <c r="D174" s="1" t="s">
        <v>4861</v>
      </c>
      <c r="E174" s="1" t="s">
        <v>4862</v>
      </c>
      <c r="F174" s="1">
        <v>-52</v>
      </c>
      <c r="G174" s="1">
        <v>-52</v>
      </c>
      <c r="H174" s="1">
        <v>0</v>
      </c>
      <c r="I174" s="1">
        <v>0</v>
      </c>
      <c r="J174" s="1">
        <v>52</v>
      </c>
      <c r="K174" s="1">
        <v>-52</v>
      </c>
    </row>
    <row r="175" spans="3:11" x14ac:dyDescent="0.25">
      <c r="C175" s="1" t="s">
        <v>4863</v>
      </c>
      <c r="D175" s="1" t="s">
        <v>4864</v>
      </c>
      <c r="E175" s="1" t="s">
        <v>4865</v>
      </c>
      <c r="F175" s="1">
        <v>-51</v>
      </c>
      <c r="G175" s="1">
        <v>-51</v>
      </c>
      <c r="H175" s="1">
        <v>0</v>
      </c>
      <c r="I175" s="1">
        <v>3623</v>
      </c>
      <c r="J175" s="1">
        <v>3674</v>
      </c>
      <c r="K175" s="1">
        <v>-51</v>
      </c>
    </row>
    <row r="176" spans="3:11" x14ac:dyDescent="0.25">
      <c r="C176" s="1" t="s">
        <v>4866</v>
      </c>
      <c r="D176" s="1" t="s">
        <v>4867</v>
      </c>
      <c r="E176" s="1" t="s">
        <v>4868</v>
      </c>
      <c r="F176" s="1">
        <v>-51</v>
      </c>
      <c r="G176" s="1">
        <v>-51</v>
      </c>
      <c r="H176" s="1">
        <v>0</v>
      </c>
      <c r="I176" s="1">
        <v>1452</v>
      </c>
      <c r="J176" s="1">
        <v>1503</v>
      </c>
      <c r="K176" s="1">
        <v>-51</v>
      </c>
    </row>
    <row r="177" spans="3:11" x14ac:dyDescent="0.25">
      <c r="C177" s="1" t="s">
        <v>4869</v>
      </c>
      <c r="D177" s="1" t="s">
        <v>4870</v>
      </c>
      <c r="E177" s="1" t="s">
        <v>4871</v>
      </c>
      <c r="F177" s="1">
        <v>-51</v>
      </c>
      <c r="G177" s="1">
        <v>-51</v>
      </c>
      <c r="H177" s="1">
        <v>0</v>
      </c>
      <c r="I177" s="1">
        <v>225</v>
      </c>
      <c r="J177" s="1">
        <v>276</v>
      </c>
      <c r="K177" s="1">
        <v>-51</v>
      </c>
    </row>
    <row r="178" spans="3:11" x14ac:dyDescent="0.25">
      <c r="C178" s="1" t="s">
        <v>4872</v>
      </c>
      <c r="D178" s="1" t="s">
        <v>4873</v>
      </c>
      <c r="E178" s="1" t="s">
        <v>4874</v>
      </c>
      <c r="F178" s="1">
        <v>-51</v>
      </c>
      <c r="G178" s="1">
        <v>-51</v>
      </c>
      <c r="H178" s="1">
        <v>0</v>
      </c>
      <c r="I178" s="1">
        <v>203</v>
      </c>
      <c r="J178" s="1">
        <v>254</v>
      </c>
      <c r="K178" s="1">
        <v>-51</v>
      </c>
    </row>
    <row r="179" spans="3:11" x14ac:dyDescent="0.25">
      <c r="C179" s="1" t="s">
        <v>4875</v>
      </c>
      <c r="D179" s="1" t="s">
        <v>4876</v>
      </c>
      <c r="E179" s="1" t="s">
        <v>4875</v>
      </c>
      <c r="F179" s="1">
        <v>-51</v>
      </c>
      <c r="G179" s="1">
        <v>-51</v>
      </c>
      <c r="H179" s="1">
        <v>0</v>
      </c>
      <c r="I179" s="1">
        <v>2</v>
      </c>
      <c r="J179" s="1">
        <v>53</v>
      </c>
      <c r="K179" s="1">
        <v>-51</v>
      </c>
    </row>
    <row r="180" spans="3:11" x14ac:dyDescent="0.25">
      <c r="C180" s="1" t="s">
        <v>4877</v>
      </c>
      <c r="D180" s="1" t="s">
        <v>4878</v>
      </c>
      <c r="E180" s="1" t="s">
        <v>4879</v>
      </c>
      <c r="F180" s="1">
        <v>-51</v>
      </c>
      <c r="G180" s="1">
        <v>-51</v>
      </c>
      <c r="H180" s="1">
        <v>0</v>
      </c>
      <c r="I180" s="1">
        <v>0</v>
      </c>
      <c r="J180" s="1">
        <v>51</v>
      </c>
      <c r="K180" s="1">
        <v>-51</v>
      </c>
    </row>
    <row r="181" spans="3:11" x14ac:dyDescent="0.25">
      <c r="C181" s="1" t="s">
        <v>4880</v>
      </c>
      <c r="D181" s="1" t="s">
        <v>4881</v>
      </c>
      <c r="E181" s="1" t="s">
        <v>4882</v>
      </c>
      <c r="F181" s="1">
        <v>-51</v>
      </c>
      <c r="G181" s="1">
        <v>-51</v>
      </c>
      <c r="H181" s="1">
        <v>0</v>
      </c>
      <c r="I181" s="1">
        <v>0</v>
      </c>
      <c r="J181" s="1">
        <v>51</v>
      </c>
      <c r="K181" s="1">
        <v>-51</v>
      </c>
    </row>
    <row r="182" spans="3:11" x14ac:dyDescent="0.25">
      <c r="D182" s="1" t="s">
        <v>4883</v>
      </c>
      <c r="E182" s="1" t="s">
        <v>4884</v>
      </c>
      <c r="F182" s="1">
        <v>-51</v>
      </c>
      <c r="G182" s="1">
        <v>-51</v>
      </c>
      <c r="H182" s="1">
        <v>0</v>
      </c>
      <c r="I182" s="1">
        <v>0</v>
      </c>
      <c r="J182" s="1">
        <v>51</v>
      </c>
      <c r="K182" s="1">
        <v>-51</v>
      </c>
    </row>
    <row r="183" spans="3:11" x14ac:dyDescent="0.25">
      <c r="D183" s="1" t="s">
        <v>4885</v>
      </c>
      <c r="E183" s="1" t="s">
        <v>4886</v>
      </c>
      <c r="F183" s="1">
        <v>-51</v>
      </c>
      <c r="G183" s="1">
        <v>-51</v>
      </c>
      <c r="H183" s="1">
        <v>0</v>
      </c>
      <c r="I183" s="1">
        <v>0</v>
      </c>
      <c r="J183" s="1">
        <v>51</v>
      </c>
      <c r="K183" s="1">
        <v>-51</v>
      </c>
    </row>
    <row r="184" spans="3:11" x14ac:dyDescent="0.25">
      <c r="C184" s="1" t="s">
        <v>4887</v>
      </c>
      <c r="D184" s="1" t="s">
        <v>4888</v>
      </c>
      <c r="E184" s="1" t="s">
        <v>4887</v>
      </c>
      <c r="F184" s="1">
        <v>-50</v>
      </c>
      <c r="G184" s="1">
        <v>-50</v>
      </c>
      <c r="H184" s="1">
        <v>0</v>
      </c>
      <c r="I184" s="1">
        <v>0</v>
      </c>
      <c r="J184" s="1">
        <v>50</v>
      </c>
      <c r="K184" s="1">
        <v>-50</v>
      </c>
    </row>
    <row r="185" spans="3:11" x14ac:dyDescent="0.25">
      <c r="D185" s="1" t="s">
        <v>4889</v>
      </c>
      <c r="E185" s="1" t="s">
        <v>4890</v>
      </c>
      <c r="F185" s="1">
        <v>-50</v>
      </c>
      <c r="G185" s="1">
        <v>-50</v>
      </c>
      <c r="H185" s="1">
        <v>0</v>
      </c>
      <c r="I185" s="1">
        <v>0</v>
      </c>
      <c r="J185" s="1">
        <v>50</v>
      </c>
      <c r="K185" s="1">
        <v>-50</v>
      </c>
    </row>
    <row r="186" spans="3:11" x14ac:dyDescent="0.25">
      <c r="D186" s="1" t="s">
        <v>4891</v>
      </c>
      <c r="E186" s="1" t="s">
        <v>4892</v>
      </c>
      <c r="F186" s="1">
        <v>-50</v>
      </c>
      <c r="G186" s="1">
        <v>-50</v>
      </c>
      <c r="H186" s="1">
        <v>0</v>
      </c>
      <c r="I186" s="1">
        <v>0</v>
      </c>
      <c r="J186" s="1">
        <v>50</v>
      </c>
      <c r="K186" s="1">
        <v>-50</v>
      </c>
    </row>
    <row r="187" spans="3:11" x14ac:dyDescent="0.25">
      <c r="C187" s="1" t="s">
        <v>4893</v>
      </c>
      <c r="D187" s="1" t="s">
        <v>4894</v>
      </c>
      <c r="E187" s="1" t="s">
        <v>4895</v>
      </c>
      <c r="F187" s="1">
        <v>-48</v>
      </c>
      <c r="G187" s="1">
        <v>-48</v>
      </c>
      <c r="H187" s="1">
        <v>0</v>
      </c>
      <c r="I187" s="1">
        <v>313</v>
      </c>
      <c r="J187" s="1">
        <v>361</v>
      </c>
      <c r="K187" s="1">
        <v>-48</v>
      </c>
    </row>
    <row r="188" spans="3:11" x14ac:dyDescent="0.25">
      <c r="C188" s="1" t="s">
        <v>4896</v>
      </c>
      <c r="D188" s="1" t="s">
        <v>4897</v>
      </c>
      <c r="E188" s="1" t="s">
        <v>4896</v>
      </c>
      <c r="F188" s="1">
        <v>-48</v>
      </c>
      <c r="G188" s="1">
        <v>-48</v>
      </c>
      <c r="H188" s="1">
        <v>0</v>
      </c>
      <c r="I188" s="1">
        <v>24</v>
      </c>
      <c r="J188" s="1">
        <v>72</v>
      </c>
      <c r="K188" s="1">
        <v>-48</v>
      </c>
    </row>
    <row r="189" spans="3:11" x14ac:dyDescent="0.25">
      <c r="C189" s="1" t="s">
        <v>4898</v>
      </c>
      <c r="D189" s="1" t="s">
        <v>4899</v>
      </c>
      <c r="E189" s="1" t="s">
        <v>4900</v>
      </c>
      <c r="F189" s="1">
        <v>-48</v>
      </c>
      <c r="G189" s="1">
        <v>-48</v>
      </c>
      <c r="H189" s="1">
        <v>0</v>
      </c>
      <c r="I189" s="1">
        <v>0</v>
      </c>
      <c r="J189" s="1">
        <v>48</v>
      </c>
      <c r="K189" s="1">
        <v>-48</v>
      </c>
    </row>
    <row r="190" spans="3:11" x14ac:dyDescent="0.25">
      <c r="C190" s="1" t="s">
        <v>4901</v>
      </c>
      <c r="D190" s="1" t="s">
        <v>4902</v>
      </c>
      <c r="E190" s="1" t="s">
        <v>4901</v>
      </c>
      <c r="F190" s="1">
        <v>-48</v>
      </c>
      <c r="G190" s="1">
        <v>-48</v>
      </c>
      <c r="H190" s="1">
        <v>0</v>
      </c>
      <c r="I190" s="1">
        <v>0</v>
      </c>
      <c r="J190" s="1">
        <v>48</v>
      </c>
      <c r="K190" s="1">
        <v>-48</v>
      </c>
    </row>
    <row r="191" spans="3:11" x14ac:dyDescent="0.25">
      <c r="D191" s="1" t="s">
        <v>4903</v>
      </c>
      <c r="E191" s="1" t="s">
        <v>4904</v>
      </c>
      <c r="F191" s="1">
        <v>-48</v>
      </c>
      <c r="G191" s="1">
        <v>-48</v>
      </c>
      <c r="H191" s="1">
        <v>0</v>
      </c>
      <c r="I191" s="1">
        <v>0</v>
      </c>
      <c r="J191" s="1">
        <v>48</v>
      </c>
      <c r="K191" s="1">
        <v>-48</v>
      </c>
    </row>
    <row r="192" spans="3:11" x14ac:dyDescent="0.25">
      <c r="C192" s="1" t="s">
        <v>4905</v>
      </c>
      <c r="D192" s="1" t="s">
        <v>4906</v>
      </c>
      <c r="E192" s="1" t="s">
        <v>4905</v>
      </c>
      <c r="F192" s="1">
        <v>-48</v>
      </c>
      <c r="G192" s="1">
        <v>-48</v>
      </c>
      <c r="H192" s="1">
        <v>0</v>
      </c>
      <c r="I192" s="1">
        <v>0</v>
      </c>
      <c r="J192" s="1">
        <v>48</v>
      </c>
      <c r="K192" s="1">
        <v>-48</v>
      </c>
    </row>
    <row r="193" spans="3:11" x14ac:dyDescent="0.25">
      <c r="C193" s="1" t="s">
        <v>4907</v>
      </c>
      <c r="D193" s="1" t="s">
        <v>4908</v>
      </c>
      <c r="E193" s="1" t="s">
        <v>4909</v>
      </c>
      <c r="F193" s="1">
        <v>-48</v>
      </c>
      <c r="G193" s="1">
        <v>-48</v>
      </c>
      <c r="H193" s="1">
        <v>0</v>
      </c>
      <c r="I193" s="1">
        <v>0</v>
      </c>
      <c r="J193" s="1">
        <v>48</v>
      </c>
      <c r="K193" s="1">
        <v>-48</v>
      </c>
    </row>
    <row r="194" spans="3:11" x14ac:dyDescent="0.25">
      <c r="C194" s="1" t="s">
        <v>4910</v>
      </c>
      <c r="D194" s="1" t="s">
        <v>4911</v>
      </c>
      <c r="E194" s="1" t="s">
        <v>4912</v>
      </c>
      <c r="F194" s="1">
        <v>-47</v>
      </c>
      <c r="G194" s="1">
        <v>-47</v>
      </c>
      <c r="H194" s="1">
        <v>0</v>
      </c>
      <c r="I194" s="1">
        <v>855</v>
      </c>
      <c r="J194" s="1">
        <v>902</v>
      </c>
      <c r="K194" s="1">
        <v>-47</v>
      </c>
    </row>
    <row r="195" spans="3:11" x14ac:dyDescent="0.25">
      <c r="C195" s="1" t="s">
        <v>4913</v>
      </c>
      <c r="D195" s="1" t="s">
        <v>4914</v>
      </c>
      <c r="E195" s="1" t="s">
        <v>4915</v>
      </c>
      <c r="F195" s="1">
        <v>-47</v>
      </c>
      <c r="G195" s="1">
        <v>-47</v>
      </c>
      <c r="H195" s="1">
        <v>0</v>
      </c>
      <c r="I195" s="1">
        <v>61</v>
      </c>
      <c r="J195" s="1">
        <v>108</v>
      </c>
      <c r="K195" s="1">
        <v>-47</v>
      </c>
    </row>
    <row r="196" spans="3:11" x14ac:dyDescent="0.25">
      <c r="C196" s="1" t="s">
        <v>4916</v>
      </c>
      <c r="D196" s="1" t="s">
        <v>4917</v>
      </c>
      <c r="E196" s="1" t="s">
        <v>4918</v>
      </c>
      <c r="F196" s="1">
        <v>-47</v>
      </c>
      <c r="G196" s="1">
        <v>-47</v>
      </c>
      <c r="H196" s="1">
        <v>0</v>
      </c>
      <c r="I196" s="1">
        <v>0</v>
      </c>
      <c r="J196" s="1">
        <v>47</v>
      </c>
      <c r="K196" s="1">
        <v>-47</v>
      </c>
    </row>
    <row r="197" spans="3:11" x14ac:dyDescent="0.25">
      <c r="D197" s="1" t="s">
        <v>4919</v>
      </c>
      <c r="E197" s="1" t="s">
        <v>4920</v>
      </c>
      <c r="F197" s="1">
        <v>-47</v>
      </c>
      <c r="G197" s="1">
        <v>-47</v>
      </c>
      <c r="H197" s="1">
        <v>0</v>
      </c>
      <c r="I197" s="1">
        <v>0</v>
      </c>
      <c r="J197" s="1">
        <v>47</v>
      </c>
      <c r="K197" s="1">
        <v>-47</v>
      </c>
    </row>
    <row r="198" spans="3:11" x14ac:dyDescent="0.25">
      <c r="C198" s="1" t="s">
        <v>4921</v>
      </c>
      <c r="D198" s="1" t="s">
        <v>4922</v>
      </c>
      <c r="E198" s="1" t="s">
        <v>4923</v>
      </c>
      <c r="F198" s="1">
        <v>-46</v>
      </c>
      <c r="G198" s="1">
        <v>-46</v>
      </c>
      <c r="H198" s="1">
        <v>0</v>
      </c>
      <c r="I198" s="1">
        <v>21</v>
      </c>
      <c r="J198" s="1">
        <v>67</v>
      </c>
      <c r="K198" s="1">
        <v>-46</v>
      </c>
    </row>
    <row r="199" spans="3:11" x14ac:dyDescent="0.25">
      <c r="D199" s="1" t="s">
        <v>4924</v>
      </c>
      <c r="E199" s="1" t="s">
        <v>4925</v>
      </c>
      <c r="F199" s="1">
        <v>-46</v>
      </c>
      <c r="G199" s="1">
        <v>-46</v>
      </c>
      <c r="H199" s="1">
        <v>0</v>
      </c>
      <c r="I199" s="1">
        <v>0</v>
      </c>
      <c r="J199" s="1">
        <v>46</v>
      </c>
      <c r="K199" s="1">
        <v>-46</v>
      </c>
    </row>
    <row r="200" spans="3:11" x14ac:dyDescent="0.25">
      <c r="C200" s="1" t="s">
        <v>4926</v>
      </c>
      <c r="D200" s="1" t="s">
        <v>4927</v>
      </c>
      <c r="E200" s="1" t="s">
        <v>4928</v>
      </c>
      <c r="F200" s="1">
        <v>-46</v>
      </c>
      <c r="G200" s="1">
        <v>-46</v>
      </c>
      <c r="H200" s="1">
        <v>0</v>
      </c>
      <c r="I200" s="1">
        <v>0</v>
      </c>
      <c r="J200" s="1">
        <v>46</v>
      </c>
      <c r="K200" s="1">
        <v>-46</v>
      </c>
    </row>
    <row r="201" spans="3:11" x14ac:dyDescent="0.25">
      <c r="C201" s="1" t="s">
        <v>4929</v>
      </c>
      <c r="D201" s="1" t="s">
        <v>4930</v>
      </c>
      <c r="E201" s="1" t="s">
        <v>4931</v>
      </c>
      <c r="F201" s="1">
        <v>-45</v>
      </c>
      <c r="G201" s="1">
        <v>-45</v>
      </c>
      <c r="H201" s="1">
        <v>0</v>
      </c>
      <c r="I201" s="1">
        <v>10</v>
      </c>
      <c r="J201" s="1">
        <v>55</v>
      </c>
      <c r="K201" s="1">
        <v>-45</v>
      </c>
    </row>
    <row r="202" spans="3:11" x14ac:dyDescent="0.25">
      <c r="C202" s="1" t="s">
        <v>4932</v>
      </c>
      <c r="D202" s="1" t="s">
        <v>4933</v>
      </c>
      <c r="E202" s="1" t="s">
        <v>4934</v>
      </c>
      <c r="F202" s="1">
        <v>-44</v>
      </c>
      <c r="G202" s="1">
        <v>-44</v>
      </c>
      <c r="H202" s="1">
        <v>0</v>
      </c>
      <c r="I202" s="1">
        <v>397</v>
      </c>
      <c r="J202" s="1">
        <v>441</v>
      </c>
      <c r="K202" s="1">
        <v>-44</v>
      </c>
    </row>
    <row r="203" spans="3:11" x14ac:dyDescent="0.25">
      <c r="C203" s="1" t="s">
        <v>4935</v>
      </c>
      <c r="D203" s="1" t="s">
        <v>4936</v>
      </c>
      <c r="E203" s="1" t="s">
        <v>4937</v>
      </c>
      <c r="F203" s="1">
        <v>-44</v>
      </c>
      <c r="G203" s="1">
        <v>-44</v>
      </c>
      <c r="H203" s="1">
        <v>0</v>
      </c>
      <c r="I203" s="1">
        <v>60</v>
      </c>
      <c r="J203" s="1">
        <v>104</v>
      </c>
      <c r="K203" s="1">
        <v>-44</v>
      </c>
    </row>
    <row r="204" spans="3:11" x14ac:dyDescent="0.25">
      <c r="C204" s="1" t="s">
        <v>4938</v>
      </c>
      <c r="D204" s="1" t="s">
        <v>4939</v>
      </c>
      <c r="E204" s="1" t="s">
        <v>4938</v>
      </c>
      <c r="F204" s="1">
        <v>-44</v>
      </c>
      <c r="G204" s="1">
        <v>-44</v>
      </c>
      <c r="H204" s="1">
        <v>0</v>
      </c>
      <c r="I204" s="1">
        <v>0</v>
      </c>
      <c r="J204" s="1">
        <v>44</v>
      </c>
      <c r="K204" s="1">
        <v>-44</v>
      </c>
    </row>
    <row r="205" spans="3:11" x14ac:dyDescent="0.25">
      <c r="C205" s="1" t="s">
        <v>4940</v>
      </c>
      <c r="D205" s="1" t="s">
        <v>4941</v>
      </c>
      <c r="E205" s="1" t="s">
        <v>4942</v>
      </c>
      <c r="F205" s="1">
        <v>-44</v>
      </c>
      <c r="G205" s="1">
        <v>-44</v>
      </c>
      <c r="H205" s="1">
        <v>0</v>
      </c>
      <c r="I205" s="1">
        <v>0</v>
      </c>
      <c r="J205" s="1">
        <v>44</v>
      </c>
      <c r="K205" s="1">
        <v>-44</v>
      </c>
    </row>
    <row r="206" spans="3:11" x14ac:dyDescent="0.25">
      <c r="C206" s="1" t="s">
        <v>4943</v>
      </c>
      <c r="D206" s="1" t="s">
        <v>4944</v>
      </c>
      <c r="E206" s="1" t="s">
        <v>4943</v>
      </c>
      <c r="F206" s="1">
        <v>-43</v>
      </c>
      <c r="G206" s="1">
        <v>-43</v>
      </c>
      <c r="H206" s="1">
        <v>0</v>
      </c>
      <c r="I206" s="1">
        <v>81</v>
      </c>
      <c r="J206" s="1">
        <v>124</v>
      </c>
      <c r="K206" s="1">
        <v>-43</v>
      </c>
    </row>
    <row r="207" spans="3:11" x14ac:dyDescent="0.25">
      <c r="C207" s="1" t="s">
        <v>4945</v>
      </c>
      <c r="D207" s="1" t="s">
        <v>4946</v>
      </c>
      <c r="E207" s="1" t="s">
        <v>4945</v>
      </c>
      <c r="F207" s="1">
        <v>-43</v>
      </c>
      <c r="G207" s="1">
        <v>-43</v>
      </c>
      <c r="H207" s="1">
        <v>0</v>
      </c>
      <c r="I207" s="1">
        <v>0</v>
      </c>
      <c r="J207" s="1">
        <v>43</v>
      </c>
      <c r="K207" s="1">
        <v>-43</v>
      </c>
    </row>
    <row r="208" spans="3:11" x14ac:dyDescent="0.25">
      <c r="D208" s="1" t="s">
        <v>4947</v>
      </c>
      <c r="E208" s="1" t="s">
        <v>4948</v>
      </c>
      <c r="F208" s="1">
        <v>-43</v>
      </c>
      <c r="G208" s="1">
        <v>-43</v>
      </c>
      <c r="H208" s="1">
        <v>0</v>
      </c>
      <c r="I208" s="1">
        <v>0</v>
      </c>
      <c r="J208" s="1">
        <v>43</v>
      </c>
      <c r="K208" s="1">
        <v>-43</v>
      </c>
    </row>
    <row r="209" spans="3:11" x14ac:dyDescent="0.25">
      <c r="C209" s="1" t="s">
        <v>4949</v>
      </c>
      <c r="D209" s="1" t="s">
        <v>4950</v>
      </c>
      <c r="E209" s="1" t="s">
        <v>4949</v>
      </c>
      <c r="F209" s="1">
        <v>-42</v>
      </c>
      <c r="G209" s="1">
        <v>-42</v>
      </c>
      <c r="H209" s="1">
        <v>0</v>
      </c>
      <c r="I209" s="1">
        <v>0</v>
      </c>
      <c r="J209" s="1">
        <v>42</v>
      </c>
      <c r="K209" s="1">
        <v>-42</v>
      </c>
    </row>
    <row r="210" spans="3:11" x14ac:dyDescent="0.25">
      <c r="C210" s="1" t="s">
        <v>4951</v>
      </c>
      <c r="D210" s="1" t="s">
        <v>4952</v>
      </c>
      <c r="E210" s="1" t="s">
        <v>4953</v>
      </c>
      <c r="F210" s="1">
        <v>-42</v>
      </c>
      <c r="G210" s="1">
        <v>-42</v>
      </c>
      <c r="H210" s="1">
        <v>0</v>
      </c>
      <c r="I210" s="1">
        <v>0</v>
      </c>
      <c r="J210" s="1">
        <v>42</v>
      </c>
      <c r="K210" s="1">
        <v>-42</v>
      </c>
    </row>
    <row r="211" spans="3:11" x14ac:dyDescent="0.25">
      <c r="C211" s="1" t="s">
        <v>4954</v>
      </c>
      <c r="D211" s="1" t="s">
        <v>4955</v>
      </c>
      <c r="E211" s="1" t="s">
        <v>4956</v>
      </c>
      <c r="F211" s="1">
        <v>-41</v>
      </c>
      <c r="G211" s="1">
        <v>-41</v>
      </c>
      <c r="H211" s="1">
        <v>0</v>
      </c>
      <c r="I211" s="1">
        <v>130</v>
      </c>
      <c r="J211" s="1">
        <v>171</v>
      </c>
      <c r="K211" s="1">
        <v>-41</v>
      </c>
    </row>
    <row r="212" spans="3:11" x14ac:dyDescent="0.25">
      <c r="C212" s="1" t="s">
        <v>4957</v>
      </c>
      <c r="D212" s="1" t="s">
        <v>4958</v>
      </c>
      <c r="E212" s="1" t="s">
        <v>4957</v>
      </c>
      <c r="F212" s="1">
        <v>-41</v>
      </c>
      <c r="G212" s="1">
        <v>-41</v>
      </c>
      <c r="H212" s="1">
        <v>0</v>
      </c>
      <c r="I212" s="1">
        <v>0</v>
      </c>
      <c r="J212" s="1">
        <v>41</v>
      </c>
      <c r="K212" s="1">
        <v>-41</v>
      </c>
    </row>
    <row r="213" spans="3:11" x14ac:dyDescent="0.25">
      <c r="C213" s="1" t="s">
        <v>4959</v>
      </c>
      <c r="D213" s="1" t="s">
        <v>4960</v>
      </c>
      <c r="E213" s="1" t="s">
        <v>4959</v>
      </c>
      <c r="F213" s="1">
        <v>-40</v>
      </c>
      <c r="G213" s="1">
        <v>-40</v>
      </c>
      <c r="H213" s="1">
        <v>0</v>
      </c>
      <c r="I213" s="1">
        <v>22</v>
      </c>
      <c r="J213" s="1">
        <v>62</v>
      </c>
      <c r="K213" s="1">
        <v>-40</v>
      </c>
    </row>
    <row r="214" spans="3:11" x14ac:dyDescent="0.25">
      <c r="C214" s="1" t="s">
        <v>4961</v>
      </c>
      <c r="D214" s="1" t="s">
        <v>4962</v>
      </c>
      <c r="E214" s="1" t="s">
        <v>4961</v>
      </c>
      <c r="F214" s="1">
        <v>-40</v>
      </c>
      <c r="G214" s="1">
        <v>-40</v>
      </c>
      <c r="H214" s="1">
        <v>0</v>
      </c>
      <c r="I214" s="1">
        <v>1</v>
      </c>
      <c r="J214" s="1">
        <v>41</v>
      </c>
      <c r="K214" s="1">
        <v>-40</v>
      </c>
    </row>
    <row r="215" spans="3:11" x14ac:dyDescent="0.25">
      <c r="C215" s="1" t="s">
        <v>4963</v>
      </c>
      <c r="D215" s="1" t="s">
        <v>4964</v>
      </c>
      <c r="E215" s="1" t="s">
        <v>4965</v>
      </c>
      <c r="F215" s="1">
        <v>-40</v>
      </c>
      <c r="G215" s="1">
        <v>-40</v>
      </c>
      <c r="H215" s="1">
        <v>0</v>
      </c>
      <c r="I215" s="1">
        <v>0</v>
      </c>
      <c r="J215" s="1">
        <v>40</v>
      </c>
      <c r="K215" s="1">
        <v>-40</v>
      </c>
    </row>
    <row r="216" spans="3:11" x14ac:dyDescent="0.25">
      <c r="D216" s="1" t="s">
        <v>4966</v>
      </c>
      <c r="E216" s="1" t="s">
        <v>4967</v>
      </c>
      <c r="F216" s="1">
        <v>-40</v>
      </c>
      <c r="G216" s="1">
        <v>-40</v>
      </c>
      <c r="H216" s="1">
        <v>0</v>
      </c>
      <c r="I216" s="1">
        <v>0</v>
      </c>
      <c r="J216" s="1">
        <v>40</v>
      </c>
      <c r="K216" s="1">
        <v>-40</v>
      </c>
    </row>
    <row r="217" spans="3:11" x14ac:dyDescent="0.25">
      <c r="D217" s="1" t="s">
        <v>4968</v>
      </c>
      <c r="E217" s="1" t="s">
        <v>4969</v>
      </c>
      <c r="F217" s="1">
        <v>-40</v>
      </c>
      <c r="G217" s="1">
        <v>-40</v>
      </c>
      <c r="H217" s="1">
        <v>0</v>
      </c>
      <c r="I217" s="1">
        <v>0</v>
      </c>
      <c r="J217" s="1">
        <v>40</v>
      </c>
      <c r="K217" s="1">
        <v>-40</v>
      </c>
    </row>
    <row r="218" spans="3:11" x14ac:dyDescent="0.25">
      <c r="D218" s="1" t="s">
        <v>4970</v>
      </c>
      <c r="E218" s="1" t="s">
        <v>4971</v>
      </c>
      <c r="F218" s="1">
        <v>-40</v>
      </c>
      <c r="G218" s="1">
        <v>-40</v>
      </c>
      <c r="H218" s="1">
        <v>0</v>
      </c>
      <c r="I218" s="1">
        <v>0</v>
      </c>
      <c r="J218" s="1">
        <v>40</v>
      </c>
      <c r="K218" s="1">
        <v>-40</v>
      </c>
    </row>
    <row r="219" spans="3:11" x14ac:dyDescent="0.25">
      <c r="D219" s="1" t="s">
        <v>4972</v>
      </c>
      <c r="E219" s="1" t="s">
        <v>4973</v>
      </c>
      <c r="F219" s="1">
        <v>-40</v>
      </c>
      <c r="G219" s="1">
        <v>-40</v>
      </c>
      <c r="H219" s="1">
        <v>0</v>
      </c>
      <c r="I219" s="1">
        <v>0</v>
      </c>
      <c r="J219" s="1">
        <v>40</v>
      </c>
      <c r="K219" s="1">
        <v>-40</v>
      </c>
    </row>
    <row r="220" spans="3:11" x14ac:dyDescent="0.25">
      <c r="C220" s="1" t="s">
        <v>4974</v>
      </c>
      <c r="D220" s="1" t="s">
        <v>4975</v>
      </c>
      <c r="E220" s="1" t="s">
        <v>4974</v>
      </c>
      <c r="F220" s="1">
        <v>-39</v>
      </c>
      <c r="G220" s="1">
        <v>-39</v>
      </c>
      <c r="H220" s="1">
        <v>0</v>
      </c>
      <c r="I220" s="1">
        <v>50</v>
      </c>
      <c r="J220" s="1">
        <v>89</v>
      </c>
      <c r="K220" s="1">
        <v>-39</v>
      </c>
    </row>
    <row r="221" spans="3:11" x14ac:dyDescent="0.25">
      <c r="C221" s="1" t="s">
        <v>4976</v>
      </c>
      <c r="D221" s="1" t="s">
        <v>4977</v>
      </c>
      <c r="E221" s="1" t="s">
        <v>4976</v>
      </c>
      <c r="F221" s="1">
        <v>-39</v>
      </c>
      <c r="G221" s="1">
        <v>-39</v>
      </c>
      <c r="H221" s="1">
        <v>0</v>
      </c>
      <c r="I221" s="1">
        <v>0</v>
      </c>
      <c r="J221" s="1">
        <v>39</v>
      </c>
      <c r="K221" s="1">
        <v>-39</v>
      </c>
    </row>
    <row r="222" spans="3:11" x14ac:dyDescent="0.25">
      <c r="D222" s="1" t="s">
        <v>4978</v>
      </c>
      <c r="E222" s="1" t="s">
        <v>4979</v>
      </c>
      <c r="F222" s="1">
        <v>-39</v>
      </c>
      <c r="G222" s="1">
        <v>-39</v>
      </c>
      <c r="H222" s="1">
        <v>0</v>
      </c>
      <c r="I222" s="1">
        <v>0</v>
      </c>
      <c r="J222" s="1">
        <v>39</v>
      </c>
      <c r="K222" s="1">
        <v>-39</v>
      </c>
    </row>
    <row r="223" spans="3:11" x14ac:dyDescent="0.25">
      <c r="C223" s="1" t="s">
        <v>4980</v>
      </c>
      <c r="D223" s="1" t="s">
        <v>4981</v>
      </c>
      <c r="E223" s="1" t="s">
        <v>4982</v>
      </c>
      <c r="F223" s="1">
        <v>-38</v>
      </c>
      <c r="G223" s="1">
        <v>-38</v>
      </c>
      <c r="H223" s="1">
        <v>0</v>
      </c>
      <c r="I223" s="1">
        <v>4</v>
      </c>
      <c r="J223" s="1">
        <v>42</v>
      </c>
      <c r="K223" s="1">
        <v>-38</v>
      </c>
    </row>
    <row r="224" spans="3:11" x14ac:dyDescent="0.25">
      <c r="C224" s="1" t="s">
        <v>4983</v>
      </c>
      <c r="D224" s="1" t="s">
        <v>4984</v>
      </c>
      <c r="E224" s="1" t="s">
        <v>4983</v>
      </c>
      <c r="F224" s="1">
        <v>-38</v>
      </c>
      <c r="G224" s="1">
        <v>-38</v>
      </c>
      <c r="H224" s="1">
        <v>0</v>
      </c>
      <c r="I224" s="1">
        <v>2</v>
      </c>
      <c r="J224" s="1">
        <v>40</v>
      </c>
      <c r="K224" s="1">
        <v>-38</v>
      </c>
    </row>
    <row r="225" spans="3:11" x14ac:dyDescent="0.25">
      <c r="D225" s="1" t="s">
        <v>4985</v>
      </c>
      <c r="E225" s="1" t="s">
        <v>4986</v>
      </c>
      <c r="F225" s="1">
        <v>-38</v>
      </c>
      <c r="G225" s="1">
        <v>-38</v>
      </c>
      <c r="H225" s="1">
        <v>0</v>
      </c>
      <c r="I225" s="1">
        <v>0</v>
      </c>
      <c r="J225" s="1">
        <v>38</v>
      </c>
      <c r="K225" s="1">
        <v>-38</v>
      </c>
    </row>
    <row r="226" spans="3:11" x14ac:dyDescent="0.25">
      <c r="C226" s="1" t="s">
        <v>4987</v>
      </c>
      <c r="D226" s="1" t="s">
        <v>4988</v>
      </c>
      <c r="E226" s="1" t="s">
        <v>4989</v>
      </c>
      <c r="F226" s="1">
        <v>-37</v>
      </c>
      <c r="G226" s="1">
        <v>-37</v>
      </c>
      <c r="H226" s="1">
        <v>0</v>
      </c>
      <c r="I226" s="1">
        <v>110</v>
      </c>
      <c r="J226" s="1">
        <v>147</v>
      </c>
      <c r="K226" s="1">
        <v>-37</v>
      </c>
    </row>
    <row r="227" spans="3:11" x14ac:dyDescent="0.25">
      <c r="D227" s="1" t="s">
        <v>4990</v>
      </c>
      <c r="E227" s="1" t="s">
        <v>4991</v>
      </c>
      <c r="F227" s="1">
        <v>-37</v>
      </c>
      <c r="G227" s="1">
        <v>-37</v>
      </c>
      <c r="H227" s="1">
        <v>0</v>
      </c>
      <c r="I227" s="1">
        <v>4</v>
      </c>
      <c r="J227" s="1">
        <v>41</v>
      </c>
      <c r="K227" s="1">
        <v>-37</v>
      </c>
    </row>
    <row r="228" spans="3:11" x14ac:dyDescent="0.25">
      <c r="C228" s="1" t="s">
        <v>4992</v>
      </c>
      <c r="D228" s="1" t="s">
        <v>4993</v>
      </c>
      <c r="E228" s="1" t="s">
        <v>4994</v>
      </c>
      <c r="F228" s="1">
        <v>-37</v>
      </c>
      <c r="G228" s="1">
        <v>-37</v>
      </c>
      <c r="H228" s="1">
        <v>0</v>
      </c>
      <c r="I228" s="1">
        <v>1</v>
      </c>
      <c r="J228" s="1">
        <v>38</v>
      </c>
      <c r="K228" s="1">
        <v>-37</v>
      </c>
    </row>
    <row r="229" spans="3:11" x14ac:dyDescent="0.25">
      <c r="C229" s="1" t="s">
        <v>4995</v>
      </c>
      <c r="D229" s="1" t="s">
        <v>4996</v>
      </c>
      <c r="E229" s="1" t="s">
        <v>4995</v>
      </c>
      <c r="F229" s="1">
        <v>-37</v>
      </c>
      <c r="G229" s="1">
        <v>-37</v>
      </c>
      <c r="H229" s="1">
        <v>0</v>
      </c>
      <c r="I229" s="1">
        <v>0</v>
      </c>
      <c r="J229" s="1">
        <v>37</v>
      </c>
      <c r="K229" s="1">
        <v>-37</v>
      </c>
    </row>
    <row r="230" spans="3:11" x14ac:dyDescent="0.25">
      <c r="C230" s="1" t="s">
        <v>4997</v>
      </c>
      <c r="D230" s="1" t="s">
        <v>4998</v>
      </c>
      <c r="E230" s="1" t="s">
        <v>4999</v>
      </c>
      <c r="F230" s="1">
        <v>-37</v>
      </c>
      <c r="G230" s="1">
        <v>-37</v>
      </c>
      <c r="H230" s="1">
        <v>0</v>
      </c>
      <c r="I230" s="1">
        <v>0</v>
      </c>
      <c r="J230" s="1">
        <v>37</v>
      </c>
      <c r="K230" s="1">
        <v>-37</v>
      </c>
    </row>
    <row r="231" spans="3:11" x14ac:dyDescent="0.25">
      <c r="C231" s="1" t="s">
        <v>5000</v>
      </c>
      <c r="D231" s="1" t="s">
        <v>5001</v>
      </c>
      <c r="E231" s="1" t="s">
        <v>5000</v>
      </c>
      <c r="F231" s="1">
        <v>-37</v>
      </c>
      <c r="G231" s="1">
        <v>-37</v>
      </c>
      <c r="H231" s="1">
        <v>0</v>
      </c>
      <c r="I231" s="1">
        <v>0</v>
      </c>
      <c r="J231" s="1">
        <v>37</v>
      </c>
      <c r="K231" s="1">
        <v>-37</v>
      </c>
    </row>
    <row r="232" spans="3:11" x14ac:dyDescent="0.25">
      <c r="C232" s="1" t="s">
        <v>5002</v>
      </c>
      <c r="D232" s="1" t="s">
        <v>5003</v>
      </c>
      <c r="E232" s="1" t="s">
        <v>5002</v>
      </c>
      <c r="F232" s="1">
        <v>-37</v>
      </c>
      <c r="G232" s="1">
        <v>-37</v>
      </c>
      <c r="H232" s="1">
        <v>0</v>
      </c>
      <c r="I232" s="1">
        <v>0</v>
      </c>
      <c r="J232" s="1">
        <v>37</v>
      </c>
      <c r="K232" s="1">
        <v>-37</v>
      </c>
    </row>
    <row r="233" spans="3:11" x14ac:dyDescent="0.25">
      <c r="C233" s="1" t="s">
        <v>5004</v>
      </c>
      <c r="D233" s="1" t="s">
        <v>5005</v>
      </c>
      <c r="E233" s="1" t="s">
        <v>5006</v>
      </c>
      <c r="F233" s="1">
        <v>-36</v>
      </c>
      <c r="G233" s="1">
        <v>-36</v>
      </c>
      <c r="H233" s="1">
        <v>0</v>
      </c>
      <c r="I233" s="1">
        <v>0</v>
      </c>
      <c r="J233" s="1">
        <v>36</v>
      </c>
      <c r="K233" s="1">
        <v>-36</v>
      </c>
    </row>
    <row r="234" spans="3:11" x14ac:dyDescent="0.25">
      <c r="C234" s="1" t="s">
        <v>5007</v>
      </c>
      <c r="D234" s="1" t="s">
        <v>5008</v>
      </c>
      <c r="E234" s="1" t="s">
        <v>5009</v>
      </c>
      <c r="F234" s="1">
        <v>-36</v>
      </c>
      <c r="G234" s="1">
        <v>-36</v>
      </c>
      <c r="H234" s="1">
        <v>0</v>
      </c>
      <c r="I234" s="1">
        <v>0</v>
      </c>
      <c r="J234" s="1">
        <v>36</v>
      </c>
      <c r="K234" s="1">
        <v>-36</v>
      </c>
    </row>
    <row r="235" spans="3:11" x14ac:dyDescent="0.25">
      <c r="D235" s="1" t="s">
        <v>5010</v>
      </c>
      <c r="E235" s="1" t="s">
        <v>5011</v>
      </c>
      <c r="F235" s="1">
        <v>-36</v>
      </c>
      <c r="G235" s="1">
        <v>-36</v>
      </c>
      <c r="H235" s="1">
        <v>0</v>
      </c>
      <c r="I235" s="1">
        <v>0</v>
      </c>
      <c r="J235" s="1">
        <v>36</v>
      </c>
      <c r="K235" s="1">
        <v>-36</v>
      </c>
    </row>
    <row r="236" spans="3:11" x14ac:dyDescent="0.25">
      <c r="D236" s="1" t="s">
        <v>5012</v>
      </c>
      <c r="E236" s="1" t="s">
        <v>5013</v>
      </c>
      <c r="F236" s="1">
        <v>-36</v>
      </c>
      <c r="G236" s="1">
        <v>-36</v>
      </c>
      <c r="H236" s="1">
        <v>0</v>
      </c>
      <c r="I236" s="1">
        <v>0</v>
      </c>
      <c r="J236" s="1">
        <v>36</v>
      </c>
      <c r="K236" s="1">
        <v>-36</v>
      </c>
    </row>
    <row r="237" spans="3:11" x14ac:dyDescent="0.25">
      <c r="C237" s="1" t="s">
        <v>5014</v>
      </c>
      <c r="D237" s="1" t="s">
        <v>5015</v>
      </c>
      <c r="E237" s="1" t="s">
        <v>5016</v>
      </c>
      <c r="F237" s="1">
        <v>-35</v>
      </c>
      <c r="G237" s="1">
        <v>-35</v>
      </c>
      <c r="H237" s="1">
        <v>0</v>
      </c>
      <c r="I237" s="1">
        <v>0</v>
      </c>
      <c r="J237" s="1">
        <v>35</v>
      </c>
      <c r="K237" s="1">
        <v>-35</v>
      </c>
    </row>
    <row r="238" spans="3:11" x14ac:dyDescent="0.25">
      <c r="D238" s="1" t="s">
        <v>5017</v>
      </c>
      <c r="E238" s="1" t="s">
        <v>5018</v>
      </c>
      <c r="F238" s="1">
        <v>-35</v>
      </c>
      <c r="G238" s="1">
        <v>-35</v>
      </c>
      <c r="H238" s="1">
        <v>0</v>
      </c>
      <c r="I238" s="1">
        <v>0</v>
      </c>
      <c r="J238" s="1">
        <v>35</v>
      </c>
      <c r="K238" s="1">
        <v>-35</v>
      </c>
    </row>
    <row r="239" spans="3:11" x14ac:dyDescent="0.25">
      <c r="C239" s="1" t="s">
        <v>5019</v>
      </c>
      <c r="D239" s="1" t="s">
        <v>5020</v>
      </c>
      <c r="E239" s="1" t="s">
        <v>5021</v>
      </c>
      <c r="F239" s="1">
        <v>-34</v>
      </c>
      <c r="G239" s="1">
        <v>-34</v>
      </c>
      <c r="H239" s="1">
        <v>0</v>
      </c>
      <c r="I239" s="1">
        <v>195</v>
      </c>
      <c r="J239" s="1">
        <v>229</v>
      </c>
      <c r="K239" s="1">
        <v>-34</v>
      </c>
    </row>
    <row r="240" spans="3:11" x14ac:dyDescent="0.25">
      <c r="C240" s="1" t="s">
        <v>5022</v>
      </c>
      <c r="D240" s="1" t="s">
        <v>5023</v>
      </c>
      <c r="E240" s="1" t="s">
        <v>5024</v>
      </c>
      <c r="F240" s="1">
        <v>-34</v>
      </c>
      <c r="G240" s="1">
        <v>-34</v>
      </c>
      <c r="H240" s="1">
        <v>0</v>
      </c>
      <c r="I240" s="1">
        <v>0</v>
      </c>
      <c r="J240" s="1">
        <v>34</v>
      </c>
      <c r="K240" s="1">
        <v>-34</v>
      </c>
    </row>
    <row r="241" spans="3:11" x14ac:dyDescent="0.25">
      <c r="C241" s="1" t="s">
        <v>5025</v>
      </c>
      <c r="D241" s="1" t="s">
        <v>5026</v>
      </c>
      <c r="E241" s="1" t="s">
        <v>5025</v>
      </c>
      <c r="F241" s="1">
        <v>-34</v>
      </c>
      <c r="G241" s="1">
        <v>-34</v>
      </c>
      <c r="H241" s="1">
        <v>0</v>
      </c>
      <c r="I241" s="1">
        <v>0</v>
      </c>
      <c r="J241" s="1">
        <v>34</v>
      </c>
      <c r="K241" s="1">
        <v>-34</v>
      </c>
    </row>
    <row r="242" spans="3:11" x14ac:dyDescent="0.25">
      <c r="D242" s="1" t="s">
        <v>5027</v>
      </c>
      <c r="E242" s="1" t="s">
        <v>5028</v>
      </c>
      <c r="F242" s="1">
        <v>-34</v>
      </c>
      <c r="G242" s="1">
        <v>-34</v>
      </c>
      <c r="H242" s="1">
        <v>0</v>
      </c>
      <c r="I242" s="1">
        <v>0</v>
      </c>
      <c r="J242" s="1">
        <v>34</v>
      </c>
      <c r="K242" s="1">
        <v>-34</v>
      </c>
    </row>
    <row r="243" spans="3:11" x14ac:dyDescent="0.25">
      <c r="C243" s="1" t="s">
        <v>5029</v>
      </c>
      <c r="D243" s="1" t="s">
        <v>5030</v>
      </c>
      <c r="E243" s="1" t="s">
        <v>5031</v>
      </c>
      <c r="F243" s="1">
        <v>-33</v>
      </c>
      <c r="G243" s="1">
        <v>-33</v>
      </c>
      <c r="H243" s="1">
        <v>0</v>
      </c>
      <c r="I243" s="1">
        <v>1571</v>
      </c>
      <c r="J243" s="1">
        <v>1604</v>
      </c>
      <c r="K243" s="1">
        <v>-33</v>
      </c>
    </row>
    <row r="244" spans="3:11" x14ac:dyDescent="0.25">
      <c r="C244" s="1" t="s">
        <v>5032</v>
      </c>
      <c r="D244" s="1" t="s">
        <v>5033</v>
      </c>
      <c r="E244" s="1" t="s">
        <v>5034</v>
      </c>
      <c r="F244" s="1">
        <v>-33</v>
      </c>
      <c r="G244" s="1">
        <v>-33</v>
      </c>
      <c r="H244" s="1">
        <v>0</v>
      </c>
      <c r="I244" s="1">
        <v>73</v>
      </c>
      <c r="J244" s="1">
        <v>106</v>
      </c>
      <c r="K244" s="1">
        <v>-33</v>
      </c>
    </row>
    <row r="245" spans="3:11" x14ac:dyDescent="0.25">
      <c r="C245" s="1" t="s">
        <v>5035</v>
      </c>
      <c r="D245" s="1" t="s">
        <v>5036</v>
      </c>
      <c r="E245" s="1" t="s">
        <v>5037</v>
      </c>
      <c r="F245" s="1">
        <v>-33</v>
      </c>
      <c r="G245" s="1">
        <v>-33</v>
      </c>
      <c r="H245" s="1">
        <v>0</v>
      </c>
      <c r="I245" s="1">
        <v>3</v>
      </c>
      <c r="J245" s="1">
        <v>36</v>
      </c>
      <c r="K245" s="1">
        <v>-33</v>
      </c>
    </row>
    <row r="246" spans="3:11" x14ac:dyDescent="0.25">
      <c r="D246" s="1" t="s">
        <v>5038</v>
      </c>
      <c r="E246" s="1" t="s">
        <v>5039</v>
      </c>
      <c r="F246" s="1">
        <v>-33</v>
      </c>
      <c r="G246" s="1">
        <v>-33</v>
      </c>
      <c r="H246" s="1">
        <v>0</v>
      </c>
      <c r="I246" s="1">
        <v>0</v>
      </c>
      <c r="J246" s="1">
        <v>33</v>
      </c>
      <c r="K246" s="1">
        <v>-33</v>
      </c>
    </row>
    <row r="247" spans="3:11" x14ac:dyDescent="0.25">
      <c r="C247" s="1" t="s">
        <v>5040</v>
      </c>
      <c r="D247" s="1" t="s">
        <v>5041</v>
      </c>
      <c r="E247" s="1" t="s">
        <v>5040</v>
      </c>
      <c r="F247" s="1">
        <v>-32</v>
      </c>
      <c r="G247" s="1">
        <v>-32</v>
      </c>
      <c r="H247" s="1">
        <v>0</v>
      </c>
      <c r="I247" s="1">
        <v>46</v>
      </c>
      <c r="J247" s="1">
        <v>78</v>
      </c>
      <c r="K247" s="1">
        <v>-32</v>
      </c>
    </row>
    <row r="248" spans="3:11" x14ac:dyDescent="0.25">
      <c r="C248" s="1" t="s">
        <v>5042</v>
      </c>
      <c r="D248" s="1" t="s">
        <v>5043</v>
      </c>
      <c r="E248" s="1" t="s">
        <v>5044</v>
      </c>
      <c r="F248" s="1">
        <v>-32</v>
      </c>
      <c r="G248" s="1">
        <v>-32</v>
      </c>
      <c r="H248" s="1">
        <v>0</v>
      </c>
      <c r="I248" s="1">
        <v>23</v>
      </c>
      <c r="J248" s="1">
        <v>55</v>
      </c>
      <c r="K248" s="1">
        <v>-32</v>
      </c>
    </row>
    <row r="249" spans="3:11" x14ac:dyDescent="0.25">
      <c r="C249" s="1" t="s">
        <v>5045</v>
      </c>
      <c r="D249" s="1" t="s">
        <v>5046</v>
      </c>
      <c r="E249" s="1" t="s">
        <v>5047</v>
      </c>
      <c r="F249" s="1">
        <v>-32</v>
      </c>
      <c r="G249" s="1">
        <v>-32</v>
      </c>
      <c r="H249" s="1">
        <v>0</v>
      </c>
      <c r="I249" s="1">
        <v>11</v>
      </c>
      <c r="J249" s="1">
        <v>43</v>
      </c>
      <c r="K249" s="1">
        <v>-32</v>
      </c>
    </row>
    <row r="250" spans="3:11" x14ac:dyDescent="0.25">
      <c r="C250" s="1" t="s">
        <v>5048</v>
      </c>
      <c r="D250" s="1" t="s">
        <v>5049</v>
      </c>
      <c r="E250" s="1" t="s">
        <v>5050</v>
      </c>
      <c r="F250" s="1">
        <v>-32</v>
      </c>
      <c r="G250" s="1">
        <v>-32</v>
      </c>
      <c r="H250" s="1">
        <v>0</v>
      </c>
      <c r="I250" s="1">
        <v>6</v>
      </c>
      <c r="J250" s="1">
        <v>38</v>
      </c>
      <c r="K250" s="1">
        <v>-32</v>
      </c>
    </row>
    <row r="251" spans="3:11" x14ac:dyDescent="0.25">
      <c r="C251" s="1" t="s">
        <v>5051</v>
      </c>
      <c r="D251" s="1" t="s">
        <v>5052</v>
      </c>
      <c r="E251" s="1" t="s">
        <v>5053</v>
      </c>
      <c r="F251" s="1">
        <v>-32</v>
      </c>
      <c r="G251" s="1">
        <v>-32</v>
      </c>
      <c r="H251" s="1">
        <v>0</v>
      </c>
      <c r="I251" s="1">
        <v>3</v>
      </c>
      <c r="J251" s="1">
        <v>35</v>
      </c>
      <c r="K251" s="1">
        <v>-32</v>
      </c>
    </row>
    <row r="252" spans="3:11" x14ac:dyDescent="0.25">
      <c r="C252" s="1" t="s">
        <v>5054</v>
      </c>
      <c r="D252" s="1" t="s">
        <v>5055</v>
      </c>
      <c r="E252" s="1" t="s">
        <v>5056</v>
      </c>
      <c r="F252" s="1">
        <v>-32</v>
      </c>
      <c r="G252" s="1">
        <v>-32</v>
      </c>
      <c r="H252" s="1">
        <v>0</v>
      </c>
      <c r="I252" s="1">
        <v>0</v>
      </c>
      <c r="J252" s="1">
        <v>32</v>
      </c>
      <c r="K252" s="1">
        <v>-32</v>
      </c>
    </row>
    <row r="253" spans="3:11" x14ac:dyDescent="0.25">
      <c r="D253" s="1" t="s">
        <v>5057</v>
      </c>
      <c r="E253" s="1" t="s">
        <v>5058</v>
      </c>
      <c r="F253" s="1">
        <v>-32</v>
      </c>
      <c r="G253" s="1">
        <v>-32</v>
      </c>
      <c r="H253" s="1">
        <v>0</v>
      </c>
      <c r="I253" s="1">
        <v>0</v>
      </c>
      <c r="J253" s="1">
        <v>32</v>
      </c>
      <c r="K253" s="1">
        <v>-32</v>
      </c>
    </row>
    <row r="254" spans="3:11" x14ac:dyDescent="0.25">
      <c r="C254" s="1" t="s">
        <v>5059</v>
      </c>
      <c r="D254" s="1" t="s">
        <v>5060</v>
      </c>
      <c r="E254" s="1" t="s">
        <v>5061</v>
      </c>
      <c r="F254" s="1">
        <v>-32</v>
      </c>
      <c r="G254" s="1">
        <v>-32</v>
      </c>
      <c r="H254" s="1">
        <v>0</v>
      </c>
      <c r="I254" s="1">
        <v>0</v>
      </c>
      <c r="J254" s="1">
        <v>32</v>
      </c>
      <c r="K254" s="1">
        <v>-32</v>
      </c>
    </row>
    <row r="255" spans="3:11" x14ac:dyDescent="0.25">
      <c r="C255" s="1" t="s">
        <v>5062</v>
      </c>
      <c r="D255" s="1" t="s">
        <v>5063</v>
      </c>
      <c r="E255" s="1" t="s">
        <v>5064</v>
      </c>
      <c r="F255" s="1">
        <v>-32</v>
      </c>
      <c r="G255" s="1">
        <v>-32</v>
      </c>
      <c r="H255" s="1">
        <v>0</v>
      </c>
      <c r="I255" s="1">
        <v>0</v>
      </c>
      <c r="J255" s="1">
        <v>32</v>
      </c>
      <c r="K255" s="1">
        <v>-32</v>
      </c>
    </row>
    <row r="256" spans="3:11" x14ac:dyDescent="0.25">
      <c r="C256" s="1" t="s">
        <v>5065</v>
      </c>
      <c r="D256" s="1" t="s">
        <v>5066</v>
      </c>
      <c r="E256" s="1" t="s">
        <v>5067</v>
      </c>
      <c r="F256" s="1">
        <v>-31</v>
      </c>
      <c r="G256" s="1">
        <v>-31</v>
      </c>
      <c r="H256" s="1">
        <v>0</v>
      </c>
      <c r="I256" s="1">
        <v>10</v>
      </c>
      <c r="J256" s="1">
        <v>41</v>
      </c>
      <c r="K256" s="1">
        <v>-31</v>
      </c>
    </row>
    <row r="257" spans="3:11" x14ac:dyDescent="0.25">
      <c r="C257" s="1" t="s">
        <v>5068</v>
      </c>
      <c r="D257" s="1" t="s">
        <v>5069</v>
      </c>
      <c r="E257" s="1" t="s">
        <v>5070</v>
      </c>
      <c r="F257" s="1">
        <v>-31</v>
      </c>
      <c r="G257" s="1">
        <v>-31</v>
      </c>
      <c r="H257" s="1">
        <v>0</v>
      </c>
      <c r="I257" s="1">
        <v>7</v>
      </c>
      <c r="J257" s="1">
        <v>38</v>
      </c>
      <c r="K257" s="1">
        <v>-31</v>
      </c>
    </row>
    <row r="258" spans="3:11" x14ac:dyDescent="0.25">
      <c r="C258" s="1" t="s">
        <v>5071</v>
      </c>
      <c r="D258" s="1" t="s">
        <v>5072</v>
      </c>
      <c r="E258" s="1" t="s">
        <v>5073</v>
      </c>
      <c r="F258" s="1">
        <v>-31</v>
      </c>
      <c r="G258" s="1">
        <v>-31</v>
      </c>
      <c r="H258" s="1">
        <v>0</v>
      </c>
      <c r="I258" s="1">
        <v>0</v>
      </c>
      <c r="J258" s="1">
        <v>31</v>
      </c>
      <c r="K258" s="1">
        <v>-31</v>
      </c>
    </row>
    <row r="259" spans="3:11" x14ac:dyDescent="0.25">
      <c r="C259" s="1" t="s">
        <v>5074</v>
      </c>
      <c r="D259" s="1" t="s">
        <v>5075</v>
      </c>
      <c r="E259" s="1" t="s">
        <v>5076</v>
      </c>
      <c r="F259" s="1">
        <v>-31</v>
      </c>
      <c r="G259" s="1">
        <v>-31</v>
      </c>
      <c r="H259" s="1">
        <v>0</v>
      </c>
      <c r="I259" s="1">
        <v>0</v>
      </c>
      <c r="J259" s="1">
        <v>31</v>
      </c>
      <c r="K259" s="1">
        <v>-31</v>
      </c>
    </row>
    <row r="260" spans="3:11" x14ac:dyDescent="0.25">
      <c r="D260" s="1" t="s">
        <v>5077</v>
      </c>
      <c r="E260" s="1" t="s">
        <v>5078</v>
      </c>
      <c r="F260" s="1">
        <v>-31</v>
      </c>
      <c r="G260" s="1">
        <v>-31</v>
      </c>
      <c r="H260" s="1">
        <v>0</v>
      </c>
      <c r="I260" s="1">
        <v>0</v>
      </c>
      <c r="J260" s="1">
        <v>31</v>
      </c>
      <c r="K260" s="1">
        <v>-31</v>
      </c>
    </row>
    <row r="261" spans="3:11" x14ac:dyDescent="0.25">
      <c r="C261" s="1" t="s">
        <v>5079</v>
      </c>
      <c r="D261" s="1" t="s">
        <v>5080</v>
      </c>
      <c r="E261" s="1" t="s">
        <v>5081</v>
      </c>
      <c r="F261" s="1">
        <v>-30</v>
      </c>
      <c r="G261" s="1">
        <v>-30</v>
      </c>
      <c r="H261" s="1">
        <v>0</v>
      </c>
      <c r="I261" s="1">
        <v>18</v>
      </c>
      <c r="J261" s="1">
        <v>48</v>
      </c>
      <c r="K261" s="1">
        <v>-30</v>
      </c>
    </row>
    <row r="262" spans="3:11" x14ac:dyDescent="0.25">
      <c r="C262" s="1" t="s">
        <v>5082</v>
      </c>
      <c r="D262" s="1" t="s">
        <v>5083</v>
      </c>
      <c r="E262" s="1" t="s">
        <v>5082</v>
      </c>
      <c r="F262" s="1">
        <v>-30</v>
      </c>
      <c r="G262" s="1">
        <v>-30</v>
      </c>
      <c r="H262" s="1">
        <v>0</v>
      </c>
      <c r="I262" s="1">
        <v>0</v>
      </c>
      <c r="J262" s="1">
        <v>30</v>
      </c>
      <c r="K262" s="1">
        <v>-30</v>
      </c>
    </row>
    <row r="263" spans="3:11" x14ac:dyDescent="0.25">
      <c r="C263" s="1" t="s">
        <v>5084</v>
      </c>
      <c r="D263" s="1" t="s">
        <v>5085</v>
      </c>
      <c r="E263" s="1" t="s">
        <v>5086</v>
      </c>
      <c r="F263" s="1">
        <v>-30</v>
      </c>
      <c r="G263" s="1">
        <v>-30</v>
      </c>
      <c r="H263" s="1">
        <v>0</v>
      </c>
      <c r="I263" s="1">
        <v>0</v>
      </c>
      <c r="J263" s="1">
        <v>30</v>
      </c>
      <c r="K263" s="1">
        <v>-30</v>
      </c>
    </row>
    <row r="264" spans="3:11" x14ac:dyDescent="0.25">
      <c r="C264" s="1" t="s">
        <v>5087</v>
      </c>
      <c r="D264" s="1" t="s">
        <v>5088</v>
      </c>
      <c r="E264" s="1" t="s">
        <v>5089</v>
      </c>
      <c r="F264" s="1">
        <v>-30</v>
      </c>
      <c r="G264" s="1">
        <v>-30</v>
      </c>
      <c r="H264" s="1">
        <v>0</v>
      </c>
      <c r="I264" s="1">
        <v>0</v>
      </c>
      <c r="J264" s="1">
        <v>30</v>
      </c>
      <c r="K264" s="1">
        <v>-30</v>
      </c>
    </row>
    <row r="265" spans="3:11" x14ac:dyDescent="0.25">
      <c r="D265" s="1" t="s">
        <v>5090</v>
      </c>
      <c r="E265" s="1" t="s">
        <v>5091</v>
      </c>
      <c r="F265" s="1">
        <v>-30</v>
      </c>
      <c r="G265" s="1">
        <v>-30</v>
      </c>
      <c r="H265" s="1">
        <v>0</v>
      </c>
      <c r="I265" s="1">
        <v>0</v>
      </c>
      <c r="J265" s="1">
        <v>30</v>
      </c>
      <c r="K265" s="1">
        <v>-30</v>
      </c>
    </row>
    <row r="266" spans="3:11" x14ac:dyDescent="0.25">
      <c r="C266" s="1" t="s">
        <v>5092</v>
      </c>
      <c r="D266" s="1" t="s">
        <v>5093</v>
      </c>
      <c r="E266" s="1" t="s">
        <v>5094</v>
      </c>
      <c r="F266" s="1">
        <v>-30</v>
      </c>
      <c r="G266" s="1">
        <v>-30</v>
      </c>
      <c r="H266" s="1">
        <v>0</v>
      </c>
      <c r="I266" s="1">
        <v>0</v>
      </c>
      <c r="J266" s="1">
        <v>30</v>
      </c>
      <c r="K266" s="1">
        <v>-30</v>
      </c>
    </row>
    <row r="267" spans="3:11" x14ac:dyDescent="0.25">
      <c r="C267" s="1" t="s">
        <v>5095</v>
      </c>
      <c r="D267" s="1" t="s">
        <v>5096</v>
      </c>
      <c r="E267" s="1" t="s">
        <v>5097</v>
      </c>
      <c r="F267" s="1">
        <v>-30</v>
      </c>
      <c r="G267" s="1">
        <v>-30</v>
      </c>
      <c r="H267" s="1">
        <v>0</v>
      </c>
      <c r="I267" s="1">
        <v>0</v>
      </c>
      <c r="J267" s="1">
        <v>30</v>
      </c>
      <c r="K267" s="1">
        <v>-30</v>
      </c>
    </row>
    <row r="268" spans="3:11" x14ac:dyDescent="0.25">
      <c r="C268" s="1" t="s">
        <v>5098</v>
      </c>
      <c r="D268" s="1" t="s">
        <v>5099</v>
      </c>
      <c r="E268" s="1" t="s">
        <v>5098</v>
      </c>
      <c r="F268" s="1">
        <v>-29</v>
      </c>
      <c r="G268" s="1">
        <v>-29</v>
      </c>
      <c r="H268" s="1">
        <v>0</v>
      </c>
      <c r="I268" s="1">
        <v>21</v>
      </c>
      <c r="J268" s="1">
        <v>50</v>
      </c>
      <c r="K268" s="1">
        <v>-29</v>
      </c>
    </row>
    <row r="269" spans="3:11" x14ac:dyDescent="0.25">
      <c r="D269" s="1" t="s">
        <v>5100</v>
      </c>
      <c r="E269" s="1" t="s">
        <v>5101</v>
      </c>
      <c r="F269" s="1">
        <v>-29</v>
      </c>
      <c r="G269" s="1">
        <v>-29</v>
      </c>
      <c r="H269" s="1">
        <v>0</v>
      </c>
      <c r="I269" s="1">
        <v>20</v>
      </c>
      <c r="J269" s="1">
        <v>49</v>
      </c>
      <c r="K269" s="1">
        <v>-29</v>
      </c>
    </row>
    <row r="270" spans="3:11" x14ac:dyDescent="0.25">
      <c r="C270" s="1" t="s">
        <v>5102</v>
      </c>
      <c r="D270" s="1" t="s">
        <v>5103</v>
      </c>
      <c r="E270" s="1" t="s">
        <v>5104</v>
      </c>
      <c r="F270" s="1">
        <v>-29</v>
      </c>
      <c r="G270" s="1">
        <v>-29</v>
      </c>
      <c r="H270" s="1">
        <v>0</v>
      </c>
      <c r="I270" s="1">
        <v>2</v>
      </c>
      <c r="J270" s="1">
        <v>31</v>
      </c>
      <c r="K270" s="1">
        <v>-29</v>
      </c>
    </row>
    <row r="271" spans="3:11" x14ac:dyDescent="0.25">
      <c r="C271" s="1" t="s">
        <v>5105</v>
      </c>
      <c r="D271" s="1" t="s">
        <v>5106</v>
      </c>
      <c r="E271" s="1" t="s">
        <v>5107</v>
      </c>
      <c r="F271" s="1">
        <v>-29</v>
      </c>
      <c r="G271" s="1">
        <v>-29</v>
      </c>
      <c r="H271" s="1">
        <v>0</v>
      </c>
      <c r="I271" s="1">
        <v>1</v>
      </c>
      <c r="J271" s="1">
        <v>30</v>
      </c>
      <c r="K271" s="1">
        <v>-29</v>
      </c>
    </row>
    <row r="272" spans="3:11" x14ac:dyDescent="0.25">
      <c r="C272" s="1" t="s">
        <v>5108</v>
      </c>
      <c r="D272" s="1" t="s">
        <v>5109</v>
      </c>
      <c r="E272" s="1" t="s">
        <v>5110</v>
      </c>
      <c r="F272" s="1">
        <v>-29</v>
      </c>
      <c r="G272" s="1">
        <v>-29</v>
      </c>
      <c r="H272" s="1">
        <v>0</v>
      </c>
      <c r="I272" s="1">
        <v>1</v>
      </c>
      <c r="J272" s="1">
        <v>30</v>
      </c>
      <c r="K272" s="1">
        <v>-29</v>
      </c>
    </row>
    <row r="273" spans="3:11" x14ac:dyDescent="0.25">
      <c r="C273" s="1" t="s">
        <v>5111</v>
      </c>
      <c r="D273" s="1" t="s">
        <v>5112</v>
      </c>
      <c r="E273" s="1" t="s">
        <v>5113</v>
      </c>
      <c r="F273" s="1">
        <v>-29</v>
      </c>
      <c r="G273" s="1">
        <v>-29</v>
      </c>
      <c r="H273" s="1">
        <v>0</v>
      </c>
      <c r="I273" s="1">
        <v>0</v>
      </c>
      <c r="J273" s="1">
        <v>29</v>
      </c>
      <c r="K273" s="1">
        <v>-29</v>
      </c>
    </row>
    <row r="274" spans="3:11" x14ac:dyDescent="0.25">
      <c r="D274" s="1" t="s">
        <v>5114</v>
      </c>
      <c r="E274" s="1" t="s">
        <v>5115</v>
      </c>
      <c r="F274" s="1">
        <v>-29</v>
      </c>
      <c r="G274" s="1">
        <v>-29</v>
      </c>
      <c r="H274" s="1">
        <v>0</v>
      </c>
      <c r="I274" s="1">
        <v>0</v>
      </c>
      <c r="J274" s="1">
        <v>29</v>
      </c>
      <c r="K274" s="1">
        <v>-29</v>
      </c>
    </row>
    <row r="275" spans="3:11" x14ac:dyDescent="0.25">
      <c r="C275" s="1" t="s">
        <v>5116</v>
      </c>
      <c r="D275" s="1" t="s">
        <v>5117</v>
      </c>
      <c r="E275" s="1" t="s">
        <v>5118</v>
      </c>
      <c r="F275" s="1">
        <v>-29</v>
      </c>
      <c r="G275" s="1">
        <v>-29</v>
      </c>
      <c r="H275" s="1">
        <v>0</v>
      </c>
      <c r="I275" s="1">
        <v>0</v>
      </c>
      <c r="J275" s="1">
        <v>29</v>
      </c>
      <c r="K275" s="1">
        <v>-29</v>
      </c>
    </row>
    <row r="276" spans="3:11" x14ac:dyDescent="0.25">
      <c r="C276" s="1" t="s">
        <v>5119</v>
      </c>
      <c r="D276" s="1" t="s">
        <v>5120</v>
      </c>
      <c r="E276" s="1" t="s">
        <v>5121</v>
      </c>
      <c r="F276" s="1">
        <v>-28</v>
      </c>
      <c r="G276" s="1">
        <v>-28</v>
      </c>
      <c r="H276" s="1">
        <v>0</v>
      </c>
      <c r="I276" s="1">
        <v>0</v>
      </c>
      <c r="J276" s="1">
        <v>28</v>
      </c>
      <c r="K276" s="1">
        <v>-28</v>
      </c>
    </row>
    <row r="277" spans="3:11" x14ac:dyDescent="0.25">
      <c r="C277" s="1" t="s">
        <v>5122</v>
      </c>
      <c r="D277" s="1" t="s">
        <v>5123</v>
      </c>
      <c r="E277" s="1" t="s">
        <v>5122</v>
      </c>
      <c r="F277" s="1">
        <v>-28</v>
      </c>
      <c r="G277" s="1">
        <v>-28</v>
      </c>
      <c r="H277" s="1">
        <v>0</v>
      </c>
      <c r="I277" s="1">
        <v>0</v>
      </c>
      <c r="J277" s="1">
        <v>28</v>
      </c>
      <c r="K277" s="1">
        <v>-28</v>
      </c>
    </row>
    <row r="278" spans="3:11" x14ac:dyDescent="0.25">
      <c r="C278" s="1" t="s">
        <v>5124</v>
      </c>
      <c r="D278" s="1" t="s">
        <v>5125</v>
      </c>
      <c r="E278" s="1" t="s">
        <v>5126</v>
      </c>
      <c r="F278" s="1">
        <v>-28</v>
      </c>
      <c r="G278" s="1">
        <v>-28</v>
      </c>
      <c r="H278" s="1">
        <v>0</v>
      </c>
      <c r="I278" s="1">
        <v>0</v>
      </c>
      <c r="J278" s="1">
        <v>28</v>
      </c>
      <c r="K278" s="1">
        <v>-28</v>
      </c>
    </row>
    <row r="279" spans="3:11" x14ac:dyDescent="0.25">
      <c r="C279" s="1" t="s">
        <v>5127</v>
      </c>
      <c r="D279" s="1" t="s">
        <v>5128</v>
      </c>
      <c r="E279" s="1" t="s">
        <v>5127</v>
      </c>
      <c r="F279" s="1">
        <v>-28</v>
      </c>
      <c r="G279" s="1">
        <v>-28</v>
      </c>
      <c r="H279" s="1">
        <v>0</v>
      </c>
      <c r="I279" s="1">
        <v>0</v>
      </c>
      <c r="J279" s="1">
        <v>28</v>
      </c>
      <c r="K279" s="1">
        <v>-28</v>
      </c>
    </row>
    <row r="280" spans="3:11" x14ac:dyDescent="0.25">
      <c r="C280" s="1" t="s">
        <v>5129</v>
      </c>
      <c r="D280" s="1" t="s">
        <v>5130</v>
      </c>
      <c r="E280" s="1" t="s">
        <v>5131</v>
      </c>
      <c r="F280" s="1">
        <v>-28</v>
      </c>
      <c r="G280" s="1">
        <v>-28</v>
      </c>
      <c r="H280" s="1">
        <v>0</v>
      </c>
      <c r="I280" s="1">
        <v>0</v>
      </c>
      <c r="J280" s="1">
        <v>28</v>
      </c>
      <c r="K280" s="1">
        <v>-28</v>
      </c>
    </row>
    <row r="281" spans="3:11" x14ac:dyDescent="0.25">
      <c r="C281" s="1" t="s">
        <v>5132</v>
      </c>
      <c r="D281" s="1" t="s">
        <v>5133</v>
      </c>
      <c r="E281" s="1" t="s">
        <v>5134</v>
      </c>
      <c r="F281" s="1">
        <v>-28</v>
      </c>
      <c r="G281" s="1">
        <v>-28</v>
      </c>
      <c r="H281" s="1">
        <v>0</v>
      </c>
      <c r="I281" s="1">
        <v>0</v>
      </c>
      <c r="J281" s="1">
        <v>28</v>
      </c>
      <c r="K281" s="1">
        <v>-28</v>
      </c>
    </row>
    <row r="282" spans="3:11" x14ac:dyDescent="0.25">
      <c r="D282" s="1" t="s">
        <v>5135</v>
      </c>
      <c r="E282" s="1" t="s">
        <v>5136</v>
      </c>
      <c r="F282" s="1">
        <v>-28</v>
      </c>
      <c r="G282" s="1">
        <v>-28</v>
      </c>
      <c r="H282" s="1">
        <v>0</v>
      </c>
      <c r="I282" s="1">
        <v>0</v>
      </c>
      <c r="J282" s="1">
        <v>28</v>
      </c>
      <c r="K282" s="1">
        <v>-28</v>
      </c>
    </row>
    <row r="283" spans="3:11" x14ac:dyDescent="0.25">
      <c r="C283" s="1" t="s">
        <v>5137</v>
      </c>
      <c r="D283" s="1" t="s">
        <v>5138</v>
      </c>
      <c r="E283" s="1" t="s">
        <v>5137</v>
      </c>
      <c r="F283" s="1">
        <v>-27</v>
      </c>
      <c r="G283" s="1">
        <v>-27</v>
      </c>
      <c r="H283" s="1">
        <v>0</v>
      </c>
      <c r="I283" s="1">
        <v>0</v>
      </c>
      <c r="J283" s="1">
        <v>27</v>
      </c>
      <c r="K283" s="1">
        <v>-27</v>
      </c>
    </row>
    <row r="284" spans="3:11" x14ac:dyDescent="0.25">
      <c r="D284" s="1" t="s">
        <v>5139</v>
      </c>
      <c r="E284" s="1" t="s">
        <v>5140</v>
      </c>
      <c r="F284" s="1">
        <v>-27</v>
      </c>
      <c r="G284" s="1">
        <v>-27</v>
      </c>
      <c r="H284" s="1">
        <v>0</v>
      </c>
      <c r="I284" s="1">
        <v>0</v>
      </c>
      <c r="J284" s="1">
        <v>27</v>
      </c>
      <c r="K284" s="1">
        <v>-27</v>
      </c>
    </row>
    <row r="285" spans="3:11" x14ac:dyDescent="0.25">
      <c r="D285" s="1" t="s">
        <v>5141</v>
      </c>
      <c r="E285" s="1" t="s">
        <v>5142</v>
      </c>
      <c r="F285" s="1">
        <v>-27</v>
      </c>
      <c r="G285" s="1">
        <v>-27</v>
      </c>
      <c r="H285" s="1">
        <v>0</v>
      </c>
      <c r="I285" s="1">
        <v>0</v>
      </c>
      <c r="J285" s="1">
        <v>27</v>
      </c>
      <c r="K285" s="1">
        <v>-27</v>
      </c>
    </row>
    <row r="286" spans="3:11" x14ac:dyDescent="0.25">
      <c r="C286" s="1" t="s">
        <v>5143</v>
      </c>
      <c r="D286" s="1" t="s">
        <v>5144</v>
      </c>
      <c r="E286" s="1" t="s">
        <v>5145</v>
      </c>
      <c r="F286" s="1">
        <v>-27</v>
      </c>
      <c r="G286" s="1">
        <v>-27</v>
      </c>
      <c r="H286" s="1">
        <v>0</v>
      </c>
      <c r="I286" s="1">
        <v>0</v>
      </c>
      <c r="J286" s="1">
        <v>27</v>
      </c>
      <c r="K286" s="1">
        <v>-27</v>
      </c>
    </row>
    <row r="287" spans="3:11" x14ac:dyDescent="0.25">
      <c r="C287" s="1" t="s">
        <v>5146</v>
      </c>
      <c r="D287" s="1" t="s">
        <v>5147</v>
      </c>
      <c r="E287" s="1" t="s">
        <v>5148</v>
      </c>
      <c r="F287" s="1">
        <v>-26</v>
      </c>
      <c r="G287" s="1">
        <v>-26</v>
      </c>
      <c r="H287" s="1">
        <v>0</v>
      </c>
      <c r="I287" s="1">
        <v>1209</v>
      </c>
      <c r="J287" s="1">
        <v>1235</v>
      </c>
      <c r="K287" s="1">
        <v>-26</v>
      </c>
    </row>
    <row r="288" spans="3:11" x14ac:dyDescent="0.25">
      <c r="C288" s="1" t="s">
        <v>5149</v>
      </c>
      <c r="D288" s="1" t="s">
        <v>5150</v>
      </c>
      <c r="E288" s="1" t="s">
        <v>5151</v>
      </c>
      <c r="F288" s="1">
        <v>-26</v>
      </c>
      <c r="G288" s="1">
        <v>-26</v>
      </c>
      <c r="H288" s="1">
        <v>0</v>
      </c>
      <c r="I288" s="1">
        <v>643</v>
      </c>
      <c r="J288" s="1">
        <v>669</v>
      </c>
      <c r="K288" s="1">
        <v>-26</v>
      </c>
    </row>
    <row r="289" spans="3:11" x14ac:dyDescent="0.25">
      <c r="C289" s="1" t="s">
        <v>5152</v>
      </c>
      <c r="D289" s="1" t="s">
        <v>5153</v>
      </c>
      <c r="E289" s="1" t="s">
        <v>5154</v>
      </c>
      <c r="F289" s="1">
        <v>-26</v>
      </c>
      <c r="G289" s="1">
        <v>-26</v>
      </c>
      <c r="H289" s="1">
        <v>0</v>
      </c>
      <c r="I289" s="1">
        <v>8</v>
      </c>
      <c r="J289" s="1">
        <v>34</v>
      </c>
      <c r="K289" s="1">
        <v>-26</v>
      </c>
    </row>
    <row r="290" spans="3:11" x14ac:dyDescent="0.25">
      <c r="C290" s="1" t="s">
        <v>5155</v>
      </c>
      <c r="D290" s="1" t="s">
        <v>5156</v>
      </c>
      <c r="E290" s="1" t="s">
        <v>5157</v>
      </c>
      <c r="F290" s="1">
        <v>-26</v>
      </c>
      <c r="G290" s="1">
        <v>-26</v>
      </c>
      <c r="H290" s="1">
        <v>0</v>
      </c>
      <c r="I290" s="1">
        <v>0</v>
      </c>
      <c r="J290" s="1">
        <v>26</v>
      </c>
      <c r="K290" s="1">
        <v>-26</v>
      </c>
    </row>
    <row r="291" spans="3:11" x14ac:dyDescent="0.25">
      <c r="D291" s="1" t="s">
        <v>5158</v>
      </c>
      <c r="E291" s="1" t="s">
        <v>5159</v>
      </c>
      <c r="F291" s="1">
        <v>-26</v>
      </c>
      <c r="G291" s="1">
        <v>-26</v>
      </c>
      <c r="H291" s="1">
        <v>0</v>
      </c>
      <c r="I291" s="1">
        <v>0</v>
      </c>
      <c r="J291" s="1">
        <v>26</v>
      </c>
      <c r="K291" s="1">
        <v>-26</v>
      </c>
    </row>
    <row r="292" spans="3:11" x14ac:dyDescent="0.25">
      <c r="C292" s="1" t="s">
        <v>5160</v>
      </c>
      <c r="D292" s="1" t="s">
        <v>5161</v>
      </c>
      <c r="E292" s="1" t="s">
        <v>5162</v>
      </c>
      <c r="F292" s="1">
        <v>-26</v>
      </c>
      <c r="G292" s="1">
        <v>-26</v>
      </c>
      <c r="H292" s="1">
        <v>0</v>
      </c>
      <c r="I292" s="1">
        <v>0</v>
      </c>
      <c r="J292" s="1">
        <v>26</v>
      </c>
      <c r="K292" s="1">
        <v>-26</v>
      </c>
    </row>
    <row r="293" spans="3:11" x14ac:dyDescent="0.25">
      <c r="C293" s="1" t="s">
        <v>5163</v>
      </c>
      <c r="D293" s="1" t="s">
        <v>5164</v>
      </c>
      <c r="E293" s="1" t="s">
        <v>5165</v>
      </c>
      <c r="F293" s="1">
        <v>-26</v>
      </c>
      <c r="G293" s="1">
        <v>-26</v>
      </c>
      <c r="H293" s="1">
        <v>0</v>
      </c>
      <c r="I293" s="1">
        <v>0</v>
      </c>
      <c r="J293" s="1">
        <v>26</v>
      </c>
      <c r="K293" s="1">
        <v>-26</v>
      </c>
    </row>
    <row r="294" spans="3:11" x14ac:dyDescent="0.25">
      <c r="D294" s="1" t="s">
        <v>5166</v>
      </c>
      <c r="E294" s="1" t="s">
        <v>5167</v>
      </c>
      <c r="F294" s="1">
        <v>-26</v>
      </c>
      <c r="G294" s="1">
        <v>-26</v>
      </c>
      <c r="H294" s="1">
        <v>0</v>
      </c>
      <c r="I294" s="1">
        <v>0</v>
      </c>
      <c r="J294" s="1">
        <v>26</v>
      </c>
      <c r="K294" s="1">
        <v>-26</v>
      </c>
    </row>
    <row r="295" spans="3:11" x14ac:dyDescent="0.25">
      <c r="C295" s="1" t="s">
        <v>5168</v>
      </c>
      <c r="D295" s="1" t="s">
        <v>5169</v>
      </c>
      <c r="E295" s="1" t="s">
        <v>5168</v>
      </c>
      <c r="F295" s="1">
        <v>-25</v>
      </c>
      <c r="G295" s="1">
        <v>-25</v>
      </c>
      <c r="H295" s="1">
        <v>0</v>
      </c>
      <c r="I295" s="1">
        <v>40</v>
      </c>
      <c r="J295" s="1">
        <v>65</v>
      </c>
      <c r="K295" s="1">
        <v>-25</v>
      </c>
    </row>
    <row r="296" spans="3:11" x14ac:dyDescent="0.25">
      <c r="C296" s="1" t="s">
        <v>5170</v>
      </c>
      <c r="D296" s="1" t="s">
        <v>5171</v>
      </c>
      <c r="E296" s="1" t="s">
        <v>5170</v>
      </c>
      <c r="F296" s="1">
        <v>-25</v>
      </c>
      <c r="G296" s="1">
        <v>-25</v>
      </c>
      <c r="H296" s="1">
        <v>0</v>
      </c>
      <c r="I296" s="1">
        <v>0</v>
      </c>
      <c r="J296" s="1">
        <v>25</v>
      </c>
      <c r="K296" s="1">
        <v>-25</v>
      </c>
    </row>
    <row r="297" spans="3:11" x14ac:dyDescent="0.25">
      <c r="C297" s="1" t="s">
        <v>5172</v>
      </c>
      <c r="D297" s="1" t="s">
        <v>5173</v>
      </c>
      <c r="E297" s="1" t="s">
        <v>5172</v>
      </c>
      <c r="F297" s="1">
        <v>-25</v>
      </c>
      <c r="G297" s="1">
        <v>-25</v>
      </c>
      <c r="H297" s="1">
        <v>0</v>
      </c>
      <c r="I297" s="1">
        <v>0</v>
      </c>
      <c r="J297" s="1">
        <v>25</v>
      </c>
      <c r="K297" s="1">
        <v>-25</v>
      </c>
    </row>
    <row r="298" spans="3:11" x14ac:dyDescent="0.25">
      <c r="C298" s="1" t="s">
        <v>5174</v>
      </c>
      <c r="D298" s="1" t="s">
        <v>5175</v>
      </c>
      <c r="E298" s="1" t="s">
        <v>5176</v>
      </c>
      <c r="F298" s="1">
        <v>-25</v>
      </c>
      <c r="G298" s="1">
        <v>-25</v>
      </c>
      <c r="H298" s="1">
        <v>0</v>
      </c>
      <c r="I298" s="1">
        <v>0</v>
      </c>
      <c r="J298" s="1">
        <v>25</v>
      </c>
      <c r="K298" s="1">
        <v>-25</v>
      </c>
    </row>
    <row r="299" spans="3:11" x14ac:dyDescent="0.25">
      <c r="D299" s="1" t="s">
        <v>5177</v>
      </c>
      <c r="E299" s="1" t="s">
        <v>5178</v>
      </c>
      <c r="F299" s="1">
        <v>-25</v>
      </c>
      <c r="G299" s="1">
        <v>-25</v>
      </c>
      <c r="H299" s="1">
        <v>0</v>
      </c>
      <c r="I299" s="1">
        <v>0</v>
      </c>
      <c r="J299" s="1">
        <v>25</v>
      </c>
      <c r="K299" s="1">
        <v>-25</v>
      </c>
    </row>
    <row r="300" spans="3:11" x14ac:dyDescent="0.25">
      <c r="C300" s="1" t="s">
        <v>5179</v>
      </c>
      <c r="D300" s="1" t="s">
        <v>5180</v>
      </c>
      <c r="E300" s="1" t="s">
        <v>5181</v>
      </c>
      <c r="F300" s="1">
        <v>-24</v>
      </c>
      <c r="G300" s="1">
        <v>-24</v>
      </c>
      <c r="H300" s="1">
        <v>0</v>
      </c>
      <c r="I300" s="1">
        <v>50</v>
      </c>
      <c r="J300" s="1">
        <v>74</v>
      </c>
      <c r="K300" s="1">
        <v>-24</v>
      </c>
    </row>
    <row r="301" spans="3:11" x14ac:dyDescent="0.25">
      <c r="C301" s="1" t="s">
        <v>5182</v>
      </c>
      <c r="D301" s="1" t="s">
        <v>5183</v>
      </c>
      <c r="E301" s="1" t="s">
        <v>5184</v>
      </c>
      <c r="F301" s="1">
        <v>-24</v>
      </c>
      <c r="G301" s="1">
        <v>-24</v>
      </c>
      <c r="H301" s="1">
        <v>0</v>
      </c>
      <c r="I301" s="1">
        <v>1</v>
      </c>
      <c r="J301" s="1">
        <v>25</v>
      </c>
      <c r="K301" s="1">
        <v>-24</v>
      </c>
    </row>
    <row r="302" spans="3:11" x14ac:dyDescent="0.25">
      <c r="D302" s="1" t="s">
        <v>5185</v>
      </c>
      <c r="E302" s="1" t="s">
        <v>5186</v>
      </c>
      <c r="F302" s="1">
        <v>-24</v>
      </c>
      <c r="G302" s="1">
        <v>-24</v>
      </c>
      <c r="H302" s="1">
        <v>0</v>
      </c>
      <c r="I302" s="1">
        <v>0</v>
      </c>
      <c r="J302" s="1">
        <v>24</v>
      </c>
      <c r="K302" s="1">
        <v>-24</v>
      </c>
    </row>
    <row r="303" spans="3:11" x14ac:dyDescent="0.25">
      <c r="D303" s="1" t="s">
        <v>5187</v>
      </c>
      <c r="E303" s="1" t="s">
        <v>5188</v>
      </c>
      <c r="F303" s="1">
        <v>-24</v>
      </c>
      <c r="G303" s="1">
        <v>-24</v>
      </c>
      <c r="H303" s="1">
        <v>0</v>
      </c>
      <c r="I303" s="1">
        <v>0</v>
      </c>
      <c r="J303" s="1">
        <v>24</v>
      </c>
      <c r="K303" s="1">
        <v>-24</v>
      </c>
    </row>
    <row r="304" spans="3:11" x14ac:dyDescent="0.25">
      <c r="C304" s="1" t="s">
        <v>5189</v>
      </c>
      <c r="D304" s="1" t="s">
        <v>5190</v>
      </c>
      <c r="E304" s="1" t="s">
        <v>5191</v>
      </c>
      <c r="F304" s="1">
        <v>-24</v>
      </c>
      <c r="G304" s="1">
        <v>-24</v>
      </c>
      <c r="H304" s="1">
        <v>0</v>
      </c>
      <c r="I304" s="1">
        <v>0</v>
      </c>
      <c r="J304" s="1">
        <v>24</v>
      </c>
      <c r="K304" s="1">
        <v>-24</v>
      </c>
    </row>
    <row r="305" spans="3:11" x14ac:dyDescent="0.25">
      <c r="D305" s="1" t="s">
        <v>5192</v>
      </c>
      <c r="E305" s="1" t="s">
        <v>5193</v>
      </c>
      <c r="F305" s="1">
        <v>-24</v>
      </c>
      <c r="G305" s="1">
        <v>-24</v>
      </c>
      <c r="H305" s="1">
        <v>0</v>
      </c>
      <c r="I305" s="1">
        <v>0</v>
      </c>
      <c r="J305" s="1">
        <v>24</v>
      </c>
      <c r="K305" s="1">
        <v>-24</v>
      </c>
    </row>
    <row r="306" spans="3:11" x14ac:dyDescent="0.25">
      <c r="C306" s="1" t="s">
        <v>5194</v>
      </c>
      <c r="D306" s="1" t="s">
        <v>5195</v>
      </c>
      <c r="E306" s="1" t="s">
        <v>5196</v>
      </c>
      <c r="F306" s="1">
        <v>-23</v>
      </c>
      <c r="G306" s="1">
        <v>-23</v>
      </c>
      <c r="H306" s="1">
        <v>0</v>
      </c>
      <c r="I306" s="1">
        <v>19552</v>
      </c>
      <c r="J306" s="1">
        <v>19575</v>
      </c>
      <c r="K306" s="1">
        <v>-23</v>
      </c>
    </row>
    <row r="307" spans="3:11" x14ac:dyDescent="0.25">
      <c r="C307" s="1" t="s">
        <v>5197</v>
      </c>
      <c r="D307" s="1" t="s">
        <v>5198</v>
      </c>
      <c r="E307" s="1" t="s">
        <v>5199</v>
      </c>
      <c r="F307" s="1">
        <v>-23</v>
      </c>
      <c r="G307" s="1">
        <v>-23</v>
      </c>
      <c r="H307" s="1">
        <v>0</v>
      </c>
      <c r="I307" s="1">
        <v>0</v>
      </c>
      <c r="J307" s="1">
        <v>23</v>
      </c>
      <c r="K307" s="1">
        <v>-23</v>
      </c>
    </row>
    <row r="308" spans="3:11" x14ac:dyDescent="0.25">
      <c r="C308" s="1" t="s">
        <v>5200</v>
      </c>
      <c r="D308" s="1" t="s">
        <v>5201</v>
      </c>
      <c r="E308" s="1" t="s">
        <v>5200</v>
      </c>
      <c r="F308" s="1">
        <v>-23</v>
      </c>
      <c r="G308" s="1">
        <v>-23</v>
      </c>
      <c r="H308" s="1">
        <v>0</v>
      </c>
      <c r="I308" s="1">
        <v>0</v>
      </c>
      <c r="J308" s="1">
        <v>23</v>
      </c>
      <c r="K308" s="1">
        <v>-23</v>
      </c>
    </row>
    <row r="309" spans="3:11" x14ac:dyDescent="0.25">
      <c r="C309" s="1" t="s">
        <v>5202</v>
      </c>
      <c r="D309" s="1" t="s">
        <v>5203</v>
      </c>
      <c r="E309" s="1" t="s">
        <v>5204</v>
      </c>
      <c r="F309" s="1">
        <v>-23</v>
      </c>
      <c r="G309" s="1">
        <v>-23</v>
      </c>
      <c r="H309" s="1">
        <v>0</v>
      </c>
      <c r="I309" s="1">
        <v>0</v>
      </c>
      <c r="J309" s="1">
        <v>23</v>
      </c>
      <c r="K309" s="1">
        <v>-23</v>
      </c>
    </row>
    <row r="310" spans="3:11" x14ac:dyDescent="0.25">
      <c r="C310" s="1" t="s">
        <v>5205</v>
      </c>
      <c r="D310" s="1" t="s">
        <v>5206</v>
      </c>
      <c r="E310" s="1" t="s">
        <v>5205</v>
      </c>
      <c r="F310" s="1">
        <v>-23</v>
      </c>
      <c r="G310" s="1">
        <v>-23</v>
      </c>
      <c r="H310" s="1">
        <v>0</v>
      </c>
      <c r="I310" s="1">
        <v>0</v>
      </c>
      <c r="J310" s="1">
        <v>23</v>
      </c>
      <c r="K310" s="1">
        <v>-23</v>
      </c>
    </row>
    <row r="311" spans="3:11" x14ac:dyDescent="0.25">
      <c r="C311" s="1" t="s">
        <v>5207</v>
      </c>
      <c r="D311" s="1" t="s">
        <v>5208</v>
      </c>
      <c r="E311" s="1" t="s">
        <v>5207</v>
      </c>
      <c r="F311" s="1">
        <v>-23</v>
      </c>
      <c r="G311" s="1">
        <v>-23</v>
      </c>
      <c r="H311" s="1">
        <v>0</v>
      </c>
      <c r="I311" s="1">
        <v>0</v>
      </c>
      <c r="J311" s="1">
        <v>23</v>
      </c>
      <c r="K311" s="1">
        <v>-23</v>
      </c>
    </row>
    <row r="312" spans="3:11" x14ac:dyDescent="0.25">
      <c r="C312" s="1" t="s">
        <v>5209</v>
      </c>
      <c r="D312" s="1" t="s">
        <v>5210</v>
      </c>
      <c r="E312" s="1" t="s">
        <v>5211</v>
      </c>
      <c r="F312" s="1">
        <v>-23</v>
      </c>
      <c r="G312" s="1">
        <v>-23</v>
      </c>
      <c r="H312" s="1">
        <v>0</v>
      </c>
      <c r="I312" s="1">
        <v>0</v>
      </c>
      <c r="J312" s="1">
        <v>23</v>
      </c>
      <c r="K312" s="1">
        <v>-23</v>
      </c>
    </row>
    <row r="313" spans="3:11" x14ac:dyDescent="0.25">
      <c r="C313" s="1" t="s">
        <v>5212</v>
      </c>
      <c r="D313" s="1" t="s">
        <v>5213</v>
      </c>
      <c r="E313" s="1" t="s">
        <v>5214</v>
      </c>
      <c r="F313" s="1">
        <v>-22</v>
      </c>
      <c r="G313" s="1">
        <v>-22</v>
      </c>
      <c r="H313" s="1">
        <v>0</v>
      </c>
      <c r="I313" s="1">
        <v>35</v>
      </c>
      <c r="J313" s="1">
        <v>57</v>
      </c>
      <c r="K313" s="1">
        <v>-22</v>
      </c>
    </row>
    <row r="314" spans="3:11" x14ac:dyDescent="0.25">
      <c r="C314" s="1" t="s">
        <v>5215</v>
      </c>
      <c r="D314" s="1" t="s">
        <v>5216</v>
      </c>
      <c r="E314" s="1" t="s">
        <v>5217</v>
      </c>
      <c r="F314" s="1">
        <v>-22</v>
      </c>
      <c r="G314" s="1">
        <v>-22</v>
      </c>
      <c r="H314" s="1">
        <v>0</v>
      </c>
      <c r="I314" s="1">
        <v>6</v>
      </c>
      <c r="J314" s="1">
        <v>28</v>
      </c>
      <c r="K314" s="1">
        <v>-22</v>
      </c>
    </row>
    <row r="315" spans="3:11" x14ac:dyDescent="0.25">
      <c r="C315" s="1" t="s">
        <v>5218</v>
      </c>
      <c r="D315" s="1" t="s">
        <v>5219</v>
      </c>
      <c r="E315" s="1" t="s">
        <v>5220</v>
      </c>
      <c r="F315" s="1">
        <v>-22</v>
      </c>
      <c r="G315" s="1">
        <v>-22</v>
      </c>
      <c r="H315" s="1">
        <v>0</v>
      </c>
      <c r="I315" s="1">
        <v>0</v>
      </c>
      <c r="J315" s="1">
        <v>22</v>
      </c>
      <c r="K315" s="1">
        <v>-22</v>
      </c>
    </row>
    <row r="316" spans="3:11" x14ac:dyDescent="0.25">
      <c r="C316" s="1" t="s">
        <v>5221</v>
      </c>
      <c r="D316" s="1" t="s">
        <v>5222</v>
      </c>
      <c r="E316" s="1" t="s">
        <v>5221</v>
      </c>
      <c r="F316" s="1">
        <v>-22</v>
      </c>
      <c r="G316" s="1">
        <v>-22</v>
      </c>
      <c r="H316" s="1">
        <v>0</v>
      </c>
      <c r="I316" s="1">
        <v>0</v>
      </c>
      <c r="J316" s="1">
        <v>22</v>
      </c>
      <c r="K316" s="1">
        <v>-22</v>
      </c>
    </row>
    <row r="317" spans="3:11" x14ac:dyDescent="0.25">
      <c r="C317" s="1" t="s">
        <v>5223</v>
      </c>
      <c r="D317" s="1" t="s">
        <v>5224</v>
      </c>
      <c r="E317" s="1" t="s">
        <v>5225</v>
      </c>
      <c r="F317" s="1">
        <v>-22</v>
      </c>
      <c r="G317" s="1">
        <v>-22</v>
      </c>
      <c r="H317" s="1">
        <v>0</v>
      </c>
      <c r="I317" s="1">
        <v>0</v>
      </c>
      <c r="J317" s="1">
        <v>22</v>
      </c>
      <c r="K317" s="1">
        <v>-22</v>
      </c>
    </row>
    <row r="318" spans="3:11" x14ac:dyDescent="0.25">
      <c r="C318" s="1" t="s">
        <v>5226</v>
      </c>
      <c r="D318" s="1" t="s">
        <v>5227</v>
      </c>
      <c r="E318" s="1" t="s">
        <v>5228</v>
      </c>
      <c r="F318" s="1">
        <v>-22</v>
      </c>
      <c r="G318" s="1">
        <v>-22</v>
      </c>
      <c r="H318" s="1">
        <v>0</v>
      </c>
      <c r="I318" s="1">
        <v>0</v>
      </c>
      <c r="J318" s="1">
        <v>22</v>
      </c>
      <c r="K318" s="1">
        <v>-22</v>
      </c>
    </row>
    <row r="319" spans="3:11" x14ac:dyDescent="0.25">
      <c r="C319" s="1" t="s">
        <v>5229</v>
      </c>
      <c r="D319" s="1" t="s">
        <v>5230</v>
      </c>
      <c r="E319" s="1" t="s">
        <v>5229</v>
      </c>
      <c r="F319" s="1">
        <v>-22</v>
      </c>
      <c r="G319" s="1">
        <v>-22</v>
      </c>
      <c r="H319" s="1">
        <v>0</v>
      </c>
      <c r="I319" s="1">
        <v>0</v>
      </c>
      <c r="J319" s="1">
        <v>22</v>
      </c>
      <c r="K319" s="1">
        <v>-22</v>
      </c>
    </row>
    <row r="320" spans="3:11" x14ac:dyDescent="0.25">
      <c r="D320" s="1" t="s">
        <v>5231</v>
      </c>
      <c r="E320" s="1" t="s">
        <v>5232</v>
      </c>
      <c r="F320" s="1">
        <v>-22</v>
      </c>
      <c r="G320" s="1">
        <v>-22</v>
      </c>
      <c r="H320" s="1">
        <v>0</v>
      </c>
      <c r="I320" s="1">
        <v>0</v>
      </c>
      <c r="J320" s="1">
        <v>22</v>
      </c>
      <c r="K320" s="1">
        <v>-22</v>
      </c>
    </row>
    <row r="321" spans="3:11" x14ac:dyDescent="0.25">
      <c r="C321" s="1" t="s">
        <v>5233</v>
      </c>
      <c r="D321" s="1" t="s">
        <v>5234</v>
      </c>
      <c r="E321" s="1" t="s">
        <v>5235</v>
      </c>
      <c r="F321" s="1">
        <v>-22</v>
      </c>
      <c r="G321" s="1">
        <v>-22</v>
      </c>
      <c r="H321" s="1">
        <v>0</v>
      </c>
      <c r="I321" s="1">
        <v>0</v>
      </c>
      <c r="J321" s="1">
        <v>22</v>
      </c>
      <c r="K321" s="1">
        <v>-22</v>
      </c>
    </row>
    <row r="322" spans="3:11" x14ac:dyDescent="0.25">
      <c r="D322" s="1" t="s">
        <v>5236</v>
      </c>
      <c r="E322" s="1" t="s">
        <v>5237</v>
      </c>
      <c r="F322" s="1">
        <v>-22</v>
      </c>
      <c r="G322" s="1">
        <v>-22</v>
      </c>
      <c r="H322" s="1">
        <v>0</v>
      </c>
      <c r="I322" s="1">
        <v>0</v>
      </c>
      <c r="J322" s="1">
        <v>22</v>
      </c>
      <c r="K322" s="1">
        <v>-22</v>
      </c>
    </row>
    <row r="323" spans="3:11" x14ac:dyDescent="0.25">
      <c r="D323" s="1" t="s">
        <v>5238</v>
      </c>
      <c r="E323" s="1" t="s">
        <v>5239</v>
      </c>
      <c r="F323" s="1">
        <v>-22</v>
      </c>
      <c r="G323" s="1">
        <v>-22</v>
      </c>
      <c r="H323" s="1">
        <v>0</v>
      </c>
      <c r="I323" s="1">
        <v>0</v>
      </c>
      <c r="J323" s="1">
        <v>22</v>
      </c>
      <c r="K323" s="1">
        <v>-22</v>
      </c>
    </row>
    <row r="324" spans="3:11" x14ac:dyDescent="0.25">
      <c r="C324" s="1" t="s">
        <v>5240</v>
      </c>
      <c r="D324" s="1" t="s">
        <v>5241</v>
      </c>
      <c r="E324" s="1" t="s">
        <v>5242</v>
      </c>
      <c r="F324" s="1">
        <v>-21</v>
      </c>
      <c r="G324" s="1">
        <v>-21</v>
      </c>
      <c r="H324" s="1">
        <v>0</v>
      </c>
      <c r="I324" s="1">
        <v>25</v>
      </c>
      <c r="J324" s="1">
        <v>46</v>
      </c>
      <c r="K324" s="1">
        <v>-21</v>
      </c>
    </row>
    <row r="325" spans="3:11" x14ac:dyDescent="0.25">
      <c r="C325" s="1" t="s">
        <v>5243</v>
      </c>
      <c r="D325" s="1" t="s">
        <v>5244</v>
      </c>
      <c r="E325" s="1" t="s">
        <v>5245</v>
      </c>
      <c r="F325" s="1">
        <v>-21</v>
      </c>
      <c r="G325" s="1">
        <v>-21</v>
      </c>
      <c r="H325" s="1">
        <v>0</v>
      </c>
      <c r="I325" s="1">
        <v>12</v>
      </c>
      <c r="J325" s="1">
        <v>33</v>
      </c>
      <c r="K325" s="1">
        <v>-21</v>
      </c>
    </row>
    <row r="326" spans="3:11" x14ac:dyDescent="0.25">
      <c r="C326" s="1" t="s">
        <v>5246</v>
      </c>
      <c r="D326" s="1" t="s">
        <v>5247</v>
      </c>
      <c r="E326" s="1" t="s">
        <v>5248</v>
      </c>
      <c r="F326" s="1">
        <v>-21</v>
      </c>
      <c r="G326" s="1">
        <v>-21</v>
      </c>
      <c r="H326" s="1">
        <v>0</v>
      </c>
      <c r="I326" s="1">
        <v>9</v>
      </c>
      <c r="J326" s="1">
        <v>30</v>
      </c>
      <c r="K326" s="1">
        <v>-21</v>
      </c>
    </row>
    <row r="327" spans="3:11" x14ac:dyDescent="0.25">
      <c r="D327" s="1" t="s">
        <v>5249</v>
      </c>
      <c r="E327" s="1" t="s">
        <v>5250</v>
      </c>
      <c r="F327" s="1">
        <v>-21</v>
      </c>
      <c r="G327" s="1">
        <v>-21</v>
      </c>
      <c r="H327" s="1">
        <v>0</v>
      </c>
      <c r="I327" s="1">
        <v>7</v>
      </c>
      <c r="J327" s="1">
        <v>28</v>
      </c>
      <c r="K327" s="1">
        <v>-21</v>
      </c>
    </row>
    <row r="328" spans="3:11" x14ac:dyDescent="0.25">
      <c r="D328" s="1" t="s">
        <v>5251</v>
      </c>
      <c r="E328" s="1" t="s">
        <v>5252</v>
      </c>
      <c r="F328" s="1">
        <v>-21</v>
      </c>
      <c r="G328" s="1">
        <v>-21</v>
      </c>
      <c r="H328" s="1">
        <v>0</v>
      </c>
      <c r="I328" s="1">
        <v>3</v>
      </c>
      <c r="J328" s="1">
        <v>24</v>
      </c>
      <c r="K328" s="1">
        <v>-21</v>
      </c>
    </row>
    <row r="329" spans="3:11" x14ac:dyDescent="0.25">
      <c r="C329" s="1" t="s">
        <v>5253</v>
      </c>
      <c r="D329" s="1" t="s">
        <v>5254</v>
      </c>
      <c r="E329" s="1" t="s">
        <v>5253</v>
      </c>
      <c r="F329" s="1">
        <v>-21</v>
      </c>
      <c r="G329" s="1">
        <v>-21</v>
      </c>
      <c r="H329" s="1">
        <v>0</v>
      </c>
      <c r="I329" s="1">
        <v>2</v>
      </c>
      <c r="J329" s="1">
        <v>23</v>
      </c>
      <c r="K329" s="1">
        <v>-21</v>
      </c>
    </row>
    <row r="330" spans="3:11" x14ac:dyDescent="0.25">
      <c r="C330" s="1" t="s">
        <v>5255</v>
      </c>
      <c r="D330" s="1" t="s">
        <v>5256</v>
      </c>
      <c r="E330" s="1" t="s">
        <v>5257</v>
      </c>
      <c r="F330" s="1">
        <v>-21</v>
      </c>
      <c r="G330" s="1">
        <v>-21</v>
      </c>
      <c r="H330" s="1">
        <v>0</v>
      </c>
      <c r="I330" s="1">
        <v>0</v>
      </c>
      <c r="J330" s="1">
        <v>21</v>
      </c>
      <c r="K330" s="1">
        <v>-21</v>
      </c>
    </row>
    <row r="331" spans="3:11" x14ac:dyDescent="0.25">
      <c r="C331" s="1" t="s">
        <v>5258</v>
      </c>
      <c r="D331" s="1" t="s">
        <v>5259</v>
      </c>
      <c r="E331" s="1" t="s">
        <v>5260</v>
      </c>
      <c r="F331" s="1">
        <v>-21</v>
      </c>
      <c r="G331" s="1">
        <v>-21</v>
      </c>
      <c r="H331" s="1">
        <v>0</v>
      </c>
      <c r="I331" s="1">
        <v>0</v>
      </c>
      <c r="J331" s="1">
        <v>21</v>
      </c>
      <c r="K331" s="1">
        <v>-21</v>
      </c>
    </row>
    <row r="332" spans="3:11" x14ac:dyDescent="0.25">
      <c r="C332" s="1" t="s">
        <v>5261</v>
      </c>
      <c r="D332" s="1" t="s">
        <v>5262</v>
      </c>
      <c r="E332" s="1" t="s">
        <v>5263</v>
      </c>
      <c r="F332" s="1">
        <v>-21</v>
      </c>
      <c r="G332" s="1">
        <v>-21</v>
      </c>
      <c r="H332" s="1">
        <v>0</v>
      </c>
      <c r="I332" s="1">
        <v>0</v>
      </c>
      <c r="J332" s="1">
        <v>21</v>
      </c>
      <c r="K332" s="1">
        <v>-21</v>
      </c>
    </row>
    <row r="333" spans="3:11" x14ac:dyDescent="0.25">
      <c r="D333" s="1" t="s">
        <v>5264</v>
      </c>
      <c r="E333" s="1" t="s">
        <v>5265</v>
      </c>
      <c r="F333" s="1">
        <v>-21</v>
      </c>
      <c r="G333" s="1">
        <v>-21</v>
      </c>
      <c r="H333" s="1">
        <v>0</v>
      </c>
      <c r="I333" s="1">
        <v>0</v>
      </c>
      <c r="J333" s="1">
        <v>21</v>
      </c>
      <c r="K333" s="1">
        <v>-21</v>
      </c>
    </row>
    <row r="334" spans="3:11" x14ac:dyDescent="0.25">
      <c r="C334" s="1" t="s">
        <v>5266</v>
      </c>
      <c r="D334" s="1" t="s">
        <v>5267</v>
      </c>
      <c r="E334" s="1" t="s">
        <v>5268</v>
      </c>
      <c r="F334" s="1">
        <v>-21</v>
      </c>
      <c r="G334" s="1">
        <v>-21</v>
      </c>
      <c r="H334" s="1">
        <v>0</v>
      </c>
      <c r="I334" s="1">
        <v>0</v>
      </c>
      <c r="J334" s="1">
        <v>21</v>
      </c>
      <c r="K334" s="1">
        <v>-21</v>
      </c>
    </row>
    <row r="335" spans="3:11" x14ac:dyDescent="0.25">
      <c r="C335" s="1" t="s">
        <v>5269</v>
      </c>
      <c r="D335" s="1" t="s">
        <v>5270</v>
      </c>
      <c r="E335" s="1" t="s">
        <v>5271</v>
      </c>
      <c r="F335" s="1">
        <v>-21</v>
      </c>
      <c r="G335" s="1">
        <v>-21</v>
      </c>
      <c r="H335" s="1">
        <v>0</v>
      </c>
      <c r="I335" s="1">
        <v>0</v>
      </c>
      <c r="J335" s="1">
        <v>21</v>
      </c>
      <c r="K335" s="1">
        <v>-21</v>
      </c>
    </row>
    <row r="336" spans="3:11" x14ac:dyDescent="0.25">
      <c r="D336" s="1" t="s">
        <v>5272</v>
      </c>
      <c r="E336" s="1" t="s">
        <v>5273</v>
      </c>
      <c r="F336" s="1">
        <v>-21</v>
      </c>
      <c r="G336" s="1">
        <v>-21</v>
      </c>
      <c r="H336" s="1">
        <v>0</v>
      </c>
      <c r="I336" s="1">
        <v>0</v>
      </c>
      <c r="J336" s="1">
        <v>21</v>
      </c>
      <c r="K336" s="1">
        <v>-21</v>
      </c>
    </row>
    <row r="337" spans="3:11" x14ac:dyDescent="0.25">
      <c r="D337" s="1" t="s">
        <v>5274</v>
      </c>
      <c r="E337" s="1" t="s">
        <v>5275</v>
      </c>
      <c r="F337" s="1">
        <v>-21</v>
      </c>
      <c r="G337" s="1">
        <v>-21</v>
      </c>
      <c r="H337" s="1">
        <v>0</v>
      </c>
      <c r="I337" s="1">
        <v>0</v>
      </c>
      <c r="J337" s="1">
        <v>21</v>
      </c>
      <c r="K337" s="1">
        <v>-21</v>
      </c>
    </row>
    <row r="338" spans="3:11" x14ac:dyDescent="0.25">
      <c r="C338" s="1" t="s">
        <v>5276</v>
      </c>
      <c r="D338" s="1" t="s">
        <v>5277</v>
      </c>
      <c r="E338" s="1" t="s">
        <v>5278</v>
      </c>
      <c r="F338" s="1">
        <v>-20</v>
      </c>
      <c r="G338" s="1">
        <v>-20</v>
      </c>
      <c r="H338" s="1">
        <v>0</v>
      </c>
      <c r="I338" s="1">
        <v>206</v>
      </c>
      <c r="J338" s="1">
        <v>226</v>
      </c>
      <c r="K338" s="1">
        <v>-20</v>
      </c>
    </row>
    <row r="339" spans="3:11" x14ac:dyDescent="0.25">
      <c r="C339" s="1" t="s">
        <v>5279</v>
      </c>
      <c r="D339" s="1" t="s">
        <v>5280</v>
      </c>
      <c r="E339" s="1" t="s">
        <v>5281</v>
      </c>
      <c r="F339" s="1">
        <v>-20</v>
      </c>
      <c r="G339" s="1">
        <v>-20</v>
      </c>
      <c r="H339" s="1">
        <v>0</v>
      </c>
      <c r="I339" s="1">
        <v>123</v>
      </c>
      <c r="J339" s="1">
        <v>143</v>
      </c>
      <c r="K339" s="1">
        <v>-20</v>
      </c>
    </row>
    <row r="340" spans="3:11" x14ac:dyDescent="0.25">
      <c r="C340" s="1" t="s">
        <v>5282</v>
      </c>
      <c r="D340" s="1" t="s">
        <v>5283</v>
      </c>
      <c r="E340" s="1" t="s">
        <v>5282</v>
      </c>
      <c r="F340" s="1">
        <v>-20</v>
      </c>
      <c r="G340" s="1">
        <v>-20</v>
      </c>
      <c r="H340" s="1">
        <v>0</v>
      </c>
      <c r="I340" s="1">
        <v>0</v>
      </c>
      <c r="J340" s="1">
        <v>20</v>
      </c>
      <c r="K340" s="1">
        <v>-20</v>
      </c>
    </row>
    <row r="341" spans="3:11" x14ac:dyDescent="0.25">
      <c r="C341" s="1" t="s">
        <v>5284</v>
      </c>
      <c r="D341" s="1" t="s">
        <v>5285</v>
      </c>
      <c r="E341" s="1" t="s">
        <v>5286</v>
      </c>
      <c r="F341" s="1">
        <v>-20</v>
      </c>
      <c r="G341" s="1">
        <v>-20</v>
      </c>
      <c r="H341" s="1">
        <v>0</v>
      </c>
      <c r="I341" s="1">
        <v>0</v>
      </c>
      <c r="J341" s="1">
        <v>20</v>
      </c>
      <c r="K341" s="1">
        <v>-20</v>
      </c>
    </row>
    <row r="342" spans="3:11" x14ac:dyDescent="0.25">
      <c r="D342" s="1" t="s">
        <v>5287</v>
      </c>
      <c r="E342" s="1" t="s">
        <v>5288</v>
      </c>
      <c r="F342" s="1">
        <v>-20</v>
      </c>
      <c r="G342" s="1">
        <v>-20</v>
      </c>
      <c r="H342" s="1">
        <v>0</v>
      </c>
      <c r="I342" s="1">
        <v>0</v>
      </c>
      <c r="J342" s="1">
        <v>20</v>
      </c>
      <c r="K342" s="1">
        <v>-20</v>
      </c>
    </row>
    <row r="343" spans="3:11" x14ac:dyDescent="0.25">
      <c r="D343" s="1" t="s">
        <v>5289</v>
      </c>
      <c r="E343" s="1" t="s">
        <v>5290</v>
      </c>
      <c r="F343" s="1">
        <v>-20</v>
      </c>
      <c r="G343" s="1">
        <v>-20</v>
      </c>
      <c r="H343" s="1">
        <v>0</v>
      </c>
      <c r="I343" s="1">
        <v>0</v>
      </c>
      <c r="J343" s="1">
        <v>20</v>
      </c>
      <c r="K343" s="1">
        <v>-20</v>
      </c>
    </row>
    <row r="344" spans="3:11" x14ac:dyDescent="0.25">
      <c r="D344" s="1" t="s">
        <v>5291</v>
      </c>
      <c r="E344" s="1" t="s">
        <v>5292</v>
      </c>
      <c r="F344" s="1">
        <v>-20</v>
      </c>
      <c r="G344" s="1">
        <v>-20</v>
      </c>
      <c r="H344" s="1">
        <v>0</v>
      </c>
      <c r="I344" s="1">
        <v>0</v>
      </c>
      <c r="J344" s="1">
        <v>20</v>
      </c>
      <c r="K344" s="1">
        <v>-20</v>
      </c>
    </row>
    <row r="345" spans="3:11" x14ac:dyDescent="0.25">
      <c r="C345" s="1" t="s">
        <v>5293</v>
      </c>
      <c r="D345" s="1" t="s">
        <v>5294</v>
      </c>
      <c r="E345" s="1" t="s">
        <v>5293</v>
      </c>
      <c r="F345" s="1">
        <v>-20</v>
      </c>
      <c r="G345" s="1">
        <v>-20</v>
      </c>
      <c r="H345" s="1">
        <v>0</v>
      </c>
      <c r="I345" s="1">
        <v>0</v>
      </c>
      <c r="J345" s="1">
        <v>20</v>
      </c>
      <c r="K345" s="1">
        <v>-20</v>
      </c>
    </row>
    <row r="346" spans="3:11" x14ac:dyDescent="0.25">
      <c r="C346" s="1" t="s">
        <v>5295</v>
      </c>
      <c r="D346" s="1" t="s">
        <v>5296</v>
      </c>
      <c r="E346" s="1" t="s">
        <v>5297</v>
      </c>
      <c r="F346" s="1">
        <v>-20</v>
      </c>
      <c r="G346" s="1">
        <v>-20</v>
      </c>
      <c r="H346" s="1">
        <v>0</v>
      </c>
      <c r="I346" s="1">
        <v>0</v>
      </c>
      <c r="J346" s="1">
        <v>20</v>
      </c>
      <c r="K346" s="1">
        <v>-20</v>
      </c>
    </row>
    <row r="347" spans="3:11" x14ac:dyDescent="0.25">
      <c r="D347" s="1" t="s">
        <v>5298</v>
      </c>
      <c r="E347" s="1" t="s">
        <v>5299</v>
      </c>
      <c r="F347" s="1">
        <v>-20</v>
      </c>
      <c r="G347" s="1">
        <v>-20</v>
      </c>
      <c r="H347" s="1">
        <v>0</v>
      </c>
      <c r="I347" s="1">
        <v>0</v>
      </c>
      <c r="J347" s="1">
        <v>20</v>
      </c>
      <c r="K347" s="1">
        <v>-20</v>
      </c>
    </row>
    <row r="348" spans="3:11" x14ac:dyDescent="0.25">
      <c r="D348" s="1" t="s">
        <v>5300</v>
      </c>
      <c r="E348" s="1" t="s">
        <v>5301</v>
      </c>
      <c r="F348" s="1">
        <v>-20</v>
      </c>
      <c r="G348" s="1">
        <v>-20</v>
      </c>
      <c r="H348" s="1">
        <v>0</v>
      </c>
      <c r="I348" s="1">
        <v>0</v>
      </c>
      <c r="J348" s="1">
        <v>20</v>
      </c>
      <c r="K348" s="1">
        <v>-20</v>
      </c>
    </row>
    <row r="349" spans="3:11" x14ac:dyDescent="0.25">
      <c r="D349" s="1" t="s">
        <v>5302</v>
      </c>
      <c r="E349" s="1" t="s">
        <v>5303</v>
      </c>
      <c r="F349" s="1">
        <v>-20</v>
      </c>
      <c r="G349" s="1">
        <v>-20</v>
      </c>
      <c r="H349" s="1">
        <v>0</v>
      </c>
      <c r="I349" s="1">
        <v>0</v>
      </c>
      <c r="J349" s="1">
        <v>20</v>
      </c>
      <c r="K349" s="1">
        <v>-20</v>
      </c>
    </row>
    <row r="350" spans="3:11" x14ac:dyDescent="0.25">
      <c r="D350" s="1" t="s">
        <v>5304</v>
      </c>
      <c r="E350" s="1" t="s">
        <v>5305</v>
      </c>
      <c r="F350" s="1">
        <v>-20</v>
      </c>
      <c r="G350" s="1">
        <v>-20</v>
      </c>
      <c r="H350" s="1">
        <v>0</v>
      </c>
      <c r="I350" s="1">
        <v>0</v>
      </c>
      <c r="J350" s="1">
        <v>20</v>
      </c>
      <c r="K350" s="1">
        <v>-20</v>
      </c>
    </row>
    <row r="351" spans="3:11" x14ac:dyDescent="0.25">
      <c r="D351" s="1" t="s">
        <v>5306</v>
      </c>
      <c r="E351" s="1" t="s">
        <v>5307</v>
      </c>
      <c r="F351" s="1">
        <v>-20</v>
      </c>
      <c r="G351" s="1">
        <v>-20</v>
      </c>
      <c r="H351" s="1">
        <v>0</v>
      </c>
      <c r="I351" s="1">
        <v>0</v>
      </c>
      <c r="J351" s="1">
        <v>20</v>
      </c>
      <c r="K351" s="1">
        <v>-20</v>
      </c>
    </row>
    <row r="352" spans="3:11" x14ac:dyDescent="0.25">
      <c r="D352" s="1" t="s">
        <v>5308</v>
      </c>
      <c r="E352" s="1" t="s">
        <v>5309</v>
      </c>
      <c r="F352" s="1">
        <v>-20</v>
      </c>
      <c r="G352" s="1">
        <v>-20</v>
      </c>
      <c r="H352" s="1">
        <v>0</v>
      </c>
      <c r="I352" s="1">
        <v>0</v>
      </c>
      <c r="J352" s="1">
        <v>20</v>
      </c>
      <c r="K352" s="1">
        <v>-20</v>
      </c>
    </row>
    <row r="353" spans="3:11" x14ac:dyDescent="0.25">
      <c r="C353" s="1" t="s">
        <v>5310</v>
      </c>
      <c r="D353" s="1" t="s">
        <v>5311</v>
      </c>
      <c r="E353" s="1" t="s">
        <v>5312</v>
      </c>
      <c r="F353" s="1">
        <v>-19</v>
      </c>
      <c r="G353" s="1">
        <v>-19</v>
      </c>
      <c r="H353" s="1">
        <v>0</v>
      </c>
      <c r="I353" s="1">
        <v>27</v>
      </c>
      <c r="J353" s="1">
        <v>46</v>
      </c>
      <c r="K353" s="1">
        <v>-19</v>
      </c>
    </row>
    <row r="354" spans="3:11" x14ac:dyDescent="0.25">
      <c r="C354" s="1" t="s">
        <v>5313</v>
      </c>
      <c r="D354" s="1" t="s">
        <v>5314</v>
      </c>
      <c r="E354" s="1" t="s">
        <v>5313</v>
      </c>
      <c r="F354" s="1">
        <v>-19</v>
      </c>
      <c r="G354" s="1">
        <v>-19</v>
      </c>
      <c r="H354" s="1">
        <v>0</v>
      </c>
      <c r="I354" s="1">
        <v>9</v>
      </c>
      <c r="J354" s="1">
        <v>28</v>
      </c>
      <c r="K354" s="1">
        <v>-19</v>
      </c>
    </row>
    <row r="355" spans="3:11" x14ac:dyDescent="0.25">
      <c r="C355" s="1" t="s">
        <v>5315</v>
      </c>
      <c r="D355" s="1" t="s">
        <v>5316</v>
      </c>
      <c r="E355" s="1" t="s">
        <v>5317</v>
      </c>
      <c r="F355" s="1">
        <v>-19</v>
      </c>
      <c r="G355" s="1">
        <v>-19</v>
      </c>
      <c r="H355" s="1">
        <v>0</v>
      </c>
      <c r="I355" s="1">
        <v>2</v>
      </c>
      <c r="J355" s="1">
        <v>21</v>
      </c>
      <c r="K355" s="1">
        <v>-19</v>
      </c>
    </row>
    <row r="356" spans="3:11" x14ac:dyDescent="0.25">
      <c r="C356" s="1" t="s">
        <v>5318</v>
      </c>
      <c r="D356" s="1" t="s">
        <v>5319</v>
      </c>
      <c r="E356" s="1" t="s">
        <v>5320</v>
      </c>
      <c r="F356" s="1">
        <v>-19</v>
      </c>
      <c r="G356" s="1">
        <v>-19</v>
      </c>
      <c r="H356" s="1">
        <v>0</v>
      </c>
      <c r="I356" s="1">
        <v>1</v>
      </c>
      <c r="J356" s="1">
        <v>20</v>
      </c>
      <c r="K356" s="1">
        <v>-19</v>
      </c>
    </row>
    <row r="357" spans="3:11" x14ac:dyDescent="0.25">
      <c r="C357" s="1" t="s">
        <v>5321</v>
      </c>
      <c r="D357" s="1" t="s">
        <v>5322</v>
      </c>
      <c r="E357" s="1" t="s">
        <v>5323</v>
      </c>
      <c r="F357" s="1">
        <v>-19</v>
      </c>
      <c r="G357" s="1">
        <v>-19</v>
      </c>
      <c r="H357" s="1">
        <v>0</v>
      </c>
      <c r="I357" s="1">
        <v>0</v>
      </c>
      <c r="J357" s="1">
        <v>19</v>
      </c>
      <c r="K357" s="1">
        <v>-19</v>
      </c>
    </row>
    <row r="358" spans="3:11" x14ac:dyDescent="0.25">
      <c r="C358" s="1" t="s">
        <v>5324</v>
      </c>
      <c r="D358" s="1" t="s">
        <v>5325</v>
      </c>
      <c r="E358" s="1" t="s">
        <v>5326</v>
      </c>
      <c r="F358" s="1">
        <v>-19</v>
      </c>
      <c r="G358" s="1">
        <v>-19</v>
      </c>
      <c r="H358" s="1">
        <v>0</v>
      </c>
      <c r="I358" s="1">
        <v>0</v>
      </c>
      <c r="J358" s="1">
        <v>19</v>
      </c>
      <c r="K358" s="1">
        <v>-19</v>
      </c>
    </row>
    <row r="359" spans="3:11" x14ac:dyDescent="0.25">
      <c r="D359" s="1" t="s">
        <v>5327</v>
      </c>
      <c r="E359" s="1" t="s">
        <v>5328</v>
      </c>
      <c r="F359" s="1">
        <v>-19</v>
      </c>
      <c r="G359" s="1">
        <v>-19</v>
      </c>
      <c r="H359" s="1">
        <v>0</v>
      </c>
      <c r="I359" s="1">
        <v>0</v>
      </c>
      <c r="J359" s="1">
        <v>19</v>
      </c>
      <c r="K359" s="1">
        <v>-19</v>
      </c>
    </row>
    <row r="360" spans="3:11" x14ac:dyDescent="0.25">
      <c r="D360" s="1" t="s">
        <v>5329</v>
      </c>
      <c r="E360" s="1" t="s">
        <v>5330</v>
      </c>
      <c r="F360" s="1">
        <v>-19</v>
      </c>
      <c r="G360" s="1">
        <v>-19</v>
      </c>
      <c r="H360" s="1">
        <v>0</v>
      </c>
      <c r="I360" s="1">
        <v>0</v>
      </c>
      <c r="J360" s="1">
        <v>19</v>
      </c>
      <c r="K360" s="1">
        <v>-19</v>
      </c>
    </row>
    <row r="361" spans="3:11" x14ac:dyDescent="0.25">
      <c r="C361" s="1" t="s">
        <v>5331</v>
      </c>
      <c r="D361" s="1" t="s">
        <v>5332</v>
      </c>
      <c r="E361" s="1" t="s">
        <v>5333</v>
      </c>
      <c r="F361" s="1">
        <v>-19</v>
      </c>
      <c r="G361" s="1">
        <v>-19</v>
      </c>
      <c r="H361" s="1">
        <v>0</v>
      </c>
      <c r="I361" s="1">
        <v>0</v>
      </c>
      <c r="J361" s="1">
        <v>19</v>
      </c>
      <c r="K361" s="1">
        <v>-19</v>
      </c>
    </row>
    <row r="362" spans="3:11" x14ac:dyDescent="0.25">
      <c r="C362" s="1" t="s">
        <v>5334</v>
      </c>
      <c r="D362" s="1" t="s">
        <v>5335</v>
      </c>
      <c r="E362" s="1" t="s">
        <v>5336</v>
      </c>
      <c r="F362" s="1">
        <v>-18</v>
      </c>
      <c r="G362" s="1">
        <v>-18</v>
      </c>
      <c r="H362" s="1">
        <v>0</v>
      </c>
      <c r="I362" s="1">
        <v>2016</v>
      </c>
      <c r="J362" s="1">
        <v>2034</v>
      </c>
      <c r="K362" s="1">
        <v>-18</v>
      </c>
    </row>
    <row r="363" spans="3:11" x14ac:dyDescent="0.25">
      <c r="C363" s="1" t="s">
        <v>5337</v>
      </c>
      <c r="D363" s="1" t="s">
        <v>5338</v>
      </c>
      <c r="E363" s="1" t="s">
        <v>5339</v>
      </c>
      <c r="F363" s="1">
        <v>-18</v>
      </c>
      <c r="G363" s="1">
        <v>-18</v>
      </c>
      <c r="H363" s="1">
        <v>0</v>
      </c>
      <c r="I363" s="1">
        <v>809</v>
      </c>
      <c r="J363" s="1">
        <v>827</v>
      </c>
      <c r="K363" s="1">
        <v>-18</v>
      </c>
    </row>
    <row r="364" spans="3:11" x14ac:dyDescent="0.25">
      <c r="C364" s="1" t="s">
        <v>5340</v>
      </c>
      <c r="D364" s="1" t="s">
        <v>5341</v>
      </c>
      <c r="E364" s="1" t="s">
        <v>5342</v>
      </c>
      <c r="F364" s="1">
        <v>-18</v>
      </c>
      <c r="G364" s="1">
        <v>-18</v>
      </c>
      <c r="H364" s="1">
        <v>0</v>
      </c>
      <c r="I364" s="1">
        <v>699</v>
      </c>
      <c r="J364" s="1">
        <v>717</v>
      </c>
      <c r="K364" s="1">
        <v>-18</v>
      </c>
    </row>
    <row r="365" spans="3:11" x14ac:dyDescent="0.25">
      <c r="C365" s="1" t="s">
        <v>5343</v>
      </c>
      <c r="D365" s="1" t="s">
        <v>5344</v>
      </c>
      <c r="E365" s="1" t="s">
        <v>5343</v>
      </c>
      <c r="F365" s="1">
        <v>-18</v>
      </c>
      <c r="G365" s="1">
        <v>-18</v>
      </c>
      <c r="H365" s="1">
        <v>0</v>
      </c>
      <c r="I365" s="1">
        <v>404</v>
      </c>
      <c r="J365" s="1">
        <v>422</v>
      </c>
      <c r="K365" s="1">
        <v>-18</v>
      </c>
    </row>
    <row r="366" spans="3:11" x14ac:dyDescent="0.25">
      <c r="C366" s="1" t="s">
        <v>5345</v>
      </c>
      <c r="D366" s="1" t="s">
        <v>5346</v>
      </c>
      <c r="E366" s="1" t="s">
        <v>5347</v>
      </c>
      <c r="F366" s="1">
        <v>-18</v>
      </c>
      <c r="G366" s="1">
        <v>-18</v>
      </c>
      <c r="H366" s="1">
        <v>0</v>
      </c>
      <c r="I366" s="1">
        <v>198</v>
      </c>
      <c r="J366" s="1">
        <v>216</v>
      </c>
      <c r="K366" s="1">
        <v>-18</v>
      </c>
    </row>
    <row r="367" spans="3:11" x14ac:dyDescent="0.25">
      <c r="D367" s="1" t="s">
        <v>5348</v>
      </c>
      <c r="E367" s="1" t="s">
        <v>5349</v>
      </c>
      <c r="F367" s="1">
        <v>-18</v>
      </c>
      <c r="G367" s="1">
        <v>-18</v>
      </c>
      <c r="H367" s="1">
        <v>0</v>
      </c>
      <c r="I367" s="1">
        <v>13</v>
      </c>
      <c r="J367" s="1">
        <v>31</v>
      </c>
      <c r="K367" s="1">
        <v>-18</v>
      </c>
    </row>
    <row r="368" spans="3:11" x14ac:dyDescent="0.25">
      <c r="C368" s="1" t="s">
        <v>5350</v>
      </c>
      <c r="D368" s="1" t="s">
        <v>5351</v>
      </c>
      <c r="E368" s="1" t="s">
        <v>5350</v>
      </c>
      <c r="F368" s="1">
        <v>-18</v>
      </c>
      <c r="G368" s="1">
        <v>-18</v>
      </c>
      <c r="H368" s="1">
        <v>0</v>
      </c>
      <c r="I368" s="1">
        <v>1</v>
      </c>
      <c r="J368" s="1">
        <v>19</v>
      </c>
      <c r="K368" s="1">
        <v>-18</v>
      </c>
    </row>
    <row r="369" spans="3:11" x14ac:dyDescent="0.25">
      <c r="C369" s="1" t="s">
        <v>5352</v>
      </c>
      <c r="D369" s="1" t="s">
        <v>5353</v>
      </c>
      <c r="E369" s="1" t="s">
        <v>5352</v>
      </c>
      <c r="F369" s="1">
        <v>-18</v>
      </c>
      <c r="G369" s="1">
        <v>-18</v>
      </c>
      <c r="H369" s="1">
        <v>0</v>
      </c>
      <c r="I369" s="1">
        <v>0</v>
      </c>
      <c r="J369" s="1">
        <v>18</v>
      </c>
      <c r="K369" s="1">
        <v>-18</v>
      </c>
    </row>
    <row r="370" spans="3:11" x14ac:dyDescent="0.25">
      <c r="C370" s="1" t="s">
        <v>5354</v>
      </c>
      <c r="D370" s="1" t="s">
        <v>5355</v>
      </c>
      <c r="E370" s="1" t="s">
        <v>5354</v>
      </c>
      <c r="F370" s="1">
        <v>-18</v>
      </c>
      <c r="G370" s="1">
        <v>-18</v>
      </c>
      <c r="H370" s="1">
        <v>0</v>
      </c>
      <c r="I370" s="1">
        <v>0</v>
      </c>
      <c r="J370" s="1">
        <v>18</v>
      </c>
      <c r="K370" s="1">
        <v>-18</v>
      </c>
    </row>
    <row r="371" spans="3:11" x14ac:dyDescent="0.25">
      <c r="C371" s="1" t="s">
        <v>5356</v>
      </c>
      <c r="D371" s="1" t="s">
        <v>5357</v>
      </c>
      <c r="E371" s="1" t="s">
        <v>5358</v>
      </c>
      <c r="F371" s="1">
        <v>-18</v>
      </c>
      <c r="G371" s="1">
        <v>-18</v>
      </c>
      <c r="H371" s="1">
        <v>0</v>
      </c>
      <c r="I371" s="1">
        <v>0</v>
      </c>
      <c r="J371" s="1">
        <v>18</v>
      </c>
      <c r="K371" s="1">
        <v>-18</v>
      </c>
    </row>
    <row r="372" spans="3:11" x14ac:dyDescent="0.25">
      <c r="D372" s="1" t="s">
        <v>5359</v>
      </c>
      <c r="E372" s="1" t="s">
        <v>5360</v>
      </c>
      <c r="F372" s="1">
        <v>-18</v>
      </c>
      <c r="G372" s="1">
        <v>-18</v>
      </c>
      <c r="H372" s="1">
        <v>0</v>
      </c>
      <c r="I372" s="1">
        <v>0</v>
      </c>
      <c r="J372" s="1">
        <v>18</v>
      </c>
      <c r="K372" s="1">
        <v>-18</v>
      </c>
    </row>
    <row r="373" spans="3:11" x14ac:dyDescent="0.25">
      <c r="C373" s="1" t="s">
        <v>5361</v>
      </c>
      <c r="D373" s="1" t="s">
        <v>5362</v>
      </c>
      <c r="E373" s="1" t="s">
        <v>5363</v>
      </c>
      <c r="F373" s="1">
        <v>-17</v>
      </c>
      <c r="G373" s="1">
        <v>-17</v>
      </c>
      <c r="H373" s="1">
        <v>0</v>
      </c>
      <c r="I373" s="1">
        <v>912</v>
      </c>
      <c r="J373" s="1">
        <v>929</v>
      </c>
      <c r="K373" s="1">
        <v>-17</v>
      </c>
    </row>
    <row r="374" spans="3:11" x14ac:dyDescent="0.25">
      <c r="C374" s="1" t="s">
        <v>5364</v>
      </c>
      <c r="D374" s="1" t="s">
        <v>5365</v>
      </c>
      <c r="E374" s="1" t="s">
        <v>5366</v>
      </c>
      <c r="F374" s="1">
        <v>-17</v>
      </c>
      <c r="G374" s="1">
        <v>-17</v>
      </c>
      <c r="H374" s="1">
        <v>0</v>
      </c>
      <c r="I374" s="1">
        <v>711</v>
      </c>
      <c r="J374" s="1">
        <v>728</v>
      </c>
      <c r="K374" s="1">
        <v>-17</v>
      </c>
    </row>
    <row r="375" spans="3:11" x14ac:dyDescent="0.25">
      <c r="C375" s="1" t="s">
        <v>5367</v>
      </c>
      <c r="D375" s="1" t="s">
        <v>5368</v>
      </c>
      <c r="E375" s="1" t="s">
        <v>5369</v>
      </c>
      <c r="F375" s="1">
        <v>-17</v>
      </c>
      <c r="G375" s="1">
        <v>-17</v>
      </c>
      <c r="H375" s="1">
        <v>0</v>
      </c>
      <c r="I375" s="1">
        <v>343</v>
      </c>
      <c r="J375" s="1">
        <v>360</v>
      </c>
      <c r="K375" s="1">
        <v>-17</v>
      </c>
    </row>
    <row r="376" spans="3:11" x14ac:dyDescent="0.25">
      <c r="C376" s="1" t="s">
        <v>5370</v>
      </c>
      <c r="D376" s="1" t="s">
        <v>5371</v>
      </c>
      <c r="E376" s="1" t="s">
        <v>5372</v>
      </c>
      <c r="F376" s="1">
        <v>-17</v>
      </c>
      <c r="G376" s="1">
        <v>-17</v>
      </c>
      <c r="H376" s="1">
        <v>0</v>
      </c>
      <c r="I376" s="1">
        <v>285</v>
      </c>
      <c r="J376" s="1">
        <v>302</v>
      </c>
      <c r="K376" s="1">
        <v>-17</v>
      </c>
    </row>
    <row r="377" spans="3:11" x14ac:dyDescent="0.25">
      <c r="C377" s="1" t="s">
        <v>5373</v>
      </c>
      <c r="D377" s="1" t="s">
        <v>5374</v>
      </c>
      <c r="E377" s="1" t="s">
        <v>5375</v>
      </c>
      <c r="F377" s="1">
        <v>-17</v>
      </c>
      <c r="G377" s="1">
        <v>-17</v>
      </c>
      <c r="H377" s="1">
        <v>0</v>
      </c>
      <c r="I377" s="1">
        <v>20</v>
      </c>
      <c r="J377" s="1">
        <v>37</v>
      </c>
      <c r="K377" s="1">
        <v>-17</v>
      </c>
    </row>
    <row r="378" spans="3:11" x14ac:dyDescent="0.25">
      <c r="C378" s="1" t="s">
        <v>5376</v>
      </c>
      <c r="D378" s="1" t="s">
        <v>5377</v>
      </c>
      <c r="E378" s="1" t="s">
        <v>5378</v>
      </c>
      <c r="F378" s="1">
        <v>-17</v>
      </c>
      <c r="G378" s="1">
        <v>-17</v>
      </c>
      <c r="H378" s="1">
        <v>0</v>
      </c>
      <c r="I378" s="1">
        <v>2</v>
      </c>
      <c r="J378" s="1">
        <v>19</v>
      </c>
      <c r="K378" s="1">
        <v>-17</v>
      </c>
    </row>
    <row r="379" spans="3:11" x14ac:dyDescent="0.25">
      <c r="C379" s="1" t="s">
        <v>5379</v>
      </c>
      <c r="D379" s="1" t="s">
        <v>5380</v>
      </c>
      <c r="E379" s="1" t="s">
        <v>5381</v>
      </c>
      <c r="F379" s="1">
        <v>-17</v>
      </c>
      <c r="G379" s="1">
        <v>-17</v>
      </c>
      <c r="H379" s="1">
        <v>0</v>
      </c>
      <c r="I379" s="1">
        <v>0</v>
      </c>
      <c r="J379" s="1">
        <v>17</v>
      </c>
      <c r="K379" s="1">
        <v>-17</v>
      </c>
    </row>
    <row r="380" spans="3:11" x14ac:dyDescent="0.25">
      <c r="C380" s="1" t="s">
        <v>5382</v>
      </c>
      <c r="D380" s="1" t="s">
        <v>5383</v>
      </c>
      <c r="E380" s="1" t="s">
        <v>5382</v>
      </c>
      <c r="F380" s="1">
        <v>-17</v>
      </c>
      <c r="G380" s="1">
        <v>-17</v>
      </c>
      <c r="H380" s="1">
        <v>0</v>
      </c>
      <c r="I380" s="1">
        <v>0</v>
      </c>
      <c r="J380" s="1">
        <v>17</v>
      </c>
      <c r="K380" s="1">
        <v>-17</v>
      </c>
    </row>
    <row r="381" spans="3:11" x14ac:dyDescent="0.25">
      <c r="C381" s="1" t="s">
        <v>5384</v>
      </c>
      <c r="D381" s="1" t="s">
        <v>5385</v>
      </c>
      <c r="E381" s="1" t="s">
        <v>5386</v>
      </c>
      <c r="F381" s="1">
        <v>-17</v>
      </c>
      <c r="G381" s="1">
        <v>-17</v>
      </c>
      <c r="H381" s="1">
        <v>0</v>
      </c>
      <c r="I381" s="1">
        <v>0</v>
      </c>
      <c r="J381" s="1">
        <v>17</v>
      </c>
      <c r="K381" s="1">
        <v>-17</v>
      </c>
    </row>
    <row r="382" spans="3:11" x14ac:dyDescent="0.25">
      <c r="C382" s="1" t="s">
        <v>5387</v>
      </c>
      <c r="D382" s="1" t="s">
        <v>5388</v>
      </c>
      <c r="E382" s="1" t="s">
        <v>5389</v>
      </c>
      <c r="F382" s="1">
        <v>-17</v>
      </c>
      <c r="G382" s="1">
        <v>-17</v>
      </c>
      <c r="H382" s="1">
        <v>0</v>
      </c>
      <c r="I382" s="1">
        <v>0</v>
      </c>
      <c r="J382" s="1">
        <v>17</v>
      </c>
      <c r="K382" s="1">
        <v>-17</v>
      </c>
    </row>
    <row r="383" spans="3:11" x14ac:dyDescent="0.25">
      <c r="C383" s="1" t="s">
        <v>5390</v>
      </c>
      <c r="D383" s="1" t="s">
        <v>5391</v>
      </c>
      <c r="E383" s="1" t="s">
        <v>5392</v>
      </c>
      <c r="F383" s="1">
        <v>-17</v>
      </c>
      <c r="G383" s="1">
        <v>-17</v>
      </c>
      <c r="H383" s="1">
        <v>0</v>
      </c>
      <c r="I383" s="1">
        <v>0</v>
      </c>
      <c r="J383" s="1">
        <v>17</v>
      </c>
      <c r="K383" s="1">
        <v>-17</v>
      </c>
    </row>
    <row r="384" spans="3:11" x14ac:dyDescent="0.25">
      <c r="C384" s="1" t="s">
        <v>5393</v>
      </c>
      <c r="D384" s="1" t="s">
        <v>5394</v>
      </c>
      <c r="E384" s="1" t="s">
        <v>5393</v>
      </c>
      <c r="F384" s="1">
        <v>-17</v>
      </c>
      <c r="G384" s="1">
        <v>-17</v>
      </c>
      <c r="H384" s="1">
        <v>0</v>
      </c>
      <c r="I384" s="1">
        <v>0</v>
      </c>
      <c r="J384" s="1">
        <v>17</v>
      </c>
      <c r="K384" s="1">
        <v>-17</v>
      </c>
    </row>
    <row r="385" spans="3:11" x14ac:dyDescent="0.25">
      <c r="C385" s="1" t="s">
        <v>5395</v>
      </c>
      <c r="D385" s="1" t="s">
        <v>5396</v>
      </c>
      <c r="E385" s="1" t="s">
        <v>5395</v>
      </c>
      <c r="F385" s="1">
        <v>-17</v>
      </c>
      <c r="G385" s="1">
        <v>-17</v>
      </c>
      <c r="H385" s="1">
        <v>0</v>
      </c>
      <c r="I385" s="1">
        <v>0</v>
      </c>
      <c r="J385" s="1">
        <v>17</v>
      </c>
      <c r="K385" s="1">
        <v>-17</v>
      </c>
    </row>
    <row r="386" spans="3:11" x14ac:dyDescent="0.25">
      <c r="C386" s="1" t="s">
        <v>5397</v>
      </c>
      <c r="D386" s="1" t="s">
        <v>5398</v>
      </c>
      <c r="E386" s="1" t="s">
        <v>5397</v>
      </c>
      <c r="F386" s="1">
        <v>-17</v>
      </c>
      <c r="G386" s="1">
        <v>-17</v>
      </c>
      <c r="H386" s="1">
        <v>0</v>
      </c>
      <c r="I386" s="1">
        <v>0</v>
      </c>
      <c r="J386" s="1">
        <v>17</v>
      </c>
      <c r="K386" s="1">
        <v>-17</v>
      </c>
    </row>
    <row r="387" spans="3:11" x14ac:dyDescent="0.25">
      <c r="C387" s="1" t="s">
        <v>5399</v>
      </c>
      <c r="D387" s="1" t="s">
        <v>5400</v>
      </c>
      <c r="E387" s="1" t="s">
        <v>5401</v>
      </c>
      <c r="F387" s="1">
        <v>-17</v>
      </c>
      <c r="G387" s="1">
        <v>-17</v>
      </c>
      <c r="H387" s="1">
        <v>0</v>
      </c>
      <c r="I387" s="1">
        <v>0</v>
      </c>
      <c r="J387" s="1">
        <v>17</v>
      </c>
      <c r="K387" s="1">
        <v>-17</v>
      </c>
    </row>
    <row r="388" spans="3:11" x14ac:dyDescent="0.25">
      <c r="C388" s="1" t="s">
        <v>5402</v>
      </c>
      <c r="D388" s="1" t="s">
        <v>5403</v>
      </c>
      <c r="E388" s="1" t="s">
        <v>5404</v>
      </c>
      <c r="F388" s="1">
        <v>-17</v>
      </c>
      <c r="G388" s="1">
        <v>-17</v>
      </c>
      <c r="H388" s="1">
        <v>0</v>
      </c>
      <c r="I388" s="1">
        <v>0</v>
      </c>
      <c r="J388" s="1">
        <v>17</v>
      </c>
      <c r="K388" s="1">
        <v>-17</v>
      </c>
    </row>
    <row r="389" spans="3:11" x14ac:dyDescent="0.25">
      <c r="C389" s="1" t="s">
        <v>5405</v>
      </c>
      <c r="D389" s="1" t="s">
        <v>5406</v>
      </c>
      <c r="E389" s="1" t="s">
        <v>5405</v>
      </c>
      <c r="F389" s="1">
        <v>-17</v>
      </c>
      <c r="G389" s="1">
        <v>-17</v>
      </c>
      <c r="H389" s="1">
        <v>0</v>
      </c>
      <c r="I389" s="1">
        <v>0</v>
      </c>
      <c r="J389" s="1">
        <v>17</v>
      </c>
      <c r="K389" s="1">
        <v>-17</v>
      </c>
    </row>
    <row r="390" spans="3:11" x14ac:dyDescent="0.25">
      <c r="D390" s="1" t="s">
        <v>5407</v>
      </c>
      <c r="E390" s="1" t="s">
        <v>5408</v>
      </c>
      <c r="F390" s="1">
        <v>-17</v>
      </c>
      <c r="G390" s="1">
        <v>-17</v>
      </c>
      <c r="H390" s="1">
        <v>0</v>
      </c>
      <c r="I390" s="1">
        <v>0</v>
      </c>
      <c r="J390" s="1">
        <v>17</v>
      </c>
      <c r="K390" s="1">
        <v>-17</v>
      </c>
    </row>
    <row r="391" spans="3:11" x14ac:dyDescent="0.25">
      <c r="C391" s="1" t="s">
        <v>5409</v>
      </c>
      <c r="D391" s="1" t="s">
        <v>5410</v>
      </c>
      <c r="E391" s="1" t="s">
        <v>5409</v>
      </c>
      <c r="F391" s="1">
        <v>-16</v>
      </c>
      <c r="G391" s="1">
        <v>-16</v>
      </c>
      <c r="H391" s="1">
        <v>0</v>
      </c>
      <c r="I391" s="1">
        <v>1559</v>
      </c>
      <c r="J391" s="1">
        <v>1575</v>
      </c>
      <c r="K391" s="1">
        <v>-16</v>
      </c>
    </row>
    <row r="392" spans="3:11" x14ac:dyDescent="0.25">
      <c r="C392" s="1" t="s">
        <v>5411</v>
      </c>
      <c r="D392" s="1" t="s">
        <v>5412</v>
      </c>
      <c r="E392" s="1" t="s">
        <v>5413</v>
      </c>
      <c r="F392" s="1">
        <v>-16</v>
      </c>
      <c r="G392" s="1">
        <v>-16</v>
      </c>
      <c r="H392" s="1">
        <v>0</v>
      </c>
      <c r="I392" s="1">
        <v>892</v>
      </c>
      <c r="J392" s="1">
        <v>908</v>
      </c>
      <c r="K392" s="1">
        <v>-16</v>
      </c>
    </row>
    <row r="393" spans="3:11" x14ac:dyDescent="0.25">
      <c r="C393" s="1" t="s">
        <v>5414</v>
      </c>
      <c r="D393" s="1" t="s">
        <v>5415</v>
      </c>
      <c r="E393" s="1" t="s">
        <v>5416</v>
      </c>
      <c r="F393" s="1">
        <v>-16</v>
      </c>
      <c r="G393" s="1">
        <v>-16</v>
      </c>
      <c r="H393" s="1">
        <v>0</v>
      </c>
      <c r="I393" s="1">
        <v>466</v>
      </c>
      <c r="J393" s="1">
        <v>482</v>
      </c>
      <c r="K393" s="1">
        <v>-16</v>
      </c>
    </row>
    <row r="394" spans="3:11" x14ac:dyDescent="0.25">
      <c r="C394" s="1" t="s">
        <v>5417</v>
      </c>
      <c r="D394" s="1" t="s">
        <v>5418</v>
      </c>
      <c r="E394" s="1" t="s">
        <v>5419</v>
      </c>
      <c r="F394" s="1">
        <v>-16</v>
      </c>
      <c r="G394" s="1">
        <v>-16</v>
      </c>
      <c r="H394" s="1">
        <v>0</v>
      </c>
      <c r="I394" s="1">
        <v>271</v>
      </c>
      <c r="J394" s="1">
        <v>287</v>
      </c>
      <c r="K394" s="1">
        <v>-16</v>
      </c>
    </row>
    <row r="395" spans="3:11" x14ac:dyDescent="0.25">
      <c r="C395" s="1" t="s">
        <v>5420</v>
      </c>
      <c r="D395" s="1" t="s">
        <v>5421</v>
      </c>
      <c r="E395" s="1" t="s">
        <v>5422</v>
      </c>
      <c r="F395" s="1">
        <v>-16</v>
      </c>
      <c r="G395" s="1">
        <v>-16</v>
      </c>
      <c r="H395" s="1">
        <v>0</v>
      </c>
      <c r="I395" s="1">
        <v>31</v>
      </c>
      <c r="J395" s="1">
        <v>47</v>
      </c>
      <c r="K395" s="1">
        <v>-16</v>
      </c>
    </row>
    <row r="396" spans="3:11" x14ac:dyDescent="0.25">
      <c r="C396" s="1" t="s">
        <v>5423</v>
      </c>
      <c r="D396" s="1" t="s">
        <v>5424</v>
      </c>
      <c r="E396" s="1" t="s">
        <v>5425</v>
      </c>
      <c r="F396" s="1">
        <v>-16</v>
      </c>
      <c r="G396" s="1">
        <v>-16</v>
      </c>
      <c r="H396" s="1">
        <v>0</v>
      </c>
      <c r="I396" s="1">
        <v>28</v>
      </c>
      <c r="J396" s="1">
        <v>44</v>
      </c>
      <c r="K396" s="1">
        <v>-16</v>
      </c>
    </row>
    <row r="397" spans="3:11" x14ac:dyDescent="0.25">
      <c r="C397" s="1" t="s">
        <v>5426</v>
      </c>
      <c r="D397" s="1" t="s">
        <v>5427</v>
      </c>
      <c r="E397" s="1" t="s">
        <v>5428</v>
      </c>
      <c r="F397" s="1">
        <v>-16</v>
      </c>
      <c r="G397" s="1">
        <v>-16</v>
      </c>
      <c r="H397" s="1">
        <v>0</v>
      </c>
      <c r="I397" s="1">
        <v>10</v>
      </c>
      <c r="J397" s="1">
        <v>26</v>
      </c>
      <c r="K397" s="1">
        <v>-16</v>
      </c>
    </row>
    <row r="398" spans="3:11" x14ac:dyDescent="0.25">
      <c r="C398" s="1" t="s">
        <v>5429</v>
      </c>
      <c r="D398" s="1" t="s">
        <v>5430</v>
      </c>
      <c r="E398" s="1" t="s">
        <v>5431</v>
      </c>
      <c r="F398" s="1">
        <v>-16</v>
      </c>
      <c r="G398" s="1">
        <v>-16</v>
      </c>
      <c r="H398" s="1">
        <v>0</v>
      </c>
      <c r="I398" s="1">
        <v>8</v>
      </c>
      <c r="J398" s="1">
        <v>24</v>
      </c>
      <c r="K398" s="1">
        <v>-16</v>
      </c>
    </row>
    <row r="399" spans="3:11" x14ac:dyDescent="0.25">
      <c r="C399" s="1" t="s">
        <v>5432</v>
      </c>
      <c r="D399" s="1" t="s">
        <v>5433</v>
      </c>
      <c r="E399" s="1" t="s">
        <v>5434</v>
      </c>
      <c r="F399" s="1">
        <v>-16</v>
      </c>
      <c r="G399" s="1">
        <v>-16</v>
      </c>
      <c r="H399" s="1">
        <v>0</v>
      </c>
      <c r="I399" s="1">
        <v>1</v>
      </c>
      <c r="J399" s="1">
        <v>17</v>
      </c>
      <c r="K399" s="1">
        <v>-16</v>
      </c>
    </row>
    <row r="400" spans="3:11" x14ac:dyDescent="0.25">
      <c r="D400" s="1" t="s">
        <v>5435</v>
      </c>
      <c r="E400" s="1" t="s">
        <v>5436</v>
      </c>
      <c r="F400" s="1">
        <v>-16</v>
      </c>
      <c r="G400" s="1">
        <v>-16</v>
      </c>
      <c r="H400" s="1">
        <v>0</v>
      </c>
      <c r="I400" s="1">
        <v>1</v>
      </c>
      <c r="J400" s="1">
        <v>17</v>
      </c>
      <c r="K400" s="1">
        <v>-16</v>
      </c>
    </row>
    <row r="401" spans="3:11" x14ac:dyDescent="0.25">
      <c r="C401" s="1" t="s">
        <v>5437</v>
      </c>
      <c r="D401" s="1" t="s">
        <v>5438</v>
      </c>
      <c r="E401" s="1" t="s">
        <v>5439</v>
      </c>
      <c r="F401" s="1">
        <v>-16</v>
      </c>
      <c r="G401" s="1">
        <v>-16</v>
      </c>
      <c r="H401" s="1">
        <v>0</v>
      </c>
      <c r="I401" s="1">
        <v>1</v>
      </c>
      <c r="J401" s="1">
        <v>17</v>
      </c>
      <c r="K401" s="1">
        <v>-16</v>
      </c>
    </row>
    <row r="402" spans="3:11" x14ac:dyDescent="0.25">
      <c r="C402" s="1" t="s">
        <v>5440</v>
      </c>
      <c r="D402" s="1" t="s">
        <v>5441</v>
      </c>
      <c r="E402" s="1" t="s">
        <v>5440</v>
      </c>
      <c r="F402" s="1">
        <v>-16</v>
      </c>
      <c r="G402" s="1">
        <v>-16</v>
      </c>
      <c r="H402" s="1">
        <v>0</v>
      </c>
      <c r="I402" s="1">
        <v>0</v>
      </c>
      <c r="J402" s="1">
        <v>16</v>
      </c>
      <c r="K402" s="1">
        <v>-16</v>
      </c>
    </row>
    <row r="403" spans="3:11" x14ac:dyDescent="0.25">
      <c r="D403" s="1" t="s">
        <v>5442</v>
      </c>
      <c r="E403" s="1" t="s">
        <v>5443</v>
      </c>
      <c r="F403" s="1">
        <v>-16</v>
      </c>
      <c r="G403" s="1">
        <v>-16</v>
      </c>
      <c r="H403" s="1">
        <v>0</v>
      </c>
      <c r="I403" s="1">
        <v>0</v>
      </c>
      <c r="J403" s="1">
        <v>16</v>
      </c>
      <c r="K403" s="1">
        <v>-16</v>
      </c>
    </row>
    <row r="404" spans="3:11" x14ac:dyDescent="0.25">
      <c r="D404" s="1" t="s">
        <v>5444</v>
      </c>
      <c r="E404" s="1" t="s">
        <v>5445</v>
      </c>
      <c r="F404" s="1">
        <v>-16</v>
      </c>
      <c r="G404" s="1">
        <v>-16</v>
      </c>
      <c r="H404" s="1">
        <v>0</v>
      </c>
      <c r="I404" s="1">
        <v>0</v>
      </c>
      <c r="J404" s="1">
        <v>16</v>
      </c>
      <c r="K404" s="1">
        <v>-16</v>
      </c>
    </row>
    <row r="405" spans="3:11" x14ac:dyDescent="0.25">
      <c r="D405" s="1" t="s">
        <v>5446</v>
      </c>
      <c r="E405" s="1" t="s">
        <v>5447</v>
      </c>
      <c r="F405" s="1">
        <v>-16</v>
      </c>
      <c r="G405" s="1">
        <v>-16</v>
      </c>
      <c r="H405" s="1">
        <v>0</v>
      </c>
      <c r="I405" s="1">
        <v>0</v>
      </c>
      <c r="J405" s="1">
        <v>16</v>
      </c>
      <c r="K405" s="1">
        <v>-16</v>
      </c>
    </row>
    <row r="406" spans="3:11" x14ac:dyDescent="0.25">
      <c r="C406" s="1" t="s">
        <v>5448</v>
      </c>
      <c r="D406" s="1" t="s">
        <v>5449</v>
      </c>
      <c r="E406" s="1" t="s">
        <v>5448</v>
      </c>
      <c r="F406" s="1">
        <v>-16</v>
      </c>
      <c r="G406" s="1">
        <v>-16</v>
      </c>
      <c r="H406" s="1">
        <v>0</v>
      </c>
      <c r="I406" s="1">
        <v>0</v>
      </c>
      <c r="J406" s="1">
        <v>16</v>
      </c>
      <c r="K406" s="1">
        <v>-16</v>
      </c>
    </row>
    <row r="407" spans="3:11" x14ac:dyDescent="0.25">
      <c r="C407" s="1" t="s">
        <v>5450</v>
      </c>
      <c r="D407" s="1" t="s">
        <v>5451</v>
      </c>
      <c r="E407" s="1" t="s">
        <v>5450</v>
      </c>
      <c r="F407" s="1">
        <v>-16</v>
      </c>
      <c r="G407" s="1">
        <v>-16</v>
      </c>
      <c r="H407" s="1">
        <v>0</v>
      </c>
      <c r="I407" s="1">
        <v>0</v>
      </c>
      <c r="J407" s="1">
        <v>16</v>
      </c>
      <c r="K407" s="1">
        <v>-16</v>
      </c>
    </row>
    <row r="408" spans="3:11" x14ac:dyDescent="0.25">
      <c r="D408" s="1" t="s">
        <v>5452</v>
      </c>
      <c r="E408" s="1" t="s">
        <v>5453</v>
      </c>
      <c r="F408" s="1">
        <v>-16</v>
      </c>
      <c r="G408" s="1">
        <v>-16</v>
      </c>
      <c r="H408" s="1">
        <v>0</v>
      </c>
      <c r="I408" s="1">
        <v>0</v>
      </c>
      <c r="J408" s="1">
        <v>16</v>
      </c>
      <c r="K408" s="1">
        <v>-16</v>
      </c>
    </row>
    <row r="409" spans="3:11" x14ac:dyDescent="0.25">
      <c r="D409" s="1" t="s">
        <v>5454</v>
      </c>
      <c r="E409" s="1" t="s">
        <v>5455</v>
      </c>
      <c r="F409" s="1">
        <v>-16</v>
      </c>
      <c r="G409" s="1">
        <v>-16</v>
      </c>
      <c r="H409" s="1">
        <v>0</v>
      </c>
      <c r="I409" s="1">
        <v>0</v>
      </c>
      <c r="J409" s="1">
        <v>16</v>
      </c>
      <c r="K409" s="1">
        <v>-16</v>
      </c>
    </row>
    <row r="410" spans="3:11" x14ac:dyDescent="0.25">
      <c r="D410" s="1" t="s">
        <v>5456</v>
      </c>
      <c r="E410" s="1" t="s">
        <v>5457</v>
      </c>
      <c r="F410" s="1">
        <v>-16</v>
      </c>
      <c r="G410" s="1">
        <v>-16</v>
      </c>
      <c r="H410" s="1">
        <v>0</v>
      </c>
      <c r="I410" s="1">
        <v>0</v>
      </c>
      <c r="J410" s="1">
        <v>16</v>
      </c>
      <c r="K410" s="1">
        <v>-16</v>
      </c>
    </row>
    <row r="411" spans="3:11" x14ac:dyDescent="0.25">
      <c r="C411" s="1" t="s">
        <v>5458</v>
      </c>
      <c r="D411" s="1" t="s">
        <v>5459</v>
      </c>
      <c r="E411" s="1" t="s">
        <v>5460</v>
      </c>
      <c r="F411" s="1">
        <v>-16</v>
      </c>
      <c r="G411" s="1">
        <v>-16</v>
      </c>
      <c r="H411" s="1">
        <v>0</v>
      </c>
      <c r="I411" s="1">
        <v>0</v>
      </c>
      <c r="J411" s="1">
        <v>16</v>
      </c>
      <c r="K411" s="1">
        <v>-16</v>
      </c>
    </row>
    <row r="412" spans="3:11" x14ac:dyDescent="0.25">
      <c r="C412" s="1" t="s">
        <v>5461</v>
      </c>
      <c r="D412" s="1" t="s">
        <v>5462</v>
      </c>
      <c r="E412" s="1" t="s">
        <v>5463</v>
      </c>
      <c r="F412" s="1">
        <v>-15</v>
      </c>
      <c r="G412" s="1">
        <v>-15</v>
      </c>
      <c r="H412" s="1">
        <v>0</v>
      </c>
      <c r="I412" s="1">
        <v>19155</v>
      </c>
      <c r="J412" s="1">
        <v>19170</v>
      </c>
      <c r="K412" s="1">
        <v>-15</v>
      </c>
    </row>
    <row r="413" spans="3:11" x14ac:dyDescent="0.25">
      <c r="C413" s="1" t="s">
        <v>5464</v>
      </c>
      <c r="D413" s="1" t="s">
        <v>5465</v>
      </c>
      <c r="E413" s="1" t="s">
        <v>5466</v>
      </c>
      <c r="F413" s="1">
        <v>-15</v>
      </c>
      <c r="G413" s="1">
        <v>-15</v>
      </c>
      <c r="H413" s="1">
        <v>0</v>
      </c>
      <c r="I413" s="1">
        <v>8</v>
      </c>
      <c r="J413" s="1">
        <v>23</v>
      </c>
      <c r="K413" s="1">
        <v>-15</v>
      </c>
    </row>
    <row r="414" spans="3:11" x14ac:dyDescent="0.25">
      <c r="C414" s="1" t="s">
        <v>5467</v>
      </c>
      <c r="D414" s="1" t="s">
        <v>5468</v>
      </c>
      <c r="E414" s="1" t="s">
        <v>5469</v>
      </c>
      <c r="F414" s="1">
        <v>-15</v>
      </c>
      <c r="G414" s="1">
        <v>-15</v>
      </c>
      <c r="H414" s="1">
        <v>0</v>
      </c>
      <c r="I414" s="1">
        <v>2</v>
      </c>
      <c r="J414" s="1">
        <v>17</v>
      </c>
      <c r="K414" s="1">
        <v>-15</v>
      </c>
    </row>
    <row r="415" spans="3:11" x14ac:dyDescent="0.25">
      <c r="C415" s="1" t="s">
        <v>5470</v>
      </c>
      <c r="D415" s="1" t="s">
        <v>5471</v>
      </c>
      <c r="E415" s="1" t="s">
        <v>5472</v>
      </c>
      <c r="F415" s="1">
        <v>-15</v>
      </c>
      <c r="G415" s="1">
        <v>-15</v>
      </c>
      <c r="H415" s="1">
        <v>0</v>
      </c>
      <c r="I415" s="1">
        <v>0</v>
      </c>
      <c r="J415" s="1">
        <v>15</v>
      </c>
      <c r="K415" s="1">
        <v>-15</v>
      </c>
    </row>
    <row r="416" spans="3:11" x14ac:dyDescent="0.25">
      <c r="C416" s="1" t="s">
        <v>5473</v>
      </c>
      <c r="D416" s="1" t="s">
        <v>5474</v>
      </c>
      <c r="E416" s="1" t="s">
        <v>5475</v>
      </c>
      <c r="F416" s="1">
        <v>-15</v>
      </c>
      <c r="G416" s="1">
        <v>-15</v>
      </c>
      <c r="H416" s="1">
        <v>0</v>
      </c>
      <c r="I416" s="1">
        <v>0</v>
      </c>
      <c r="J416" s="1">
        <v>15</v>
      </c>
      <c r="K416" s="1">
        <v>-15</v>
      </c>
    </row>
    <row r="417" spans="3:11" x14ac:dyDescent="0.25">
      <c r="C417" s="1" t="s">
        <v>5476</v>
      </c>
      <c r="D417" s="1" t="s">
        <v>5477</v>
      </c>
      <c r="E417" s="1" t="s">
        <v>5478</v>
      </c>
      <c r="F417" s="1">
        <v>-15</v>
      </c>
      <c r="G417" s="1">
        <v>-15</v>
      </c>
      <c r="H417" s="1">
        <v>0</v>
      </c>
      <c r="I417" s="1">
        <v>0</v>
      </c>
      <c r="J417" s="1">
        <v>15</v>
      </c>
      <c r="K417" s="1">
        <v>-15</v>
      </c>
    </row>
    <row r="418" spans="3:11" x14ac:dyDescent="0.25">
      <c r="C418" s="1" t="s">
        <v>5479</v>
      </c>
      <c r="D418" s="1" t="s">
        <v>5480</v>
      </c>
      <c r="E418" s="1" t="s">
        <v>5479</v>
      </c>
      <c r="F418" s="1">
        <v>-15</v>
      </c>
      <c r="G418" s="1">
        <v>-15</v>
      </c>
      <c r="H418" s="1">
        <v>0</v>
      </c>
      <c r="I418" s="1">
        <v>0</v>
      </c>
      <c r="J418" s="1">
        <v>15</v>
      </c>
      <c r="K418" s="1">
        <v>-15</v>
      </c>
    </row>
    <row r="419" spans="3:11" x14ac:dyDescent="0.25">
      <c r="C419" s="1" t="s">
        <v>5481</v>
      </c>
      <c r="D419" s="1" t="s">
        <v>5482</v>
      </c>
      <c r="E419" s="1" t="s">
        <v>5481</v>
      </c>
      <c r="F419" s="1">
        <v>-15</v>
      </c>
      <c r="G419" s="1">
        <v>-15</v>
      </c>
      <c r="H419" s="1">
        <v>0</v>
      </c>
      <c r="I419" s="1">
        <v>0</v>
      </c>
      <c r="J419" s="1">
        <v>15</v>
      </c>
      <c r="K419" s="1">
        <v>-15</v>
      </c>
    </row>
    <row r="420" spans="3:11" x14ac:dyDescent="0.25">
      <c r="C420" s="1" t="s">
        <v>5483</v>
      </c>
      <c r="D420" s="1" t="s">
        <v>5484</v>
      </c>
      <c r="E420" s="1" t="s">
        <v>5483</v>
      </c>
      <c r="F420" s="1">
        <v>-15</v>
      </c>
      <c r="G420" s="1">
        <v>-15</v>
      </c>
      <c r="H420" s="1">
        <v>0</v>
      </c>
      <c r="I420" s="1">
        <v>0</v>
      </c>
      <c r="J420" s="1">
        <v>15</v>
      </c>
      <c r="K420" s="1">
        <v>-15</v>
      </c>
    </row>
    <row r="421" spans="3:11" x14ac:dyDescent="0.25">
      <c r="D421" s="1" t="s">
        <v>5485</v>
      </c>
      <c r="E421" s="1" t="s">
        <v>5486</v>
      </c>
      <c r="F421" s="1">
        <v>-15</v>
      </c>
      <c r="G421" s="1">
        <v>-15</v>
      </c>
      <c r="H421" s="1">
        <v>0</v>
      </c>
      <c r="I421" s="1">
        <v>0</v>
      </c>
      <c r="J421" s="1">
        <v>15</v>
      </c>
      <c r="K421" s="1">
        <v>-15</v>
      </c>
    </row>
    <row r="422" spans="3:11" x14ac:dyDescent="0.25">
      <c r="D422" s="1" t="s">
        <v>5487</v>
      </c>
      <c r="E422" s="1" t="s">
        <v>5488</v>
      </c>
      <c r="F422" s="1">
        <v>-15</v>
      </c>
      <c r="G422" s="1">
        <v>-15</v>
      </c>
      <c r="H422" s="1">
        <v>0</v>
      </c>
      <c r="I422" s="1">
        <v>0</v>
      </c>
      <c r="J422" s="1">
        <v>15</v>
      </c>
      <c r="K422" s="1">
        <v>-15</v>
      </c>
    </row>
    <row r="423" spans="3:11" x14ac:dyDescent="0.25">
      <c r="C423" s="1" t="s">
        <v>5489</v>
      </c>
      <c r="D423" s="1" t="s">
        <v>5490</v>
      </c>
      <c r="E423" s="1" t="s">
        <v>5491</v>
      </c>
      <c r="F423" s="1">
        <v>-15</v>
      </c>
      <c r="G423" s="1">
        <v>-15</v>
      </c>
      <c r="H423" s="1">
        <v>0</v>
      </c>
      <c r="I423" s="1">
        <v>0</v>
      </c>
      <c r="J423" s="1">
        <v>15</v>
      </c>
      <c r="K423" s="1">
        <v>-15</v>
      </c>
    </row>
    <row r="424" spans="3:11" x14ac:dyDescent="0.25">
      <c r="C424" s="1" t="s">
        <v>5492</v>
      </c>
      <c r="D424" s="1" t="s">
        <v>5493</v>
      </c>
      <c r="E424" s="1" t="s">
        <v>5494</v>
      </c>
      <c r="F424" s="1">
        <v>-15</v>
      </c>
      <c r="G424" s="1">
        <v>-15</v>
      </c>
      <c r="H424" s="1">
        <v>0</v>
      </c>
      <c r="I424" s="1">
        <v>0</v>
      </c>
      <c r="J424" s="1">
        <v>15</v>
      </c>
      <c r="K424" s="1">
        <v>-15</v>
      </c>
    </row>
    <row r="425" spans="3:11" x14ac:dyDescent="0.25">
      <c r="C425" s="1" t="s">
        <v>5495</v>
      </c>
      <c r="D425" s="1" t="s">
        <v>5496</v>
      </c>
      <c r="E425" s="1" t="s">
        <v>5497</v>
      </c>
      <c r="F425" s="1">
        <v>-15</v>
      </c>
      <c r="G425" s="1">
        <v>-15</v>
      </c>
      <c r="H425" s="1">
        <v>0</v>
      </c>
      <c r="I425" s="1">
        <v>0</v>
      </c>
      <c r="J425" s="1">
        <v>15</v>
      </c>
      <c r="K425" s="1">
        <v>-15</v>
      </c>
    </row>
    <row r="426" spans="3:11" x14ac:dyDescent="0.25">
      <c r="C426" s="1" t="s">
        <v>5498</v>
      </c>
      <c r="D426" s="1" t="s">
        <v>5499</v>
      </c>
      <c r="E426" s="1" t="s">
        <v>5500</v>
      </c>
      <c r="F426" s="1">
        <v>-15</v>
      </c>
      <c r="G426" s="1">
        <v>-15</v>
      </c>
      <c r="H426" s="1">
        <v>0</v>
      </c>
      <c r="I426" s="1">
        <v>0</v>
      </c>
      <c r="J426" s="1">
        <v>15</v>
      </c>
      <c r="K426" s="1">
        <v>-15</v>
      </c>
    </row>
    <row r="427" spans="3:11" x14ac:dyDescent="0.25">
      <c r="D427" s="1" t="s">
        <v>5501</v>
      </c>
      <c r="E427" s="1" t="s">
        <v>5502</v>
      </c>
      <c r="F427" s="1">
        <v>-15</v>
      </c>
      <c r="G427" s="1">
        <v>-15</v>
      </c>
      <c r="H427" s="1">
        <v>0</v>
      </c>
      <c r="I427" s="1">
        <v>0</v>
      </c>
      <c r="J427" s="1">
        <v>15</v>
      </c>
      <c r="K427" s="1">
        <v>-15</v>
      </c>
    </row>
    <row r="428" spans="3:11" x14ac:dyDescent="0.25">
      <c r="D428" s="1" t="s">
        <v>5503</v>
      </c>
      <c r="E428" s="1" t="s">
        <v>5504</v>
      </c>
      <c r="F428" s="1">
        <v>-15</v>
      </c>
      <c r="G428" s="1">
        <v>-15</v>
      </c>
      <c r="H428" s="1">
        <v>0</v>
      </c>
      <c r="I428" s="1">
        <v>0</v>
      </c>
      <c r="J428" s="1">
        <v>15</v>
      </c>
      <c r="K428" s="1">
        <v>-15</v>
      </c>
    </row>
    <row r="429" spans="3:11" x14ac:dyDescent="0.25">
      <c r="D429" s="1" t="s">
        <v>5505</v>
      </c>
      <c r="E429" s="1" t="s">
        <v>5506</v>
      </c>
      <c r="F429" s="1">
        <v>-15</v>
      </c>
      <c r="G429" s="1">
        <v>-15</v>
      </c>
      <c r="H429" s="1">
        <v>0</v>
      </c>
      <c r="I429" s="1">
        <v>0</v>
      </c>
      <c r="J429" s="1">
        <v>15</v>
      </c>
      <c r="K429" s="1">
        <v>-15</v>
      </c>
    </row>
    <row r="430" spans="3:11" x14ac:dyDescent="0.25">
      <c r="C430" s="1" t="s">
        <v>5507</v>
      </c>
      <c r="D430" s="1" t="s">
        <v>5508</v>
      </c>
      <c r="E430" s="1" t="s">
        <v>5509</v>
      </c>
      <c r="F430" s="1">
        <v>-14</v>
      </c>
      <c r="G430" s="1">
        <v>-14</v>
      </c>
      <c r="H430" s="1">
        <v>0</v>
      </c>
      <c r="I430" s="1">
        <v>958</v>
      </c>
      <c r="J430" s="1">
        <v>972</v>
      </c>
      <c r="K430" s="1">
        <v>-14</v>
      </c>
    </row>
    <row r="431" spans="3:11" x14ac:dyDescent="0.25">
      <c r="C431" s="1" t="s">
        <v>5510</v>
      </c>
      <c r="D431" s="1" t="s">
        <v>5511</v>
      </c>
      <c r="E431" s="1" t="s">
        <v>5512</v>
      </c>
      <c r="F431" s="1">
        <v>-14</v>
      </c>
      <c r="G431" s="1">
        <v>-14</v>
      </c>
      <c r="H431" s="1">
        <v>0</v>
      </c>
      <c r="I431" s="1">
        <v>200</v>
      </c>
      <c r="J431" s="1">
        <v>214</v>
      </c>
      <c r="K431" s="1">
        <v>-14</v>
      </c>
    </row>
    <row r="432" spans="3:11" x14ac:dyDescent="0.25">
      <c r="C432" s="1" t="s">
        <v>5513</v>
      </c>
      <c r="D432" s="1" t="s">
        <v>5514</v>
      </c>
      <c r="E432" s="1" t="s">
        <v>5513</v>
      </c>
      <c r="F432" s="1">
        <v>-14</v>
      </c>
      <c r="G432" s="1">
        <v>-14</v>
      </c>
      <c r="H432" s="1">
        <v>0</v>
      </c>
      <c r="I432" s="1">
        <v>77</v>
      </c>
      <c r="J432" s="1">
        <v>91</v>
      </c>
      <c r="K432" s="1">
        <v>-14</v>
      </c>
    </row>
    <row r="433" spans="3:11" x14ac:dyDescent="0.25">
      <c r="C433" s="1" t="s">
        <v>5515</v>
      </c>
      <c r="D433" s="1" t="s">
        <v>5516</v>
      </c>
      <c r="E433" s="1" t="s">
        <v>5517</v>
      </c>
      <c r="F433" s="1">
        <v>-14</v>
      </c>
      <c r="G433" s="1">
        <v>-14</v>
      </c>
      <c r="H433" s="1">
        <v>0</v>
      </c>
      <c r="I433" s="1">
        <v>41</v>
      </c>
      <c r="J433" s="1">
        <v>55</v>
      </c>
      <c r="K433" s="1">
        <v>-14</v>
      </c>
    </row>
    <row r="434" spans="3:11" x14ac:dyDescent="0.25">
      <c r="C434" s="1" t="s">
        <v>5518</v>
      </c>
      <c r="D434" s="1" t="s">
        <v>5519</v>
      </c>
      <c r="E434" s="1" t="s">
        <v>5518</v>
      </c>
      <c r="F434" s="1">
        <v>-14</v>
      </c>
      <c r="G434" s="1">
        <v>-14</v>
      </c>
      <c r="H434" s="1">
        <v>0</v>
      </c>
      <c r="I434" s="1">
        <v>22</v>
      </c>
      <c r="J434" s="1">
        <v>36</v>
      </c>
      <c r="K434" s="1">
        <v>-14</v>
      </c>
    </row>
    <row r="435" spans="3:11" x14ac:dyDescent="0.25">
      <c r="C435" s="1" t="s">
        <v>5520</v>
      </c>
      <c r="D435" s="1" t="s">
        <v>5521</v>
      </c>
      <c r="E435" s="1" t="s">
        <v>5522</v>
      </c>
      <c r="F435" s="1">
        <v>-14</v>
      </c>
      <c r="G435" s="1">
        <v>-14</v>
      </c>
      <c r="H435" s="1">
        <v>0</v>
      </c>
      <c r="I435" s="1">
        <v>22</v>
      </c>
      <c r="J435" s="1">
        <v>36</v>
      </c>
      <c r="K435" s="1">
        <v>-14</v>
      </c>
    </row>
    <row r="436" spans="3:11" x14ac:dyDescent="0.25">
      <c r="C436" s="1" t="s">
        <v>5523</v>
      </c>
      <c r="D436" s="1" t="s">
        <v>5524</v>
      </c>
      <c r="E436" s="1" t="s">
        <v>5525</v>
      </c>
      <c r="F436" s="1">
        <v>-14</v>
      </c>
      <c r="G436" s="1">
        <v>-14</v>
      </c>
      <c r="H436" s="1">
        <v>0</v>
      </c>
      <c r="I436" s="1">
        <v>19</v>
      </c>
      <c r="J436" s="1">
        <v>33</v>
      </c>
      <c r="K436" s="1">
        <v>-14</v>
      </c>
    </row>
    <row r="437" spans="3:11" x14ac:dyDescent="0.25">
      <c r="C437" s="1" t="s">
        <v>5526</v>
      </c>
      <c r="D437" s="1" t="s">
        <v>5527</v>
      </c>
      <c r="E437" s="1" t="s">
        <v>5528</v>
      </c>
      <c r="F437" s="1">
        <v>-14</v>
      </c>
      <c r="G437" s="1">
        <v>-14</v>
      </c>
      <c r="H437" s="1">
        <v>0</v>
      </c>
      <c r="I437" s="1">
        <v>17</v>
      </c>
      <c r="J437" s="1">
        <v>31</v>
      </c>
      <c r="K437" s="1">
        <v>-14</v>
      </c>
    </row>
    <row r="438" spans="3:11" x14ac:dyDescent="0.25">
      <c r="C438" s="1" t="s">
        <v>5529</v>
      </c>
      <c r="D438" s="1" t="s">
        <v>5530</v>
      </c>
      <c r="E438" s="1" t="s">
        <v>5529</v>
      </c>
      <c r="F438" s="1">
        <v>-14</v>
      </c>
      <c r="G438" s="1">
        <v>-14</v>
      </c>
      <c r="H438" s="1">
        <v>0</v>
      </c>
      <c r="I438" s="1">
        <v>13</v>
      </c>
      <c r="J438" s="1">
        <v>27</v>
      </c>
      <c r="K438" s="1">
        <v>-14</v>
      </c>
    </row>
    <row r="439" spans="3:11" x14ac:dyDescent="0.25">
      <c r="C439" s="1" t="s">
        <v>5531</v>
      </c>
      <c r="D439" s="1" t="s">
        <v>5532</v>
      </c>
      <c r="E439" s="1" t="s">
        <v>5533</v>
      </c>
      <c r="F439" s="1">
        <v>-14</v>
      </c>
      <c r="G439" s="1">
        <v>-14</v>
      </c>
      <c r="H439" s="1">
        <v>0</v>
      </c>
      <c r="I439" s="1">
        <v>2</v>
      </c>
      <c r="J439" s="1">
        <v>16</v>
      </c>
      <c r="K439" s="1">
        <v>-14</v>
      </c>
    </row>
    <row r="440" spans="3:11" x14ac:dyDescent="0.25">
      <c r="C440" s="1" t="s">
        <v>5534</v>
      </c>
      <c r="D440" s="1" t="s">
        <v>5535</v>
      </c>
      <c r="E440" s="1" t="s">
        <v>5536</v>
      </c>
      <c r="F440" s="1">
        <v>-14</v>
      </c>
      <c r="G440" s="1">
        <v>-14</v>
      </c>
      <c r="H440" s="1">
        <v>0</v>
      </c>
      <c r="I440" s="1">
        <v>1</v>
      </c>
      <c r="J440" s="1">
        <v>15</v>
      </c>
      <c r="K440" s="1">
        <v>-14</v>
      </c>
    </row>
    <row r="441" spans="3:11" x14ac:dyDescent="0.25">
      <c r="C441" s="1" t="s">
        <v>5537</v>
      </c>
      <c r="D441" s="1" t="s">
        <v>5538</v>
      </c>
      <c r="E441" s="1" t="s">
        <v>5539</v>
      </c>
      <c r="F441" s="1">
        <v>-14</v>
      </c>
      <c r="G441" s="1">
        <v>-14</v>
      </c>
      <c r="H441" s="1">
        <v>0</v>
      </c>
      <c r="I441" s="1">
        <v>1</v>
      </c>
      <c r="J441" s="1">
        <v>15</v>
      </c>
      <c r="K441" s="1">
        <v>-14</v>
      </c>
    </row>
    <row r="442" spans="3:11" x14ac:dyDescent="0.25">
      <c r="C442" s="1" t="s">
        <v>5540</v>
      </c>
      <c r="D442" s="1" t="s">
        <v>5541</v>
      </c>
      <c r="E442" s="1" t="s">
        <v>5542</v>
      </c>
      <c r="F442" s="1">
        <v>-14</v>
      </c>
      <c r="G442" s="1">
        <v>-14</v>
      </c>
      <c r="H442" s="1">
        <v>0</v>
      </c>
      <c r="I442" s="1">
        <v>0</v>
      </c>
      <c r="J442" s="1">
        <v>14</v>
      </c>
      <c r="K442" s="1">
        <v>-14</v>
      </c>
    </row>
    <row r="443" spans="3:11" x14ac:dyDescent="0.25">
      <c r="D443" s="1" t="s">
        <v>5543</v>
      </c>
      <c r="E443" s="1" t="s">
        <v>5544</v>
      </c>
      <c r="F443" s="1">
        <v>-14</v>
      </c>
      <c r="G443" s="1">
        <v>-14</v>
      </c>
      <c r="H443" s="1">
        <v>0</v>
      </c>
      <c r="I443" s="1">
        <v>0</v>
      </c>
      <c r="J443" s="1">
        <v>14</v>
      </c>
      <c r="K443" s="1">
        <v>-14</v>
      </c>
    </row>
    <row r="444" spans="3:11" x14ac:dyDescent="0.25">
      <c r="C444" s="1" t="s">
        <v>5545</v>
      </c>
      <c r="D444" s="1" t="s">
        <v>5546</v>
      </c>
      <c r="E444" s="1" t="s">
        <v>5547</v>
      </c>
      <c r="F444" s="1">
        <v>-14</v>
      </c>
      <c r="G444" s="1">
        <v>-14</v>
      </c>
      <c r="H444" s="1">
        <v>0</v>
      </c>
      <c r="I444" s="1">
        <v>0</v>
      </c>
      <c r="J444" s="1">
        <v>14</v>
      </c>
      <c r="K444" s="1">
        <v>-14</v>
      </c>
    </row>
    <row r="445" spans="3:11" x14ac:dyDescent="0.25">
      <c r="D445" s="1" t="s">
        <v>5548</v>
      </c>
      <c r="E445" s="1" t="s">
        <v>5549</v>
      </c>
      <c r="F445" s="1">
        <v>-14</v>
      </c>
      <c r="G445" s="1">
        <v>-14</v>
      </c>
      <c r="H445" s="1">
        <v>0</v>
      </c>
      <c r="I445" s="1">
        <v>0</v>
      </c>
      <c r="J445" s="1">
        <v>14</v>
      </c>
      <c r="K445" s="1">
        <v>-14</v>
      </c>
    </row>
    <row r="446" spans="3:11" x14ac:dyDescent="0.25">
      <c r="C446" s="1" t="s">
        <v>5550</v>
      </c>
      <c r="D446" s="1" t="s">
        <v>5551</v>
      </c>
      <c r="E446" s="1" t="s">
        <v>5552</v>
      </c>
      <c r="F446" s="1">
        <v>-14</v>
      </c>
      <c r="G446" s="1">
        <v>-14</v>
      </c>
      <c r="H446" s="1">
        <v>0</v>
      </c>
      <c r="I446" s="1">
        <v>0</v>
      </c>
      <c r="J446" s="1">
        <v>14</v>
      </c>
      <c r="K446" s="1">
        <v>-14</v>
      </c>
    </row>
    <row r="447" spans="3:11" x14ac:dyDescent="0.25">
      <c r="C447" s="1" t="s">
        <v>5553</v>
      </c>
      <c r="D447" s="1" t="s">
        <v>5554</v>
      </c>
      <c r="E447" s="1" t="s">
        <v>5553</v>
      </c>
      <c r="F447" s="1">
        <v>-14</v>
      </c>
      <c r="G447" s="1">
        <v>-14</v>
      </c>
      <c r="H447" s="1">
        <v>0</v>
      </c>
      <c r="I447" s="1">
        <v>0</v>
      </c>
      <c r="J447" s="1">
        <v>14</v>
      </c>
      <c r="K447" s="1">
        <v>-14</v>
      </c>
    </row>
    <row r="448" spans="3:11" x14ac:dyDescent="0.25">
      <c r="C448" s="1" t="s">
        <v>5555</v>
      </c>
      <c r="D448" s="1" t="s">
        <v>5556</v>
      </c>
      <c r="E448" s="1" t="s">
        <v>5557</v>
      </c>
      <c r="F448" s="1">
        <v>-14</v>
      </c>
      <c r="G448" s="1">
        <v>-14</v>
      </c>
      <c r="H448" s="1">
        <v>0</v>
      </c>
      <c r="I448" s="1">
        <v>0</v>
      </c>
      <c r="J448" s="1">
        <v>14</v>
      </c>
      <c r="K448" s="1">
        <v>-14</v>
      </c>
    </row>
    <row r="449" spans="3:11" x14ac:dyDescent="0.25">
      <c r="D449" s="1" t="s">
        <v>5558</v>
      </c>
      <c r="E449" s="1" t="s">
        <v>5559</v>
      </c>
      <c r="F449" s="1">
        <v>-14</v>
      </c>
      <c r="G449" s="1">
        <v>-14</v>
      </c>
      <c r="H449" s="1">
        <v>0</v>
      </c>
      <c r="I449" s="1">
        <v>0</v>
      </c>
      <c r="J449" s="1">
        <v>14</v>
      </c>
      <c r="K449" s="1">
        <v>-14</v>
      </c>
    </row>
    <row r="450" spans="3:11" x14ac:dyDescent="0.25">
      <c r="D450" s="1" t="s">
        <v>5560</v>
      </c>
      <c r="E450" s="1" t="s">
        <v>5561</v>
      </c>
      <c r="F450" s="1">
        <v>-14</v>
      </c>
      <c r="G450" s="1">
        <v>-14</v>
      </c>
      <c r="H450" s="1">
        <v>0</v>
      </c>
      <c r="I450" s="1">
        <v>0</v>
      </c>
      <c r="J450" s="1">
        <v>14</v>
      </c>
      <c r="K450" s="1">
        <v>-14</v>
      </c>
    </row>
    <row r="451" spans="3:11" x14ac:dyDescent="0.25">
      <c r="D451" s="1" t="s">
        <v>5562</v>
      </c>
      <c r="E451" s="1" t="s">
        <v>5563</v>
      </c>
      <c r="F451" s="1">
        <v>-14</v>
      </c>
      <c r="G451" s="1">
        <v>-14</v>
      </c>
      <c r="H451" s="1">
        <v>0</v>
      </c>
      <c r="I451" s="1">
        <v>0</v>
      </c>
      <c r="J451" s="1">
        <v>14</v>
      </c>
      <c r="K451" s="1">
        <v>-14</v>
      </c>
    </row>
    <row r="452" spans="3:11" x14ac:dyDescent="0.25">
      <c r="D452" s="1" t="s">
        <v>5564</v>
      </c>
      <c r="E452" s="1" t="s">
        <v>5565</v>
      </c>
      <c r="F452" s="1">
        <v>-14</v>
      </c>
      <c r="G452" s="1">
        <v>-14</v>
      </c>
      <c r="H452" s="1">
        <v>0</v>
      </c>
      <c r="I452" s="1">
        <v>0</v>
      </c>
      <c r="J452" s="1">
        <v>14</v>
      </c>
      <c r="K452" s="1">
        <v>-14</v>
      </c>
    </row>
    <row r="453" spans="3:11" x14ac:dyDescent="0.25">
      <c r="C453" s="1" t="s">
        <v>5566</v>
      </c>
      <c r="D453" s="1" t="s">
        <v>5567</v>
      </c>
      <c r="E453" s="1" t="s">
        <v>5568</v>
      </c>
      <c r="F453" s="1">
        <v>-13</v>
      </c>
      <c r="G453" s="1">
        <v>-13</v>
      </c>
      <c r="H453" s="1">
        <v>0</v>
      </c>
      <c r="I453" s="1">
        <v>406</v>
      </c>
      <c r="J453" s="1">
        <v>419</v>
      </c>
      <c r="K453" s="1">
        <v>-13</v>
      </c>
    </row>
    <row r="454" spans="3:11" x14ac:dyDescent="0.25">
      <c r="C454" s="1" t="s">
        <v>5569</v>
      </c>
      <c r="D454" s="1" t="s">
        <v>5570</v>
      </c>
      <c r="E454" s="1" t="s">
        <v>5571</v>
      </c>
      <c r="F454" s="1">
        <v>-13</v>
      </c>
      <c r="G454" s="1">
        <v>-13</v>
      </c>
      <c r="H454" s="1">
        <v>0</v>
      </c>
      <c r="I454" s="1">
        <v>169</v>
      </c>
      <c r="J454" s="1">
        <v>182</v>
      </c>
      <c r="K454" s="1">
        <v>-13</v>
      </c>
    </row>
    <row r="455" spans="3:11" x14ac:dyDescent="0.25">
      <c r="C455" s="1" t="s">
        <v>1702</v>
      </c>
      <c r="D455" s="1" t="s">
        <v>1703</v>
      </c>
      <c r="E455" s="1" t="s">
        <v>1704</v>
      </c>
      <c r="F455" s="1">
        <v>-13</v>
      </c>
      <c r="G455" s="1">
        <v>-13</v>
      </c>
      <c r="H455" s="1">
        <v>0</v>
      </c>
      <c r="I455" s="1">
        <v>140</v>
      </c>
      <c r="J455" s="1">
        <v>153</v>
      </c>
      <c r="K455" s="1">
        <v>-13</v>
      </c>
    </row>
    <row r="456" spans="3:11" x14ac:dyDescent="0.25">
      <c r="C456" s="1" t="s">
        <v>5572</v>
      </c>
      <c r="D456" s="1" t="s">
        <v>5573</v>
      </c>
      <c r="E456" s="1" t="s">
        <v>5574</v>
      </c>
      <c r="F456" s="1">
        <v>-13</v>
      </c>
      <c r="G456" s="1">
        <v>-13</v>
      </c>
      <c r="H456" s="1">
        <v>0</v>
      </c>
      <c r="I456" s="1">
        <v>52</v>
      </c>
      <c r="J456" s="1">
        <v>65</v>
      </c>
      <c r="K456" s="1">
        <v>-13</v>
      </c>
    </row>
    <row r="457" spans="3:11" x14ac:dyDescent="0.25">
      <c r="C457" s="1" t="s">
        <v>5575</v>
      </c>
      <c r="D457" s="1" t="s">
        <v>5576</v>
      </c>
      <c r="E457" s="1" t="s">
        <v>5575</v>
      </c>
      <c r="F457" s="1">
        <v>-13</v>
      </c>
      <c r="G457" s="1">
        <v>-13</v>
      </c>
      <c r="H457" s="1">
        <v>0</v>
      </c>
      <c r="I457" s="1">
        <v>51</v>
      </c>
      <c r="J457" s="1">
        <v>64</v>
      </c>
      <c r="K457" s="1">
        <v>-13</v>
      </c>
    </row>
    <row r="458" spans="3:11" x14ac:dyDescent="0.25">
      <c r="C458" s="1" t="s">
        <v>5577</v>
      </c>
      <c r="D458" s="1" t="s">
        <v>5578</v>
      </c>
      <c r="E458" s="1" t="s">
        <v>5579</v>
      </c>
      <c r="F458" s="1">
        <v>-13</v>
      </c>
      <c r="G458" s="1">
        <v>-13</v>
      </c>
      <c r="H458" s="1">
        <v>0</v>
      </c>
      <c r="I458" s="1">
        <v>28</v>
      </c>
      <c r="J458" s="1">
        <v>41</v>
      </c>
      <c r="K458" s="1">
        <v>-13</v>
      </c>
    </row>
    <row r="459" spans="3:11" x14ac:dyDescent="0.25">
      <c r="C459" s="1" t="s">
        <v>5580</v>
      </c>
      <c r="D459" s="1" t="s">
        <v>5581</v>
      </c>
      <c r="E459" s="1" t="s">
        <v>5582</v>
      </c>
      <c r="F459" s="1">
        <v>-13</v>
      </c>
      <c r="G459" s="1">
        <v>-13</v>
      </c>
      <c r="H459" s="1">
        <v>0</v>
      </c>
      <c r="I459" s="1">
        <v>24</v>
      </c>
      <c r="J459" s="1">
        <v>37</v>
      </c>
      <c r="K459" s="1">
        <v>-13</v>
      </c>
    </row>
    <row r="460" spans="3:11" x14ac:dyDescent="0.25">
      <c r="C460" s="1" t="s">
        <v>5583</v>
      </c>
      <c r="D460" s="1" t="s">
        <v>5584</v>
      </c>
      <c r="E460" s="1" t="s">
        <v>5585</v>
      </c>
      <c r="F460" s="1">
        <v>-13</v>
      </c>
      <c r="G460" s="1">
        <v>-13</v>
      </c>
      <c r="H460" s="1">
        <v>0</v>
      </c>
      <c r="I460" s="1">
        <v>7</v>
      </c>
      <c r="J460" s="1">
        <v>20</v>
      </c>
      <c r="K460" s="1">
        <v>-13</v>
      </c>
    </row>
    <row r="461" spans="3:11" x14ac:dyDescent="0.25">
      <c r="C461" s="1" t="s">
        <v>5586</v>
      </c>
      <c r="D461" s="1" t="s">
        <v>5587</v>
      </c>
      <c r="E461" s="1" t="s">
        <v>5588</v>
      </c>
      <c r="F461" s="1">
        <v>-13</v>
      </c>
      <c r="G461" s="1">
        <v>-13</v>
      </c>
      <c r="H461" s="1">
        <v>0</v>
      </c>
      <c r="I461" s="1">
        <v>5</v>
      </c>
      <c r="J461" s="1">
        <v>18</v>
      </c>
      <c r="K461" s="1">
        <v>-13</v>
      </c>
    </row>
    <row r="462" spans="3:11" x14ac:dyDescent="0.25">
      <c r="C462" s="1" t="s">
        <v>5589</v>
      </c>
      <c r="D462" s="1" t="s">
        <v>5590</v>
      </c>
      <c r="E462" s="1" t="s">
        <v>5591</v>
      </c>
      <c r="F462" s="1">
        <v>-13</v>
      </c>
      <c r="G462" s="1">
        <v>-13</v>
      </c>
      <c r="H462" s="1">
        <v>0</v>
      </c>
      <c r="I462" s="1">
        <v>5</v>
      </c>
      <c r="J462" s="1">
        <v>18</v>
      </c>
      <c r="K462" s="1">
        <v>-13</v>
      </c>
    </row>
    <row r="463" spans="3:11" x14ac:dyDescent="0.25">
      <c r="C463" s="1" t="s">
        <v>5592</v>
      </c>
      <c r="D463" s="1" t="s">
        <v>5593</v>
      </c>
      <c r="E463" s="1" t="s">
        <v>5594</v>
      </c>
      <c r="F463" s="1">
        <v>-13</v>
      </c>
      <c r="G463" s="1">
        <v>-13</v>
      </c>
      <c r="H463" s="1">
        <v>0</v>
      </c>
      <c r="I463" s="1">
        <v>2</v>
      </c>
      <c r="J463" s="1">
        <v>15</v>
      </c>
      <c r="K463" s="1">
        <v>-13</v>
      </c>
    </row>
    <row r="464" spans="3:11" x14ac:dyDescent="0.25">
      <c r="C464" s="1" t="s">
        <v>5595</v>
      </c>
      <c r="D464" s="1" t="s">
        <v>5596</v>
      </c>
      <c r="E464" s="1" t="s">
        <v>5597</v>
      </c>
      <c r="F464" s="1">
        <v>-13</v>
      </c>
      <c r="G464" s="1">
        <v>-13</v>
      </c>
      <c r="H464" s="1">
        <v>0</v>
      </c>
      <c r="I464" s="1">
        <v>0</v>
      </c>
      <c r="J464" s="1">
        <v>13</v>
      </c>
      <c r="K464" s="1">
        <v>-13</v>
      </c>
    </row>
    <row r="465" spans="3:11" x14ac:dyDescent="0.25">
      <c r="C465" s="1" t="s">
        <v>5598</v>
      </c>
      <c r="D465" s="1" t="s">
        <v>5599</v>
      </c>
      <c r="E465" s="1" t="s">
        <v>5600</v>
      </c>
      <c r="F465" s="1">
        <v>-13</v>
      </c>
      <c r="G465" s="1">
        <v>-13</v>
      </c>
      <c r="H465" s="1">
        <v>0</v>
      </c>
      <c r="I465" s="1">
        <v>0</v>
      </c>
      <c r="J465" s="1">
        <v>13</v>
      </c>
      <c r="K465" s="1">
        <v>-13</v>
      </c>
    </row>
    <row r="466" spans="3:11" x14ac:dyDescent="0.25">
      <c r="C466" s="1" t="s">
        <v>5601</v>
      </c>
      <c r="D466" s="1" t="s">
        <v>5602</v>
      </c>
      <c r="E466" s="1" t="s">
        <v>5603</v>
      </c>
      <c r="F466" s="1">
        <v>-13</v>
      </c>
      <c r="G466" s="1">
        <v>-13</v>
      </c>
      <c r="H466" s="1">
        <v>0</v>
      </c>
      <c r="I466" s="1">
        <v>0</v>
      </c>
      <c r="J466" s="1">
        <v>13</v>
      </c>
      <c r="K466" s="1">
        <v>-13</v>
      </c>
    </row>
    <row r="467" spans="3:11" x14ac:dyDescent="0.25">
      <c r="C467" s="1" t="s">
        <v>5604</v>
      </c>
      <c r="D467" s="1" t="s">
        <v>5605</v>
      </c>
      <c r="E467" s="1" t="s">
        <v>5606</v>
      </c>
      <c r="F467" s="1">
        <v>-13</v>
      </c>
      <c r="G467" s="1">
        <v>-13</v>
      </c>
      <c r="H467" s="1">
        <v>0</v>
      </c>
      <c r="I467" s="1">
        <v>0</v>
      </c>
      <c r="J467" s="1">
        <v>13</v>
      </c>
      <c r="K467" s="1">
        <v>-13</v>
      </c>
    </row>
    <row r="468" spans="3:11" x14ac:dyDescent="0.25">
      <c r="C468" s="1" t="s">
        <v>5607</v>
      </c>
      <c r="D468" s="1" t="s">
        <v>5608</v>
      </c>
      <c r="E468" s="1" t="s">
        <v>5607</v>
      </c>
      <c r="F468" s="1">
        <v>-13</v>
      </c>
      <c r="G468" s="1">
        <v>-13</v>
      </c>
      <c r="H468" s="1">
        <v>0</v>
      </c>
      <c r="I468" s="1">
        <v>0</v>
      </c>
      <c r="J468" s="1">
        <v>13</v>
      </c>
      <c r="K468" s="1">
        <v>-13</v>
      </c>
    </row>
    <row r="469" spans="3:11" x14ac:dyDescent="0.25">
      <c r="C469" s="1" t="s">
        <v>5609</v>
      </c>
      <c r="D469" s="1" t="s">
        <v>5610</v>
      </c>
      <c r="E469" s="1" t="s">
        <v>5611</v>
      </c>
      <c r="F469" s="1">
        <v>-13</v>
      </c>
      <c r="G469" s="1">
        <v>-13</v>
      </c>
      <c r="H469" s="1">
        <v>0</v>
      </c>
      <c r="I469" s="1">
        <v>0</v>
      </c>
      <c r="J469" s="1">
        <v>13</v>
      </c>
      <c r="K469" s="1">
        <v>-13</v>
      </c>
    </row>
    <row r="470" spans="3:11" x14ac:dyDescent="0.25">
      <c r="C470" s="1" t="s">
        <v>5612</v>
      </c>
      <c r="D470" s="1" t="s">
        <v>5613</v>
      </c>
      <c r="E470" s="1" t="s">
        <v>5612</v>
      </c>
      <c r="F470" s="1">
        <v>-13</v>
      </c>
      <c r="G470" s="1">
        <v>-13</v>
      </c>
      <c r="H470" s="1">
        <v>0</v>
      </c>
      <c r="I470" s="1">
        <v>0</v>
      </c>
      <c r="J470" s="1">
        <v>13</v>
      </c>
      <c r="K470" s="1">
        <v>-13</v>
      </c>
    </row>
    <row r="471" spans="3:11" x14ac:dyDescent="0.25">
      <c r="C471" s="1" t="s">
        <v>5614</v>
      </c>
      <c r="D471" s="1" t="s">
        <v>5615</v>
      </c>
      <c r="E471" s="1" t="s">
        <v>5614</v>
      </c>
      <c r="F471" s="1">
        <v>-13</v>
      </c>
      <c r="G471" s="1">
        <v>-13</v>
      </c>
      <c r="H471" s="1">
        <v>0</v>
      </c>
      <c r="I471" s="1">
        <v>0</v>
      </c>
      <c r="J471" s="1">
        <v>13</v>
      </c>
      <c r="K471" s="1">
        <v>-13</v>
      </c>
    </row>
    <row r="472" spans="3:11" x14ac:dyDescent="0.25">
      <c r="D472" s="1" t="s">
        <v>5616</v>
      </c>
      <c r="E472" s="1" t="s">
        <v>5617</v>
      </c>
      <c r="F472" s="1">
        <v>-13</v>
      </c>
      <c r="G472" s="1">
        <v>-13</v>
      </c>
      <c r="H472" s="1">
        <v>0</v>
      </c>
      <c r="I472" s="1">
        <v>0</v>
      </c>
      <c r="J472" s="1">
        <v>13</v>
      </c>
      <c r="K472" s="1">
        <v>-13</v>
      </c>
    </row>
    <row r="473" spans="3:11" x14ac:dyDescent="0.25">
      <c r="D473" s="1" t="s">
        <v>5618</v>
      </c>
      <c r="E473" s="1" t="s">
        <v>5619</v>
      </c>
      <c r="F473" s="1">
        <v>-13</v>
      </c>
      <c r="G473" s="1">
        <v>-13</v>
      </c>
      <c r="H473" s="1">
        <v>0</v>
      </c>
      <c r="I473" s="1">
        <v>0</v>
      </c>
      <c r="J473" s="1">
        <v>13</v>
      </c>
      <c r="K473" s="1">
        <v>-13</v>
      </c>
    </row>
    <row r="474" spans="3:11" x14ac:dyDescent="0.25">
      <c r="D474" s="1" t="s">
        <v>5620</v>
      </c>
      <c r="E474" s="1" t="s">
        <v>5621</v>
      </c>
      <c r="F474" s="1">
        <v>-13</v>
      </c>
      <c r="G474" s="1">
        <v>-13</v>
      </c>
      <c r="H474" s="1">
        <v>0</v>
      </c>
      <c r="I474" s="1">
        <v>0</v>
      </c>
      <c r="J474" s="1">
        <v>13</v>
      </c>
      <c r="K474" s="1">
        <v>-13</v>
      </c>
    </row>
    <row r="475" spans="3:11" x14ac:dyDescent="0.25">
      <c r="D475" s="1" t="s">
        <v>5622</v>
      </c>
      <c r="E475" s="1" t="s">
        <v>5623</v>
      </c>
      <c r="F475" s="1">
        <v>-13</v>
      </c>
      <c r="G475" s="1">
        <v>-13</v>
      </c>
      <c r="H475" s="1">
        <v>0</v>
      </c>
      <c r="I475" s="1">
        <v>0</v>
      </c>
      <c r="J475" s="1">
        <v>13</v>
      </c>
      <c r="K475" s="1">
        <v>-13</v>
      </c>
    </row>
    <row r="476" spans="3:11" x14ac:dyDescent="0.25">
      <c r="C476" s="1" t="s">
        <v>5624</v>
      </c>
      <c r="D476" s="1" t="s">
        <v>5625</v>
      </c>
      <c r="E476" s="1" t="s">
        <v>5626</v>
      </c>
      <c r="F476" s="1">
        <v>-12</v>
      </c>
      <c r="G476" s="1">
        <v>-12</v>
      </c>
      <c r="H476" s="1">
        <v>0</v>
      </c>
      <c r="I476" s="1">
        <v>112</v>
      </c>
      <c r="J476" s="1">
        <v>124</v>
      </c>
      <c r="K476" s="1">
        <v>-12</v>
      </c>
    </row>
    <row r="477" spans="3:11" x14ac:dyDescent="0.25">
      <c r="C477" s="1" t="s">
        <v>5627</v>
      </c>
      <c r="D477" s="1" t="s">
        <v>5628</v>
      </c>
      <c r="E477" s="1" t="s">
        <v>5629</v>
      </c>
      <c r="F477" s="1">
        <v>-12</v>
      </c>
      <c r="G477" s="1">
        <v>-12</v>
      </c>
      <c r="H477" s="1">
        <v>0</v>
      </c>
      <c r="I477" s="1">
        <v>93</v>
      </c>
      <c r="J477" s="1">
        <v>105</v>
      </c>
      <c r="K477" s="1">
        <v>-12</v>
      </c>
    </row>
    <row r="478" spans="3:11" x14ac:dyDescent="0.25">
      <c r="C478" s="1" t="s">
        <v>5630</v>
      </c>
      <c r="D478" s="1" t="s">
        <v>5631</v>
      </c>
      <c r="E478" s="1" t="s">
        <v>5632</v>
      </c>
      <c r="F478" s="1">
        <v>-12</v>
      </c>
      <c r="G478" s="1">
        <v>-12</v>
      </c>
      <c r="H478" s="1">
        <v>0</v>
      </c>
      <c r="I478" s="1">
        <v>8</v>
      </c>
      <c r="J478" s="1">
        <v>20</v>
      </c>
      <c r="K478" s="1">
        <v>-12</v>
      </c>
    </row>
    <row r="479" spans="3:11" x14ac:dyDescent="0.25">
      <c r="C479" s="1" t="s">
        <v>5633</v>
      </c>
      <c r="D479" s="1" t="s">
        <v>5634</v>
      </c>
      <c r="E479" s="1" t="s">
        <v>5635</v>
      </c>
      <c r="F479" s="1">
        <v>-12</v>
      </c>
      <c r="G479" s="1">
        <v>-12</v>
      </c>
      <c r="H479" s="1">
        <v>0</v>
      </c>
      <c r="I479" s="1">
        <v>8</v>
      </c>
      <c r="J479" s="1">
        <v>20</v>
      </c>
      <c r="K479" s="1">
        <v>-12</v>
      </c>
    </row>
    <row r="480" spans="3:11" x14ac:dyDescent="0.25">
      <c r="C480" s="1" t="s">
        <v>5636</v>
      </c>
      <c r="D480" s="1" t="s">
        <v>5637</v>
      </c>
      <c r="E480" s="1" t="s">
        <v>5638</v>
      </c>
      <c r="F480" s="1">
        <v>-12</v>
      </c>
      <c r="G480" s="1">
        <v>-12</v>
      </c>
      <c r="H480" s="1">
        <v>0</v>
      </c>
      <c r="I480" s="1">
        <v>2</v>
      </c>
      <c r="J480" s="1">
        <v>14</v>
      </c>
      <c r="K480" s="1">
        <v>-12</v>
      </c>
    </row>
    <row r="481" spans="3:11" x14ac:dyDescent="0.25">
      <c r="D481" s="1" t="s">
        <v>5639</v>
      </c>
      <c r="E481" s="1" t="s">
        <v>5640</v>
      </c>
      <c r="F481" s="1">
        <v>-12</v>
      </c>
      <c r="G481" s="1">
        <v>-12</v>
      </c>
      <c r="H481" s="1">
        <v>0</v>
      </c>
      <c r="I481" s="1">
        <v>1</v>
      </c>
      <c r="J481" s="1">
        <v>13</v>
      </c>
      <c r="K481" s="1">
        <v>-12</v>
      </c>
    </row>
    <row r="482" spans="3:11" x14ac:dyDescent="0.25">
      <c r="C482" s="1" t="s">
        <v>5641</v>
      </c>
      <c r="D482" s="1" t="s">
        <v>5642</v>
      </c>
      <c r="E482" s="1" t="s">
        <v>5641</v>
      </c>
      <c r="F482" s="1">
        <v>-12</v>
      </c>
      <c r="G482" s="1">
        <v>-12</v>
      </c>
      <c r="H482" s="1">
        <v>0</v>
      </c>
      <c r="I482" s="1">
        <v>0</v>
      </c>
      <c r="J482" s="1">
        <v>12</v>
      </c>
      <c r="K482" s="1">
        <v>-12</v>
      </c>
    </row>
    <row r="483" spans="3:11" x14ac:dyDescent="0.25">
      <c r="C483" s="1" t="s">
        <v>5643</v>
      </c>
      <c r="D483" s="1" t="s">
        <v>5644</v>
      </c>
      <c r="E483" s="1" t="s">
        <v>5645</v>
      </c>
      <c r="F483" s="1">
        <v>-12</v>
      </c>
      <c r="G483" s="1">
        <v>-12</v>
      </c>
      <c r="H483" s="1">
        <v>0</v>
      </c>
      <c r="I483" s="1">
        <v>0</v>
      </c>
      <c r="J483" s="1">
        <v>12</v>
      </c>
      <c r="K483" s="1">
        <v>-12</v>
      </c>
    </row>
    <row r="484" spans="3:11" x14ac:dyDescent="0.25">
      <c r="D484" s="1" t="s">
        <v>5646</v>
      </c>
      <c r="E484" s="1" t="s">
        <v>5647</v>
      </c>
      <c r="F484" s="1">
        <v>-12</v>
      </c>
      <c r="G484" s="1">
        <v>-12</v>
      </c>
      <c r="H484" s="1">
        <v>0</v>
      </c>
      <c r="I484" s="1">
        <v>0</v>
      </c>
      <c r="J484" s="1">
        <v>12</v>
      </c>
      <c r="K484" s="1">
        <v>-12</v>
      </c>
    </row>
    <row r="485" spans="3:11" x14ac:dyDescent="0.25">
      <c r="D485" s="1" t="s">
        <v>5648</v>
      </c>
      <c r="E485" s="1" t="s">
        <v>5649</v>
      </c>
      <c r="F485" s="1">
        <v>-12</v>
      </c>
      <c r="G485" s="1">
        <v>-12</v>
      </c>
      <c r="H485" s="1">
        <v>0</v>
      </c>
      <c r="I485" s="1">
        <v>0</v>
      </c>
      <c r="J485" s="1">
        <v>12</v>
      </c>
      <c r="K485" s="1">
        <v>-12</v>
      </c>
    </row>
    <row r="486" spans="3:11" x14ac:dyDescent="0.25">
      <c r="C486" s="1" t="s">
        <v>5650</v>
      </c>
      <c r="D486" s="1" t="s">
        <v>5651</v>
      </c>
      <c r="E486" s="1" t="s">
        <v>5652</v>
      </c>
      <c r="F486" s="1">
        <v>-12</v>
      </c>
      <c r="G486" s="1">
        <v>-12</v>
      </c>
      <c r="H486" s="1">
        <v>0</v>
      </c>
      <c r="I486" s="1">
        <v>0</v>
      </c>
      <c r="J486" s="1">
        <v>12</v>
      </c>
      <c r="K486" s="1">
        <v>-12</v>
      </c>
    </row>
    <row r="487" spans="3:11" x14ac:dyDescent="0.25">
      <c r="C487" s="1" t="s">
        <v>5653</v>
      </c>
      <c r="D487" s="1" t="s">
        <v>5654</v>
      </c>
      <c r="E487" s="1" t="s">
        <v>5655</v>
      </c>
      <c r="F487" s="1">
        <v>-12</v>
      </c>
      <c r="G487" s="1">
        <v>-12</v>
      </c>
      <c r="H487" s="1">
        <v>0</v>
      </c>
      <c r="I487" s="1">
        <v>0</v>
      </c>
      <c r="J487" s="1">
        <v>12</v>
      </c>
      <c r="K487" s="1">
        <v>-12</v>
      </c>
    </row>
    <row r="488" spans="3:11" x14ac:dyDescent="0.25">
      <c r="D488" s="1" t="s">
        <v>5656</v>
      </c>
      <c r="E488" s="1" t="s">
        <v>5657</v>
      </c>
      <c r="F488" s="1">
        <v>-12</v>
      </c>
      <c r="G488" s="1">
        <v>-12</v>
      </c>
      <c r="H488" s="1">
        <v>0</v>
      </c>
      <c r="I488" s="1">
        <v>0</v>
      </c>
      <c r="J488" s="1">
        <v>12</v>
      </c>
      <c r="K488" s="1">
        <v>-12</v>
      </c>
    </row>
    <row r="489" spans="3:11" x14ac:dyDescent="0.25">
      <c r="D489" s="1" t="s">
        <v>5658</v>
      </c>
      <c r="E489" s="1" t="s">
        <v>5659</v>
      </c>
      <c r="F489" s="1">
        <v>-12</v>
      </c>
      <c r="G489" s="1">
        <v>-12</v>
      </c>
      <c r="H489" s="1">
        <v>0</v>
      </c>
      <c r="I489" s="1">
        <v>0</v>
      </c>
      <c r="J489" s="1">
        <v>12</v>
      </c>
      <c r="K489" s="1">
        <v>-12</v>
      </c>
    </row>
    <row r="490" spans="3:11" x14ac:dyDescent="0.25">
      <c r="D490" s="1" t="s">
        <v>5660</v>
      </c>
      <c r="E490" s="1" t="s">
        <v>5661</v>
      </c>
      <c r="F490" s="1">
        <v>-12</v>
      </c>
      <c r="G490" s="1">
        <v>-12</v>
      </c>
      <c r="H490" s="1">
        <v>0</v>
      </c>
      <c r="I490" s="1">
        <v>0</v>
      </c>
      <c r="J490" s="1">
        <v>12</v>
      </c>
      <c r="K490" s="1">
        <v>-12</v>
      </c>
    </row>
    <row r="491" spans="3:11" x14ac:dyDescent="0.25">
      <c r="D491" s="1" t="s">
        <v>5662</v>
      </c>
      <c r="E491" s="1" t="s">
        <v>5663</v>
      </c>
      <c r="F491" s="1">
        <v>-12</v>
      </c>
      <c r="G491" s="1">
        <v>-12</v>
      </c>
      <c r="H491" s="1">
        <v>0</v>
      </c>
      <c r="I491" s="1">
        <v>0</v>
      </c>
      <c r="J491" s="1">
        <v>12</v>
      </c>
      <c r="K491" s="1">
        <v>-12</v>
      </c>
    </row>
    <row r="492" spans="3:11" x14ac:dyDescent="0.25">
      <c r="C492" s="1" t="s">
        <v>5664</v>
      </c>
      <c r="D492" s="1" t="s">
        <v>5665</v>
      </c>
      <c r="E492" s="1" t="s">
        <v>5666</v>
      </c>
      <c r="F492" s="1">
        <v>-12</v>
      </c>
      <c r="G492" s="1">
        <v>-12</v>
      </c>
      <c r="H492" s="1">
        <v>0</v>
      </c>
      <c r="I492" s="1">
        <v>0</v>
      </c>
      <c r="J492" s="1">
        <v>12</v>
      </c>
      <c r="K492" s="1">
        <v>-12</v>
      </c>
    </row>
    <row r="493" spans="3:11" x14ac:dyDescent="0.25">
      <c r="D493" s="1" t="s">
        <v>5667</v>
      </c>
      <c r="E493" s="1" t="s">
        <v>5668</v>
      </c>
      <c r="F493" s="1">
        <v>-12</v>
      </c>
      <c r="G493" s="1">
        <v>-12</v>
      </c>
      <c r="H493" s="1">
        <v>0</v>
      </c>
      <c r="I493" s="1">
        <v>0</v>
      </c>
      <c r="J493" s="1">
        <v>12</v>
      </c>
      <c r="K493" s="1">
        <v>-12</v>
      </c>
    </row>
    <row r="494" spans="3:11" x14ac:dyDescent="0.25">
      <c r="D494" s="1" t="s">
        <v>5669</v>
      </c>
      <c r="E494" s="1" t="s">
        <v>5670</v>
      </c>
      <c r="F494" s="1">
        <v>-12</v>
      </c>
      <c r="G494" s="1">
        <v>-12</v>
      </c>
      <c r="H494" s="1">
        <v>0</v>
      </c>
      <c r="I494" s="1">
        <v>0</v>
      </c>
      <c r="J494" s="1">
        <v>12</v>
      </c>
      <c r="K494" s="1">
        <v>-12</v>
      </c>
    </row>
    <row r="495" spans="3:11" x14ac:dyDescent="0.25">
      <c r="C495" s="1" t="s">
        <v>5671</v>
      </c>
      <c r="D495" s="1" t="s">
        <v>5672</v>
      </c>
      <c r="E495" s="1" t="s">
        <v>5673</v>
      </c>
      <c r="F495" s="1">
        <v>-12</v>
      </c>
      <c r="G495" s="1">
        <v>-12</v>
      </c>
      <c r="H495" s="1">
        <v>0</v>
      </c>
      <c r="I495" s="1">
        <v>0</v>
      </c>
      <c r="J495" s="1">
        <v>12</v>
      </c>
      <c r="K495" s="1">
        <v>-12</v>
      </c>
    </row>
    <row r="496" spans="3:11" x14ac:dyDescent="0.25">
      <c r="C496" s="1" t="s">
        <v>5674</v>
      </c>
      <c r="D496" s="1" t="s">
        <v>5675</v>
      </c>
      <c r="E496" s="1" t="s">
        <v>5676</v>
      </c>
      <c r="F496" s="1">
        <v>-12</v>
      </c>
      <c r="G496" s="1">
        <v>-12</v>
      </c>
      <c r="H496" s="1">
        <v>0</v>
      </c>
      <c r="I496" s="1">
        <v>0</v>
      </c>
      <c r="J496" s="1">
        <v>12</v>
      </c>
      <c r="K496" s="1">
        <v>-12</v>
      </c>
    </row>
    <row r="497" spans="3:11" x14ac:dyDescent="0.25">
      <c r="D497" s="1" t="s">
        <v>5677</v>
      </c>
      <c r="E497" s="1" t="s">
        <v>5678</v>
      </c>
      <c r="F497" s="1">
        <v>-12</v>
      </c>
      <c r="G497" s="1">
        <v>-12</v>
      </c>
      <c r="H497" s="1">
        <v>0</v>
      </c>
      <c r="I497" s="1">
        <v>0</v>
      </c>
      <c r="J497" s="1">
        <v>12</v>
      </c>
      <c r="K497" s="1">
        <v>-12</v>
      </c>
    </row>
    <row r="498" spans="3:11" x14ac:dyDescent="0.25">
      <c r="C498" s="1" t="s">
        <v>5679</v>
      </c>
      <c r="D498" s="1" t="s">
        <v>5680</v>
      </c>
      <c r="E498" s="1" t="s">
        <v>5681</v>
      </c>
      <c r="F498" s="1">
        <v>-12</v>
      </c>
      <c r="G498" s="1">
        <v>-12</v>
      </c>
      <c r="H498" s="1">
        <v>0</v>
      </c>
      <c r="I498" s="1">
        <v>0</v>
      </c>
      <c r="J498" s="1">
        <v>12</v>
      </c>
      <c r="K498" s="1">
        <v>-12</v>
      </c>
    </row>
    <row r="499" spans="3:11" x14ac:dyDescent="0.25">
      <c r="C499" s="1" t="s">
        <v>5682</v>
      </c>
      <c r="D499" s="1" t="s">
        <v>5683</v>
      </c>
      <c r="E499" s="1" t="s">
        <v>5684</v>
      </c>
      <c r="F499" s="1">
        <v>-12</v>
      </c>
      <c r="G499" s="1">
        <v>-12</v>
      </c>
      <c r="H499" s="1">
        <v>0</v>
      </c>
      <c r="I499" s="1">
        <v>0</v>
      </c>
      <c r="J499" s="1">
        <v>12</v>
      </c>
      <c r="K499" s="1">
        <v>-12</v>
      </c>
    </row>
    <row r="500" spans="3:11" x14ac:dyDescent="0.25">
      <c r="C500" s="1" t="s">
        <v>5685</v>
      </c>
      <c r="D500" s="1" t="s">
        <v>5686</v>
      </c>
      <c r="E500" s="1" t="s">
        <v>5687</v>
      </c>
      <c r="F500" s="1">
        <v>-11</v>
      </c>
      <c r="G500" s="1">
        <v>-11</v>
      </c>
      <c r="H500" s="1">
        <v>0</v>
      </c>
      <c r="I500" s="1">
        <v>774</v>
      </c>
      <c r="J500" s="1">
        <v>785</v>
      </c>
      <c r="K500" s="1">
        <v>-11</v>
      </c>
    </row>
    <row r="501" spans="3:11" x14ac:dyDescent="0.25">
      <c r="C501" s="1" t="s">
        <v>5688</v>
      </c>
      <c r="D501" s="1" t="s">
        <v>5689</v>
      </c>
      <c r="E501" s="1" t="s">
        <v>5690</v>
      </c>
      <c r="F501" s="1">
        <v>-11</v>
      </c>
      <c r="G501" s="1">
        <v>-11</v>
      </c>
      <c r="H501" s="1">
        <v>0</v>
      </c>
      <c r="I501" s="1">
        <v>449</v>
      </c>
      <c r="J501" s="1">
        <v>460</v>
      </c>
      <c r="K501" s="1">
        <v>-11</v>
      </c>
    </row>
    <row r="502" spans="3:11" x14ac:dyDescent="0.25">
      <c r="C502" s="1" t="s">
        <v>5691</v>
      </c>
      <c r="D502" s="1" t="s">
        <v>5692</v>
      </c>
      <c r="E502" s="1" t="s">
        <v>5693</v>
      </c>
      <c r="F502" s="1">
        <v>-11</v>
      </c>
      <c r="G502" s="1">
        <v>-11</v>
      </c>
      <c r="H502" s="1">
        <v>0</v>
      </c>
      <c r="I502" s="1">
        <v>110</v>
      </c>
      <c r="J502" s="1">
        <v>121</v>
      </c>
      <c r="K502" s="1">
        <v>-11</v>
      </c>
    </row>
    <row r="503" spans="3:11" x14ac:dyDescent="0.25">
      <c r="C503" s="1" t="s">
        <v>5694</v>
      </c>
      <c r="D503" s="1" t="s">
        <v>5695</v>
      </c>
      <c r="E503" s="1" t="s">
        <v>5696</v>
      </c>
      <c r="F503" s="1">
        <v>-11</v>
      </c>
      <c r="G503" s="1">
        <v>-11</v>
      </c>
      <c r="H503" s="1">
        <v>0</v>
      </c>
      <c r="I503" s="1">
        <v>35</v>
      </c>
      <c r="J503" s="1">
        <v>46</v>
      </c>
      <c r="K503" s="1">
        <v>-11</v>
      </c>
    </row>
    <row r="504" spans="3:11" x14ac:dyDescent="0.25">
      <c r="D504" s="1" t="s">
        <v>5697</v>
      </c>
      <c r="E504" s="1" t="s">
        <v>5698</v>
      </c>
      <c r="F504" s="1">
        <v>-11</v>
      </c>
      <c r="G504" s="1">
        <v>-11</v>
      </c>
      <c r="H504" s="1">
        <v>0</v>
      </c>
      <c r="I504" s="1">
        <v>3</v>
      </c>
      <c r="J504" s="1">
        <v>14</v>
      </c>
      <c r="K504" s="1">
        <v>-11</v>
      </c>
    </row>
    <row r="505" spans="3:11" x14ac:dyDescent="0.25">
      <c r="D505" s="1" t="s">
        <v>5699</v>
      </c>
      <c r="E505" s="1" t="s">
        <v>5700</v>
      </c>
      <c r="F505" s="1">
        <v>-11</v>
      </c>
      <c r="G505" s="1">
        <v>-11</v>
      </c>
      <c r="H505" s="1">
        <v>0</v>
      </c>
      <c r="I505" s="1">
        <v>2</v>
      </c>
      <c r="J505" s="1">
        <v>13</v>
      </c>
      <c r="K505" s="1">
        <v>-11</v>
      </c>
    </row>
    <row r="506" spans="3:11" x14ac:dyDescent="0.25">
      <c r="D506" s="1" t="s">
        <v>5701</v>
      </c>
      <c r="E506" s="1" t="s">
        <v>5702</v>
      </c>
      <c r="F506" s="1">
        <v>-11</v>
      </c>
      <c r="G506" s="1">
        <v>-11</v>
      </c>
      <c r="H506" s="1">
        <v>0</v>
      </c>
      <c r="I506" s="1">
        <v>1</v>
      </c>
      <c r="J506" s="1">
        <v>12</v>
      </c>
      <c r="K506" s="1">
        <v>-11</v>
      </c>
    </row>
    <row r="507" spans="3:11" x14ac:dyDescent="0.25">
      <c r="D507" s="1" t="s">
        <v>5703</v>
      </c>
      <c r="E507" s="1" t="s">
        <v>5704</v>
      </c>
      <c r="F507" s="1">
        <v>-11</v>
      </c>
      <c r="G507" s="1">
        <v>-11</v>
      </c>
      <c r="H507" s="1">
        <v>0</v>
      </c>
      <c r="I507" s="1">
        <v>1</v>
      </c>
      <c r="J507" s="1">
        <v>12</v>
      </c>
      <c r="K507" s="1">
        <v>-11</v>
      </c>
    </row>
    <row r="508" spans="3:11" x14ac:dyDescent="0.25">
      <c r="C508" s="1" t="s">
        <v>5705</v>
      </c>
      <c r="D508" s="1" t="s">
        <v>5706</v>
      </c>
      <c r="E508" s="1" t="s">
        <v>5707</v>
      </c>
      <c r="F508" s="1">
        <v>-11</v>
      </c>
      <c r="G508" s="1">
        <v>-11</v>
      </c>
      <c r="H508" s="1">
        <v>0</v>
      </c>
      <c r="I508" s="1">
        <v>1</v>
      </c>
      <c r="J508" s="1">
        <v>12</v>
      </c>
      <c r="K508" s="1">
        <v>-11</v>
      </c>
    </row>
    <row r="509" spans="3:11" x14ac:dyDescent="0.25">
      <c r="C509" s="1" t="s">
        <v>5708</v>
      </c>
      <c r="D509" s="1" t="s">
        <v>5709</v>
      </c>
      <c r="E509" s="1" t="s">
        <v>5710</v>
      </c>
      <c r="F509" s="1">
        <v>-11</v>
      </c>
      <c r="G509" s="1">
        <v>-11</v>
      </c>
      <c r="H509" s="1">
        <v>0</v>
      </c>
      <c r="I509" s="1">
        <v>0</v>
      </c>
      <c r="J509" s="1">
        <v>11</v>
      </c>
      <c r="K509" s="1">
        <v>-11</v>
      </c>
    </row>
    <row r="510" spans="3:11" x14ac:dyDescent="0.25">
      <c r="C510" s="1" t="s">
        <v>5711</v>
      </c>
      <c r="D510" s="1" t="s">
        <v>5712</v>
      </c>
      <c r="E510" s="1" t="s">
        <v>5711</v>
      </c>
      <c r="F510" s="1">
        <v>-11</v>
      </c>
      <c r="G510" s="1">
        <v>-11</v>
      </c>
      <c r="H510" s="1">
        <v>0</v>
      </c>
      <c r="I510" s="1">
        <v>0</v>
      </c>
      <c r="J510" s="1">
        <v>11</v>
      </c>
      <c r="K510" s="1">
        <v>-11</v>
      </c>
    </row>
    <row r="511" spans="3:11" x14ac:dyDescent="0.25">
      <c r="C511" s="1" t="s">
        <v>5713</v>
      </c>
      <c r="D511" s="1" t="s">
        <v>5714</v>
      </c>
      <c r="E511" s="1" t="s">
        <v>5713</v>
      </c>
      <c r="F511" s="1">
        <v>-11</v>
      </c>
      <c r="G511" s="1">
        <v>-11</v>
      </c>
      <c r="H511" s="1">
        <v>0</v>
      </c>
      <c r="I511" s="1">
        <v>0</v>
      </c>
      <c r="J511" s="1">
        <v>11</v>
      </c>
      <c r="K511" s="1">
        <v>-11</v>
      </c>
    </row>
    <row r="512" spans="3:11" x14ac:dyDescent="0.25">
      <c r="C512" s="1" t="s">
        <v>5715</v>
      </c>
      <c r="D512" s="1" t="s">
        <v>5716</v>
      </c>
      <c r="E512" s="1" t="s">
        <v>5715</v>
      </c>
      <c r="F512" s="1">
        <v>-11</v>
      </c>
      <c r="G512" s="1">
        <v>-11</v>
      </c>
      <c r="H512" s="1">
        <v>0</v>
      </c>
      <c r="I512" s="1">
        <v>0</v>
      </c>
      <c r="J512" s="1">
        <v>11</v>
      </c>
      <c r="K512" s="1">
        <v>-11</v>
      </c>
    </row>
    <row r="513" spans="3:11" x14ac:dyDescent="0.25">
      <c r="C513" s="1" t="s">
        <v>5717</v>
      </c>
      <c r="D513" s="1" t="s">
        <v>5718</v>
      </c>
      <c r="E513" s="1" t="s">
        <v>5717</v>
      </c>
      <c r="F513" s="1">
        <v>-11</v>
      </c>
      <c r="G513" s="1">
        <v>-11</v>
      </c>
      <c r="H513" s="1">
        <v>0</v>
      </c>
      <c r="I513" s="1">
        <v>0</v>
      </c>
      <c r="J513" s="1">
        <v>11</v>
      </c>
      <c r="K513" s="1">
        <v>-11</v>
      </c>
    </row>
    <row r="514" spans="3:11" x14ac:dyDescent="0.25">
      <c r="D514" s="1" t="s">
        <v>5719</v>
      </c>
      <c r="E514" s="1" t="s">
        <v>5720</v>
      </c>
      <c r="F514" s="1">
        <v>-11</v>
      </c>
      <c r="G514" s="1">
        <v>-11</v>
      </c>
      <c r="H514" s="1">
        <v>0</v>
      </c>
      <c r="I514" s="1">
        <v>0</v>
      </c>
      <c r="J514" s="1">
        <v>11</v>
      </c>
      <c r="K514" s="1">
        <v>-11</v>
      </c>
    </row>
    <row r="515" spans="3:11" x14ac:dyDescent="0.25">
      <c r="D515" s="1" t="s">
        <v>5721</v>
      </c>
      <c r="E515" s="1" t="s">
        <v>5722</v>
      </c>
      <c r="F515" s="1">
        <v>-11</v>
      </c>
      <c r="G515" s="1">
        <v>-11</v>
      </c>
      <c r="H515" s="1">
        <v>0</v>
      </c>
      <c r="I515" s="1">
        <v>0</v>
      </c>
      <c r="J515" s="1">
        <v>11</v>
      </c>
      <c r="K515" s="1">
        <v>-11</v>
      </c>
    </row>
    <row r="516" spans="3:11" x14ac:dyDescent="0.25">
      <c r="D516" s="1" t="s">
        <v>5723</v>
      </c>
      <c r="E516" s="1" t="s">
        <v>5724</v>
      </c>
      <c r="F516" s="1">
        <v>-11</v>
      </c>
      <c r="G516" s="1">
        <v>-11</v>
      </c>
      <c r="H516" s="1">
        <v>0</v>
      </c>
      <c r="I516" s="1">
        <v>0</v>
      </c>
      <c r="J516" s="1">
        <v>11</v>
      </c>
      <c r="K516" s="1">
        <v>-11</v>
      </c>
    </row>
    <row r="517" spans="3:11" x14ac:dyDescent="0.25">
      <c r="C517" s="1" t="s">
        <v>5725</v>
      </c>
      <c r="D517" s="1" t="s">
        <v>5726</v>
      </c>
      <c r="E517" s="1" t="s">
        <v>5725</v>
      </c>
      <c r="F517" s="1">
        <v>-11</v>
      </c>
      <c r="G517" s="1">
        <v>-11</v>
      </c>
      <c r="H517" s="1">
        <v>0</v>
      </c>
      <c r="I517" s="1">
        <v>0</v>
      </c>
      <c r="J517" s="1">
        <v>11</v>
      </c>
      <c r="K517" s="1">
        <v>-11</v>
      </c>
    </row>
    <row r="518" spans="3:11" x14ac:dyDescent="0.25">
      <c r="C518" s="1" t="s">
        <v>5727</v>
      </c>
      <c r="D518" s="1" t="s">
        <v>5728</v>
      </c>
      <c r="E518" s="1" t="s">
        <v>5729</v>
      </c>
      <c r="F518" s="1">
        <v>-11</v>
      </c>
      <c r="G518" s="1">
        <v>-11</v>
      </c>
      <c r="H518" s="1">
        <v>0</v>
      </c>
      <c r="I518" s="1">
        <v>0</v>
      </c>
      <c r="J518" s="1">
        <v>11</v>
      </c>
      <c r="K518" s="1">
        <v>-11</v>
      </c>
    </row>
    <row r="519" spans="3:11" x14ac:dyDescent="0.25">
      <c r="D519" s="1" t="s">
        <v>5730</v>
      </c>
      <c r="E519" s="1" t="s">
        <v>5731</v>
      </c>
      <c r="F519" s="1">
        <v>-11</v>
      </c>
      <c r="G519" s="1">
        <v>-11</v>
      </c>
      <c r="H519" s="1">
        <v>0</v>
      </c>
      <c r="I519" s="1">
        <v>0</v>
      </c>
      <c r="J519" s="1">
        <v>11</v>
      </c>
      <c r="K519" s="1">
        <v>-11</v>
      </c>
    </row>
    <row r="520" spans="3:11" x14ac:dyDescent="0.25">
      <c r="D520" s="1" t="s">
        <v>5732</v>
      </c>
      <c r="E520" s="1" t="s">
        <v>5733</v>
      </c>
      <c r="F520" s="1">
        <v>-11</v>
      </c>
      <c r="G520" s="1">
        <v>-11</v>
      </c>
      <c r="H520" s="1">
        <v>0</v>
      </c>
      <c r="I520" s="1">
        <v>0</v>
      </c>
      <c r="J520" s="1">
        <v>11</v>
      </c>
      <c r="K520" s="1">
        <v>-11</v>
      </c>
    </row>
    <row r="521" spans="3:11" x14ac:dyDescent="0.25">
      <c r="C521" s="1" t="s">
        <v>5734</v>
      </c>
      <c r="D521" s="1" t="s">
        <v>5735</v>
      </c>
      <c r="E521" s="1" t="s">
        <v>5734</v>
      </c>
      <c r="F521" s="1">
        <v>-11</v>
      </c>
      <c r="G521" s="1">
        <v>-11</v>
      </c>
      <c r="H521" s="1">
        <v>0</v>
      </c>
      <c r="I521" s="1">
        <v>0</v>
      </c>
      <c r="J521" s="1">
        <v>11</v>
      </c>
      <c r="K521" s="1">
        <v>-11</v>
      </c>
    </row>
    <row r="522" spans="3:11" x14ac:dyDescent="0.25">
      <c r="C522" s="1" t="s">
        <v>5736</v>
      </c>
      <c r="D522" s="1" t="s">
        <v>5737</v>
      </c>
      <c r="E522" s="1" t="s">
        <v>5736</v>
      </c>
      <c r="F522" s="1">
        <v>-11</v>
      </c>
      <c r="G522" s="1">
        <v>-11</v>
      </c>
      <c r="H522" s="1">
        <v>0</v>
      </c>
      <c r="I522" s="1">
        <v>0</v>
      </c>
      <c r="J522" s="1">
        <v>11</v>
      </c>
      <c r="K522" s="1">
        <v>-11</v>
      </c>
    </row>
    <row r="523" spans="3:11" x14ac:dyDescent="0.25">
      <c r="C523" s="1" t="s">
        <v>5738</v>
      </c>
      <c r="D523" s="1" t="s">
        <v>5739</v>
      </c>
      <c r="E523" s="1" t="s">
        <v>5740</v>
      </c>
      <c r="F523" s="1">
        <v>-10</v>
      </c>
      <c r="G523" s="1">
        <v>-10</v>
      </c>
      <c r="H523" s="1">
        <v>0</v>
      </c>
      <c r="I523" s="1">
        <v>1179</v>
      </c>
      <c r="J523" s="1">
        <v>1189</v>
      </c>
      <c r="K523" s="1">
        <v>-10</v>
      </c>
    </row>
    <row r="524" spans="3:11" x14ac:dyDescent="0.25">
      <c r="C524" s="1" t="s">
        <v>5741</v>
      </c>
      <c r="D524" s="1" t="s">
        <v>5742</v>
      </c>
      <c r="E524" s="1" t="s">
        <v>5741</v>
      </c>
      <c r="F524" s="1">
        <v>-10</v>
      </c>
      <c r="G524" s="1">
        <v>-10</v>
      </c>
      <c r="H524" s="1">
        <v>0</v>
      </c>
      <c r="I524" s="1">
        <v>286</v>
      </c>
      <c r="J524" s="1">
        <v>296</v>
      </c>
      <c r="K524" s="1">
        <v>-10</v>
      </c>
    </row>
    <row r="525" spans="3:11" x14ac:dyDescent="0.25">
      <c r="C525" s="1" t="s">
        <v>5743</v>
      </c>
      <c r="D525" s="1" t="s">
        <v>5744</v>
      </c>
      <c r="E525" s="1" t="s">
        <v>5745</v>
      </c>
      <c r="F525" s="1">
        <v>-10</v>
      </c>
      <c r="G525" s="1">
        <v>-10</v>
      </c>
      <c r="H525" s="1">
        <v>0</v>
      </c>
      <c r="I525" s="1">
        <v>245</v>
      </c>
      <c r="J525" s="1">
        <v>255</v>
      </c>
      <c r="K525" s="1">
        <v>-10</v>
      </c>
    </row>
    <row r="526" spans="3:11" x14ac:dyDescent="0.25">
      <c r="C526" s="1" t="s">
        <v>5746</v>
      </c>
      <c r="D526" s="1" t="s">
        <v>5747</v>
      </c>
      <c r="E526" s="1" t="s">
        <v>5748</v>
      </c>
      <c r="F526" s="1">
        <v>-10</v>
      </c>
      <c r="G526" s="1">
        <v>-10</v>
      </c>
      <c r="H526" s="1">
        <v>0</v>
      </c>
      <c r="I526" s="1">
        <v>238</v>
      </c>
      <c r="J526" s="1">
        <v>248</v>
      </c>
      <c r="K526" s="1">
        <v>-10</v>
      </c>
    </row>
    <row r="527" spans="3:11" x14ac:dyDescent="0.25">
      <c r="D527" s="1" t="s">
        <v>5749</v>
      </c>
      <c r="E527" s="1" t="s">
        <v>5750</v>
      </c>
      <c r="F527" s="1">
        <v>-10</v>
      </c>
      <c r="G527" s="1">
        <v>-10</v>
      </c>
      <c r="H527" s="1">
        <v>0</v>
      </c>
      <c r="I527" s="1">
        <v>104</v>
      </c>
      <c r="J527" s="1">
        <v>114</v>
      </c>
      <c r="K527" s="1">
        <v>-10</v>
      </c>
    </row>
    <row r="528" spans="3:11" x14ac:dyDescent="0.25">
      <c r="C528" s="1" t="s">
        <v>5751</v>
      </c>
      <c r="D528" s="1" t="s">
        <v>5752</v>
      </c>
      <c r="E528" s="1" t="s">
        <v>5751</v>
      </c>
      <c r="F528" s="1">
        <v>-10</v>
      </c>
      <c r="G528" s="1">
        <v>-10</v>
      </c>
      <c r="H528" s="1">
        <v>0</v>
      </c>
      <c r="I528" s="1">
        <v>31</v>
      </c>
      <c r="J528" s="1">
        <v>41</v>
      </c>
      <c r="K528" s="1">
        <v>-10</v>
      </c>
    </row>
    <row r="529" spans="3:11" x14ac:dyDescent="0.25">
      <c r="D529" s="1" t="s">
        <v>5753</v>
      </c>
      <c r="E529" s="1" t="s">
        <v>5754</v>
      </c>
      <c r="F529" s="1">
        <v>-10</v>
      </c>
      <c r="G529" s="1">
        <v>-10</v>
      </c>
      <c r="H529" s="1">
        <v>0</v>
      </c>
      <c r="I529" s="1">
        <v>10</v>
      </c>
      <c r="J529" s="1">
        <v>20</v>
      </c>
      <c r="K529" s="1">
        <v>-10</v>
      </c>
    </row>
    <row r="530" spans="3:11" x14ac:dyDescent="0.25">
      <c r="C530" s="1" t="s">
        <v>5755</v>
      </c>
      <c r="D530" s="1" t="s">
        <v>5756</v>
      </c>
      <c r="E530" s="1" t="s">
        <v>5757</v>
      </c>
      <c r="F530" s="1">
        <v>-10</v>
      </c>
      <c r="G530" s="1">
        <v>-10</v>
      </c>
      <c r="H530" s="1">
        <v>0</v>
      </c>
      <c r="I530" s="1">
        <v>7</v>
      </c>
      <c r="J530" s="1">
        <v>17</v>
      </c>
      <c r="K530" s="1">
        <v>-10</v>
      </c>
    </row>
    <row r="531" spans="3:11" x14ac:dyDescent="0.25">
      <c r="C531" s="1" t="s">
        <v>5758</v>
      </c>
      <c r="D531" s="1" t="s">
        <v>5759</v>
      </c>
      <c r="E531" s="1" t="s">
        <v>5760</v>
      </c>
      <c r="F531" s="1">
        <v>-10</v>
      </c>
      <c r="G531" s="1">
        <v>-10</v>
      </c>
      <c r="H531" s="1">
        <v>0</v>
      </c>
      <c r="I531" s="1">
        <v>5</v>
      </c>
      <c r="J531" s="1">
        <v>15</v>
      </c>
      <c r="K531" s="1">
        <v>-10</v>
      </c>
    </row>
    <row r="532" spans="3:11" x14ac:dyDescent="0.25">
      <c r="C532" s="1" t="s">
        <v>5761</v>
      </c>
      <c r="D532" s="1" t="s">
        <v>5762</v>
      </c>
      <c r="E532" s="1" t="s">
        <v>5763</v>
      </c>
      <c r="F532" s="1">
        <v>-10</v>
      </c>
      <c r="G532" s="1">
        <v>-10</v>
      </c>
      <c r="H532" s="1">
        <v>0</v>
      </c>
      <c r="I532" s="1">
        <v>3</v>
      </c>
      <c r="J532" s="1">
        <v>13</v>
      </c>
      <c r="K532" s="1">
        <v>-10</v>
      </c>
    </row>
    <row r="533" spans="3:11" x14ac:dyDescent="0.25">
      <c r="C533" s="1" t="s">
        <v>5764</v>
      </c>
      <c r="D533" s="1" t="s">
        <v>5765</v>
      </c>
      <c r="E533" s="1" t="s">
        <v>5764</v>
      </c>
      <c r="F533" s="1">
        <v>-10</v>
      </c>
      <c r="G533" s="1">
        <v>-10</v>
      </c>
      <c r="H533" s="1">
        <v>0</v>
      </c>
      <c r="I533" s="1">
        <v>3</v>
      </c>
      <c r="J533" s="1">
        <v>13</v>
      </c>
      <c r="K533" s="1">
        <v>-10</v>
      </c>
    </row>
    <row r="534" spans="3:11" x14ac:dyDescent="0.25">
      <c r="C534" s="1" t="s">
        <v>5766</v>
      </c>
      <c r="D534" s="1" t="s">
        <v>5767</v>
      </c>
      <c r="E534" s="1" t="s">
        <v>5768</v>
      </c>
      <c r="F534" s="1">
        <v>-10</v>
      </c>
      <c r="G534" s="1">
        <v>-10</v>
      </c>
      <c r="H534" s="1">
        <v>0</v>
      </c>
      <c r="I534" s="1">
        <v>0</v>
      </c>
      <c r="J534" s="1">
        <v>10</v>
      </c>
      <c r="K534" s="1">
        <v>-10</v>
      </c>
    </row>
    <row r="535" spans="3:11" x14ac:dyDescent="0.25">
      <c r="C535" s="1" t="s">
        <v>5769</v>
      </c>
      <c r="D535" s="1" t="s">
        <v>5770</v>
      </c>
      <c r="E535" s="1" t="s">
        <v>5771</v>
      </c>
      <c r="F535" s="1">
        <v>-10</v>
      </c>
      <c r="G535" s="1">
        <v>-10</v>
      </c>
      <c r="H535" s="1">
        <v>0</v>
      </c>
      <c r="I535" s="1">
        <v>0</v>
      </c>
      <c r="J535" s="1">
        <v>10</v>
      </c>
      <c r="K535" s="1">
        <v>-10</v>
      </c>
    </row>
    <row r="536" spans="3:11" x14ac:dyDescent="0.25">
      <c r="C536" s="1" t="s">
        <v>5772</v>
      </c>
      <c r="D536" s="1" t="s">
        <v>5773</v>
      </c>
      <c r="E536" s="1" t="s">
        <v>5774</v>
      </c>
      <c r="F536" s="1">
        <v>-10</v>
      </c>
      <c r="G536" s="1">
        <v>-10</v>
      </c>
      <c r="H536" s="1">
        <v>0</v>
      </c>
      <c r="I536" s="1">
        <v>0</v>
      </c>
      <c r="J536" s="1">
        <v>10</v>
      </c>
      <c r="K536" s="1">
        <v>-10</v>
      </c>
    </row>
    <row r="537" spans="3:11" x14ac:dyDescent="0.25">
      <c r="D537" s="1" t="s">
        <v>5775</v>
      </c>
      <c r="E537" s="1" t="s">
        <v>5776</v>
      </c>
      <c r="F537" s="1">
        <v>-10</v>
      </c>
      <c r="G537" s="1">
        <v>-10</v>
      </c>
      <c r="H537" s="1">
        <v>0</v>
      </c>
      <c r="I537" s="1">
        <v>0</v>
      </c>
      <c r="J537" s="1">
        <v>10</v>
      </c>
      <c r="K537" s="1">
        <v>-10</v>
      </c>
    </row>
    <row r="538" spans="3:11" x14ac:dyDescent="0.25">
      <c r="C538" s="1" t="s">
        <v>5777</v>
      </c>
      <c r="D538" s="1" t="s">
        <v>5778</v>
      </c>
      <c r="E538" s="1" t="s">
        <v>5777</v>
      </c>
      <c r="F538" s="1">
        <v>-10</v>
      </c>
      <c r="G538" s="1">
        <v>-10</v>
      </c>
      <c r="H538" s="1">
        <v>0</v>
      </c>
      <c r="I538" s="1">
        <v>0</v>
      </c>
      <c r="J538" s="1">
        <v>10</v>
      </c>
      <c r="K538" s="1">
        <v>-10</v>
      </c>
    </row>
    <row r="539" spans="3:11" x14ac:dyDescent="0.25">
      <c r="C539" s="1" t="s">
        <v>5779</v>
      </c>
      <c r="D539" s="1" t="s">
        <v>5780</v>
      </c>
      <c r="E539" s="1" t="s">
        <v>5781</v>
      </c>
      <c r="F539" s="1">
        <v>-10</v>
      </c>
      <c r="G539" s="1">
        <v>-10</v>
      </c>
      <c r="H539" s="1">
        <v>0</v>
      </c>
      <c r="I539" s="1">
        <v>0</v>
      </c>
      <c r="J539" s="1">
        <v>10</v>
      </c>
      <c r="K539" s="1">
        <v>-10</v>
      </c>
    </row>
    <row r="540" spans="3:11" x14ac:dyDescent="0.25">
      <c r="C540" s="1" t="s">
        <v>5782</v>
      </c>
      <c r="D540" s="1" t="s">
        <v>5783</v>
      </c>
      <c r="E540" s="1" t="s">
        <v>5782</v>
      </c>
      <c r="F540" s="1">
        <v>-10</v>
      </c>
      <c r="G540" s="1">
        <v>-10</v>
      </c>
      <c r="H540" s="1">
        <v>0</v>
      </c>
      <c r="I540" s="1">
        <v>0</v>
      </c>
      <c r="J540" s="1">
        <v>10</v>
      </c>
      <c r="K540" s="1">
        <v>-10</v>
      </c>
    </row>
    <row r="541" spans="3:11" x14ac:dyDescent="0.25">
      <c r="D541" s="1" t="s">
        <v>5784</v>
      </c>
      <c r="E541" s="1" t="s">
        <v>5785</v>
      </c>
      <c r="F541" s="1">
        <v>-10</v>
      </c>
      <c r="G541" s="1">
        <v>-10</v>
      </c>
      <c r="H541" s="1">
        <v>0</v>
      </c>
      <c r="I541" s="1">
        <v>0</v>
      </c>
      <c r="J541" s="1">
        <v>10</v>
      </c>
      <c r="K541" s="1">
        <v>-10</v>
      </c>
    </row>
    <row r="542" spans="3:11" x14ac:dyDescent="0.25">
      <c r="D542" s="1" t="s">
        <v>5786</v>
      </c>
      <c r="E542" s="1" t="s">
        <v>5787</v>
      </c>
      <c r="F542" s="1">
        <v>-10</v>
      </c>
      <c r="G542" s="1">
        <v>-10</v>
      </c>
      <c r="H542" s="1">
        <v>0</v>
      </c>
      <c r="I542" s="1">
        <v>0</v>
      </c>
      <c r="J542" s="1">
        <v>10</v>
      </c>
      <c r="K542" s="1">
        <v>-10</v>
      </c>
    </row>
    <row r="543" spans="3:11" x14ac:dyDescent="0.25">
      <c r="C543" s="1" t="s">
        <v>5788</v>
      </c>
      <c r="D543" s="1" t="s">
        <v>5789</v>
      </c>
      <c r="E543" s="1" t="s">
        <v>5790</v>
      </c>
      <c r="F543" s="1">
        <v>-10</v>
      </c>
      <c r="G543" s="1">
        <v>-10</v>
      </c>
      <c r="H543" s="1">
        <v>0</v>
      </c>
      <c r="I543" s="1">
        <v>0</v>
      </c>
      <c r="J543" s="1">
        <v>10</v>
      </c>
      <c r="K543" s="1">
        <v>-10</v>
      </c>
    </row>
    <row r="544" spans="3:11" x14ac:dyDescent="0.25">
      <c r="D544" s="1" t="s">
        <v>5791</v>
      </c>
      <c r="E544" s="1" t="s">
        <v>5792</v>
      </c>
      <c r="F544" s="1">
        <v>-10</v>
      </c>
      <c r="G544" s="1">
        <v>-10</v>
      </c>
      <c r="H544" s="1">
        <v>0</v>
      </c>
      <c r="I544" s="1">
        <v>0</v>
      </c>
      <c r="J544" s="1">
        <v>10</v>
      </c>
      <c r="K544" s="1">
        <v>-10</v>
      </c>
    </row>
    <row r="545" spans="3:11" x14ac:dyDescent="0.25">
      <c r="C545" s="1" t="s">
        <v>5793</v>
      </c>
      <c r="D545" s="1" t="s">
        <v>5794</v>
      </c>
      <c r="E545" s="1" t="s">
        <v>5795</v>
      </c>
      <c r="F545" s="1">
        <v>-10</v>
      </c>
      <c r="G545" s="1">
        <v>-10</v>
      </c>
      <c r="H545" s="1">
        <v>0</v>
      </c>
      <c r="I545" s="1">
        <v>0</v>
      </c>
      <c r="J545" s="1">
        <v>10</v>
      </c>
      <c r="K545" s="1">
        <v>-10</v>
      </c>
    </row>
    <row r="546" spans="3:11" x14ac:dyDescent="0.25">
      <c r="C546" s="1" t="s">
        <v>5796</v>
      </c>
      <c r="D546" s="1" t="s">
        <v>5797</v>
      </c>
      <c r="E546" s="1" t="s">
        <v>5798</v>
      </c>
      <c r="F546" s="1">
        <v>-10</v>
      </c>
      <c r="G546" s="1">
        <v>-10</v>
      </c>
      <c r="H546" s="1">
        <v>0</v>
      </c>
      <c r="I546" s="1">
        <v>0</v>
      </c>
      <c r="J546" s="1">
        <v>10</v>
      </c>
      <c r="K546" s="1">
        <v>-10</v>
      </c>
    </row>
    <row r="547" spans="3:11" x14ac:dyDescent="0.25">
      <c r="C547" s="1" t="s">
        <v>5799</v>
      </c>
      <c r="D547" s="1" t="s">
        <v>5800</v>
      </c>
      <c r="E547" s="1" t="s">
        <v>5801</v>
      </c>
      <c r="F547" s="1">
        <v>-10</v>
      </c>
      <c r="G547" s="1">
        <v>-10</v>
      </c>
      <c r="H547" s="1">
        <v>0</v>
      </c>
      <c r="I547" s="1">
        <v>0</v>
      </c>
      <c r="J547" s="1">
        <v>10</v>
      </c>
      <c r="K547" s="1">
        <v>-10</v>
      </c>
    </row>
    <row r="548" spans="3:11" x14ac:dyDescent="0.25">
      <c r="C548" s="1" t="s">
        <v>5802</v>
      </c>
      <c r="D548" s="1" t="s">
        <v>5803</v>
      </c>
      <c r="E548" s="1" t="s">
        <v>5804</v>
      </c>
      <c r="F548" s="1">
        <v>-10</v>
      </c>
      <c r="G548" s="1">
        <v>-10</v>
      </c>
      <c r="H548" s="1">
        <v>0</v>
      </c>
      <c r="I548" s="1">
        <v>0</v>
      </c>
      <c r="J548" s="1">
        <v>10</v>
      </c>
      <c r="K548" s="1">
        <v>-10</v>
      </c>
    </row>
    <row r="549" spans="3:11" x14ac:dyDescent="0.25">
      <c r="C549" s="1" t="s">
        <v>5805</v>
      </c>
      <c r="D549" s="1" t="s">
        <v>5806</v>
      </c>
      <c r="E549" s="1" t="s">
        <v>5807</v>
      </c>
      <c r="F549" s="1">
        <v>-10</v>
      </c>
      <c r="G549" s="1">
        <v>-10</v>
      </c>
      <c r="H549" s="1">
        <v>0</v>
      </c>
      <c r="I549" s="1">
        <v>0</v>
      </c>
      <c r="J549" s="1">
        <v>10</v>
      </c>
      <c r="K549" s="1">
        <v>-10</v>
      </c>
    </row>
    <row r="550" spans="3:11" x14ac:dyDescent="0.25">
      <c r="D550" s="1" t="s">
        <v>5808</v>
      </c>
      <c r="E550" s="1" t="s">
        <v>5809</v>
      </c>
      <c r="F550" s="1">
        <v>-10</v>
      </c>
      <c r="G550" s="1">
        <v>-10</v>
      </c>
      <c r="H550" s="1">
        <v>0</v>
      </c>
      <c r="I550" s="1">
        <v>0</v>
      </c>
      <c r="J550" s="1">
        <v>10</v>
      </c>
      <c r="K550" s="1">
        <v>-10</v>
      </c>
    </row>
    <row r="551" spans="3:11" x14ac:dyDescent="0.25">
      <c r="D551" s="1" t="s">
        <v>5810</v>
      </c>
      <c r="E551" s="1" t="s">
        <v>5811</v>
      </c>
      <c r="F551" s="1">
        <v>-10</v>
      </c>
      <c r="G551" s="1">
        <v>-10</v>
      </c>
      <c r="H551" s="1">
        <v>0</v>
      </c>
      <c r="I551" s="1">
        <v>0</v>
      </c>
      <c r="J551" s="1">
        <v>10</v>
      </c>
      <c r="K551" s="1">
        <v>-10</v>
      </c>
    </row>
    <row r="552" spans="3:11" x14ac:dyDescent="0.25">
      <c r="C552" s="1" t="s">
        <v>5812</v>
      </c>
      <c r="D552" s="1" t="s">
        <v>5813</v>
      </c>
      <c r="E552" s="1" t="s">
        <v>5814</v>
      </c>
      <c r="F552" s="1">
        <v>-10</v>
      </c>
      <c r="G552" s="1">
        <v>-10</v>
      </c>
      <c r="H552" s="1">
        <v>0</v>
      </c>
      <c r="I552" s="1">
        <v>0</v>
      </c>
      <c r="J552" s="1">
        <v>10</v>
      </c>
      <c r="K552" s="1">
        <v>-10</v>
      </c>
    </row>
    <row r="553" spans="3:11" x14ac:dyDescent="0.25">
      <c r="C553" s="1" t="s">
        <v>5815</v>
      </c>
      <c r="D553" s="1" t="s">
        <v>5816</v>
      </c>
      <c r="E553" s="1" t="s">
        <v>5815</v>
      </c>
      <c r="F553" s="1">
        <v>-10</v>
      </c>
      <c r="G553" s="1">
        <v>-10</v>
      </c>
      <c r="H553" s="1">
        <v>0</v>
      </c>
      <c r="I553" s="1">
        <v>0</v>
      </c>
      <c r="J553" s="1">
        <v>10</v>
      </c>
      <c r="K553" s="1">
        <v>-10</v>
      </c>
    </row>
    <row r="554" spans="3:11" x14ac:dyDescent="0.25">
      <c r="D554" s="1" t="s">
        <v>5817</v>
      </c>
      <c r="E554" s="1" t="s">
        <v>5818</v>
      </c>
      <c r="F554" s="1">
        <v>-10</v>
      </c>
      <c r="G554" s="1">
        <v>-10</v>
      </c>
      <c r="H554" s="1">
        <v>0</v>
      </c>
      <c r="I554" s="1">
        <v>0</v>
      </c>
      <c r="J554" s="1">
        <v>10</v>
      </c>
      <c r="K554" s="1">
        <v>-10</v>
      </c>
    </row>
    <row r="555" spans="3:11" x14ac:dyDescent="0.25">
      <c r="D555" s="1" t="s">
        <v>5819</v>
      </c>
      <c r="E555" s="1" t="s">
        <v>5820</v>
      </c>
      <c r="F555" s="1">
        <v>-10</v>
      </c>
      <c r="G555" s="1">
        <v>-10</v>
      </c>
      <c r="H555" s="1">
        <v>0</v>
      </c>
      <c r="I555" s="1">
        <v>0</v>
      </c>
      <c r="J555" s="1">
        <v>10</v>
      </c>
      <c r="K555" s="1">
        <v>-10</v>
      </c>
    </row>
    <row r="556" spans="3:11" x14ac:dyDescent="0.25">
      <c r="D556" s="1" t="s">
        <v>5821</v>
      </c>
      <c r="E556" s="1" t="s">
        <v>5822</v>
      </c>
      <c r="F556" s="1">
        <v>-10</v>
      </c>
      <c r="G556" s="1">
        <v>-10</v>
      </c>
      <c r="H556" s="1">
        <v>0</v>
      </c>
      <c r="I556" s="1">
        <v>0</v>
      </c>
      <c r="J556" s="1">
        <v>10</v>
      </c>
      <c r="K556" s="1">
        <v>-10</v>
      </c>
    </row>
    <row r="557" spans="3:11" x14ac:dyDescent="0.25">
      <c r="D557" s="1" t="s">
        <v>5823</v>
      </c>
      <c r="E557" s="1" t="s">
        <v>5824</v>
      </c>
      <c r="F557" s="1">
        <v>-10</v>
      </c>
      <c r="G557" s="1">
        <v>-10</v>
      </c>
      <c r="H557" s="1">
        <v>0</v>
      </c>
      <c r="I557" s="1">
        <v>0</v>
      </c>
      <c r="J557" s="1">
        <v>10</v>
      </c>
      <c r="K557" s="1">
        <v>-10</v>
      </c>
    </row>
    <row r="558" spans="3:11" x14ac:dyDescent="0.25">
      <c r="D558" s="1" t="s">
        <v>5825</v>
      </c>
      <c r="E558" s="1" t="s">
        <v>5826</v>
      </c>
      <c r="F558" s="1">
        <v>-10</v>
      </c>
      <c r="G558" s="1">
        <v>-10</v>
      </c>
      <c r="H558" s="1">
        <v>0</v>
      </c>
      <c r="I558" s="1">
        <v>0</v>
      </c>
      <c r="J558" s="1">
        <v>10</v>
      </c>
      <c r="K558" s="1">
        <v>-10</v>
      </c>
    </row>
    <row r="559" spans="3:11" x14ac:dyDescent="0.25">
      <c r="D559" s="1" t="s">
        <v>5827</v>
      </c>
      <c r="E559" s="1" t="s">
        <v>5828</v>
      </c>
      <c r="F559" s="1">
        <v>-10</v>
      </c>
      <c r="G559" s="1">
        <v>-10</v>
      </c>
      <c r="H559" s="1">
        <v>0</v>
      </c>
      <c r="I559" s="1">
        <v>0</v>
      </c>
      <c r="J559" s="1">
        <v>10</v>
      </c>
      <c r="K559" s="1">
        <v>-10</v>
      </c>
    </row>
    <row r="560" spans="3:11" x14ac:dyDescent="0.25">
      <c r="D560" s="1" t="s">
        <v>5829</v>
      </c>
      <c r="E560" s="1" t="s">
        <v>5830</v>
      </c>
      <c r="F560" s="1">
        <v>-10</v>
      </c>
      <c r="G560" s="1">
        <v>-10</v>
      </c>
      <c r="H560" s="1">
        <v>0</v>
      </c>
      <c r="I560" s="1">
        <v>0</v>
      </c>
      <c r="J560" s="1">
        <v>10</v>
      </c>
      <c r="K560" s="1">
        <v>-10</v>
      </c>
    </row>
    <row r="561" spans="3:11" x14ac:dyDescent="0.25">
      <c r="C561" s="1" t="s">
        <v>5831</v>
      </c>
      <c r="D561" s="1" t="s">
        <v>5832</v>
      </c>
      <c r="E561" s="1" t="s">
        <v>5831</v>
      </c>
      <c r="F561" s="1">
        <v>-10</v>
      </c>
      <c r="G561" s="1">
        <v>-10</v>
      </c>
      <c r="H561" s="1">
        <v>0</v>
      </c>
      <c r="I561" s="1">
        <v>0</v>
      </c>
      <c r="J561" s="1">
        <v>10</v>
      </c>
      <c r="K561" s="1">
        <v>-10</v>
      </c>
    </row>
    <row r="562" spans="3:11" x14ac:dyDescent="0.25">
      <c r="C562" s="1" t="s">
        <v>5833</v>
      </c>
      <c r="D562" s="1" t="s">
        <v>5834</v>
      </c>
      <c r="E562" s="1" t="s">
        <v>5835</v>
      </c>
      <c r="F562" s="1">
        <v>-9</v>
      </c>
      <c r="G562" s="1">
        <v>-9</v>
      </c>
      <c r="H562" s="1">
        <v>0</v>
      </c>
      <c r="I562" s="1">
        <v>1469</v>
      </c>
      <c r="J562" s="1">
        <v>1478</v>
      </c>
      <c r="K562" s="1">
        <v>-9</v>
      </c>
    </row>
    <row r="563" spans="3:11" x14ac:dyDescent="0.25">
      <c r="C563" s="1" t="s">
        <v>5836</v>
      </c>
      <c r="D563" s="1" t="s">
        <v>5837</v>
      </c>
      <c r="E563" s="1" t="s">
        <v>5838</v>
      </c>
      <c r="F563" s="1">
        <v>-9</v>
      </c>
      <c r="G563" s="1">
        <v>-9</v>
      </c>
      <c r="H563" s="1">
        <v>0</v>
      </c>
      <c r="I563" s="1">
        <v>154</v>
      </c>
      <c r="J563" s="1">
        <v>163</v>
      </c>
      <c r="K563" s="1">
        <v>-9</v>
      </c>
    </row>
    <row r="564" spans="3:11" x14ac:dyDescent="0.25">
      <c r="C564" s="1" t="s">
        <v>5839</v>
      </c>
      <c r="D564" s="1" t="s">
        <v>5840</v>
      </c>
      <c r="E564" s="1" t="s">
        <v>5841</v>
      </c>
      <c r="F564" s="1">
        <v>-9</v>
      </c>
      <c r="G564" s="1">
        <v>-9</v>
      </c>
      <c r="H564" s="1">
        <v>0</v>
      </c>
      <c r="I564" s="1">
        <v>85</v>
      </c>
      <c r="J564" s="1">
        <v>94</v>
      </c>
      <c r="K564" s="1">
        <v>-9</v>
      </c>
    </row>
    <row r="565" spans="3:11" x14ac:dyDescent="0.25">
      <c r="C565" s="1" t="s">
        <v>5842</v>
      </c>
      <c r="D565" s="1" t="s">
        <v>5843</v>
      </c>
      <c r="E565" s="1" t="s">
        <v>5844</v>
      </c>
      <c r="F565" s="1">
        <v>-9</v>
      </c>
      <c r="G565" s="1">
        <v>-9</v>
      </c>
      <c r="H565" s="1">
        <v>0</v>
      </c>
      <c r="I565" s="1">
        <v>38</v>
      </c>
      <c r="J565" s="1">
        <v>47</v>
      </c>
      <c r="K565" s="1">
        <v>-9</v>
      </c>
    </row>
    <row r="566" spans="3:11" x14ac:dyDescent="0.25">
      <c r="C566" s="1" t="s">
        <v>5845</v>
      </c>
      <c r="D566" s="1" t="s">
        <v>5846</v>
      </c>
      <c r="E566" s="1" t="s">
        <v>5847</v>
      </c>
      <c r="F566" s="1">
        <v>-9</v>
      </c>
      <c r="G566" s="1">
        <v>-9</v>
      </c>
      <c r="H566" s="1">
        <v>0</v>
      </c>
      <c r="I566" s="1">
        <v>28</v>
      </c>
      <c r="J566" s="1">
        <v>37</v>
      </c>
      <c r="K566" s="1">
        <v>-9</v>
      </c>
    </row>
    <row r="567" spans="3:11" x14ac:dyDescent="0.25">
      <c r="C567" s="1" t="s">
        <v>5848</v>
      </c>
      <c r="D567" s="1" t="s">
        <v>5849</v>
      </c>
      <c r="E567" s="1" t="s">
        <v>5850</v>
      </c>
      <c r="F567" s="1">
        <v>-9</v>
      </c>
      <c r="G567" s="1">
        <v>-9</v>
      </c>
      <c r="H567" s="1">
        <v>0</v>
      </c>
      <c r="I567" s="1">
        <v>24</v>
      </c>
      <c r="J567" s="1">
        <v>33</v>
      </c>
      <c r="K567" s="1">
        <v>-9</v>
      </c>
    </row>
    <row r="568" spans="3:11" x14ac:dyDescent="0.25">
      <c r="C568" s="1" t="s">
        <v>5851</v>
      </c>
      <c r="D568" s="1" t="s">
        <v>5852</v>
      </c>
      <c r="E568" s="1" t="s">
        <v>5853</v>
      </c>
      <c r="F568" s="1">
        <v>-9</v>
      </c>
      <c r="G568" s="1">
        <v>-9</v>
      </c>
      <c r="H568" s="1">
        <v>0</v>
      </c>
      <c r="I568" s="1">
        <v>16</v>
      </c>
      <c r="J568" s="1">
        <v>25</v>
      </c>
      <c r="K568" s="1">
        <v>-9</v>
      </c>
    </row>
    <row r="569" spans="3:11" x14ac:dyDescent="0.25">
      <c r="C569" s="1" t="s">
        <v>5854</v>
      </c>
      <c r="D569" s="1" t="s">
        <v>5855</v>
      </c>
      <c r="E569" s="1" t="s">
        <v>5856</v>
      </c>
      <c r="F569" s="1">
        <v>-9</v>
      </c>
      <c r="G569" s="1">
        <v>-9</v>
      </c>
      <c r="H569" s="1">
        <v>0</v>
      </c>
      <c r="I569" s="1">
        <v>13</v>
      </c>
      <c r="J569" s="1">
        <v>22</v>
      </c>
      <c r="K569" s="1">
        <v>-9</v>
      </c>
    </row>
    <row r="570" spans="3:11" x14ac:dyDescent="0.25">
      <c r="C570" s="1" t="s">
        <v>5857</v>
      </c>
      <c r="D570" s="1" t="s">
        <v>5858</v>
      </c>
      <c r="E570" s="1" t="s">
        <v>5859</v>
      </c>
      <c r="F570" s="1">
        <v>-9</v>
      </c>
      <c r="G570" s="1">
        <v>-9</v>
      </c>
      <c r="H570" s="1">
        <v>0</v>
      </c>
      <c r="I570" s="1">
        <v>11</v>
      </c>
      <c r="J570" s="1">
        <v>20</v>
      </c>
      <c r="K570" s="1">
        <v>-9</v>
      </c>
    </row>
    <row r="571" spans="3:11" x14ac:dyDescent="0.25">
      <c r="C571" s="1" t="s">
        <v>5860</v>
      </c>
      <c r="D571" s="1" t="s">
        <v>5861</v>
      </c>
      <c r="E571" s="1" t="s">
        <v>5862</v>
      </c>
      <c r="F571" s="1">
        <v>-9</v>
      </c>
      <c r="G571" s="1">
        <v>-9</v>
      </c>
      <c r="H571" s="1">
        <v>0</v>
      </c>
      <c r="I571" s="1">
        <v>4</v>
      </c>
      <c r="J571" s="1">
        <v>13</v>
      </c>
      <c r="K571" s="1">
        <v>-9</v>
      </c>
    </row>
    <row r="572" spans="3:11" x14ac:dyDescent="0.25">
      <c r="C572" s="1" t="s">
        <v>5863</v>
      </c>
      <c r="D572" s="1" t="s">
        <v>5864</v>
      </c>
      <c r="E572" s="1" t="s">
        <v>5865</v>
      </c>
      <c r="F572" s="1">
        <v>-9</v>
      </c>
      <c r="G572" s="1">
        <v>-9</v>
      </c>
      <c r="H572" s="1">
        <v>0</v>
      </c>
      <c r="I572" s="1">
        <v>3</v>
      </c>
      <c r="J572" s="1">
        <v>12</v>
      </c>
      <c r="K572" s="1">
        <v>-9</v>
      </c>
    </row>
    <row r="573" spans="3:11" x14ac:dyDescent="0.25">
      <c r="C573" s="1" t="s">
        <v>5866</v>
      </c>
      <c r="D573" s="1" t="s">
        <v>5867</v>
      </c>
      <c r="E573" s="1" t="s">
        <v>5868</v>
      </c>
      <c r="F573" s="1">
        <v>-9</v>
      </c>
      <c r="G573" s="1">
        <v>-9</v>
      </c>
      <c r="H573" s="1">
        <v>0</v>
      </c>
      <c r="I573" s="1">
        <v>3</v>
      </c>
      <c r="J573" s="1">
        <v>12</v>
      </c>
      <c r="K573" s="1">
        <v>-9</v>
      </c>
    </row>
    <row r="574" spans="3:11" x14ac:dyDescent="0.25">
      <c r="C574" s="1" t="s">
        <v>5869</v>
      </c>
      <c r="D574" s="1" t="s">
        <v>5870</v>
      </c>
      <c r="E574" s="1" t="s">
        <v>5871</v>
      </c>
      <c r="F574" s="1">
        <v>-9</v>
      </c>
      <c r="G574" s="1">
        <v>-9</v>
      </c>
      <c r="H574" s="1">
        <v>0</v>
      </c>
      <c r="I574" s="1">
        <v>0</v>
      </c>
      <c r="J574" s="1">
        <v>9</v>
      </c>
      <c r="K574" s="1">
        <v>-9</v>
      </c>
    </row>
    <row r="575" spans="3:11" x14ac:dyDescent="0.25">
      <c r="D575" s="1" t="s">
        <v>5872</v>
      </c>
      <c r="E575" s="1" t="s">
        <v>5873</v>
      </c>
      <c r="F575" s="1">
        <v>-9</v>
      </c>
      <c r="G575" s="1">
        <v>-9</v>
      </c>
      <c r="H575" s="1">
        <v>0</v>
      </c>
      <c r="I575" s="1">
        <v>0</v>
      </c>
      <c r="J575" s="1">
        <v>9</v>
      </c>
      <c r="K575" s="1">
        <v>-9</v>
      </c>
    </row>
    <row r="576" spans="3:11" x14ac:dyDescent="0.25">
      <c r="C576" s="1" t="s">
        <v>5874</v>
      </c>
      <c r="D576" s="1" t="s">
        <v>5875</v>
      </c>
      <c r="E576" s="1" t="s">
        <v>5874</v>
      </c>
      <c r="F576" s="1">
        <v>-9</v>
      </c>
      <c r="G576" s="1">
        <v>-9</v>
      </c>
      <c r="H576" s="1">
        <v>0</v>
      </c>
      <c r="I576" s="1">
        <v>0</v>
      </c>
      <c r="J576" s="1">
        <v>9</v>
      </c>
      <c r="K576" s="1">
        <v>-9</v>
      </c>
    </row>
    <row r="577" spans="3:11" x14ac:dyDescent="0.25">
      <c r="C577" s="1" t="s">
        <v>5876</v>
      </c>
      <c r="D577" s="1" t="s">
        <v>5877</v>
      </c>
      <c r="E577" s="1" t="s">
        <v>5876</v>
      </c>
      <c r="F577" s="1">
        <v>-9</v>
      </c>
      <c r="G577" s="1">
        <v>-9</v>
      </c>
      <c r="H577" s="1">
        <v>0</v>
      </c>
      <c r="I577" s="1">
        <v>0</v>
      </c>
      <c r="J577" s="1">
        <v>9</v>
      </c>
      <c r="K577" s="1">
        <v>-9</v>
      </c>
    </row>
    <row r="578" spans="3:11" x14ac:dyDescent="0.25">
      <c r="C578" s="1" t="s">
        <v>5878</v>
      </c>
      <c r="D578" s="1" t="s">
        <v>5879</v>
      </c>
      <c r="E578" s="1" t="s">
        <v>5878</v>
      </c>
      <c r="F578" s="1">
        <v>-9</v>
      </c>
      <c r="G578" s="1">
        <v>-9</v>
      </c>
      <c r="H578" s="1">
        <v>0</v>
      </c>
      <c r="I578" s="1">
        <v>0</v>
      </c>
      <c r="J578" s="1">
        <v>9</v>
      </c>
      <c r="K578" s="1">
        <v>-9</v>
      </c>
    </row>
    <row r="579" spans="3:11" x14ac:dyDescent="0.25">
      <c r="C579" s="1" t="s">
        <v>5880</v>
      </c>
      <c r="D579" s="1" t="s">
        <v>5881</v>
      </c>
      <c r="E579" s="1" t="s">
        <v>5880</v>
      </c>
      <c r="F579" s="1">
        <v>-9</v>
      </c>
      <c r="G579" s="1">
        <v>-9</v>
      </c>
      <c r="H579" s="1">
        <v>0</v>
      </c>
      <c r="I579" s="1">
        <v>0</v>
      </c>
      <c r="J579" s="1">
        <v>9</v>
      </c>
      <c r="K579" s="1">
        <v>-9</v>
      </c>
    </row>
    <row r="580" spans="3:11" x14ac:dyDescent="0.25">
      <c r="D580" s="1" t="s">
        <v>5882</v>
      </c>
      <c r="E580" s="1" t="s">
        <v>5883</v>
      </c>
      <c r="F580" s="1">
        <v>-9</v>
      </c>
      <c r="G580" s="1">
        <v>-9</v>
      </c>
      <c r="H580" s="1">
        <v>0</v>
      </c>
      <c r="I580" s="1">
        <v>0</v>
      </c>
      <c r="J580" s="1">
        <v>9</v>
      </c>
      <c r="K580" s="1">
        <v>-9</v>
      </c>
    </row>
    <row r="581" spans="3:11" x14ac:dyDescent="0.25">
      <c r="C581" s="1" t="s">
        <v>5884</v>
      </c>
      <c r="D581" s="1" t="s">
        <v>5885</v>
      </c>
      <c r="E581" s="1" t="s">
        <v>5884</v>
      </c>
      <c r="F581" s="1">
        <v>-9</v>
      </c>
      <c r="G581" s="1">
        <v>-9</v>
      </c>
      <c r="H581" s="1">
        <v>0</v>
      </c>
      <c r="I581" s="1">
        <v>0</v>
      </c>
      <c r="J581" s="1">
        <v>9</v>
      </c>
      <c r="K581" s="1">
        <v>-9</v>
      </c>
    </row>
    <row r="582" spans="3:11" x14ac:dyDescent="0.25">
      <c r="D582" s="1" t="s">
        <v>5886</v>
      </c>
      <c r="E582" s="1" t="s">
        <v>5887</v>
      </c>
      <c r="F582" s="1">
        <v>-9</v>
      </c>
      <c r="G582" s="1">
        <v>-9</v>
      </c>
      <c r="H582" s="1">
        <v>0</v>
      </c>
      <c r="I582" s="1">
        <v>0</v>
      </c>
      <c r="J582" s="1">
        <v>9</v>
      </c>
      <c r="K582" s="1">
        <v>-9</v>
      </c>
    </row>
    <row r="583" spans="3:11" x14ac:dyDescent="0.25">
      <c r="D583" s="1" t="s">
        <v>5888</v>
      </c>
      <c r="E583" s="1" t="s">
        <v>5889</v>
      </c>
      <c r="F583" s="1">
        <v>-9</v>
      </c>
      <c r="G583" s="1">
        <v>-9</v>
      </c>
      <c r="H583" s="1">
        <v>0</v>
      </c>
      <c r="I583" s="1">
        <v>0</v>
      </c>
      <c r="J583" s="1">
        <v>9</v>
      </c>
      <c r="K583" s="1">
        <v>-9</v>
      </c>
    </row>
    <row r="584" spans="3:11" x14ac:dyDescent="0.25">
      <c r="D584" s="1" t="s">
        <v>5890</v>
      </c>
      <c r="E584" s="1" t="s">
        <v>5891</v>
      </c>
      <c r="F584" s="1">
        <v>-9</v>
      </c>
      <c r="G584" s="1">
        <v>-9</v>
      </c>
      <c r="H584" s="1">
        <v>0</v>
      </c>
      <c r="I584" s="1">
        <v>0</v>
      </c>
      <c r="J584" s="1">
        <v>9</v>
      </c>
      <c r="K584" s="1">
        <v>-9</v>
      </c>
    </row>
    <row r="585" spans="3:11" x14ac:dyDescent="0.25">
      <c r="C585" s="1" t="s">
        <v>5892</v>
      </c>
      <c r="D585" s="1" t="s">
        <v>5893</v>
      </c>
      <c r="E585" s="1" t="s">
        <v>5892</v>
      </c>
      <c r="F585" s="1">
        <v>-9</v>
      </c>
      <c r="G585" s="1">
        <v>-9</v>
      </c>
      <c r="H585" s="1">
        <v>0</v>
      </c>
      <c r="I585" s="1">
        <v>0</v>
      </c>
      <c r="J585" s="1">
        <v>9</v>
      </c>
      <c r="K585" s="1">
        <v>-9</v>
      </c>
    </row>
    <row r="586" spans="3:11" x14ac:dyDescent="0.25">
      <c r="C586" s="1" t="s">
        <v>5894</v>
      </c>
      <c r="D586" s="1" t="s">
        <v>5895</v>
      </c>
      <c r="E586" s="1" t="s">
        <v>5896</v>
      </c>
      <c r="F586" s="1">
        <v>-9</v>
      </c>
      <c r="G586" s="1">
        <v>-9</v>
      </c>
      <c r="H586" s="1">
        <v>0</v>
      </c>
      <c r="I586" s="1">
        <v>0</v>
      </c>
      <c r="J586" s="1">
        <v>9</v>
      </c>
      <c r="K586" s="1">
        <v>-9</v>
      </c>
    </row>
    <row r="587" spans="3:11" x14ac:dyDescent="0.25">
      <c r="C587" s="1" t="s">
        <v>5897</v>
      </c>
      <c r="D587" s="1" t="s">
        <v>5898</v>
      </c>
      <c r="E587" s="1" t="s">
        <v>5899</v>
      </c>
      <c r="F587" s="1">
        <v>-9</v>
      </c>
      <c r="G587" s="1">
        <v>-9</v>
      </c>
      <c r="H587" s="1">
        <v>0</v>
      </c>
      <c r="I587" s="1">
        <v>0</v>
      </c>
      <c r="J587" s="1">
        <v>9</v>
      </c>
      <c r="K587" s="1">
        <v>-9</v>
      </c>
    </row>
    <row r="588" spans="3:11" x14ac:dyDescent="0.25">
      <c r="D588" s="1" t="s">
        <v>5900</v>
      </c>
      <c r="E588" s="1" t="s">
        <v>5901</v>
      </c>
      <c r="F588" s="1">
        <v>-9</v>
      </c>
      <c r="G588" s="1">
        <v>-9</v>
      </c>
      <c r="H588" s="1">
        <v>0</v>
      </c>
      <c r="I588" s="1">
        <v>0</v>
      </c>
      <c r="J588" s="1">
        <v>9</v>
      </c>
      <c r="K588" s="1">
        <v>-9</v>
      </c>
    </row>
    <row r="589" spans="3:11" x14ac:dyDescent="0.25">
      <c r="D589" s="1" t="s">
        <v>5902</v>
      </c>
      <c r="E589" s="1" t="s">
        <v>5903</v>
      </c>
      <c r="F589" s="1">
        <v>-9</v>
      </c>
      <c r="G589" s="1">
        <v>-9</v>
      </c>
      <c r="H589" s="1">
        <v>0</v>
      </c>
      <c r="I589" s="1">
        <v>0</v>
      </c>
      <c r="J589" s="1">
        <v>9</v>
      </c>
      <c r="K589" s="1">
        <v>-9</v>
      </c>
    </row>
    <row r="590" spans="3:11" x14ac:dyDescent="0.25">
      <c r="C590" s="1" t="s">
        <v>5904</v>
      </c>
      <c r="D590" s="1" t="s">
        <v>5905</v>
      </c>
      <c r="E590" s="1" t="s">
        <v>5904</v>
      </c>
      <c r="F590" s="1">
        <v>-9</v>
      </c>
      <c r="G590" s="1">
        <v>-9</v>
      </c>
      <c r="H590" s="1">
        <v>0</v>
      </c>
      <c r="I590" s="1">
        <v>0</v>
      </c>
      <c r="J590" s="1">
        <v>9</v>
      </c>
      <c r="K590" s="1">
        <v>-9</v>
      </c>
    </row>
    <row r="591" spans="3:11" x14ac:dyDescent="0.25">
      <c r="D591" s="1" t="s">
        <v>5906</v>
      </c>
      <c r="E591" s="1" t="s">
        <v>5907</v>
      </c>
      <c r="F591" s="1">
        <v>-9</v>
      </c>
      <c r="G591" s="1">
        <v>-9</v>
      </c>
      <c r="H591" s="1">
        <v>0</v>
      </c>
      <c r="I591" s="1">
        <v>0</v>
      </c>
      <c r="J591" s="1">
        <v>9</v>
      </c>
      <c r="K591" s="1">
        <v>-9</v>
      </c>
    </row>
    <row r="592" spans="3:11" x14ac:dyDescent="0.25">
      <c r="D592" s="1" t="s">
        <v>5908</v>
      </c>
      <c r="E592" s="1" t="s">
        <v>5909</v>
      </c>
      <c r="F592" s="1">
        <v>-9</v>
      </c>
      <c r="G592" s="1">
        <v>-9</v>
      </c>
      <c r="H592" s="1">
        <v>0</v>
      </c>
      <c r="I592" s="1">
        <v>0</v>
      </c>
      <c r="J592" s="1">
        <v>9</v>
      </c>
      <c r="K592" s="1">
        <v>-9</v>
      </c>
    </row>
    <row r="593" spans="3:11" x14ac:dyDescent="0.25">
      <c r="D593" s="1" t="s">
        <v>5910</v>
      </c>
      <c r="E593" s="1" t="s">
        <v>5911</v>
      </c>
      <c r="F593" s="1">
        <v>-9</v>
      </c>
      <c r="G593" s="1">
        <v>-9</v>
      </c>
      <c r="H593" s="1">
        <v>0</v>
      </c>
      <c r="I593" s="1">
        <v>0</v>
      </c>
      <c r="J593" s="1">
        <v>9</v>
      </c>
      <c r="K593" s="1">
        <v>-9</v>
      </c>
    </row>
    <row r="594" spans="3:11" x14ac:dyDescent="0.25">
      <c r="C594" s="1" t="s">
        <v>5912</v>
      </c>
      <c r="D594" s="1" t="s">
        <v>5913</v>
      </c>
      <c r="E594" s="1" t="s">
        <v>5912</v>
      </c>
      <c r="F594" s="1">
        <v>-9</v>
      </c>
      <c r="G594" s="1">
        <v>-9</v>
      </c>
      <c r="H594" s="1">
        <v>0</v>
      </c>
      <c r="I594" s="1">
        <v>0</v>
      </c>
      <c r="J594" s="1">
        <v>9</v>
      </c>
      <c r="K594" s="1">
        <v>-9</v>
      </c>
    </row>
    <row r="595" spans="3:11" x14ac:dyDescent="0.25">
      <c r="C595" s="1" t="s">
        <v>5914</v>
      </c>
      <c r="D595" s="1" t="s">
        <v>5915</v>
      </c>
      <c r="E595" s="1" t="s">
        <v>5916</v>
      </c>
      <c r="F595" s="1">
        <v>-8</v>
      </c>
      <c r="G595" s="1">
        <v>-8</v>
      </c>
      <c r="H595" s="1">
        <v>0</v>
      </c>
      <c r="I595" s="1">
        <v>605</v>
      </c>
      <c r="J595" s="1">
        <v>613</v>
      </c>
      <c r="K595" s="1">
        <v>-8</v>
      </c>
    </row>
    <row r="596" spans="3:11" x14ac:dyDescent="0.25">
      <c r="C596" s="1" t="s">
        <v>5917</v>
      </c>
      <c r="D596" s="1" t="s">
        <v>5918</v>
      </c>
      <c r="E596" s="1" t="s">
        <v>5919</v>
      </c>
      <c r="F596" s="1">
        <v>-8</v>
      </c>
      <c r="G596" s="1">
        <v>-8</v>
      </c>
      <c r="H596" s="1">
        <v>0</v>
      </c>
      <c r="I596" s="1">
        <v>320</v>
      </c>
      <c r="J596" s="1">
        <v>328</v>
      </c>
      <c r="K596" s="1">
        <v>-8</v>
      </c>
    </row>
    <row r="597" spans="3:11" x14ac:dyDescent="0.25">
      <c r="C597" s="1" t="s">
        <v>5920</v>
      </c>
      <c r="D597" s="1" t="s">
        <v>5921</v>
      </c>
      <c r="E597" s="1" t="s">
        <v>5922</v>
      </c>
      <c r="F597" s="1">
        <v>-8</v>
      </c>
      <c r="G597" s="1">
        <v>-8</v>
      </c>
      <c r="H597" s="1">
        <v>0</v>
      </c>
      <c r="I597" s="1">
        <v>77</v>
      </c>
      <c r="J597" s="1">
        <v>85</v>
      </c>
      <c r="K597" s="1">
        <v>-8</v>
      </c>
    </row>
    <row r="598" spans="3:11" x14ac:dyDescent="0.25">
      <c r="C598" s="1" t="s">
        <v>5923</v>
      </c>
      <c r="D598" s="1" t="s">
        <v>5924</v>
      </c>
      <c r="E598" s="1" t="s">
        <v>5925</v>
      </c>
      <c r="F598" s="1">
        <v>-8</v>
      </c>
      <c r="G598" s="1">
        <v>-8</v>
      </c>
      <c r="H598" s="1">
        <v>0</v>
      </c>
      <c r="I598" s="1">
        <v>38</v>
      </c>
      <c r="J598" s="1">
        <v>46</v>
      </c>
      <c r="K598" s="1">
        <v>-8</v>
      </c>
    </row>
    <row r="599" spans="3:11" x14ac:dyDescent="0.25">
      <c r="C599" s="1" t="s">
        <v>5926</v>
      </c>
      <c r="D599" s="1" t="s">
        <v>5927</v>
      </c>
      <c r="E599" s="1" t="s">
        <v>5928</v>
      </c>
      <c r="F599" s="1">
        <v>-8</v>
      </c>
      <c r="G599" s="1">
        <v>-8</v>
      </c>
      <c r="H599" s="1">
        <v>0</v>
      </c>
      <c r="I599" s="1">
        <v>25</v>
      </c>
      <c r="J599" s="1">
        <v>33</v>
      </c>
      <c r="K599" s="1">
        <v>-8</v>
      </c>
    </row>
    <row r="600" spans="3:11" x14ac:dyDescent="0.25">
      <c r="C600" s="1" t="s">
        <v>5929</v>
      </c>
      <c r="D600" s="1" t="s">
        <v>5930</v>
      </c>
      <c r="E600" s="1" t="s">
        <v>5929</v>
      </c>
      <c r="F600" s="1">
        <v>-8</v>
      </c>
      <c r="G600" s="1">
        <v>-8</v>
      </c>
      <c r="H600" s="1">
        <v>0</v>
      </c>
      <c r="I600" s="1">
        <v>20</v>
      </c>
      <c r="J600" s="1">
        <v>28</v>
      </c>
      <c r="K600" s="1">
        <v>-8</v>
      </c>
    </row>
    <row r="601" spans="3:11" x14ac:dyDescent="0.25">
      <c r="C601" s="1" t="s">
        <v>5931</v>
      </c>
      <c r="D601" s="1" t="s">
        <v>5932</v>
      </c>
      <c r="E601" s="1" t="s">
        <v>5933</v>
      </c>
      <c r="F601" s="1">
        <v>-8</v>
      </c>
      <c r="G601" s="1">
        <v>-8</v>
      </c>
      <c r="H601" s="1">
        <v>0</v>
      </c>
      <c r="I601" s="1">
        <v>10</v>
      </c>
      <c r="J601" s="1">
        <v>18</v>
      </c>
      <c r="K601" s="1">
        <v>-8</v>
      </c>
    </row>
    <row r="602" spans="3:11" x14ac:dyDescent="0.25">
      <c r="C602" s="1" t="s">
        <v>5934</v>
      </c>
      <c r="D602" s="1" t="s">
        <v>5935</v>
      </c>
      <c r="E602" s="1" t="s">
        <v>5936</v>
      </c>
      <c r="F602" s="1">
        <v>-8</v>
      </c>
      <c r="G602" s="1">
        <v>-8</v>
      </c>
      <c r="H602" s="1">
        <v>0</v>
      </c>
      <c r="I602" s="1">
        <v>9</v>
      </c>
      <c r="J602" s="1">
        <v>17</v>
      </c>
      <c r="K602" s="1">
        <v>-8</v>
      </c>
    </row>
    <row r="603" spans="3:11" x14ac:dyDescent="0.25">
      <c r="C603" s="1" t="s">
        <v>5937</v>
      </c>
      <c r="D603" s="1" t="s">
        <v>5938</v>
      </c>
      <c r="E603" s="1" t="s">
        <v>5937</v>
      </c>
      <c r="F603" s="1">
        <v>-8</v>
      </c>
      <c r="G603" s="1">
        <v>-8</v>
      </c>
      <c r="H603" s="1">
        <v>0</v>
      </c>
      <c r="I603" s="1">
        <v>8</v>
      </c>
      <c r="J603" s="1">
        <v>16</v>
      </c>
      <c r="K603" s="1">
        <v>-8</v>
      </c>
    </row>
    <row r="604" spans="3:11" x14ac:dyDescent="0.25">
      <c r="C604" s="1" t="s">
        <v>5939</v>
      </c>
      <c r="D604" s="1" t="s">
        <v>5940</v>
      </c>
      <c r="E604" s="1" t="s">
        <v>5939</v>
      </c>
      <c r="F604" s="1">
        <v>-8</v>
      </c>
      <c r="G604" s="1">
        <v>-8</v>
      </c>
      <c r="H604" s="1">
        <v>0</v>
      </c>
      <c r="I604" s="1">
        <v>8</v>
      </c>
      <c r="J604" s="1">
        <v>16</v>
      </c>
      <c r="K604" s="1">
        <v>-8</v>
      </c>
    </row>
    <row r="605" spans="3:11" x14ac:dyDescent="0.25">
      <c r="C605" s="1" t="s">
        <v>5941</v>
      </c>
      <c r="D605" s="1" t="s">
        <v>5942</v>
      </c>
      <c r="E605" s="1" t="s">
        <v>5943</v>
      </c>
      <c r="F605" s="1">
        <v>-8</v>
      </c>
      <c r="G605" s="1">
        <v>-8</v>
      </c>
      <c r="H605" s="1">
        <v>0</v>
      </c>
      <c r="I605" s="1">
        <v>6</v>
      </c>
      <c r="J605" s="1">
        <v>14</v>
      </c>
      <c r="K605" s="1">
        <v>-8</v>
      </c>
    </row>
    <row r="606" spans="3:11" x14ac:dyDescent="0.25">
      <c r="C606" s="1" t="s">
        <v>5944</v>
      </c>
      <c r="D606" s="1" t="s">
        <v>5945</v>
      </c>
      <c r="E606" s="1" t="s">
        <v>5946</v>
      </c>
      <c r="F606" s="1">
        <v>-8</v>
      </c>
      <c r="G606" s="1">
        <v>-8</v>
      </c>
      <c r="H606" s="1">
        <v>0</v>
      </c>
      <c r="I606" s="1">
        <v>4</v>
      </c>
      <c r="J606" s="1">
        <v>12</v>
      </c>
      <c r="K606" s="1">
        <v>-8</v>
      </c>
    </row>
    <row r="607" spans="3:11" x14ac:dyDescent="0.25">
      <c r="C607" s="1" t="s">
        <v>5947</v>
      </c>
      <c r="D607" s="1" t="s">
        <v>5948</v>
      </c>
      <c r="E607" s="1" t="s">
        <v>5949</v>
      </c>
      <c r="F607" s="1">
        <v>-8</v>
      </c>
      <c r="G607" s="1">
        <v>-8</v>
      </c>
      <c r="H607" s="1">
        <v>0</v>
      </c>
      <c r="I607" s="1">
        <v>3</v>
      </c>
      <c r="J607" s="1">
        <v>11</v>
      </c>
      <c r="K607" s="1">
        <v>-8</v>
      </c>
    </row>
    <row r="608" spans="3:11" x14ac:dyDescent="0.25">
      <c r="C608" s="1" t="s">
        <v>5950</v>
      </c>
      <c r="D608" s="1" t="s">
        <v>5951</v>
      </c>
      <c r="E608" s="1" t="s">
        <v>5952</v>
      </c>
      <c r="F608" s="1">
        <v>-8</v>
      </c>
      <c r="G608" s="1">
        <v>-8</v>
      </c>
      <c r="H608" s="1">
        <v>0</v>
      </c>
      <c r="I608" s="1">
        <v>0</v>
      </c>
      <c r="J608" s="1">
        <v>8</v>
      </c>
      <c r="K608" s="1">
        <v>-8</v>
      </c>
    </row>
    <row r="609" spans="3:11" x14ac:dyDescent="0.25">
      <c r="C609" s="1" t="s">
        <v>5953</v>
      </c>
      <c r="D609" s="1" t="s">
        <v>5954</v>
      </c>
      <c r="E609" s="1" t="s">
        <v>5953</v>
      </c>
      <c r="F609" s="1">
        <v>-8</v>
      </c>
      <c r="G609" s="1">
        <v>-8</v>
      </c>
      <c r="H609" s="1">
        <v>0</v>
      </c>
      <c r="I609" s="1">
        <v>0</v>
      </c>
      <c r="J609" s="1">
        <v>8</v>
      </c>
      <c r="K609" s="1">
        <v>-8</v>
      </c>
    </row>
    <row r="610" spans="3:11" x14ac:dyDescent="0.25">
      <c r="C610" s="1" t="s">
        <v>5955</v>
      </c>
      <c r="D610" s="1" t="s">
        <v>5956</v>
      </c>
      <c r="E610" s="1" t="s">
        <v>5955</v>
      </c>
      <c r="F610" s="1">
        <v>-8</v>
      </c>
      <c r="G610" s="1">
        <v>-8</v>
      </c>
      <c r="H610" s="1">
        <v>0</v>
      </c>
      <c r="I610" s="1">
        <v>0</v>
      </c>
      <c r="J610" s="1">
        <v>8</v>
      </c>
      <c r="K610" s="1">
        <v>-8</v>
      </c>
    </row>
    <row r="611" spans="3:11" x14ac:dyDescent="0.25">
      <c r="C611" s="1" t="s">
        <v>5957</v>
      </c>
      <c r="D611" s="1" t="s">
        <v>5958</v>
      </c>
      <c r="E611" s="1" t="s">
        <v>5959</v>
      </c>
      <c r="F611" s="1">
        <v>-8</v>
      </c>
      <c r="G611" s="1">
        <v>-8</v>
      </c>
      <c r="H611" s="1">
        <v>0</v>
      </c>
      <c r="I611" s="1">
        <v>0</v>
      </c>
      <c r="J611" s="1">
        <v>8</v>
      </c>
      <c r="K611" s="1">
        <v>-8</v>
      </c>
    </row>
    <row r="612" spans="3:11" x14ac:dyDescent="0.25">
      <c r="C612" s="1" t="s">
        <v>5960</v>
      </c>
      <c r="D612" s="1" t="s">
        <v>5961</v>
      </c>
      <c r="E612" s="1" t="s">
        <v>5962</v>
      </c>
      <c r="F612" s="1">
        <v>-8</v>
      </c>
      <c r="G612" s="1">
        <v>-8</v>
      </c>
      <c r="H612" s="1">
        <v>0</v>
      </c>
      <c r="I612" s="1">
        <v>0</v>
      </c>
      <c r="J612" s="1">
        <v>8</v>
      </c>
      <c r="K612" s="1">
        <v>-8</v>
      </c>
    </row>
    <row r="613" spans="3:11" x14ac:dyDescent="0.25">
      <c r="C613" s="1" t="s">
        <v>5963</v>
      </c>
      <c r="D613" s="1" t="s">
        <v>5964</v>
      </c>
      <c r="E613" s="1" t="s">
        <v>5963</v>
      </c>
      <c r="F613" s="1">
        <v>-8</v>
      </c>
      <c r="G613" s="1">
        <v>-8</v>
      </c>
      <c r="H613" s="1">
        <v>0</v>
      </c>
      <c r="I613" s="1">
        <v>0</v>
      </c>
      <c r="J613" s="1">
        <v>8</v>
      </c>
      <c r="K613" s="1">
        <v>-8</v>
      </c>
    </row>
    <row r="614" spans="3:11" x14ac:dyDescent="0.25">
      <c r="D614" s="1" t="s">
        <v>5965</v>
      </c>
      <c r="E614" s="1" t="s">
        <v>5966</v>
      </c>
      <c r="F614" s="1">
        <v>-8</v>
      </c>
      <c r="G614" s="1">
        <v>-8</v>
      </c>
      <c r="H614" s="1">
        <v>0</v>
      </c>
      <c r="I614" s="1">
        <v>0</v>
      </c>
      <c r="J614" s="1">
        <v>8</v>
      </c>
      <c r="K614" s="1">
        <v>-8</v>
      </c>
    </row>
    <row r="615" spans="3:11" x14ac:dyDescent="0.25">
      <c r="C615" s="1" t="s">
        <v>5967</v>
      </c>
      <c r="D615" s="1" t="s">
        <v>5968</v>
      </c>
      <c r="E615" s="1" t="s">
        <v>5967</v>
      </c>
      <c r="F615" s="1">
        <v>-8</v>
      </c>
      <c r="G615" s="1">
        <v>-8</v>
      </c>
      <c r="H615" s="1">
        <v>0</v>
      </c>
      <c r="I615" s="1">
        <v>0</v>
      </c>
      <c r="J615" s="1">
        <v>8</v>
      </c>
      <c r="K615" s="1">
        <v>-8</v>
      </c>
    </row>
    <row r="616" spans="3:11" x14ac:dyDescent="0.25">
      <c r="C616" s="1" t="s">
        <v>5969</v>
      </c>
      <c r="D616" s="1" t="s">
        <v>5970</v>
      </c>
      <c r="E616" s="1" t="s">
        <v>5969</v>
      </c>
      <c r="F616" s="1">
        <v>-8</v>
      </c>
      <c r="G616" s="1">
        <v>-8</v>
      </c>
      <c r="H616" s="1">
        <v>0</v>
      </c>
      <c r="I616" s="1">
        <v>0</v>
      </c>
      <c r="J616" s="1">
        <v>8</v>
      </c>
      <c r="K616" s="1">
        <v>-8</v>
      </c>
    </row>
    <row r="617" spans="3:11" x14ac:dyDescent="0.25">
      <c r="C617" s="1" t="s">
        <v>5971</v>
      </c>
      <c r="D617" s="1" t="s">
        <v>5972</v>
      </c>
      <c r="E617" s="1" t="s">
        <v>5973</v>
      </c>
      <c r="F617" s="1">
        <v>-8</v>
      </c>
      <c r="G617" s="1">
        <v>-8</v>
      </c>
      <c r="H617" s="1">
        <v>0</v>
      </c>
      <c r="I617" s="1">
        <v>0</v>
      </c>
      <c r="J617" s="1">
        <v>8</v>
      </c>
      <c r="K617" s="1">
        <v>-8</v>
      </c>
    </row>
    <row r="618" spans="3:11" x14ac:dyDescent="0.25">
      <c r="C618" s="1" t="s">
        <v>5974</v>
      </c>
      <c r="D618" s="1" t="s">
        <v>5975</v>
      </c>
      <c r="E618" s="1" t="s">
        <v>5974</v>
      </c>
      <c r="F618" s="1">
        <v>-8</v>
      </c>
      <c r="G618" s="1">
        <v>-8</v>
      </c>
      <c r="H618" s="1">
        <v>0</v>
      </c>
      <c r="I618" s="1">
        <v>0</v>
      </c>
      <c r="J618" s="1">
        <v>8</v>
      </c>
      <c r="K618" s="1">
        <v>-8</v>
      </c>
    </row>
    <row r="619" spans="3:11" x14ac:dyDescent="0.25">
      <c r="C619" s="1" t="s">
        <v>5976</v>
      </c>
      <c r="D619" s="1" t="s">
        <v>5977</v>
      </c>
      <c r="E619" s="1" t="s">
        <v>5976</v>
      </c>
      <c r="F619" s="1">
        <v>-8</v>
      </c>
      <c r="G619" s="1">
        <v>-8</v>
      </c>
      <c r="H619" s="1">
        <v>0</v>
      </c>
      <c r="I619" s="1">
        <v>0</v>
      </c>
      <c r="J619" s="1">
        <v>8</v>
      </c>
      <c r="K619" s="1">
        <v>-8</v>
      </c>
    </row>
    <row r="620" spans="3:11" x14ac:dyDescent="0.25">
      <c r="C620" s="1" t="s">
        <v>5978</v>
      </c>
      <c r="D620" s="1" t="s">
        <v>5979</v>
      </c>
      <c r="E620" s="1" t="s">
        <v>5978</v>
      </c>
      <c r="F620" s="1">
        <v>-8</v>
      </c>
      <c r="G620" s="1">
        <v>-8</v>
      </c>
      <c r="H620" s="1">
        <v>0</v>
      </c>
      <c r="I620" s="1">
        <v>0</v>
      </c>
      <c r="J620" s="1">
        <v>8</v>
      </c>
      <c r="K620" s="1">
        <v>-8</v>
      </c>
    </row>
    <row r="621" spans="3:11" x14ac:dyDescent="0.25">
      <c r="C621" s="1" t="s">
        <v>5980</v>
      </c>
      <c r="D621" s="1" t="s">
        <v>5981</v>
      </c>
      <c r="E621" s="1" t="s">
        <v>5980</v>
      </c>
      <c r="F621" s="1">
        <v>-8</v>
      </c>
      <c r="G621" s="1">
        <v>-8</v>
      </c>
      <c r="H621" s="1">
        <v>0</v>
      </c>
      <c r="I621" s="1">
        <v>0</v>
      </c>
      <c r="J621" s="1">
        <v>8</v>
      </c>
      <c r="K621" s="1">
        <v>-8</v>
      </c>
    </row>
    <row r="622" spans="3:11" x14ac:dyDescent="0.25">
      <c r="C622" s="1" t="s">
        <v>5982</v>
      </c>
      <c r="D622" s="1" t="s">
        <v>5983</v>
      </c>
      <c r="E622" s="1" t="s">
        <v>5982</v>
      </c>
      <c r="F622" s="1">
        <v>-8</v>
      </c>
      <c r="G622" s="1">
        <v>-8</v>
      </c>
      <c r="H622" s="1">
        <v>0</v>
      </c>
      <c r="I622" s="1">
        <v>0</v>
      </c>
      <c r="J622" s="1">
        <v>8</v>
      </c>
      <c r="K622" s="1">
        <v>-8</v>
      </c>
    </row>
    <row r="623" spans="3:11" x14ac:dyDescent="0.25">
      <c r="D623" s="1" t="s">
        <v>5984</v>
      </c>
      <c r="E623" s="1" t="s">
        <v>5985</v>
      </c>
      <c r="F623" s="1">
        <v>-8</v>
      </c>
      <c r="G623" s="1">
        <v>-8</v>
      </c>
      <c r="H623" s="1">
        <v>0</v>
      </c>
      <c r="I623" s="1">
        <v>0</v>
      </c>
      <c r="J623" s="1">
        <v>8</v>
      </c>
      <c r="K623" s="1">
        <v>-8</v>
      </c>
    </row>
    <row r="624" spans="3:11" x14ac:dyDescent="0.25">
      <c r="C624" s="1" t="s">
        <v>5986</v>
      </c>
      <c r="D624" s="1" t="s">
        <v>5987</v>
      </c>
      <c r="E624" s="1" t="s">
        <v>5986</v>
      </c>
      <c r="F624" s="1">
        <v>-8</v>
      </c>
      <c r="G624" s="1">
        <v>-8</v>
      </c>
      <c r="H624" s="1">
        <v>0</v>
      </c>
      <c r="I624" s="1">
        <v>0</v>
      </c>
      <c r="J624" s="1">
        <v>8</v>
      </c>
      <c r="K624" s="1">
        <v>-8</v>
      </c>
    </row>
    <row r="625" spans="3:11" x14ac:dyDescent="0.25">
      <c r="C625" s="1" t="s">
        <v>5988</v>
      </c>
      <c r="D625" s="1" t="s">
        <v>5989</v>
      </c>
      <c r="E625" s="1" t="s">
        <v>5988</v>
      </c>
      <c r="F625" s="1">
        <v>-8</v>
      </c>
      <c r="G625" s="1">
        <v>-8</v>
      </c>
      <c r="H625" s="1">
        <v>0</v>
      </c>
      <c r="I625" s="1">
        <v>0</v>
      </c>
      <c r="J625" s="1">
        <v>8</v>
      </c>
      <c r="K625" s="1">
        <v>-8</v>
      </c>
    </row>
    <row r="626" spans="3:11" x14ac:dyDescent="0.25">
      <c r="C626" s="1" t="s">
        <v>5990</v>
      </c>
      <c r="D626" s="1" t="s">
        <v>5991</v>
      </c>
      <c r="E626" s="1" t="s">
        <v>5990</v>
      </c>
      <c r="F626" s="1">
        <v>-8</v>
      </c>
      <c r="G626" s="1">
        <v>-8</v>
      </c>
      <c r="H626" s="1">
        <v>0</v>
      </c>
      <c r="I626" s="1">
        <v>0</v>
      </c>
      <c r="J626" s="1">
        <v>8</v>
      </c>
      <c r="K626" s="1">
        <v>-8</v>
      </c>
    </row>
    <row r="627" spans="3:11" x14ac:dyDescent="0.25">
      <c r="D627" s="1" t="s">
        <v>5992</v>
      </c>
      <c r="E627" s="1" t="s">
        <v>5993</v>
      </c>
      <c r="F627" s="1">
        <v>-8</v>
      </c>
      <c r="G627" s="1">
        <v>-8</v>
      </c>
      <c r="H627" s="1">
        <v>0</v>
      </c>
      <c r="I627" s="1">
        <v>0</v>
      </c>
      <c r="J627" s="1">
        <v>8</v>
      </c>
      <c r="K627" s="1">
        <v>-8</v>
      </c>
    </row>
    <row r="628" spans="3:11" x14ac:dyDescent="0.25">
      <c r="C628" s="1" t="s">
        <v>5994</v>
      </c>
      <c r="D628" s="1" t="s">
        <v>5995</v>
      </c>
      <c r="E628" s="1" t="s">
        <v>5994</v>
      </c>
      <c r="F628" s="1">
        <v>-8</v>
      </c>
      <c r="G628" s="1">
        <v>-8</v>
      </c>
      <c r="H628" s="1">
        <v>0</v>
      </c>
      <c r="I628" s="1">
        <v>0</v>
      </c>
      <c r="J628" s="1">
        <v>8</v>
      </c>
      <c r="K628" s="1">
        <v>-8</v>
      </c>
    </row>
    <row r="629" spans="3:11" x14ac:dyDescent="0.25">
      <c r="D629" s="1" t="s">
        <v>5996</v>
      </c>
      <c r="E629" s="1" t="s">
        <v>5997</v>
      </c>
      <c r="F629" s="1">
        <v>-8</v>
      </c>
      <c r="G629" s="1">
        <v>-8</v>
      </c>
      <c r="H629" s="1">
        <v>0</v>
      </c>
      <c r="I629" s="1">
        <v>0</v>
      </c>
      <c r="J629" s="1">
        <v>8</v>
      </c>
      <c r="K629" s="1">
        <v>-8</v>
      </c>
    </row>
    <row r="630" spans="3:11" x14ac:dyDescent="0.25">
      <c r="D630" s="1" t="s">
        <v>5998</v>
      </c>
      <c r="E630" s="1" t="s">
        <v>5999</v>
      </c>
      <c r="F630" s="1">
        <v>-8</v>
      </c>
      <c r="G630" s="1">
        <v>-8</v>
      </c>
      <c r="H630" s="1">
        <v>0</v>
      </c>
      <c r="I630" s="1">
        <v>0</v>
      </c>
      <c r="J630" s="1">
        <v>8</v>
      </c>
      <c r="K630" s="1">
        <v>-8</v>
      </c>
    </row>
    <row r="631" spans="3:11" x14ac:dyDescent="0.25">
      <c r="D631" s="1" t="s">
        <v>6000</v>
      </c>
      <c r="E631" s="1" t="s">
        <v>6001</v>
      </c>
      <c r="F631" s="1">
        <v>-8</v>
      </c>
      <c r="G631" s="1">
        <v>-8</v>
      </c>
      <c r="H631" s="1">
        <v>0</v>
      </c>
      <c r="I631" s="1">
        <v>0</v>
      </c>
      <c r="J631" s="1">
        <v>8</v>
      </c>
      <c r="K631" s="1">
        <v>-8</v>
      </c>
    </row>
    <row r="632" spans="3:11" x14ac:dyDescent="0.25">
      <c r="C632" s="1" t="s">
        <v>6002</v>
      </c>
      <c r="D632" s="1" t="s">
        <v>6003</v>
      </c>
      <c r="E632" s="1" t="s">
        <v>6002</v>
      </c>
      <c r="F632" s="1">
        <v>-8</v>
      </c>
      <c r="G632" s="1">
        <v>-8</v>
      </c>
      <c r="H632" s="1">
        <v>0</v>
      </c>
      <c r="I632" s="1">
        <v>0</v>
      </c>
      <c r="J632" s="1">
        <v>8</v>
      </c>
      <c r="K632" s="1">
        <v>-8</v>
      </c>
    </row>
    <row r="633" spans="3:11" x14ac:dyDescent="0.25">
      <c r="C633" s="1" t="s">
        <v>6004</v>
      </c>
      <c r="D633" s="1" t="s">
        <v>6005</v>
      </c>
      <c r="E633" s="1" t="s">
        <v>6004</v>
      </c>
      <c r="F633" s="1">
        <v>-8</v>
      </c>
      <c r="G633" s="1">
        <v>-8</v>
      </c>
      <c r="H633" s="1">
        <v>0</v>
      </c>
      <c r="I633" s="1">
        <v>0</v>
      </c>
      <c r="J633" s="1">
        <v>8</v>
      </c>
      <c r="K633" s="1">
        <v>-8</v>
      </c>
    </row>
    <row r="634" spans="3:11" x14ac:dyDescent="0.25">
      <c r="C634" s="1" t="s">
        <v>6006</v>
      </c>
      <c r="D634" s="1" t="s">
        <v>6007</v>
      </c>
      <c r="E634" s="1" t="s">
        <v>6006</v>
      </c>
      <c r="F634" s="1">
        <v>-8</v>
      </c>
      <c r="G634" s="1">
        <v>-8</v>
      </c>
      <c r="H634" s="1">
        <v>0</v>
      </c>
      <c r="I634" s="1">
        <v>0</v>
      </c>
      <c r="J634" s="1">
        <v>8</v>
      </c>
      <c r="K634" s="1">
        <v>-8</v>
      </c>
    </row>
    <row r="635" spans="3:11" x14ac:dyDescent="0.25">
      <c r="D635" s="1" t="s">
        <v>6008</v>
      </c>
      <c r="E635" s="1" t="s">
        <v>6009</v>
      </c>
      <c r="F635" s="1">
        <v>-8</v>
      </c>
      <c r="G635" s="1">
        <v>-8</v>
      </c>
      <c r="H635" s="1">
        <v>0</v>
      </c>
      <c r="I635" s="1">
        <v>0</v>
      </c>
      <c r="J635" s="1">
        <v>8</v>
      </c>
      <c r="K635" s="1">
        <v>-8</v>
      </c>
    </row>
    <row r="636" spans="3:11" x14ac:dyDescent="0.25">
      <c r="D636" s="1" t="s">
        <v>6010</v>
      </c>
      <c r="E636" s="1" t="s">
        <v>6011</v>
      </c>
      <c r="F636" s="1">
        <v>-8</v>
      </c>
      <c r="G636" s="1">
        <v>-8</v>
      </c>
      <c r="H636" s="1">
        <v>0</v>
      </c>
      <c r="I636" s="1">
        <v>0</v>
      </c>
      <c r="J636" s="1">
        <v>8</v>
      </c>
      <c r="K636" s="1">
        <v>-8</v>
      </c>
    </row>
    <row r="637" spans="3:11" x14ac:dyDescent="0.25">
      <c r="D637" s="1" t="s">
        <v>6012</v>
      </c>
      <c r="E637" s="1" t="s">
        <v>6013</v>
      </c>
      <c r="F637" s="1">
        <v>-8</v>
      </c>
      <c r="G637" s="1">
        <v>-8</v>
      </c>
      <c r="H637" s="1">
        <v>0</v>
      </c>
      <c r="I637" s="1">
        <v>0</v>
      </c>
      <c r="J637" s="1">
        <v>8</v>
      </c>
      <c r="K637" s="1">
        <v>-8</v>
      </c>
    </row>
    <row r="638" spans="3:11" x14ac:dyDescent="0.25">
      <c r="C638" s="1" t="s">
        <v>6014</v>
      </c>
      <c r="D638" s="1" t="s">
        <v>6015</v>
      </c>
      <c r="E638" s="1" t="s">
        <v>6014</v>
      </c>
      <c r="F638" s="1">
        <v>-8</v>
      </c>
      <c r="G638" s="1">
        <v>-8</v>
      </c>
      <c r="H638" s="1">
        <v>0</v>
      </c>
      <c r="I638" s="1">
        <v>0</v>
      </c>
      <c r="J638" s="1">
        <v>8</v>
      </c>
      <c r="K638" s="1">
        <v>-8</v>
      </c>
    </row>
    <row r="639" spans="3:11" x14ac:dyDescent="0.25">
      <c r="C639" s="1" t="s">
        <v>6016</v>
      </c>
      <c r="D639" s="1" t="s">
        <v>6017</v>
      </c>
      <c r="E639" s="1" t="s">
        <v>6016</v>
      </c>
      <c r="F639" s="1">
        <v>-8</v>
      </c>
      <c r="G639" s="1">
        <v>-8</v>
      </c>
      <c r="H639" s="1">
        <v>0</v>
      </c>
      <c r="I639" s="1">
        <v>0</v>
      </c>
      <c r="J639" s="1">
        <v>8</v>
      </c>
      <c r="K639" s="1">
        <v>-8</v>
      </c>
    </row>
    <row r="640" spans="3:11" x14ac:dyDescent="0.25">
      <c r="C640" s="1" t="s">
        <v>6018</v>
      </c>
      <c r="D640" s="1" t="s">
        <v>6019</v>
      </c>
      <c r="E640" s="1" t="s">
        <v>6018</v>
      </c>
      <c r="F640" s="1">
        <v>-8</v>
      </c>
      <c r="G640" s="1">
        <v>-8</v>
      </c>
      <c r="H640" s="1">
        <v>0</v>
      </c>
      <c r="I640" s="1">
        <v>0</v>
      </c>
      <c r="J640" s="1">
        <v>8</v>
      </c>
      <c r="K640" s="1">
        <v>-8</v>
      </c>
    </row>
    <row r="641" spans="3:11" x14ac:dyDescent="0.25">
      <c r="C641" s="1" t="s">
        <v>6020</v>
      </c>
      <c r="D641" s="1" t="s">
        <v>6021</v>
      </c>
      <c r="E641" s="1" t="s">
        <v>6020</v>
      </c>
      <c r="F641" s="1">
        <v>-8</v>
      </c>
      <c r="G641" s="1">
        <v>-8</v>
      </c>
      <c r="H641" s="1">
        <v>0</v>
      </c>
      <c r="I641" s="1">
        <v>0</v>
      </c>
      <c r="J641" s="1">
        <v>8</v>
      </c>
      <c r="K641" s="1">
        <v>-8</v>
      </c>
    </row>
    <row r="642" spans="3:11" x14ac:dyDescent="0.25">
      <c r="D642" s="1" t="s">
        <v>6022</v>
      </c>
      <c r="E642" s="1" t="s">
        <v>6023</v>
      </c>
      <c r="F642" s="1">
        <v>-8</v>
      </c>
      <c r="G642" s="1">
        <v>-8</v>
      </c>
      <c r="H642" s="1">
        <v>0</v>
      </c>
      <c r="I642" s="1">
        <v>0</v>
      </c>
      <c r="J642" s="1">
        <v>8</v>
      </c>
      <c r="K642" s="1">
        <v>-8</v>
      </c>
    </row>
    <row r="643" spans="3:11" x14ac:dyDescent="0.25">
      <c r="D643" s="1" t="s">
        <v>6024</v>
      </c>
      <c r="E643" s="1" t="s">
        <v>6025</v>
      </c>
      <c r="F643" s="1">
        <v>-8</v>
      </c>
      <c r="G643" s="1">
        <v>-8</v>
      </c>
      <c r="H643" s="1">
        <v>0</v>
      </c>
      <c r="I643" s="1">
        <v>0</v>
      </c>
      <c r="J643" s="1">
        <v>8</v>
      </c>
      <c r="K643" s="1">
        <v>-8</v>
      </c>
    </row>
    <row r="644" spans="3:11" x14ac:dyDescent="0.25">
      <c r="C644" s="1" t="s">
        <v>6026</v>
      </c>
      <c r="D644" s="1" t="s">
        <v>6027</v>
      </c>
      <c r="E644" s="1" t="s">
        <v>6028</v>
      </c>
      <c r="F644" s="1">
        <v>-8</v>
      </c>
      <c r="G644" s="1">
        <v>-8</v>
      </c>
      <c r="H644" s="1">
        <v>0</v>
      </c>
      <c r="I644" s="1">
        <v>0</v>
      </c>
      <c r="J644" s="1">
        <v>8</v>
      </c>
      <c r="K644" s="1">
        <v>-8</v>
      </c>
    </row>
    <row r="645" spans="3:11" x14ac:dyDescent="0.25">
      <c r="D645" s="1" t="s">
        <v>6029</v>
      </c>
      <c r="E645" s="1" t="s">
        <v>6030</v>
      </c>
      <c r="F645" s="1">
        <v>-8</v>
      </c>
      <c r="G645" s="1">
        <v>-8</v>
      </c>
      <c r="H645" s="1">
        <v>0</v>
      </c>
      <c r="I645" s="1">
        <v>0</v>
      </c>
      <c r="J645" s="1">
        <v>8</v>
      </c>
      <c r="K645" s="1">
        <v>-8</v>
      </c>
    </row>
    <row r="646" spans="3:11" x14ac:dyDescent="0.25">
      <c r="D646" s="1" t="s">
        <v>6031</v>
      </c>
      <c r="E646" s="1" t="s">
        <v>6032</v>
      </c>
      <c r="F646" s="1">
        <v>-8</v>
      </c>
      <c r="G646" s="1">
        <v>-8</v>
      </c>
      <c r="H646" s="1">
        <v>0</v>
      </c>
      <c r="I646" s="1">
        <v>0</v>
      </c>
      <c r="J646" s="1">
        <v>8</v>
      </c>
      <c r="K646" s="1">
        <v>-8</v>
      </c>
    </row>
    <row r="647" spans="3:11" x14ac:dyDescent="0.25">
      <c r="C647" s="1" t="s">
        <v>6033</v>
      </c>
      <c r="D647" s="1" t="s">
        <v>6034</v>
      </c>
      <c r="E647" s="1" t="s">
        <v>6035</v>
      </c>
      <c r="F647" s="1">
        <v>-8</v>
      </c>
      <c r="G647" s="1">
        <v>-8</v>
      </c>
      <c r="H647" s="1">
        <v>0</v>
      </c>
      <c r="I647" s="1">
        <v>0</v>
      </c>
      <c r="J647" s="1">
        <v>8</v>
      </c>
      <c r="K647" s="1">
        <v>-8</v>
      </c>
    </row>
    <row r="648" spans="3:11" x14ac:dyDescent="0.25">
      <c r="C648" s="1" t="s">
        <v>6036</v>
      </c>
      <c r="D648" s="1" t="s">
        <v>6037</v>
      </c>
      <c r="E648" s="1" t="s">
        <v>6036</v>
      </c>
      <c r="F648" s="1">
        <v>-8</v>
      </c>
      <c r="G648" s="1">
        <v>-8</v>
      </c>
      <c r="H648" s="1">
        <v>0</v>
      </c>
      <c r="I648" s="1">
        <v>0</v>
      </c>
      <c r="J648" s="1">
        <v>8</v>
      </c>
      <c r="K648" s="1">
        <v>-8</v>
      </c>
    </row>
    <row r="649" spans="3:11" x14ac:dyDescent="0.25">
      <c r="D649" s="1" t="s">
        <v>6038</v>
      </c>
      <c r="E649" s="1" t="s">
        <v>6039</v>
      </c>
      <c r="F649" s="1">
        <v>-8</v>
      </c>
      <c r="G649" s="1">
        <v>-8</v>
      </c>
      <c r="H649" s="1">
        <v>0</v>
      </c>
      <c r="I649" s="1">
        <v>0</v>
      </c>
      <c r="J649" s="1">
        <v>8</v>
      </c>
      <c r="K649" s="1">
        <v>-8</v>
      </c>
    </row>
    <row r="650" spans="3:11" x14ac:dyDescent="0.25">
      <c r="D650" s="1" t="s">
        <v>6040</v>
      </c>
      <c r="E650" s="1" t="s">
        <v>6041</v>
      </c>
      <c r="F650" s="1">
        <v>-8</v>
      </c>
      <c r="G650" s="1">
        <v>-8</v>
      </c>
      <c r="H650" s="1">
        <v>0</v>
      </c>
      <c r="I650" s="1">
        <v>0</v>
      </c>
      <c r="J650" s="1">
        <v>8</v>
      </c>
      <c r="K650" s="1">
        <v>-8</v>
      </c>
    </row>
    <row r="651" spans="3:11" x14ac:dyDescent="0.25">
      <c r="D651" s="1" t="s">
        <v>6042</v>
      </c>
      <c r="E651" s="1" t="s">
        <v>6043</v>
      </c>
      <c r="F651" s="1">
        <v>-8</v>
      </c>
      <c r="G651" s="1">
        <v>-8</v>
      </c>
      <c r="H651" s="1">
        <v>0</v>
      </c>
      <c r="I651" s="1">
        <v>0</v>
      </c>
      <c r="J651" s="1">
        <v>8</v>
      </c>
      <c r="K651" s="1">
        <v>-8</v>
      </c>
    </row>
    <row r="652" spans="3:11" x14ac:dyDescent="0.25">
      <c r="C652" s="1" t="s">
        <v>6044</v>
      </c>
      <c r="D652" s="1" t="s">
        <v>6045</v>
      </c>
      <c r="E652" s="1" t="s">
        <v>6044</v>
      </c>
      <c r="F652" s="1">
        <v>-7</v>
      </c>
      <c r="G652" s="1">
        <v>-7</v>
      </c>
      <c r="H652" s="1">
        <v>0</v>
      </c>
      <c r="I652" s="1">
        <v>1420</v>
      </c>
      <c r="J652" s="1">
        <v>1427</v>
      </c>
      <c r="K652" s="1">
        <v>-7</v>
      </c>
    </row>
    <row r="653" spans="3:11" x14ac:dyDescent="0.25">
      <c r="C653" s="1" t="s">
        <v>1122</v>
      </c>
      <c r="D653" s="1" t="s">
        <v>1123</v>
      </c>
      <c r="E653" s="1" t="s">
        <v>1124</v>
      </c>
      <c r="F653" s="1">
        <v>-7</v>
      </c>
      <c r="G653" s="1">
        <v>-7</v>
      </c>
      <c r="H653" s="1">
        <v>0</v>
      </c>
      <c r="I653" s="1">
        <v>1262</v>
      </c>
      <c r="J653" s="1">
        <v>1269</v>
      </c>
      <c r="K653" s="1">
        <v>-7</v>
      </c>
    </row>
    <row r="654" spans="3:11" x14ac:dyDescent="0.25">
      <c r="C654" s="1" t="s">
        <v>6046</v>
      </c>
      <c r="D654" s="1" t="s">
        <v>6047</v>
      </c>
      <c r="E654" s="1" t="s">
        <v>6048</v>
      </c>
      <c r="F654" s="1">
        <v>-7</v>
      </c>
      <c r="G654" s="1">
        <v>-7</v>
      </c>
      <c r="H654" s="1">
        <v>0</v>
      </c>
      <c r="I654" s="1">
        <v>1254</v>
      </c>
      <c r="J654" s="1">
        <v>1261</v>
      </c>
      <c r="K654" s="1">
        <v>-7</v>
      </c>
    </row>
    <row r="655" spans="3:11" x14ac:dyDescent="0.25">
      <c r="C655" s="1" t="s">
        <v>6049</v>
      </c>
      <c r="D655" s="1" t="s">
        <v>6050</v>
      </c>
      <c r="E655" s="1" t="s">
        <v>6051</v>
      </c>
      <c r="F655" s="1">
        <v>-7</v>
      </c>
      <c r="G655" s="1">
        <v>-7</v>
      </c>
      <c r="H655" s="1">
        <v>0</v>
      </c>
      <c r="I655" s="1">
        <v>256</v>
      </c>
      <c r="J655" s="1">
        <v>263</v>
      </c>
      <c r="K655" s="1">
        <v>-7</v>
      </c>
    </row>
    <row r="656" spans="3:11" x14ac:dyDescent="0.25">
      <c r="C656" s="1" t="s">
        <v>6052</v>
      </c>
      <c r="D656" s="1" t="s">
        <v>6053</v>
      </c>
      <c r="E656" s="1" t="s">
        <v>6054</v>
      </c>
      <c r="F656" s="1">
        <v>-7</v>
      </c>
      <c r="G656" s="1">
        <v>-7</v>
      </c>
      <c r="H656" s="1">
        <v>0</v>
      </c>
      <c r="I656" s="1">
        <v>188</v>
      </c>
      <c r="J656" s="1">
        <v>195</v>
      </c>
      <c r="K656" s="1">
        <v>-7</v>
      </c>
    </row>
    <row r="657" spans="3:11" x14ac:dyDescent="0.25">
      <c r="C657" s="1" t="s">
        <v>6055</v>
      </c>
      <c r="D657" s="1" t="s">
        <v>6056</v>
      </c>
      <c r="E657" s="1" t="s">
        <v>6057</v>
      </c>
      <c r="F657" s="1">
        <v>-7</v>
      </c>
      <c r="G657" s="1">
        <v>-7</v>
      </c>
      <c r="H657" s="1">
        <v>0</v>
      </c>
      <c r="I657" s="1">
        <v>111</v>
      </c>
      <c r="J657" s="1">
        <v>118</v>
      </c>
      <c r="K657" s="1">
        <v>-7</v>
      </c>
    </row>
    <row r="658" spans="3:11" x14ac:dyDescent="0.25">
      <c r="C658" s="1" t="s">
        <v>6058</v>
      </c>
      <c r="D658" s="1" t="s">
        <v>6059</v>
      </c>
      <c r="E658" s="1" t="s">
        <v>6060</v>
      </c>
      <c r="F658" s="1">
        <v>-7</v>
      </c>
      <c r="G658" s="1">
        <v>-7</v>
      </c>
      <c r="H658" s="1">
        <v>0</v>
      </c>
      <c r="I658" s="1">
        <v>95</v>
      </c>
      <c r="J658" s="1">
        <v>102</v>
      </c>
      <c r="K658" s="1">
        <v>-7</v>
      </c>
    </row>
    <row r="659" spans="3:11" x14ac:dyDescent="0.25">
      <c r="C659" s="1" t="s">
        <v>6061</v>
      </c>
      <c r="D659" s="1" t="s">
        <v>6062</v>
      </c>
      <c r="E659" s="1" t="s">
        <v>6063</v>
      </c>
      <c r="F659" s="1">
        <v>-7</v>
      </c>
      <c r="G659" s="1">
        <v>-7</v>
      </c>
      <c r="H659" s="1">
        <v>0</v>
      </c>
      <c r="I659" s="1">
        <v>35</v>
      </c>
      <c r="J659" s="1">
        <v>42</v>
      </c>
      <c r="K659" s="1">
        <v>-7</v>
      </c>
    </row>
    <row r="660" spans="3:11" x14ac:dyDescent="0.25">
      <c r="C660" s="1" t="s">
        <v>6064</v>
      </c>
      <c r="D660" s="1" t="s">
        <v>6065</v>
      </c>
      <c r="E660" s="1" t="s">
        <v>6066</v>
      </c>
      <c r="F660" s="1">
        <v>-7</v>
      </c>
      <c r="G660" s="1">
        <v>-7</v>
      </c>
      <c r="H660" s="1">
        <v>0</v>
      </c>
      <c r="I660" s="1">
        <v>19</v>
      </c>
      <c r="J660" s="1">
        <v>26</v>
      </c>
      <c r="K660" s="1">
        <v>-7</v>
      </c>
    </row>
    <row r="661" spans="3:11" x14ac:dyDescent="0.25">
      <c r="C661" s="1" t="s">
        <v>6067</v>
      </c>
      <c r="D661" s="1" t="s">
        <v>6068</v>
      </c>
      <c r="E661" s="1" t="s">
        <v>6069</v>
      </c>
      <c r="F661" s="1">
        <v>-7</v>
      </c>
      <c r="G661" s="1">
        <v>-7</v>
      </c>
      <c r="H661" s="1">
        <v>0</v>
      </c>
      <c r="I661" s="1">
        <v>18</v>
      </c>
      <c r="J661" s="1">
        <v>25</v>
      </c>
      <c r="K661" s="1">
        <v>-7</v>
      </c>
    </row>
    <row r="662" spans="3:11" x14ac:dyDescent="0.25">
      <c r="C662" s="1" t="s">
        <v>6070</v>
      </c>
      <c r="D662" s="1" t="s">
        <v>6071</v>
      </c>
      <c r="E662" s="1" t="s">
        <v>6072</v>
      </c>
      <c r="F662" s="1">
        <v>-7</v>
      </c>
      <c r="G662" s="1">
        <v>-7</v>
      </c>
      <c r="H662" s="1">
        <v>0</v>
      </c>
      <c r="I662" s="1">
        <v>16</v>
      </c>
      <c r="J662" s="1">
        <v>23</v>
      </c>
      <c r="K662" s="1">
        <v>-7</v>
      </c>
    </row>
    <row r="663" spans="3:11" x14ac:dyDescent="0.25">
      <c r="C663" s="1" t="s">
        <v>4033</v>
      </c>
      <c r="D663" s="1" t="s">
        <v>4034</v>
      </c>
      <c r="E663" s="1" t="s">
        <v>4035</v>
      </c>
      <c r="F663" s="1">
        <v>-7</v>
      </c>
      <c r="G663" s="1">
        <v>-7</v>
      </c>
      <c r="H663" s="1">
        <v>0</v>
      </c>
      <c r="I663" s="1">
        <v>15</v>
      </c>
      <c r="J663" s="1">
        <v>22</v>
      </c>
      <c r="K663" s="1">
        <v>-7</v>
      </c>
    </row>
    <row r="664" spans="3:11" x14ac:dyDescent="0.25">
      <c r="C664" s="1" t="s">
        <v>6073</v>
      </c>
      <c r="D664" s="1" t="s">
        <v>6074</v>
      </c>
      <c r="E664" s="1" t="s">
        <v>6075</v>
      </c>
      <c r="F664" s="1">
        <v>-7</v>
      </c>
      <c r="G664" s="1">
        <v>-7</v>
      </c>
      <c r="H664" s="1">
        <v>0</v>
      </c>
      <c r="I664" s="1">
        <v>9</v>
      </c>
      <c r="J664" s="1">
        <v>16</v>
      </c>
      <c r="K664" s="1">
        <v>-7</v>
      </c>
    </row>
    <row r="665" spans="3:11" x14ac:dyDescent="0.25">
      <c r="C665" s="1" t="s">
        <v>6076</v>
      </c>
      <c r="D665" s="1" t="s">
        <v>6077</v>
      </c>
      <c r="E665" s="1" t="s">
        <v>6076</v>
      </c>
      <c r="F665" s="1">
        <v>-7</v>
      </c>
      <c r="G665" s="1">
        <v>-7</v>
      </c>
      <c r="H665" s="1">
        <v>0</v>
      </c>
      <c r="I665" s="1">
        <v>7</v>
      </c>
      <c r="J665" s="1">
        <v>14</v>
      </c>
      <c r="K665" s="1">
        <v>-7</v>
      </c>
    </row>
    <row r="666" spans="3:11" x14ac:dyDescent="0.25">
      <c r="C666" s="1" t="s">
        <v>4257</v>
      </c>
      <c r="D666" s="1" t="s">
        <v>4258</v>
      </c>
      <c r="E666" s="1" t="s">
        <v>4259</v>
      </c>
      <c r="F666" s="1">
        <v>-7</v>
      </c>
      <c r="G666" s="1">
        <v>-7</v>
      </c>
      <c r="H666" s="1">
        <v>0</v>
      </c>
      <c r="I666" s="1">
        <v>6</v>
      </c>
      <c r="J666" s="1">
        <v>13</v>
      </c>
      <c r="K666" s="1">
        <v>-7</v>
      </c>
    </row>
    <row r="667" spans="3:11" x14ac:dyDescent="0.25">
      <c r="C667" s="1" t="s">
        <v>6078</v>
      </c>
      <c r="D667" s="1" t="s">
        <v>6079</v>
      </c>
      <c r="E667" s="1" t="s">
        <v>6080</v>
      </c>
      <c r="F667" s="1">
        <v>-7</v>
      </c>
      <c r="G667" s="1">
        <v>-7</v>
      </c>
      <c r="H667" s="1">
        <v>0</v>
      </c>
      <c r="I667" s="1">
        <v>5</v>
      </c>
      <c r="J667" s="1">
        <v>12</v>
      </c>
      <c r="K667" s="1">
        <v>-7</v>
      </c>
    </row>
    <row r="668" spans="3:11" x14ac:dyDescent="0.25">
      <c r="C668" s="1" t="s">
        <v>6081</v>
      </c>
      <c r="D668" s="1" t="s">
        <v>6082</v>
      </c>
      <c r="E668" s="1" t="s">
        <v>6081</v>
      </c>
      <c r="F668" s="1">
        <v>-7</v>
      </c>
      <c r="G668" s="1">
        <v>-7</v>
      </c>
      <c r="H668" s="1">
        <v>0</v>
      </c>
      <c r="I668" s="1">
        <v>4</v>
      </c>
      <c r="J668" s="1">
        <v>11</v>
      </c>
      <c r="K668" s="1">
        <v>-7</v>
      </c>
    </row>
    <row r="669" spans="3:11" x14ac:dyDescent="0.25">
      <c r="C669" s="1" t="s">
        <v>2007</v>
      </c>
      <c r="D669" s="1" t="s">
        <v>2008</v>
      </c>
      <c r="E669" s="1" t="s">
        <v>2009</v>
      </c>
      <c r="F669" s="1">
        <v>-7</v>
      </c>
      <c r="G669" s="1">
        <v>-7</v>
      </c>
      <c r="H669" s="1">
        <v>0</v>
      </c>
      <c r="I669" s="1">
        <v>4</v>
      </c>
      <c r="J669" s="1">
        <v>11</v>
      </c>
      <c r="K669" s="1">
        <v>-7</v>
      </c>
    </row>
    <row r="670" spans="3:11" x14ac:dyDescent="0.25">
      <c r="C670" s="1" t="s">
        <v>6083</v>
      </c>
      <c r="D670" s="1" t="s">
        <v>6084</v>
      </c>
      <c r="E670" s="1" t="s">
        <v>6083</v>
      </c>
      <c r="F670" s="1">
        <v>-7</v>
      </c>
      <c r="G670" s="1">
        <v>-7</v>
      </c>
      <c r="H670" s="1">
        <v>0</v>
      </c>
      <c r="I670" s="1">
        <v>3</v>
      </c>
      <c r="J670" s="1">
        <v>10</v>
      </c>
      <c r="K670" s="1">
        <v>-7</v>
      </c>
    </row>
    <row r="671" spans="3:11" x14ac:dyDescent="0.25">
      <c r="C671" s="1" t="s">
        <v>6085</v>
      </c>
      <c r="D671" s="1" t="s">
        <v>6086</v>
      </c>
      <c r="E671" s="1" t="s">
        <v>6087</v>
      </c>
      <c r="F671" s="1">
        <v>-7</v>
      </c>
      <c r="G671" s="1">
        <v>-7</v>
      </c>
      <c r="H671" s="1">
        <v>0</v>
      </c>
      <c r="I671" s="1">
        <v>2</v>
      </c>
      <c r="J671" s="1">
        <v>9</v>
      </c>
      <c r="K671" s="1">
        <v>-7</v>
      </c>
    </row>
    <row r="672" spans="3:11" x14ac:dyDescent="0.25">
      <c r="C672" s="1" t="s">
        <v>6088</v>
      </c>
      <c r="D672" s="1" t="s">
        <v>6089</v>
      </c>
      <c r="E672" s="1" t="s">
        <v>6090</v>
      </c>
      <c r="F672" s="1">
        <v>-7</v>
      </c>
      <c r="G672" s="1">
        <v>-7</v>
      </c>
      <c r="H672" s="1">
        <v>0</v>
      </c>
      <c r="I672" s="1">
        <v>2</v>
      </c>
      <c r="J672" s="1">
        <v>9</v>
      </c>
      <c r="K672" s="1">
        <v>-7</v>
      </c>
    </row>
    <row r="673" spans="3:11" x14ac:dyDescent="0.25">
      <c r="D673" s="1" t="s">
        <v>6091</v>
      </c>
      <c r="E673" s="1" t="s">
        <v>6092</v>
      </c>
      <c r="F673" s="1">
        <v>-7</v>
      </c>
      <c r="G673" s="1">
        <v>-7</v>
      </c>
      <c r="H673" s="1">
        <v>0</v>
      </c>
      <c r="I673" s="1">
        <v>1</v>
      </c>
      <c r="J673" s="1">
        <v>8</v>
      </c>
      <c r="K673" s="1">
        <v>-7</v>
      </c>
    </row>
    <row r="674" spans="3:11" x14ac:dyDescent="0.25">
      <c r="C674" s="1" t="s">
        <v>6093</v>
      </c>
      <c r="D674" s="1" t="s">
        <v>6094</v>
      </c>
      <c r="E674" s="1" t="s">
        <v>6095</v>
      </c>
      <c r="F674" s="1">
        <v>-7</v>
      </c>
      <c r="G674" s="1">
        <v>-7</v>
      </c>
      <c r="H674" s="1">
        <v>0</v>
      </c>
      <c r="I674" s="1">
        <v>1</v>
      </c>
      <c r="J674" s="1">
        <v>8</v>
      </c>
      <c r="K674" s="1">
        <v>-7</v>
      </c>
    </row>
    <row r="675" spans="3:11" x14ac:dyDescent="0.25">
      <c r="C675" s="1" t="s">
        <v>6096</v>
      </c>
      <c r="D675" s="1" t="s">
        <v>6097</v>
      </c>
      <c r="E675" s="1" t="s">
        <v>6096</v>
      </c>
      <c r="F675" s="1">
        <v>-7</v>
      </c>
      <c r="G675" s="1">
        <v>-7</v>
      </c>
      <c r="H675" s="1">
        <v>0</v>
      </c>
      <c r="I675" s="1">
        <v>1</v>
      </c>
      <c r="J675" s="1">
        <v>8</v>
      </c>
      <c r="K675" s="1">
        <v>-7</v>
      </c>
    </row>
    <row r="676" spans="3:11" x14ac:dyDescent="0.25">
      <c r="C676" s="1" t="s">
        <v>6098</v>
      </c>
      <c r="D676" s="1" t="s">
        <v>6099</v>
      </c>
      <c r="E676" s="1" t="s">
        <v>6098</v>
      </c>
      <c r="F676" s="1">
        <v>-7</v>
      </c>
      <c r="G676" s="1">
        <v>-7</v>
      </c>
      <c r="H676" s="1">
        <v>0</v>
      </c>
      <c r="I676" s="1">
        <v>1</v>
      </c>
      <c r="J676" s="1">
        <v>8</v>
      </c>
      <c r="K676" s="1">
        <v>-7</v>
      </c>
    </row>
    <row r="677" spans="3:11" x14ac:dyDescent="0.25">
      <c r="C677" s="1" t="s">
        <v>6100</v>
      </c>
      <c r="D677" s="1" t="s">
        <v>6101</v>
      </c>
      <c r="E677" s="1" t="s">
        <v>6102</v>
      </c>
      <c r="F677" s="1">
        <v>-7</v>
      </c>
      <c r="G677" s="1">
        <v>-7</v>
      </c>
      <c r="H677" s="1">
        <v>0</v>
      </c>
      <c r="I677" s="1">
        <v>0</v>
      </c>
      <c r="J677" s="1">
        <v>7</v>
      </c>
      <c r="K677" s="1">
        <v>-7</v>
      </c>
    </row>
    <row r="678" spans="3:11" x14ac:dyDescent="0.25">
      <c r="D678" s="1" t="s">
        <v>6103</v>
      </c>
      <c r="E678" s="1" t="s">
        <v>6104</v>
      </c>
      <c r="F678" s="1">
        <v>-7</v>
      </c>
      <c r="G678" s="1">
        <v>-7</v>
      </c>
      <c r="H678" s="1">
        <v>0</v>
      </c>
      <c r="I678" s="1">
        <v>0</v>
      </c>
      <c r="J678" s="1">
        <v>7</v>
      </c>
      <c r="K678" s="1">
        <v>-7</v>
      </c>
    </row>
    <row r="679" spans="3:11" x14ac:dyDescent="0.25">
      <c r="C679" s="1" t="s">
        <v>6105</v>
      </c>
      <c r="D679" s="1" t="s">
        <v>6106</v>
      </c>
      <c r="E679" s="1" t="s">
        <v>6105</v>
      </c>
      <c r="F679" s="1">
        <v>-7</v>
      </c>
      <c r="G679" s="1">
        <v>-7</v>
      </c>
      <c r="H679" s="1">
        <v>0</v>
      </c>
      <c r="I679" s="1">
        <v>0</v>
      </c>
      <c r="J679" s="1">
        <v>7</v>
      </c>
      <c r="K679" s="1">
        <v>-7</v>
      </c>
    </row>
    <row r="680" spans="3:11" x14ac:dyDescent="0.25">
      <c r="C680" s="1" t="s">
        <v>6107</v>
      </c>
      <c r="D680" s="1" t="s">
        <v>6108</v>
      </c>
      <c r="E680" s="1" t="s">
        <v>6107</v>
      </c>
      <c r="F680" s="1">
        <v>-7</v>
      </c>
      <c r="G680" s="1">
        <v>-7</v>
      </c>
      <c r="H680" s="1">
        <v>0</v>
      </c>
      <c r="I680" s="1">
        <v>0</v>
      </c>
      <c r="J680" s="1">
        <v>7</v>
      </c>
      <c r="K680" s="1">
        <v>-7</v>
      </c>
    </row>
    <row r="681" spans="3:11" x14ac:dyDescent="0.25">
      <c r="C681" s="1" t="s">
        <v>6109</v>
      </c>
      <c r="D681" s="1" t="s">
        <v>6110</v>
      </c>
      <c r="E681" s="1" t="s">
        <v>6109</v>
      </c>
      <c r="F681" s="1">
        <v>-7</v>
      </c>
      <c r="G681" s="1">
        <v>-7</v>
      </c>
      <c r="H681" s="1">
        <v>0</v>
      </c>
      <c r="I681" s="1">
        <v>0</v>
      </c>
      <c r="J681" s="1">
        <v>7</v>
      </c>
      <c r="K681" s="1">
        <v>-7</v>
      </c>
    </row>
    <row r="682" spans="3:11" x14ac:dyDescent="0.25">
      <c r="D682" s="1" t="s">
        <v>6111</v>
      </c>
      <c r="E682" s="1" t="s">
        <v>6112</v>
      </c>
      <c r="F682" s="1">
        <v>-7</v>
      </c>
      <c r="G682" s="1">
        <v>-7</v>
      </c>
      <c r="H682" s="1">
        <v>0</v>
      </c>
      <c r="I682" s="1">
        <v>0</v>
      </c>
      <c r="J682" s="1">
        <v>7</v>
      </c>
      <c r="K682" s="1">
        <v>-7</v>
      </c>
    </row>
    <row r="683" spans="3:11" x14ac:dyDescent="0.25">
      <c r="C683" s="1" t="s">
        <v>6113</v>
      </c>
      <c r="D683" s="1" t="s">
        <v>6114</v>
      </c>
      <c r="E683" s="1" t="s">
        <v>6115</v>
      </c>
      <c r="F683" s="1">
        <v>-7</v>
      </c>
      <c r="G683" s="1">
        <v>-7</v>
      </c>
      <c r="H683" s="1">
        <v>0</v>
      </c>
      <c r="I683" s="1">
        <v>0</v>
      </c>
      <c r="J683" s="1">
        <v>7</v>
      </c>
      <c r="K683" s="1">
        <v>-7</v>
      </c>
    </row>
    <row r="684" spans="3:11" x14ac:dyDescent="0.25">
      <c r="C684" s="1" t="s">
        <v>6116</v>
      </c>
      <c r="D684" s="1" t="s">
        <v>6117</v>
      </c>
      <c r="E684" s="1" t="s">
        <v>6116</v>
      </c>
      <c r="F684" s="1">
        <v>-7</v>
      </c>
      <c r="G684" s="1">
        <v>-7</v>
      </c>
      <c r="H684" s="1">
        <v>0</v>
      </c>
      <c r="I684" s="1">
        <v>0</v>
      </c>
      <c r="J684" s="1">
        <v>7</v>
      </c>
      <c r="K684" s="1">
        <v>-7</v>
      </c>
    </row>
    <row r="685" spans="3:11" x14ac:dyDescent="0.25">
      <c r="D685" s="1" t="s">
        <v>6118</v>
      </c>
      <c r="E685" s="1" t="s">
        <v>6119</v>
      </c>
      <c r="F685" s="1">
        <v>-7</v>
      </c>
      <c r="G685" s="1">
        <v>-7</v>
      </c>
      <c r="H685" s="1">
        <v>0</v>
      </c>
      <c r="I685" s="1">
        <v>0</v>
      </c>
      <c r="J685" s="1">
        <v>7</v>
      </c>
      <c r="K685" s="1">
        <v>-7</v>
      </c>
    </row>
    <row r="686" spans="3:11" x14ac:dyDescent="0.25">
      <c r="D686" s="1" t="s">
        <v>6120</v>
      </c>
      <c r="E686" s="1" t="s">
        <v>6121</v>
      </c>
      <c r="F686" s="1">
        <v>-7</v>
      </c>
      <c r="G686" s="1">
        <v>-7</v>
      </c>
      <c r="H686" s="1">
        <v>0</v>
      </c>
      <c r="I686" s="1">
        <v>0</v>
      </c>
      <c r="J686" s="1">
        <v>7</v>
      </c>
      <c r="K686" s="1">
        <v>-7</v>
      </c>
    </row>
    <row r="687" spans="3:11" x14ac:dyDescent="0.25">
      <c r="D687" s="1" t="s">
        <v>6122</v>
      </c>
      <c r="E687" s="1" t="s">
        <v>6123</v>
      </c>
      <c r="F687" s="1">
        <v>-7</v>
      </c>
      <c r="G687" s="1">
        <v>-7</v>
      </c>
      <c r="H687" s="1">
        <v>0</v>
      </c>
      <c r="I687" s="1">
        <v>0</v>
      </c>
      <c r="J687" s="1">
        <v>7</v>
      </c>
      <c r="K687" s="1">
        <v>-7</v>
      </c>
    </row>
    <row r="688" spans="3:11" x14ac:dyDescent="0.25">
      <c r="D688" s="1" t="s">
        <v>6124</v>
      </c>
      <c r="E688" s="1" t="s">
        <v>6125</v>
      </c>
      <c r="F688" s="1">
        <v>-7</v>
      </c>
      <c r="G688" s="1">
        <v>-7</v>
      </c>
      <c r="H688" s="1">
        <v>0</v>
      </c>
      <c r="I688" s="1">
        <v>0</v>
      </c>
      <c r="J688" s="1">
        <v>7</v>
      </c>
      <c r="K688" s="1">
        <v>-7</v>
      </c>
    </row>
    <row r="689" spans="3:11" x14ac:dyDescent="0.25">
      <c r="C689" s="1" t="s">
        <v>6126</v>
      </c>
      <c r="D689" s="1" t="s">
        <v>6127</v>
      </c>
      <c r="E689" s="1" t="s">
        <v>6128</v>
      </c>
      <c r="F689" s="1">
        <v>-7</v>
      </c>
      <c r="G689" s="1">
        <v>-7</v>
      </c>
      <c r="H689" s="1">
        <v>0</v>
      </c>
      <c r="I689" s="1">
        <v>0</v>
      </c>
      <c r="J689" s="1">
        <v>7</v>
      </c>
      <c r="K689" s="1">
        <v>-7</v>
      </c>
    </row>
    <row r="690" spans="3:11" x14ac:dyDescent="0.25">
      <c r="D690" s="1" t="s">
        <v>6129</v>
      </c>
      <c r="E690" s="1" t="s">
        <v>6130</v>
      </c>
      <c r="F690" s="1">
        <v>-7</v>
      </c>
      <c r="G690" s="1">
        <v>-7</v>
      </c>
      <c r="H690" s="1">
        <v>0</v>
      </c>
      <c r="I690" s="1">
        <v>0</v>
      </c>
      <c r="J690" s="1">
        <v>7</v>
      </c>
      <c r="K690" s="1">
        <v>-7</v>
      </c>
    </row>
    <row r="691" spans="3:11" x14ac:dyDescent="0.25">
      <c r="D691" s="1" t="s">
        <v>6131</v>
      </c>
      <c r="E691" s="1" t="s">
        <v>6132</v>
      </c>
      <c r="F691" s="1">
        <v>-7</v>
      </c>
      <c r="G691" s="1">
        <v>-7</v>
      </c>
      <c r="H691" s="1">
        <v>0</v>
      </c>
      <c r="I691" s="1">
        <v>0</v>
      </c>
      <c r="J691" s="1">
        <v>7</v>
      </c>
      <c r="K691" s="1">
        <v>-7</v>
      </c>
    </row>
    <row r="692" spans="3:11" x14ac:dyDescent="0.25">
      <c r="D692" s="1" t="s">
        <v>6133</v>
      </c>
      <c r="E692" s="1" t="s">
        <v>6134</v>
      </c>
      <c r="F692" s="1">
        <v>-7</v>
      </c>
      <c r="G692" s="1">
        <v>-7</v>
      </c>
      <c r="H692" s="1">
        <v>0</v>
      </c>
      <c r="I692" s="1">
        <v>0</v>
      </c>
      <c r="J692" s="1">
        <v>7</v>
      </c>
      <c r="K692" s="1">
        <v>-7</v>
      </c>
    </row>
    <row r="693" spans="3:11" x14ac:dyDescent="0.25">
      <c r="C693" s="1" t="s">
        <v>6135</v>
      </c>
      <c r="D693" s="1" t="s">
        <v>6136</v>
      </c>
      <c r="E693" s="1" t="s">
        <v>6135</v>
      </c>
      <c r="F693" s="1">
        <v>-7</v>
      </c>
      <c r="G693" s="1">
        <v>-7</v>
      </c>
      <c r="H693" s="1">
        <v>0</v>
      </c>
      <c r="I693" s="1">
        <v>0</v>
      </c>
      <c r="J693" s="1">
        <v>7</v>
      </c>
      <c r="K693" s="1">
        <v>-7</v>
      </c>
    </row>
    <row r="694" spans="3:11" x14ac:dyDescent="0.25">
      <c r="C694" s="1" t="s">
        <v>6137</v>
      </c>
      <c r="D694" s="1" t="s">
        <v>6138</v>
      </c>
      <c r="E694" s="1" t="s">
        <v>6137</v>
      </c>
      <c r="F694" s="1">
        <v>-7</v>
      </c>
      <c r="G694" s="1">
        <v>-7</v>
      </c>
      <c r="H694" s="1">
        <v>0</v>
      </c>
      <c r="I694" s="1">
        <v>0</v>
      </c>
      <c r="J694" s="1">
        <v>7</v>
      </c>
      <c r="K694" s="1">
        <v>-7</v>
      </c>
    </row>
    <row r="695" spans="3:11" x14ac:dyDescent="0.25">
      <c r="C695" s="1" t="s">
        <v>6139</v>
      </c>
      <c r="D695" s="1" t="s">
        <v>6140</v>
      </c>
      <c r="E695" s="1" t="s">
        <v>6139</v>
      </c>
      <c r="F695" s="1">
        <v>-7</v>
      </c>
      <c r="G695" s="1">
        <v>-7</v>
      </c>
      <c r="H695" s="1">
        <v>0</v>
      </c>
      <c r="I695" s="1">
        <v>0</v>
      </c>
      <c r="J695" s="1">
        <v>7</v>
      </c>
      <c r="K695" s="1">
        <v>-7</v>
      </c>
    </row>
    <row r="696" spans="3:11" x14ac:dyDescent="0.25">
      <c r="C696" s="1" t="s">
        <v>6141</v>
      </c>
      <c r="D696" s="1" t="s">
        <v>6142</v>
      </c>
      <c r="E696" s="1" t="s">
        <v>6143</v>
      </c>
      <c r="F696" s="1">
        <v>-7</v>
      </c>
      <c r="G696" s="1">
        <v>-7</v>
      </c>
      <c r="H696" s="1">
        <v>0</v>
      </c>
      <c r="I696" s="1">
        <v>0</v>
      </c>
      <c r="J696" s="1">
        <v>7</v>
      </c>
      <c r="K696" s="1">
        <v>-7</v>
      </c>
    </row>
    <row r="697" spans="3:11" x14ac:dyDescent="0.25">
      <c r="C697" s="1" t="s">
        <v>6144</v>
      </c>
      <c r="D697" s="1" t="s">
        <v>6145</v>
      </c>
      <c r="E697" s="1" t="s">
        <v>6146</v>
      </c>
      <c r="F697" s="1">
        <v>-7</v>
      </c>
      <c r="G697" s="1">
        <v>-7</v>
      </c>
      <c r="H697" s="1">
        <v>0</v>
      </c>
      <c r="I697" s="1">
        <v>0</v>
      </c>
      <c r="J697" s="1">
        <v>7</v>
      </c>
      <c r="K697" s="1">
        <v>-7</v>
      </c>
    </row>
    <row r="698" spans="3:11" x14ac:dyDescent="0.25">
      <c r="C698" s="1" t="s">
        <v>6147</v>
      </c>
      <c r="D698" s="1" t="s">
        <v>6148</v>
      </c>
      <c r="E698" s="1" t="s">
        <v>6149</v>
      </c>
      <c r="F698" s="1">
        <v>-7</v>
      </c>
      <c r="G698" s="1">
        <v>-7</v>
      </c>
      <c r="H698" s="1">
        <v>0</v>
      </c>
      <c r="I698" s="1">
        <v>0</v>
      </c>
      <c r="J698" s="1">
        <v>7</v>
      </c>
      <c r="K698" s="1">
        <v>-7</v>
      </c>
    </row>
    <row r="699" spans="3:11" x14ac:dyDescent="0.25">
      <c r="C699" s="1" t="s">
        <v>6150</v>
      </c>
      <c r="D699" s="1" t="s">
        <v>6151</v>
      </c>
      <c r="E699" s="1" t="s">
        <v>6152</v>
      </c>
      <c r="F699" s="1">
        <v>-7</v>
      </c>
      <c r="G699" s="1">
        <v>-7</v>
      </c>
      <c r="H699" s="1">
        <v>0</v>
      </c>
      <c r="I699" s="1">
        <v>0</v>
      </c>
      <c r="J699" s="1">
        <v>7</v>
      </c>
      <c r="K699" s="1">
        <v>-7</v>
      </c>
    </row>
    <row r="700" spans="3:11" x14ac:dyDescent="0.25">
      <c r="D700" s="1" t="s">
        <v>6153</v>
      </c>
      <c r="E700" s="1" t="s">
        <v>6154</v>
      </c>
      <c r="F700" s="1">
        <v>-7</v>
      </c>
      <c r="G700" s="1">
        <v>-7</v>
      </c>
      <c r="H700" s="1">
        <v>0</v>
      </c>
      <c r="I700" s="1">
        <v>0</v>
      </c>
      <c r="J700" s="1">
        <v>7</v>
      </c>
      <c r="K700" s="1">
        <v>-7</v>
      </c>
    </row>
    <row r="701" spans="3:11" x14ac:dyDescent="0.25">
      <c r="D701" s="1" t="s">
        <v>6155</v>
      </c>
      <c r="E701" s="1" t="s">
        <v>6156</v>
      </c>
      <c r="F701" s="1">
        <v>-7</v>
      </c>
      <c r="G701" s="1">
        <v>-7</v>
      </c>
      <c r="H701" s="1">
        <v>0</v>
      </c>
      <c r="I701" s="1">
        <v>0</v>
      </c>
      <c r="J701" s="1">
        <v>7</v>
      </c>
      <c r="K701" s="1">
        <v>-7</v>
      </c>
    </row>
    <row r="702" spans="3:11" x14ac:dyDescent="0.25">
      <c r="D702" s="1" t="s">
        <v>6157</v>
      </c>
      <c r="E702" s="1" t="s">
        <v>6158</v>
      </c>
      <c r="F702" s="1">
        <v>-7</v>
      </c>
      <c r="G702" s="1">
        <v>-7</v>
      </c>
      <c r="H702" s="1">
        <v>0</v>
      </c>
      <c r="I702" s="1">
        <v>0</v>
      </c>
      <c r="J702" s="1">
        <v>7</v>
      </c>
      <c r="K702" s="1">
        <v>-7</v>
      </c>
    </row>
    <row r="703" spans="3:11" x14ac:dyDescent="0.25">
      <c r="D703" s="1" t="s">
        <v>6159</v>
      </c>
      <c r="E703" s="1" t="s">
        <v>6160</v>
      </c>
      <c r="F703" s="1">
        <v>-7</v>
      </c>
      <c r="G703" s="1">
        <v>-7</v>
      </c>
      <c r="H703" s="1">
        <v>0</v>
      </c>
      <c r="I703" s="1">
        <v>0</v>
      </c>
      <c r="J703" s="1">
        <v>7</v>
      </c>
      <c r="K703" s="1">
        <v>-7</v>
      </c>
    </row>
    <row r="704" spans="3:11" x14ac:dyDescent="0.25">
      <c r="D704" s="1" t="s">
        <v>6161</v>
      </c>
      <c r="E704" s="1" t="s">
        <v>6162</v>
      </c>
      <c r="F704" s="1">
        <v>-7</v>
      </c>
      <c r="G704" s="1">
        <v>-7</v>
      </c>
      <c r="H704" s="1">
        <v>0</v>
      </c>
      <c r="I704" s="1">
        <v>0</v>
      </c>
      <c r="J704" s="1">
        <v>7</v>
      </c>
      <c r="K704" s="1">
        <v>-7</v>
      </c>
    </row>
    <row r="705" spans="3:11" x14ac:dyDescent="0.25">
      <c r="D705" s="1" t="s">
        <v>6163</v>
      </c>
      <c r="E705" s="1" t="s">
        <v>6164</v>
      </c>
      <c r="F705" s="1">
        <v>-7</v>
      </c>
      <c r="G705" s="1">
        <v>-7</v>
      </c>
      <c r="H705" s="1">
        <v>0</v>
      </c>
      <c r="I705" s="1">
        <v>0</v>
      </c>
      <c r="J705" s="1">
        <v>7</v>
      </c>
      <c r="K705" s="1">
        <v>-7</v>
      </c>
    </row>
    <row r="706" spans="3:11" x14ac:dyDescent="0.25">
      <c r="D706" s="1" t="s">
        <v>6165</v>
      </c>
      <c r="E706" s="1" t="s">
        <v>6166</v>
      </c>
      <c r="F706" s="1">
        <v>-7</v>
      </c>
      <c r="G706" s="1">
        <v>-7</v>
      </c>
      <c r="H706" s="1">
        <v>0</v>
      </c>
      <c r="I706" s="1">
        <v>0</v>
      </c>
      <c r="J706" s="1">
        <v>7</v>
      </c>
      <c r="K706" s="1">
        <v>-7</v>
      </c>
    </row>
    <row r="707" spans="3:11" x14ac:dyDescent="0.25">
      <c r="C707" s="1" t="s">
        <v>4397</v>
      </c>
      <c r="D707" s="1" t="s">
        <v>4398</v>
      </c>
      <c r="E707" s="1" t="s">
        <v>4399</v>
      </c>
      <c r="F707" s="1">
        <v>-7</v>
      </c>
      <c r="G707" s="1">
        <v>-7</v>
      </c>
      <c r="H707" s="1">
        <v>0</v>
      </c>
      <c r="I707" s="1">
        <v>0</v>
      </c>
      <c r="J707" s="1">
        <v>7</v>
      </c>
      <c r="K707" s="1">
        <v>-7</v>
      </c>
    </row>
    <row r="708" spans="3:11" x14ac:dyDescent="0.25">
      <c r="C708" s="1" t="s">
        <v>6167</v>
      </c>
      <c r="D708" s="1" t="s">
        <v>6168</v>
      </c>
      <c r="E708" s="1" t="s">
        <v>6169</v>
      </c>
      <c r="F708" s="1">
        <v>-6</v>
      </c>
      <c r="G708" s="1">
        <v>-6</v>
      </c>
      <c r="H708" s="1">
        <v>0</v>
      </c>
      <c r="I708" s="1">
        <v>9439</v>
      </c>
      <c r="J708" s="1">
        <v>9445</v>
      </c>
      <c r="K708" s="1">
        <v>-6</v>
      </c>
    </row>
    <row r="709" spans="3:11" x14ac:dyDescent="0.25">
      <c r="C709" s="1" t="s">
        <v>6170</v>
      </c>
      <c r="D709" s="1" t="s">
        <v>6171</v>
      </c>
      <c r="E709" s="1" t="s">
        <v>6172</v>
      </c>
      <c r="F709" s="1">
        <v>-6</v>
      </c>
      <c r="G709" s="1">
        <v>-6</v>
      </c>
      <c r="H709" s="1">
        <v>0</v>
      </c>
      <c r="I709" s="1">
        <v>1703</v>
      </c>
      <c r="J709" s="1">
        <v>1709</v>
      </c>
      <c r="K709" s="1">
        <v>-6</v>
      </c>
    </row>
    <row r="710" spans="3:11" x14ac:dyDescent="0.25">
      <c r="C710" s="1" t="s">
        <v>2969</v>
      </c>
      <c r="D710" s="1" t="s">
        <v>2970</v>
      </c>
      <c r="E710" s="1" t="s">
        <v>2971</v>
      </c>
      <c r="F710" s="1">
        <v>-6</v>
      </c>
      <c r="G710" s="1">
        <v>-6</v>
      </c>
      <c r="H710" s="1">
        <v>0</v>
      </c>
      <c r="I710" s="1">
        <v>366</v>
      </c>
      <c r="J710" s="1">
        <v>372</v>
      </c>
      <c r="K710" s="1">
        <v>-6</v>
      </c>
    </row>
    <row r="711" spans="3:11" x14ac:dyDescent="0.25">
      <c r="C711" s="1" t="s">
        <v>6173</v>
      </c>
      <c r="D711" s="1" t="s">
        <v>6174</v>
      </c>
      <c r="E711" s="1" t="s">
        <v>6175</v>
      </c>
      <c r="F711" s="1">
        <v>-6</v>
      </c>
      <c r="G711" s="1">
        <v>-6</v>
      </c>
      <c r="H711" s="1">
        <v>0</v>
      </c>
      <c r="I711" s="1">
        <v>329</v>
      </c>
      <c r="J711" s="1">
        <v>335</v>
      </c>
      <c r="K711" s="1">
        <v>-6</v>
      </c>
    </row>
    <row r="712" spans="3:11" x14ac:dyDescent="0.25">
      <c r="C712" s="1" t="s">
        <v>6176</v>
      </c>
      <c r="D712" s="1" t="s">
        <v>6177</v>
      </c>
      <c r="E712" s="1" t="s">
        <v>6178</v>
      </c>
      <c r="F712" s="1">
        <v>-6</v>
      </c>
      <c r="G712" s="1">
        <v>-6</v>
      </c>
      <c r="H712" s="1">
        <v>0</v>
      </c>
      <c r="I712" s="1">
        <v>100</v>
      </c>
      <c r="J712" s="1">
        <v>106</v>
      </c>
      <c r="K712" s="1">
        <v>-6</v>
      </c>
    </row>
    <row r="713" spans="3:11" x14ac:dyDescent="0.25">
      <c r="C713" s="1" t="s">
        <v>6179</v>
      </c>
      <c r="D713" s="1" t="s">
        <v>6180</v>
      </c>
      <c r="E713" s="1" t="s">
        <v>6181</v>
      </c>
      <c r="F713" s="1">
        <v>-6</v>
      </c>
      <c r="G713" s="1">
        <v>-6</v>
      </c>
      <c r="H713" s="1">
        <v>0</v>
      </c>
      <c r="I713" s="1">
        <v>88</v>
      </c>
      <c r="J713" s="1">
        <v>94</v>
      </c>
      <c r="K713" s="1">
        <v>-6</v>
      </c>
    </row>
    <row r="714" spans="3:11" x14ac:dyDescent="0.25">
      <c r="C714" s="1" t="s">
        <v>3554</v>
      </c>
      <c r="D714" s="1" t="s">
        <v>3555</v>
      </c>
      <c r="E714" s="1" t="s">
        <v>3556</v>
      </c>
      <c r="F714" s="1">
        <v>-6</v>
      </c>
      <c r="G714" s="1">
        <v>-6</v>
      </c>
      <c r="H714" s="1">
        <v>0</v>
      </c>
      <c r="I714" s="1">
        <v>64</v>
      </c>
      <c r="J714" s="1">
        <v>70</v>
      </c>
      <c r="K714" s="1">
        <v>-6</v>
      </c>
    </row>
    <row r="715" spans="3:11" x14ac:dyDescent="0.25">
      <c r="C715" s="1" t="s">
        <v>3658</v>
      </c>
      <c r="D715" s="1" t="s">
        <v>3659</v>
      </c>
      <c r="E715" s="1" t="s">
        <v>3660</v>
      </c>
      <c r="F715" s="1">
        <v>-6</v>
      </c>
      <c r="G715" s="1">
        <v>-6</v>
      </c>
      <c r="H715" s="1">
        <v>0</v>
      </c>
      <c r="I715" s="1">
        <v>52</v>
      </c>
      <c r="J715" s="1">
        <v>58</v>
      </c>
      <c r="K715" s="1">
        <v>-6</v>
      </c>
    </row>
    <row r="716" spans="3:11" x14ac:dyDescent="0.25">
      <c r="C716" s="1" t="s">
        <v>6182</v>
      </c>
      <c r="D716" s="1" t="s">
        <v>6183</v>
      </c>
      <c r="E716" s="1" t="s">
        <v>6184</v>
      </c>
      <c r="F716" s="1">
        <v>-6</v>
      </c>
      <c r="G716" s="1">
        <v>-6</v>
      </c>
      <c r="H716" s="1">
        <v>0</v>
      </c>
      <c r="I716" s="1">
        <v>32</v>
      </c>
      <c r="J716" s="1">
        <v>38</v>
      </c>
      <c r="K716" s="1">
        <v>-6</v>
      </c>
    </row>
    <row r="717" spans="3:11" x14ac:dyDescent="0.25">
      <c r="C717" s="1" t="s">
        <v>3919</v>
      </c>
      <c r="D717" s="1" t="s">
        <v>3920</v>
      </c>
      <c r="E717" s="1" t="s">
        <v>3921</v>
      </c>
      <c r="F717" s="1">
        <v>-6</v>
      </c>
      <c r="G717" s="1">
        <v>-6</v>
      </c>
      <c r="H717" s="1">
        <v>0</v>
      </c>
      <c r="I717" s="1">
        <v>25</v>
      </c>
      <c r="J717" s="1">
        <v>31</v>
      </c>
      <c r="K717" s="1">
        <v>-6</v>
      </c>
    </row>
    <row r="718" spans="3:11" x14ac:dyDescent="0.25">
      <c r="C718" s="1" t="s">
        <v>6185</v>
      </c>
      <c r="D718" s="1" t="s">
        <v>6186</v>
      </c>
      <c r="E718" s="1" t="s">
        <v>6187</v>
      </c>
      <c r="F718" s="1">
        <v>-6</v>
      </c>
      <c r="G718" s="1">
        <v>-6</v>
      </c>
      <c r="H718" s="1">
        <v>0</v>
      </c>
      <c r="I718" s="1">
        <v>24</v>
      </c>
      <c r="J718" s="1">
        <v>30</v>
      </c>
      <c r="K718" s="1">
        <v>-6</v>
      </c>
    </row>
    <row r="719" spans="3:11" x14ac:dyDescent="0.25">
      <c r="C719" s="1" t="s">
        <v>6188</v>
      </c>
      <c r="D719" s="1" t="s">
        <v>6189</v>
      </c>
      <c r="E719" s="1" t="s">
        <v>6190</v>
      </c>
      <c r="F719" s="1">
        <v>-6</v>
      </c>
      <c r="G719" s="1">
        <v>-6</v>
      </c>
      <c r="H719" s="1">
        <v>0</v>
      </c>
      <c r="I719" s="1">
        <v>23</v>
      </c>
      <c r="J719" s="1">
        <v>29</v>
      </c>
      <c r="K719" s="1">
        <v>-6</v>
      </c>
    </row>
    <row r="720" spans="3:11" x14ac:dyDescent="0.25">
      <c r="C720" s="1" t="s">
        <v>6191</v>
      </c>
      <c r="D720" s="1" t="s">
        <v>6192</v>
      </c>
      <c r="E720" s="1" t="s">
        <v>6193</v>
      </c>
      <c r="F720" s="1">
        <v>-6</v>
      </c>
      <c r="G720" s="1">
        <v>-6</v>
      </c>
      <c r="H720" s="1">
        <v>0</v>
      </c>
      <c r="I720" s="1">
        <v>22</v>
      </c>
      <c r="J720" s="1">
        <v>28</v>
      </c>
      <c r="K720" s="1">
        <v>-6</v>
      </c>
    </row>
    <row r="721" spans="3:11" x14ac:dyDescent="0.25">
      <c r="C721" s="1" t="s">
        <v>4009</v>
      </c>
      <c r="D721" s="1" t="s">
        <v>4010</v>
      </c>
      <c r="E721" s="1" t="s">
        <v>4011</v>
      </c>
      <c r="F721" s="1">
        <v>-6</v>
      </c>
      <c r="G721" s="1">
        <v>-6</v>
      </c>
      <c r="H721" s="1">
        <v>0</v>
      </c>
      <c r="I721" s="1">
        <v>18</v>
      </c>
      <c r="J721" s="1">
        <v>24</v>
      </c>
      <c r="K721" s="1">
        <v>-6</v>
      </c>
    </row>
    <row r="722" spans="3:11" x14ac:dyDescent="0.25">
      <c r="C722" s="1" t="s">
        <v>6194</v>
      </c>
      <c r="D722" s="1" t="s">
        <v>6195</v>
      </c>
      <c r="E722" s="1" t="s">
        <v>6196</v>
      </c>
      <c r="F722" s="1">
        <v>-6</v>
      </c>
      <c r="G722" s="1">
        <v>-6</v>
      </c>
      <c r="H722" s="1">
        <v>0</v>
      </c>
      <c r="I722" s="1">
        <v>17</v>
      </c>
      <c r="J722" s="1">
        <v>23</v>
      </c>
      <c r="K722" s="1">
        <v>-6</v>
      </c>
    </row>
    <row r="723" spans="3:11" x14ac:dyDescent="0.25">
      <c r="C723" s="1" t="s">
        <v>6197</v>
      </c>
      <c r="D723" s="1" t="s">
        <v>6198</v>
      </c>
      <c r="E723" s="1" t="s">
        <v>6199</v>
      </c>
      <c r="F723" s="1">
        <v>-6</v>
      </c>
      <c r="G723" s="1">
        <v>-6</v>
      </c>
      <c r="H723" s="1">
        <v>0</v>
      </c>
      <c r="I723" s="1">
        <v>16</v>
      </c>
      <c r="J723" s="1">
        <v>22</v>
      </c>
      <c r="K723" s="1">
        <v>-6</v>
      </c>
    </row>
    <row r="724" spans="3:11" x14ac:dyDescent="0.25">
      <c r="C724" s="1" t="s">
        <v>6200</v>
      </c>
      <c r="D724" s="1" t="s">
        <v>6201</v>
      </c>
      <c r="E724" s="1" t="s">
        <v>6202</v>
      </c>
      <c r="F724" s="1">
        <v>-6</v>
      </c>
      <c r="G724" s="1">
        <v>-6</v>
      </c>
      <c r="H724" s="1">
        <v>0</v>
      </c>
      <c r="I724" s="1">
        <v>15</v>
      </c>
      <c r="J724" s="1">
        <v>21</v>
      </c>
      <c r="K724" s="1">
        <v>-6</v>
      </c>
    </row>
    <row r="725" spans="3:11" x14ac:dyDescent="0.25">
      <c r="C725" s="1" t="s">
        <v>2306</v>
      </c>
      <c r="D725" s="1" t="s">
        <v>2307</v>
      </c>
      <c r="E725" s="1" t="s">
        <v>2308</v>
      </c>
      <c r="F725" s="1">
        <v>-6</v>
      </c>
      <c r="G725" s="1">
        <v>-6</v>
      </c>
      <c r="H725" s="1">
        <v>0</v>
      </c>
      <c r="I725" s="1">
        <v>14</v>
      </c>
      <c r="J725" s="1">
        <v>20</v>
      </c>
      <c r="K725" s="1">
        <v>-6</v>
      </c>
    </row>
    <row r="726" spans="3:11" x14ac:dyDescent="0.25">
      <c r="C726" s="1" t="s">
        <v>6203</v>
      </c>
      <c r="D726" s="1" t="s">
        <v>6204</v>
      </c>
      <c r="E726" s="1" t="s">
        <v>6205</v>
      </c>
      <c r="F726" s="1">
        <v>-6</v>
      </c>
      <c r="G726" s="1">
        <v>-6</v>
      </c>
      <c r="H726" s="1">
        <v>0</v>
      </c>
      <c r="I726" s="1">
        <v>8</v>
      </c>
      <c r="J726" s="1">
        <v>14</v>
      </c>
      <c r="K726" s="1">
        <v>-6</v>
      </c>
    </row>
    <row r="727" spans="3:11" x14ac:dyDescent="0.25">
      <c r="C727" s="1" t="s">
        <v>6206</v>
      </c>
      <c r="D727" s="1" t="s">
        <v>6207</v>
      </c>
      <c r="E727" s="1" t="s">
        <v>6208</v>
      </c>
      <c r="F727" s="1">
        <v>-6</v>
      </c>
      <c r="G727" s="1">
        <v>-6</v>
      </c>
      <c r="H727" s="1">
        <v>0</v>
      </c>
      <c r="I727" s="1">
        <v>6</v>
      </c>
      <c r="J727" s="1">
        <v>12</v>
      </c>
      <c r="K727" s="1">
        <v>-6</v>
      </c>
    </row>
    <row r="728" spans="3:11" x14ac:dyDescent="0.25">
      <c r="C728" s="1" t="s">
        <v>6209</v>
      </c>
      <c r="D728" s="1" t="s">
        <v>6210</v>
      </c>
      <c r="E728" s="1" t="s">
        <v>6211</v>
      </c>
      <c r="F728" s="1">
        <v>-6</v>
      </c>
      <c r="G728" s="1">
        <v>-6</v>
      </c>
      <c r="H728" s="1">
        <v>0</v>
      </c>
      <c r="I728" s="1">
        <v>5</v>
      </c>
      <c r="J728" s="1">
        <v>11</v>
      </c>
      <c r="K728" s="1">
        <v>-6</v>
      </c>
    </row>
    <row r="729" spans="3:11" x14ac:dyDescent="0.25">
      <c r="C729" s="1" t="s">
        <v>6212</v>
      </c>
      <c r="D729" s="1" t="s">
        <v>6213</v>
      </c>
      <c r="E729" s="1" t="s">
        <v>6214</v>
      </c>
      <c r="F729" s="1">
        <v>-6</v>
      </c>
      <c r="G729" s="1">
        <v>-6</v>
      </c>
      <c r="H729" s="1">
        <v>0</v>
      </c>
      <c r="I729" s="1">
        <v>4</v>
      </c>
      <c r="J729" s="1">
        <v>10</v>
      </c>
      <c r="K729" s="1">
        <v>-6</v>
      </c>
    </row>
    <row r="730" spans="3:11" x14ac:dyDescent="0.25">
      <c r="C730" s="1" t="s">
        <v>6215</v>
      </c>
      <c r="D730" s="1" t="s">
        <v>6216</v>
      </c>
      <c r="E730" s="1" t="s">
        <v>6217</v>
      </c>
      <c r="F730" s="1">
        <v>-6</v>
      </c>
      <c r="G730" s="1">
        <v>-6</v>
      </c>
      <c r="H730" s="1">
        <v>0</v>
      </c>
      <c r="I730" s="1">
        <v>4</v>
      </c>
      <c r="J730" s="1">
        <v>10</v>
      </c>
      <c r="K730" s="1">
        <v>-6</v>
      </c>
    </row>
    <row r="731" spans="3:11" x14ac:dyDescent="0.25">
      <c r="C731" s="1" t="s">
        <v>6218</v>
      </c>
      <c r="D731" s="1" t="s">
        <v>6219</v>
      </c>
      <c r="E731" s="1" t="s">
        <v>6220</v>
      </c>
      <c r="F731" s="1">
        <v>-6</v>
      </c>
      <c r="G731" s="1">
        <v>-6</v>
      </c>
      <c r="H731" s="1">
        <v>0</v>
      </c>
      <c r="I731" s="1">
        <v>3</v>
      </c>
      <c r="J731" s="1">
        <v>9</v>
      </c>
      <c r="K731" s="1">
        <v>-6</v>
      </c>
    </row>
    <row r="732" spans="3:11" x14ac:dyDescent="0.25">
      <c r="C732" s="1" t="s">
        <v>6221</v>
      </c>
      <c r="D732" s="1" t="s">
        <v>6222</v>
      </c>
      <c r="E732" s="1" t="s">
        <v>6221</v>
      </c>
      <c r="F732" s="1">
        <v>-6</v>
      </c>
      <c r="G732" s="1">
        <v>-6</v>
      </c>
      <c r="H732" s="1">
        <v>0</v>
      </c>
      <c r="I732" s="1">
        <v>3</v>
      </c>
      <c r="J732" s="1">
        <v>9</v>
      </c>
      <c r="K732" s="1">
        <v>-6</v>
      </c>
    </row>
    <row r="733" spans="3:11" x14ac:dyDescent="0.25">
      <c r="C733" s="1" t="s">
        <v>6223</v>
      </c>
      <c r="D733" s="1" t="s">
        <v>6224</v>
      </c>
      <c r="E733" s="1" t="s">
        <v>6225</v>
      </c>
      <c r="F733" s="1">
        <v>-6</v>
      </c>
      <c r="G733" s="1">
        <v>-6</v>
      </c>
      <c r="H733" s="1">
        <v>0</v>
      </c>
      <c r="I733" s="1">
        <v>2</v>
      </c>
      <c r="J733" s="1">
        <v>8</v>
      </c>
      <c r="K733" s="1">
        <v>-6</v>
      </c>
    </row>
    <row r="734" spans="3:11" x14ac:dyDescent="0.25">
      <c r="C734" s="1" t="s">
        <v>6226</v>
      </c>
      <c r="D734" s="1" t="s">
        <v>6227</v>
      </c>
      <c r="E734" s="1" t="s">
        <v>6226</v>
      </c>
      <c r="F734" s="1">
        <v>-6</v>
      </c>
      <c r="G734" s="1">
        <v>-6</v>
      </c>
      <c r="H734" s="1">
        <v>0</v>
      </c>
      <c r="I734" s="1">
        <v>2</v>
      </c>
      <c r="J734" s="1">
        <v>8</v>
      </c>
      <c r="K734" s="1">
        <v>-6</v>
      </c>
    </row>
    <row r="735" spans="3:11" x14ac:dyDescent="0.25">
      <c r="D735" s="1" t="s">
        <v>6228</v>
      </c>
      <c r="E735" s="1" t="s">
        <v>6229</v>
      </c>
      <c r="F735" s="1">
        <v>-6</v>
      </c>
      <c r="G735" s="1">
        <v>-6</v>
      </c>
      <c r="H735" s="1">
        <v>0</v>
      </c>
      <c r="I735" s="1">
        <v>2</v>
      </c>
      <c r="J735" s="1">
        <v>8</v>
      </c>
      <c r="K735" s="1">
        <v>-6</v>
      </c>
    </row>
    <row r="736" spans="3:11" x14ac:dyDescent="0.25">
      <c r="C736" s="1" t="s">
        <v>4400</v>
      </c>
      <c r="D736" s="1" t="s">
        <v>4401</v>
      </c>
      <c r="E736" s="1" t="s">
        <v>4402</v>
      </c>
      <c r="F736" s="1">
        <v>-6</v>
      </c>
      <c r="G736" s="1">
        <v>-6</v>
      </c>
      <c r="H736" s="1">
        <v>0</v>
      </c>
      <c r="I736" s="1">
        <v>2</v>
      </c>
      <c r="J736" s="1">
        <v>8</v>
      </c>
      <c r="K736" s="1">
        <v>-6</v>
      </c>
    </row>
    <row r="737" spans="3:11" x14ac:dyDescent="0.25">
      <c r="C737" s="1" t="s">
        <v>6230</v>
      </c>
      <c r="D737" s="1" t="s">
        <v>6231</v>
      </c>
      <c r="E737" s="1" t="s">
        <v>6232</v>
      </c>
      <c r="F737" s="1">
        <v>-6</v>
      </c>
      <c r="G737" s="1">
        <v>-6</v>
      </c>
      <c r="H737" s="1">
        <v>0</v>
      </c>
      <c r="I737" s="1">
        <v>1</v>
      </c>
      <c r="J737" s="1">
        <v>7</v>
      </c>
      <c r="K737" s="1">
        <v>-6</v>
      </c>
    </row>
    <row r="738" spans="3:11" x14ac:dyDescent="0.25">
      <c r="C738" s="1" t="s">
        <v>6233</v>
      </c>
      <c r="D738" s="1" t="s">
        <v>6234</v>
      </c>
      <c r="E738" s="1" t="s">
        <v>6235</v>
      </c>
      <c r="F738" s="1">
        <v>-6</v>
      </c>
      <c r="G738" s="1">
        <v>-6</v>
      </c>
      <c r="H738" s="1">
        <v>0</v>
      </c>
      <c r="I738" s="1">
        <v>1</v>
      </c>
      <c r="J738" s="1">
        <v>7</v>
      </c>
      <c r="K738" s="1">
        <v>-6</v>
      </c>
    </row>
    <row r="739" spans="3:11" x14ac:dyDescent="0.25">
      <c r="C739" s="1" t="s">
        <v>6236</v>
      </c>
      <c r="D739" s="1" t="s">
        <v>6237</v>
      </c>
      <c r="E739" s="1" t="s">
        <v>6236</v>
      </c>
      <c r="F739" s="1">
        <v>-6</v>
      </c>
      <c r="G739" s="1">
        <v>-6</v>
      </c>
      <c r="H739" s="1">
        <v>0</v>
      </c>
      <c r="I739" s="1">
        <v>1</v>
      </c>
      <c r="J739" s="1">
        <v>7</v>
      </c>
      <c r="K739" s="1">
        <v>-6</v>
      </c>
    </row>
    <row r="740" spans="3:11" x14ac:dyDescent="0.25">
      <c r="C740" s="1" t="s">
        <v>6238</v>
      </c>
      <c r="D740" s="1" t="s">
        <v>6239</v>
      </c>
      <c r="E740" s="1" t="s">
        <v>6238</v>
      </c>
      <c r="F740" s="1">
        <v>-6</v>
      </c>
      <c r="G740" s="1">
        <v>-6</v>
      </c>
      <c r="H740" s="1">
        <v>0</v>
      </c>
      <c r="I740" s="1">
        <v>0</v>
      </c>
      <c r="J740" s="1">
        <v>6</v>
      </c>
      <c r="K740" s="1">
        <v>-6</v>
      </c>
    </row>
    <row r="741" spans="3:11" x14ac:dyDescent="0.25">
      <c r="C741" s="1" t="s">
        <v>6240</v>
      </c>
      <c r="D741" s="1" t="s">
        <v>6241</v>
      </c>
      <c r="E741" s="1" t="s">
        <v>6240</v>
      </c>
      <c r="F741" s="1">
        <v>-6</v>
      </c>
      <c r="G741" s="1">
        <v>-6</v>
      </c>
      <c r="H741" s="1">
        <v>0</v>
      </c>
      <c r="I741" s="1">
        <v>0</v>
      </c>
      <c r="J741" s="1">
        <v>6</v>
      </c>
      <c r="K741" s="1">
        <v>-6</v>
      </c>
    </row>
    <row r="742" spans="3:11" x14ac:dyDescent="0.25">
      <c r="C742" s="1" t="s">
        <v>6242</v>
      </c>
      <c r="D742" s="1" t="s">
        <v>6243</v>
      </c>
      <c r="E742" s="1" t="s">
        <v>6242</v>
      </c>
      <c r="F742" s="1">
        <v>-6</v>
      </c>
      <c r="G742" s="1">
        <v>-6</v>
      </c>
      <c r="H742" s="1">
        <v>0</v>
      </c>
      <c r="I742" s="1">
        <v>0</v>
      </c>
      <c r="J742" s="1">
        <v>6</v>
      </c>
      <c r="K742" s="1">
        <v>-6</v>
      </c>
    </row>
    <row r="743" spans="3:11" x14ac:dyDescent="0.25">
      <c r="C743" s="1" t="s">
        <v>6244</v>
      </c>
      <c r="D743" s="1" t="s">
        <v>6245</v>
      </c>
      <c r="E743" s="1" t="s">
        <v>6244</v>
      </c>
      <c r="F743" s="1">
        <v>-6</v>
      </c>
      <c r="G743" s="1">
        <v>-6</v>
      </c>
      <c r="H743" s="1">
        <v>0</v>
      </c>
      <c r="I743" s="1">
        <v>0</v>
      </c>
      <c r="J743" s="1">
        <v>6</v>
      </c>
      <c r="K743" s="1">
        <v>-6</v>
      </c>
    </row>
    <row r="744" spans="3:11" x14ac:dyDescent="0.25">
      <c r="C744" s="1" t="s">
        <v>6246</v>
      </c>
      <c r="D744" s="1" t="s">
        <v>6247</v>
      </c>
      <c r="E744" s="1" t="s">
        <v>6246</v>
      </c>
      <c r="F744" s="1">
        <v>-6</v>
      </c>
      <c r="G744" s="1">
        <v>-6</v>
      </c>
      <c r="H744" s="1">
        <v>0</v>
      </c>
      <c r="I744" s="1">
        <v>0</v>
      </c>
      <c r="J744" s="1">
        <v>6</v>
      </c>
      <c r="K744" s="1">
        <v>-6</v>
      </c>
    </row>
    <row r="745" spans="3:11" x14ac:dyDescent="0.25">
      <c r="D745" s="1" t="s">
        <v>6248</v>
      </c>
      <c r="E745" s="1" t="s">
        <v>6249</v>
      </c>
      <c r="F745" s="1">
        <v>-6</v>
      </c>
      <c r="G745" s="1">
        <v>-6</v>
      </c>
      <c r="H745" s="1">
        <v>0</v>
      </c>
      <c r="I745" s="1">
        <v>0</v>
      </c>
      <c r="J745" s="1">
        <v>6</v>
      </c>
      <c r="K745" s="1">
        <v>-6</v>
      </c>
    </row>
    <row r="746" spans="3:11" x14ac:dyDescent="0.25">
      <c r="C746" s="1" t="s">
        <v>6250</v>
      </c>
      <c r="D746" s="1" t="s">
        <v>6251</v>
      </c>
      <c r="E746" s="1" t="s">
        <v>6250</v>
      </c>
      <c r="F746" s="1">
        <v>-6</v>
      </c>
      <c r="G746" s="1">
        <v>-6</v>
      </c>
      <c r="H746" s="1">
        <v>0</v>
      </c>
      <c r="I746" s="1">
        <v>0</v>
      </c>
      <c r="J746" s="1">
        <v>6</v>
      </c>
      <c r="K746" s="1">
        <v>-6</v>
      </c>
    </row>
    <row r="747" spans="3:11" x14ac:dyDescent="0.25">
      <c r="C747" s="1" t="s">
        <v>6252</v>
      </c>
      <c r="D747" s="1" t="s">
        <v>6253</v>
      </c>
      <c r="E747" s="1" t="s">
        <v>6252</v>
      </c>
      <c r="F747" s="1">
        <v>-6</v>
      </c>
      <c r="G747" s="1">
        <v>-6</v>
      </c>
      <c r="H747" s="1">
        <v>0</v>
      </c>
      <c r="I747" s="1">
        <v>0</v>
      </c>
      <c r="J747" s="1">
        <v>6</v>
      </c>
      <c r="K747" s="1">
        <v>-6</v>
      </c>
    </row>
    <row r="748" spans="3:11" x14ac:dyDescent="0.25">
      <c r="C748" s="1" t="s">
        <v>6254</v>
      </c>
      <c r="D748" s="1" t="s">
        <v>6255</v>
      </c>
      <c r="E748" s="1" t="s">
        <v>6254</v>
      </c>
      <c r="F748" s="1">
        <v>-6</v>
      </c>
      <c r="G748" s="1">
        <v>-6</v>
      </c>
      <c r="H748" s="1">
        <v>0</v>
      </c>
      <c r="I748" s="1">
        <v>0</v>
      </c>
      <c r="J748" s="1">
        <v>6</v>
      </c>
      <c r="K748" s="1">
        <v>-6</v>
      </c>
    </row>
    <row r="749" spans="3:11" x14ac:dyDescent="0.25">
      <c r="D749" s="1" t="s">
        <v>6256</v>
      </c>
      <c r="E749" s="1" t="s">
        <v>6257</v>
      </c>
      <c r="F749" s="1">
        <v>-6</v>
      </c>
      <c r="G749" s="1">
        <v>-6</v>
      </c>
      <c r="H749" s="1">
        <v>0</v>
      </c>
      <c r="I749" s="1">
        <v>0</v>
      </c>
      <c r="J749" s="1">
        <v>6</v>
      </c>
      <c r="K749" s="1">
        <v>-6</v>
      </c>
    </row>
    <row r="750" spans="3:11" x14ac:dyDescent="0.25">
      <c r="C750" s="1" t="s">
        <v>6258</v>
      </c>
      <c r="D750" s="1" t="s">
        <v>6259</v>
      </c>
      <c r="E750" s="1" t="s">
        <v>6260</v>
      </c>
      <c r="F750" s="1">
        <v>-6</v>
      </c>
      <c r="G750" s="1">
        <v>-6</v>
      </c>
      <c r="H750" s="1">
        <v>0</v>
      </c>
      <c r="I750" s="1">
        <v>0</v>
      </c>
      <c r="J750" s="1">
        <v>6</v>
      </c>
      <c r="K750" s="1">
        <v>-6</v>
      </c>
    </row>
    <row r="751" spans="3:11" x14ac:dyDescent="0.25">
      <c r="C751" s="1" t="s">
        <v>6261</v>
      </c>
      <c r="D751" s="1" t="s">
        <v>6262</v>
      </c>
      <c r="E751" s="1" t="s">
        <v>6263</v>
      </c>
      <c r="F751" s="1">
        <v>-6</v>
      </c>
      <c r="G751" s="1">
        <v>-6</v>
      </c>
      <c r="H751" s="1">
        <v>0</v>
      </c>
      <c r="I751" s="1">
        <v>0</v>
      </c>
      <c r="J751" s="1">
        <v>6</v>
      </c>
      <c r="K751" s="1">
        <v>-6</v>
      </c>
    </row>
    <row r="752" spans="3:11" x14ac:dyDescent="0.25">
      <c r="C752" s="1" t="s">
        <v>6264</v>
      </c>
      <c r="D752" s="1" t="s">
        <v>6265</v>
      </c>
      <c r="E752" s="1" t="s">
        <v>6266</v>
      </c>
      <c r="F752" s="1">
        <v>-6</v>
      </c>
      <c r="G752" s="1">
        <v>-6</v>
      </c>
      <c r="H752" s="1">
        <v>0</v>
      </c>
      <c r="I752" s="1">
        <v>0</v>
      </c>
      <c r="J752" s="1">
        <v>6</v>
      </c>
      <c r="K752" s="1">
        <v>-6</v>
      </c>
    </row>
    <row r="753" spans="3:11" x14ac:dyDescent="0.25">
      <c r="C753" s="1" t="s">
        <v>6267</v>
      </c>
      <c r="D753" s="1" t="s">
        <v>6268</v>
      </c>
      <c r="E753" s="1" t="s">
        <v>6269</v>
      </c>
      <c r="F753" s="1">
        <v>-6</v>
      </c>
      <c r="G753" s="1">
        <v>-6</v>
      </c>
      <c r="H753" s="1">
        <v>0</v>
      </c>
      <c r="I753" s="1">
        <v>0</v>
      </c>
      <c r="J753" s="1">
        <v>6</v>
      </c>
      <c r="K753" s="1">
        <v>-6</v>
      </c>
    </row>
    <row r="754" spans="3:11" x14ac:dyDescent="0.25">
      <c r="C754" s="1" t="s">
        <v>6270</v>
      </c>
      <c r="D754" s="1" t="s">
        <v>6271</v>
      </c>
      <c r="E754" s="1" t="s">
        <v>6272</v>
      </c>
      <c r="F754" s="1">
        <v>-6</v>
      </c>
      <c r="G754" s="1">
        <v>-6</v>
      </c>
      <c r="H754" s="1">
        <v>0</v>
      </c>
      <c r="I754" s="1">
        <v>0</v>
      </c>
      <c r="J754" s="1">
        <v>6</v>
      </c>
      <c r="K754" s="1">
        <v>-6</v>
      </c>
    </row>
    <row r="755" spans="3:11" x14ac:dyDescent="0.25">
      <c r="C755" s="1" t="s">
        <v>6273</v>
      </c>
      <c r="D755" s="1" t="s">
        <v>6274</v>
      </c>
      <c r="E755" s="1" t="s">
        <v>6273</v>
      </c>
      <c r="F755" s="1">
        <v>-6</v>
      </c>
      <c r="G755" s="1">
        <v>-6</v>
      </c>
      <c r="H755" s="1">
        <v>0</v>
      </c>
      <c r="I755" s="1">
        <v>0</v>
      </c>
      <c r="J755" s="1">
        <v>6</v>
      </c>
      <c r="K755" s="1">
        <v>-6</v>
      </c>
    </row>
    <row r="756" spans="3:11" x14ac:dyDescent="0.25">
      <c r="C756" s="1" t="s">
        <v>6275</v>
      </c>
      <c r="D756" s="1" t="s">
        <v>6276</v>
      </c>
      <c r="E756" s="1" t="s">
        <v>6277</v>
      </c>
      <c r="F756" s="1">
        <v>-6</v>
      </c>
      <c r="G756" s="1">
        <v>-6</v>
      </c>
      <c r="H756" s="1">
        <v>0</v>
      </c>
      <c r="I756" s="1">
        <v>0</v>
      </c>
      <c r="J756" s="1">
        <v>6</v>
      </c>
      <c r="K756" s="1">
        <v>-6</v>
      </c>
    </row>
    <row r="757" spans="3:11" x14ac:dyDescent="0.25">
      <c r="D757" s="1" t="s">
        <v>6278</v>
      </c>
      <c r="E757" s="1" t="s">
        <v>6279</v>
      </c>
      <c r="F757" s="1">
        <v>-6</v>
      </c>
      <c r="G757" s="1">
        <v>-6</v>
      </c>
      <c r="H757" s="1">
        <v>0</v>
      </c>
      <c r="I757" s="1">
        <v>0</v>
      </c>
      <c r="J757" s="1">
        <v>6</v>
      </c>
      <c r="K757" s="1">
        <v>-6</v>
      </c>
    </row>
    <row r="758" spans="3:11" x14ac:dyDescent="0.25">
      <c r="D758" s="1" t="s">
        <v>6280</v>
      </c>
      <c r="E758" s="1" t="s">
        <v>6281</v>
      </c>
      <c r="F758" s="1">
        <v>-6</v>
      </c>
      <c r="G758" s="1">
        <v>-6</v>
      </c>
      <c r="H758" s="1">
        <v>0</v>
      </c>
      <c r="I758" s="1">
        <v>0</v>
      </c>
      <c r="J758" s="1">
        <v>6</v>
      </c>
      <c r="K758" s="1">
        <v>-6</v>
      </c>
    </row>
    <row r="759" spans="3:11" x14ac:dyDescent="0.25">
      <c r="C759" s="1" t="s">
        <v>6282</v>
      </c>
      <c r="D759" s="1" t="s">
        <v>6283</v>
      </c>
      <c r="E759" s="1" t="s">
        <v>6284</v>
      </c>
      <c r="F759" s="1">
        <v>-6</v>
      </c>
      <c r="G759" s="1">
        <v>-6</v>
      </c>
      <c r="H759" s="1">
        <v>0</v>
      </c>
      <c r="I759" s="1">
        <v>0</v>
      </c>
      <c r="J759" s="1">
        <v>6</v>
      </c>
      <c r="K759" s="1">
        <v>-6</v>
      </c>
    </row>
    <row r="760" spans="3:11" x14ac:dyDescent="0.25">
      <c r="C760" s="1" t="s">
        <v>6285</v>
      </c>
      <c r="D760" s="1" t="s">
        <v>6286</v>
      </c>
      <c r="E760" s="1" t="s">
        <v>6285</v>
      </c>
      <c r="F760" s="1">
        <v>-6</v>
      </c>
      <c r="G760" s="1">
        <v>-6</v>
      </c>
      <c r="H760" s="1">
        <v>0</v>
      </c>
      <c r="I760" s="1">
        <v>0</v>
      </c>
      <c r="J760" s="1">
        <v>6</v>
      </c>
      <c r="K760" s="1">
        <v>-6</v>
      </c>
    </row>
    <row r="761" spans="3:11" x14ac:dyDescent="0.25">
      <c r="D761" s="1" t="s">
        <v>6287</v>
      </c>
      <c r="E761" s="1" t="s">
        <v>6288</v>
      </c>
      <c r="F761" s="1">
        <v>-6</v>
      </c>
      <c r="G761" s="1">
        <v>-6</v>
      </c>
      <c r="H761" s="1">
        <v>0</v>
      </c>
      <c r="I761" s="1">
        <v>0</v>
      </c>
      <c r="J761" s="1">
        <v>6</v>
      </c>
      <c r="K761" s="1">
        <v>-6</v>
      </c>
    </row>
    <row r="762" spans="3:11" x14ac:dyDescent="0.25">
      <c r="C762" s="1" t="s">
        <v>6289</v>
      </c>
      <c r="D762" s="1" t="s">
        <v>6290</v>
      </c>
      <c r="E762" s="1" t="s">
        <v>6289</v>
      </c>
      <c r="F762" s="1">
        <v>-6</v>
      </c>
      <c r="G762" s="1">
        <v>-6</v>
      </c>
      <c r="H762" s="1">
        <v>0</v>
      </c>
      <c r="I762" s="1">
        <v>0</v>
      </c>
      <c r="J762" s="1">
        <v>6</v>
      </c>
      <c r="K762" s="1">
        <v>-6</v>
      </c>
    </row>
    <row r="763" spans="3:11" x14ac:dyDescent="0.25">
      <c r="D763" s="1" t="s">
        <v>6291</v>
      </c>
      <c r="E763" s="1" t="s">
        <v>6292</v>
      </c>
      <c r="F763" s="1">
        <v>-6</v>
      </c>
      <c r="G763" s="1">
        <v>-6</v>
      </c>
      <c r="H763" s="1">
        <v>0</v>
      </c>
      <c r="I763" s="1">
        <v>0</v>
      </c>
      <c r="J763" s="1">
        <v>6</v>
      </c>
      <c r="K763" s="1">
        <v>-6</v>
      </c>
    </row>
    <row r="764" spans="3:11" x14ac:dyDescent="0.25">
      <c r="D764" s="1" t="s">
        <v>6293</v>
      </c>
      <c r="E764" s="1" t="s">
        <v>6294</v>
      </c>
      <c r="F764" s="1">
        <v>-6</v>
      </c>
      <c r="G764" s="1">
        <v>-6</v>
      </c>
      <c r="H764" s="1">
        <v>0</v>
      </c>
      <c r="I764" s="1">
        <v>0</v>
      </c>
      <c r="J764" s="1">
        <v>6</v>
      </c>
      <c r="K764" s="1">
        <v>-6</v>
      </c>
    </row>
    <row r="765" spans="3:11" x14ac:dyDescent="0.25">
      <c r="D765" s="1" t="s">
        <v>6295</v>
      </c>
      <c r="E765" s="1" t="s">
        <v>6296</v>
      </c>
      <c r="F765" s="1">
        <v>-6</v>
      </c>
      <c r="G765" s="1">
        <v>-6</v>
      </c>
      <c r="H765" s="1">
        <v>0</v>
      </c>
      <c r="I765" s="1">
        <v>0</v>
      </c>
      <c r="J765" s="1">
        <v>6</v>
      </c>
      <c r="K765" s="1">
        <v>-6</v>
      </c>
    </row>
    <row r="766" spans="3:11" x14ac:dyDescent="0.25">
      <c r="D766" s="1" t="s">
        <v>6297</v>
      </c>
      <c r="E766" s="1" t="s">
        <v>6298</v>
      </c>
      <c r="F766" s="1">
        <v>-6</v>
      </c>
      <c r="G766" s="1">
        <v>-6</v>
      </c>
      <c r="H766" s="1">
        <v>0</v>
      </c>
      <c r="I766" s="1">
        <v>0</v>
      </c>
      <c r="J766" s="1">
        <v>6</v>
      </c>
      <c r="K766" s="1">
        <v>-6</v>
      </c>
    </row>
    <row r="767" spans="3:11" x14ac:dyDescent="0.25">
      <c r="C767" s="1" t="s">
        <v>6299</v>
      </c>
      <c r="D767" s="1" t="s">
        <v>6300</v>
      </c>
      <c r="E767" s="1" t="s">
        <v>6299</v>
      </c>
      <c r="F767" s="1">
        <v>-6</v>
      </c>
      <c r="G767" s="1">
        <v>-6</v>
      </c>
      <c r="H767" s="1">
        <v>0</v>
      </c>
      <c r="I767" s="1">
        <v>0</v>
      </c>
      <c r="J767" s="1">
        <v>6</v>
      </c>
      <c r="K767" s="1">
        <v>-6</v>
      </c>
    </row>
    <row r="768" spans="3:11" x14ac:dyDescent="0.25">
      <c r="D768" s="1" t="s">
        <v>6301</v>
      </c>
      <c r="E768" s="1" t="s">
        <v>6302</v>
      </c>
      <c r="F768" s="1">
        <v>-6</v>
      </c>
      <c r="G768" s="1">
        <v>-6</v>
      </c>
      <c r="H768" s="1">
        <v>0</v>
      </c>
      <c r="I768" s="1">
        <v>0</v>
      </c>
      <c r="J768" s="1">
        <v>6</v>
      </c>
      <c r="K768" s="1">
        <v>-6</v>
      </c>
    </row>
    <row r="769" spans="3:11" x14ac:dyDescent="0.25">
      <c r="C769" s="1" t="s">
        <v>6303</v>
      </c>
      <c r="D769" s="1" t="s">
        <v>6304</v>
      </c>
      <c r="E769" s="1" t="s">
        <v>6303</v>
      </c>
      <c r="F769" s="1">
        <v>-6</v>
      </c>
      <c r="G769" s="1">
        <v>-6</v>
      </c>
      <c r="H769" s="1">
        <v>0</v>
      </c>
      <c r="I769" s="1">
        <v>0</v>
      </c>
      <c r="J769" s="1">
        <v>6</v>
      </c>
      <c r="K769" s="1">
        <v>-6</v>
      </c>
    </row>
    <row r="770" spans="3:11" x14ac:dyDescent="0.25">
      <c r="D770" s="1" t="s">
        <v>6305</v>
      </c>
      <c r="E770" s="1" t="s">
        <v>6306</v>
      </c>
      <c r="F770" s="1">
        <v>-6</v>
      </c>
      <c r="G770" s="1">
        <v>-6</v>
      </c>
      <c r="H770" s="1">
        <v>0</v>
      </c>
      <c r="I770" s="1">
        <v>0</v>
      </c>
      <c r="J770" s="1">
        <v>6</v>
      </c>
      <c r="K770" s="1">
        <v>-6</v>
      </c>
    </row>
    <row r="771" spans="3:11" x14ac:dyDescent="0.25">
      <c r="C771" s="1" t="s">
        <v>6307</v>
      </c>
      <c r="D771" s="1" t="s">
        <v>6308</v>
      </c>
      <c r="E771" s="1" t="s">
        <v>6307</v>
      </c>
      <c r="F771" s="1">
        <v>-6</v>
      </c>
      <c r="G771" s="1">
        <v>-6</v>
      </c>
      <c r="H771" s="1">
        <v>0</v>
      </c>
      <c r="I771" s="1">
        <v>0</v>
      </c>
      <c r="J771" s="1">
        <v>6</v>
      </c>
      <c r="K771" s="1">
        <v>-6</v>
      </c>
    </row>
    <row r="772" spans="3:11" x14ac:dyDescent="0.25">
      <c r="C772" s="1" t="s">
        <v>6309</v>
      </c>
      <c r="D772" s="1" t="s">
        <v>6310</v>
      </c>
      <c r="E772" s="1" t="s">
        <v>6309</v>
      </c>
      <c r="F772" s="1">
        <v>-6</v>
      </c>
      <c r="G772" s="1">
        <v>-6</v>
      </c>
      <c r="H772" s="1">
        <v>0</v>
      </c>
      <c r="I772" s="1">
        <v>0</v>
      </c>
      <c r="J772" s="1">
        <v>6</v>
      </c>
      <c r="K772" s="1">
        <v>-6</v>
      </c>
    </row>
    <row r="773" spans="3:11" x14ac:dyDescent="0.25">
      <c r="C773" s="1" t="s">
        <v>6311</v>
      </c>
      <c r="D773" s="1" t="s">
        <v>6312</v>
      </c>
      <c r="E773" s="1" t="s">
        <v>6311</v>
      </c>
      <c r="F773" s="1">
        <v>-6</v>
      </c>
      <c r="G773" s="1">
        <v>-6</v>
      </c>
      <c r="H773" s="1">
        <v>0</v>
      </c>
      <c r="I773" s="1">
        <v>0</v>
      </c>
      <c r="J773" s="1">
        <v>6</v>
      </c>
      <c r="K773" s="1">
        <v>-6</v>
      </c>
    </row>
    <row r="774" spans="3:11" x14ac:dyDescent="0.25">
      <c r="C774" s="1" t="s">
        <v>6313</v>
      </c>
      <c r="D774" s="1" t="s">
        <v>6314</v>
      </c>
      <c r="E774" s="1" t="s">
        <v>6313</v>
      </c>
      <c r="F774" s="1">
        <v>-6</v>
      </c>
      <c r="G774" s="1">
        <v>-6</v>
      </c>
      <c r="H774" s="1">
        <v>0</v>
      </c>
      <c r="I774" s="1">
        <v>0</v>
      </c>
      <c r="J774" s="1">
        <v>6</v>
      </c>
      <c r="K774" s="1">
        <v>-6</v>
      </c>
    </row>
    <row r="775" spans="3:11" x14ac:dyDescent="0.25">
      <c r="C775" s="1" t="s">
        <v>6315</v>
      </c>
      <c r="D775" s="1" t="s">
        <v>6316</v>
      </c>
      <c r="E775" s="1" t="s">
        <v>6315</v>
      </c>
      <c r="F775" s="1">
        <v>-6</v>
      </c>
      <c r="G775" s="1">
        <v>-6</v>
      </c>
      <c r="H775" s="1">
        <v>0</v>
      </c>
      <c r="I775" s="1">
        <v>0</v>
      </c>
      <c r="J775" s="1">
        <v>6</v>
      </c>
      <c r="K775" s="1">
        <v>-6</v>
      </c>
    </row>
    <row r="776" spans="3:11" x14ac:dyDescent="0.25">
      <c r="C776" s="1" t="s">
        <v>6317</v>
      </c>
      <c r="D776" s="1" t="s">
        <v>6318</v>
      </c>
      <c r="E776" s="1" t="s">
        <v>6319</v>
      </c>
      <c r="F776" s="1">
        <v>-6</v>
      </c>
      <c r="G776" s="1">
        <v>-6</v>
      </c>
      <c r="H776" s="1">
        <v>0</v>
      </c>
      <c r="I776" s="1">
        <v>0</v>
      </c>
      <c r="J776" s="1">
        <v>6</v>
      </c>
      <c r="K776" s="1">
        <v>-6</v>
      </c>
    </row>
    <row r="777" spans="3:11" x14ac:dyDescent="0.25">
      <c r="C777" s="1" t="s">
        <v>6320</v>
      </c>
      <c r="D777" s="1" t="s">
        <v>6321</v>
      </c>
      <c r="E777" s="1" t="s">
        <v>6322</v>
      </c>
      <c r="F777" s="1">
        <v>-6</v>
      </c>
      <c r="G777" s="1">
        <v>-6</v>
      </c>
      <c r="H777" s="1">
        <v>0</v>
      </c>
      <c r="I777" s="1">
        <v>0</v>
      </c>
      <c r="J777" s="1">
        <v>6</v>
      </c>
      <c r="K777" s="1">
        <v>-6</v>
      </c>
    </row>
    <row r="778" spans="3:11" x14ac:dyDescent="0.25">
      <c r="C778" s="1" t="s">
        <v>6323</v>
      </c>
      <c r="D778" s="1" t="s">
        <v>6324</v>
      </c>
      <c r="E778" s="1" t="s">
        <v>6323</v>
      </c>
      <c r="F778" s="1">
        <v>-6</v>
      </c>
      <c r="G778" s="1">
        <v>-6</v>
      </c>
      <c r="H778" s="1">
        <v>0</v>
      </c>
      <c r="I778" s="1">
        <v>0</v>
      </c>
      <c r="J778" s="1">
        <v>6</v>
      </c>
      <c r="K778" s="1">
        <v>-6</v>
      </c>
    </row>
    <row r="779" spans="3:11" x14ac:dyDescent="0.25">
      <c r="C779" s="1" t="s">
        <v>6325</v>
      </c>
      <c r="D779" s="1" t="s">
        <v>6326</v>
      </c>
      <c r="E779" s="1" t="s">
        <v>6325</v>
      </c>
      <c r="F779" s="1">
        <v>-6</v>
      </c>
      <c r="G779" s="1">
        <v>-6</v>
      </c>
      <c r="H779" s="1">
        <v>0</v>
      </c>
      <c r="I779" s="1">
        <v>0</v>
      </c>
      <c r="J779" s="1">
        <v>6</v>
      </c>
      <c r="K779" s="1">
        <v>-6</v>
      </c>
    </row>
    <row r="780" spans="3:11" x14ac:dyDescent="0.25">
      <c r="C780" s="1" t="s">
        <v>6327</v>
      </c>
      <c r="D780" s="1" t="s">
        <v>6328</v>
      </c>
      <c r="E780" s="1" t="s">
        <v>6329</v>
      </c>
      <c r="F780" s="1">
        <v>-6</v>
      </c>
      <c r="G780" s="1">
        <v>-6</v>
      </c>
      <c r="H780" s="1">
        <v>0</v>
      </c>
      <c r="I780" s="1">
        <v>0</v>
      </c>
      <c r="J780" s="1">
        <v>6</v>
      </c>
      <c r="K780" s="1">
        <v>-6</v>
      </c>
    </row>
    <row r="781" spans="3:11" x14ac:dyDescent="0.25">
      <c r="D781" s="1" t="s">
        <v>6330</v>
      </c>
      <c r="E781" s="1" t="s">
        <v>6331</v>
      </c>
      <c r="F781" s="1">
        <v>-6</v>
      </c>
      <c r="G781" s="1">
        <v>-6</v>
      </c>
      <c r="H781" s="1">
        <v>0</v>
      </c>
      <c r="I781" s="1">
        <v>0</v>
      </c>
      <c r="J781" s="1">
        <v>6</v>
      </c>
      <c r="K781" s="1">
        <v>-6</v>
      </c>
    </row>
    <row r="782" spans="3:11" x14ac:dyDescent="0.25">
      <c r="D782" s="1" t="s">
        <v>6332</v>
      </c>
      <c r="E782" s="1" t="s">
        <v>6333</v>
      </c>
      <c r="F782" s="1">
        <v>-6</v>
      </c>
      <c r="G782" s="1">
        <v>-6</v>
      </c>
      <c r="H782" s="1">
        <v>0</v>
      </c>
      <c r="I782" s="1">
        <v>0</v>
      </c>
      <c r="J782" s="1">
        <v>6</v>
      </c>
      <c r="K782" s="1">
        <v>-6</v>
      </c>
    </row>
    <row r="783" spans="3:11" x14ac:dyDescent="0.25">
      <c r="C783" s="1" t="s">
        <v>6334</v>
      </c>
      <c r="D783" s="1" t="s">
        <v>6335</v>
      </c>
      <c r="E783" s="1" t="s">
        <v>6336</v>
      </c>
      <c r="F783" s="1">
        <v>-6</v>
      </c>
      <c r="G783" s="1">
        <v>-6</v>
      </c>
      <c r="H783" s="1">
        <v>0</v>
      </c>
      <c r="I783" s="1">
        <v>0</v>
      </c>
      <c r="J783" s="1">
        <v>6</v>
      </c>
      <c r="K783" s="1">
        <v>-6</v>
      </c>
    </row>
    <row r="784" spans="3:11" x14ac:dyDescent="0.25">
      <c r="D784" s="1" t="s">
        <v>6337</v>
      </c>
      <c r="E784" s="1" t="s">
        <v>6338</v>
      </c>
      <c r="F784" s="1">
        <v>-6</v>
      </c>
      <c r="G784" s="1">
        <v>-6</v>
      </c>
      <c r="H784" s="1">
        <v>0</v>
      </c>
      <c r="I784" s="1">
        <v>0</v>
      </c>
      <c r="J784" s="1">
        <v>6</v>
      </c>
      <c r="K784" s="1">
        <v>-6</v>
      </c>
    </row>
    <row r="785" spans="3:11" x14ac:dyDescent="0.25">
      <c r="C785" s="1" t="s">
        <v>6339</v>
      </c>
      <c r="D785" s="1" t="s">
        <v>6340</v>
      </c>
      <c r="E785" s="1" t="s">
        <v>6341</v>
      </c>
      <c r="F785" s="1">
        <v>-6</v>
      </c>
      <c r="G785" s="1">
        <v>-6</v>
      </c>
      <c r="H785" s="1">
        <v>0</v>
      </c>
      <c r="I785" s="1">
        <v>0</v>
      </c>
      <c r="J785" s="1">
        <v>6</v>
      </c>
      <c r="K785" s="1">
        <v>-6</v>
      </c>
    </row>
    <row r="786" spans="3:11" x14ac:dyDescent="0.25">
      <c r="D786" s="1" t="s">
        <v>6342</v>
      </c>
      <c r="E786" s="1" t="s">
        <v>6343</v>
      </c>
      <c r="F786" s="1">
        <v>-6</v>
      </c>
      <c r="G786" s="1">
        <v>-6</v>
      </c>
      <c r="H786" s="1">
        <v>0</v>
      </c>
      <c r="I786" s="1">
        <v>0</v>
      </c>
      <c r="J786" s="1">
        <v>6</v>
      </c>
      <c r="K786" s="1">
        <v>-6</v>
      </c>
    </row>
    <row r="787" spans="3:11" x14ac:dyDescent="0.25">
      <c r="C787" s="1" t="s">
        <v>6344</v>
      </c>
      <c r="D787" s="1" t="s">
        <v>6345</v>
      </c>
      <c r="E787" s="1" t="s">
        <v>6346</v>
      </c>
      <c r="F787" s="1">
        <v>-6</v>
      </c>
      <c r="G787" s="1">
        <v>-6</v>
      </c>
      <c r="H787" s="1">
        <v>0</v>
      </c>
      <c r="I787" s="1">
        <v>0</v>
      </c>
      <c r="J787" s="1">
        <v>6</v>
      </c>
      <c r="K787" s="1">
        <v>-6</v>
      </c>
    </row>
    <row r="788" spans="3:11" x14ac:dyDescent="0.25">
      <c r="D788" s="1" t="s">
        <v>6347</v>
      </c>
      <c r="E788" s="1" t="s">
        <v>6348</v>
      </c>
      <c r="F788" s="1">
        <v>-6</v>
      </c>
      <c r="G788" s="1">
        <v>-6</v>
      </c>
      <c r="H788" s="1">
        <v>0</v>
      </c>
      <c r="I788" s="1">
        <v>0</v>
      </c>
      <c r="J788" s="1">
        <v>6</v>
      </c>
      <c r="K788" s="1">
        <v>-6</v>
      </c>
    </row>
    <row r="789" spans="3:11" x14ac:dyDescent="0.25">
      <c r="C789" s="1" t="s">
        <v>6349</v>
      </c>
      <c r="D789" s="1" t="s">
        <v>6350</v>
      </c>
      <c r="E789" s="1" t="s">
        <v>6351</v>
      </c>
      <c r="F789" s="1">
        <v>-6</v>
      </c>
      <c r="G789" s="1">
        <v>-6</v>
      </c>
      <c r="H789" s="1">
        <v>0</v>
      </c>
      <c r="I789" s="1">
        <v>0</v>
      </c>
      <c r="J789" s="1">
        <v>6</v>
      </c>
      <c r="K789" s="1">
        <v>-6</v>
      </c>
    </row>
    <row r="790" spans="3:11" x14ac:dyDescent="0.25">
      <c r="C790" s="1" t="s">
        <v>6352</v>
      </c>
      <c r="D790" s="1" t="s">
        <v>6353</v>
      </c>
      <c r="E790" s="1" t="s">
        <v>6354</v>
      </c>
      <c r="F790" s="1">
        <v>-6</v>
      </c>
      <c r="G790" s="1">
        <v>-6</v>
      </c>
      <c r="H790" s="1">
        <v>0</v>
      </c>
      <c r="I790" s="1">
        <v>0</v>
      </c>
      <c r="J790" s="1">
        <v>6</v>
      </c>
      <c r="K790" s="1">
        <v>-6</v>
      </c>
    </row>
    <row r="791" spans="3:11" x14ac:dyDescent="0.25">
      <c r="D791" s="1" t="s">
        <v>6355</v>
      </c>
      <c r="E791" s="1" t="s">
        <v>6356</v>
      </c>
      <c r="F791" s="1">
        <v>-6</v>
      </c>
      <c r="G791" s="1">
        <v>-6</v>
      </c>
      <c r="H791" s="1">
        <v>0</v>
      </c>
      <c r="I791" s="1">
        <v>0</v>
      </c>
      <c r="J791" s="1">
        <v>6</v>
      </c>
      <c r="K791" s="1">
        <v>-6</v>
      </c>
    </row>
    <row r="792" spans="3:11" x14ac:dyDescent="0.25">
      <c r="C792" s="1" t="s">
        <v>6357</v>
      </c>
      <c r="D792" s="1" t="s">
        <v>6358</v>
      </c>
      <c r="E792" s="1" t="s">
        <v>6359</v>
      </c>
      <c r="F792" s="1">
        <v>-6</v>
      </c>
      <c r="G792" s="1">
        <v>-6</v>
      </c>
      <c r="H792" s="1">
        <v>0</v>
      </c>
      <c r="I792" s="1">
        <v>0</v>
      </c>
      <c r="J792" s="1">
        <v>6</v>
      </c>
      <c r="K792" s="1">
        <v>-6</v>
      </c>
    </row>
    <row r="793" spans="3:11" x14ac:dyDescent="0.25">
      <c r="C793" s="1" t="s">
        <v>6360</v>
      </c>
      <c r="D793" s="1" t="s">
        <v>6361</v>
      </c>
      <c r="E793" s="1" t="s">
        <v>6362</v>
      </c>
      <c r="F793" s="1">
        <v>-6</v>
      </c>
      <c r="G793" s="1">
        <v>-6</v>
      </c>
      <c r="H793" s="1">
        <v>0</v>
      </c>
      <c r="I793" s="1">
        <v>0</v>
      </c>
      <c r="J793" s="1">
        <v>6</v>
      </c>
      <c r="K793" s="1">
        <v>-6</v>
      </c>
    </row>
    <row r="794" spans="3:11" x14ac:dyDescent="0.25">
      <c r="C794" s="1" t="s">
        <v>6363</v>
      </c>
      <c r="D794" s="1" t="s">
        <v>6364</v>
      </c>
      <c r="E794" s="1" t="s">
        <v>6365</v>
      </c>
      <c r="F794" s="1">
        <v>-6</v>
      </c>
      <c r="G794" s="1">
        <v>-6</v>
      </c>
      <c r="H794" s="1">
        <v>0</v>
      </c>
      <c r="I794" s="1">
        <v>0</v>
      </c>
      <c r="J794" s="1">
        <v>6</v>
      </c>
      <c r="K794" s="1">
        <v>-6</v>
      </c>
    </row>
    <row r="795" spans="3:11" x14ac:dyDescent="0.25">
      <c r="D795" s="1" t="s">
        <v>6366</v>
      </c>
      <c r="E795" s="1" t="s">
        <v>6367</v>
      </c>
      <c r="F795" s="1">
        <v>-6</v>
      </c>
      <c r="G795" s="1">
        <v>-6</v>
      </c>
      <c r="H795" s="1">
        <v>0</v>
      </c>
      <c r="I795" s="1">
        <v>0</v>
      </c>
      <c r="J795" s="1">
        <v>6</v>
      </c>
      <c r="K795" s="1">
        <v>-6</v>
      </c>
    </row>
    <row r="796" spans="3:11" x14ac:dyDescent="0.25">
      <c r="D796" s="1" t="s">
        <v>6368</v>
      </c>
      <c r="E796" s="1" t="s">
        <v>6369</v>
      </c>
      <c r="F796" s="1">
        <v>-6</v>
      </c>
      <c r="G796" s="1">
        <v>-6</v>
      </c>
      <c r="H796" s="1">
        <v>0</v>
      </c>
      <c r="I796" s="1">
        <v>0</v>
      </c>
      <c r="J796" s="1">
        <v>6</v>
      </c>
      <c r="K796" s="1">
        <v>-6</v>
      </c>
    </row>
    <row r="797" spans="3:11" x14ac:dyDescent="0.25">
      <c r="D797" s="1" t="s">
        <v>6370</v>
      </c>
      <c r="E797" s="1" t="s">
        <v>6371</v>
      </c>
      <c r="F797" s="1">
        <v>-6</v>
      </c>
      <c r="G797" s="1">
        <v>-6</v>
      </c>
      <c r="H797" s="1">
        <v>0</v>
      </c>
      <c r="I797" s="1">
        <v>0</v>
      </c>
      <c r="J797" s="1">
        <v>6</v>
      </c>
      <c r="K797" s="1">
        <v>-6</v>
      </c>
    </row>
    <row r="798" spans="3:11" x14ac:dyDescent="0.25">
      <c r="C798" s="1" t="s">
        <v>6372</v>
      </c>
      <c r="D798" s="1" t="s">
        <v>6373</v>
      </c>
      <c r="E798" s="1" t="s">
        <v>6372</v>
      </c>
      <c r="F798" s="1">
        <v>-6</v>
      </c>
      <c r="G798" s="1">
        <v>-6</v>
      </c>
      <c r="H798" s="1">
        <v>0</v>
      </c>
      <c r="I798" s="1">
        <v>0</v>
      </c>
      <c r="J798" s="1">
        <v>6</v>
      </c>
      <c r="K798" s="1">
        <v>-6</v>
      </c>
    </row>
    <row r="799" spans="3:11" x14ac:dyDescent="0.25">
      <c r="C799" s="1" t="s">
        <v>4242</v>
      </c>
      <c r="D799" s="1" t="s">
        <v>4243</v>
      </c>
      <c r="E799" s="1" t="s">
        <v>4244</v>
      </c>
      <c r="F799" s="1">
        <v>-6</v>
      </c>
      <c r="G799" s="1">
        <v>-6</v>
      </c>
      <c r="H799" s="1">
        <v>0</v>
      </c>
      <c r="I799" s="1">
        <v>0</v>
      </c>
      <c r="J799" s="1">
        <v>6</v>
      </c>
      <c r="K799" s="1">
        <v>-6</v>
      </c>
    </row>
    <row r="800" spans="3:11" x14ac:dyDescent="0.25">
      <c r="C800" s="1" t="s">
        <v>1116</v>
      </c>
      <c r="D800" s="1" t="s">
        <v>1117</v>
      </c>
      <c r="E800" s="1" t="s">
        <v>1118</v>
      </c>
      <c r="F800" s="1">
        <v>-5</v>
      </c>
      <c r="G800" s="1">
        <v>-5</v>
      </c>
      <c r="H800" s="1">
        <v>0</v>
      </c>
      <c r="I800" s="1">
        <v>1148</v>
      </c>
      <c r="J800" s="1">
        <v>1153</v>
      </c>
      <c r="K800" s="1">
        <v>-5</v>
      </c>
    </row>
    <row r="801" spans="3:11" x14ac:dyDescent="0.25">
      <c r="C801" s="1" t="s">
        <v>1564</v>
      </c>
      <c r="D801" s="1" t="s">
        <v>1565</v>
      </c>
      <c r="E801" s="1" t="s">
        <v>1566</v>
      </c>
      <c r="F801" s="1">
        <v>-5</v>
      </c>
      <c r="G801" s="1">
        <v>-5</v>
      </c>
      <c r="H801" s="1">
        <v>0</v>
      </c>
      <c r="I801" s="1">
        <v>253</v>
      </c>
      <c r="J801" s="1">
        <v>258</v>
      </c>
      <c r="K801" s="1">
        <v>-5</v>
      </c>
    </row>
    <row r="802" spans="3:11" x14ac:dyDescent="0.25">
      <c r="C802" s="1" t="s">
        <v>1528</v>
      </c>
      <c r="D802" s="1" t="s">
        <v>1529</v>
      </c>
      <c r="E802" s="1" t="s">
        <v>1528</v>
      </c>
      <c r="F802" s="1">
        <v>-5</v>
      </c>
      <c r="G802" s="1">
        <v>-5</v>
      </c>
      <c r="H802" s="1">
        <v>0</v>
      </c>
      <c r="I802" s="1">
        <v>237</v>
      </c>
      <c r="J802" s="1">
        <v>242</v>
      </c>
      <c r="K802" s="1">
        <v>-5</v>
      </c>
    </row>
    <row r="803" spans="3:11" x14ac:dyDescent="0.25">
      <c r="C803" s="1" t="s">
        <v>1749</v>
      </c>
      <c r="D803" s="1" t="s">
        <v>1750</v>
      </c>
      <c r="E803" s="1" t="s">
        <v>1751</v>
      </c>
      <c r="F803" s="1">
        <v>-5</v>
      </c>
      <c r="G803" s="1">
        <v>-5</v>
      </c>
      <c r="H803" s="1">
        <v>0</v>
      </c>
      <c r="I803" s="1">
        <v>97</v>
      </c>
      <c r="J803" s="1">
        <v>102</v>
      </c>
      <c r="K803" s="1">
        <v>-5</v>
      </c>
    </row>
    <row r="804" spans="3:11" x14ac:dyDescent="0.25">
      <c r="C804" s="1" t="s">
        <v>3410</v>
      </c>
      <c r="D804" s="1" t="s">
        <v>3411</v>
      </c>
      <c r="E804" s="1" t="s">
        <v>3412</v>
      </c>
      <c r="F804" s="1">
        <v>-5</v>
      </c>
      <c r="G804" s="1">
        <v>-5</v>
      </c>
      <c r="H804" s="1">
        <v>0</v>
      </c>
      <c r="I804" s="1">
        <v>94</v>
      </c>
      <c r="J804" s="1">
        <v>99</v>
      </c>
      <c r="K804" s="1">
        <v>-5</v>
      </c>
    </row>
    <row r="805" spans="3:11" x14ac:dyDescent="0.25">
      <c r="C805" s="1" t="s">
        <v>3479</v>
      </c>
      <c r="D805" s="1" t="s">
        <v>3480</v>
      </c>
      <c r="E805" s="1" t="s">
        <v>3481</v>
      </c>
      <c r="F805" s="1">
        <v>-5</v>
      </c>
      <c r="G805" s="1">
        <v>-5</v>
      </c>
      <c r="H805" s="1">
        <v>0</v>
      </c>
      <c r="I805" s="1">
        <v>79</v>
      </c>
      <c r="J805" s="1">
        <v>84</v>
      </c>
      <c r="K805" s="1">
        <v>-5</v>
      </c>
    </row>
    <row r="806" spans="3:11" x14ac:dyDescent="0.25">
      <c r="C806" s="1" t="s">
        <v>3582</v>
      </c>
      <c r="D806" s="1" t="s">
        <v>3583</v>
      </c>
      <c r="E806" s="1" t="s">
        <v>3584</v>
      </c>
      <c r="F806" s="1">
        <v>-5</v>
      </c>
      <c r="G806" s="1">
        <v>-5</v>
      </c>
      <c r="H806" s="1">
        <v>0</v>
      </c>
      <c r="I806" s="1">
        <v>66</v>
      </c>
      <c r="J806" s="1">
        <v>71</v>
      </c>
      <c r="K806" s="1">
        <v>-5</v>
      </c>
    </row>
    <row r="807" spans="3:11" x14ac:dyDescent="0.25">
      <c r="C807" s="1" t="s">
        <v>3744</v>
      </c>
      <c r="D807" s="1" t="s">
        <v>3745</v>
      </c>
      <c r="E807" s="1" t="s">
        <v>3746</v>
      </c>
      <c r="F807" s="1">
        <v>-5</v>
      </c>
      <c r="G807" s="1">
        <v>-5</v>
      </c>
      <c r="H807" s="1">
        <v>0</v>
      </c>
      <c r="I807" s="1">
        <v>41</v>
      </c>
      <c r="J807" s="1">
        <v>46</v>
      </c>
      <c r="K807" s="1">
        <v>-5</v>
      </c>
    </row>
    <row r="808" spans="3:11" x14ac:dyDescent="0.25">
      <c r="C808" s="1" t="s">
        <v>6374</v>
      </c>
      <c r="D808" s="1" t="s">
        <v>6375</v>
      </c>
      <c r="E808" s="1" t="s">
        <v>6376</v>
      </c>
      <c r="F808" s="1">
        <v>-5</v>
      </c>
      <c r="G808" s="1">
        <v>-5</v>
      </c>
      <c r="H808" s="1">
        <v>0</v>
      </c>
      <c r="I808" s="1">
        <v>31</v>
      </c>
      <c r="J808" s="1">
        <v>36</v>
      </c>
      <c r="K808" s="1">
        <v>-5</v>
      </c>
    </row>
    <row r="809" spans="3:11" x14ac:dyDescent="0.25">
      <c r="C809" s="1" t="s">
        <v>6377</v>
      </c>
      <c r="D809" s="1" t="s">
        <v>6378</v>
      </c>
      <c r="E809" s="1" t="s">
        <v>6379</v>
      </c>
      <c r="F809" s="1">
        <v>-5</v>
      </c>
      <c r="G809" s="1">
        <v>-5</v>
      </c>
      <c r="H809" s="1">
        <v>0</v>
      </c>
      <c r="I809" s="1">
        <v>30</v>
      </c>
      <c r="J809" s="1">
        <v>35</v>
      </c>
      <c r="K809" s="1">
        <v>-5</v>
      </c>
    </row>
    <row r="810" spans="3:11" x14ac:dyDescent="0.25">
      <c r="C810" s="1" t="s">
        <v>3901</v>
      </c>
      <c r="D810" s="1" t="s">
        <v>3902</v>
      </c>
      <c r="E810" s="1" t="s">
        <v>3903</v>
      </c>
      <c r="F810" s="1">
        <v>-5</v>
      </c>
      <c r="G810" s="1">
        <v>-5</v>
      </c>
      <c r="H810" s="1">
        <v>0</v>
      </c>
      <c r="I810" s="1">
        <v>25</v>
      </c>
      <c r="J810" s="1">
        <v>30</v>
      </c>
      <c r="K810" s="1">
        <v>-5</v>
      </c>
    </row>
    <row r="811" spans="3:11" x14ac:dyDescent="0.25">
      <c r="C811" s="1" t="s">
        <v>6380</v>
      </c>
      <c r="D811" s="1" t="s">
        <v>6381</v>
      </c>
      <c r="E811" s="1" t="s">
        <v>6382</v>
      </c>
      <c r="F811" s="1">
        <v>-5</v>
      </c>
      <c r="G811" s="1">
        <v>-5</v>
      </c>
      <c r="H811" s="1">
        <v>0</v>
      </c>
      <c r="I811" s="1">
        <v>16</v>
      </c>
      <c r="J811" s="1">
        <v>21</v>
      </c>
      <c r="K811" s="1">
        <v>-5</v>
      </c>
    </row>
    <row r="812" spans="3:11" x14ac:dyDescent="0.25">
      <c r="C812" s="1" t="s">
        <v>6383</v>
      </c>
      <c r="D812" s="1" t="s">
        <v>6384</v>
      </c>
      <c r="E812" s="1" t="s">
        <v>6385</v>
      </c>
      <c r="F812" s="1">
        <v>-5</v>
      </c>
      <c r="G812" s="1">
        <v>-5</v>
      </c>
      <c r="H812" s="1">
        <v>0</v>
      </c>
      <c r="I812" s="1">
        <v>11</v>
      </c>
      <c r="J812" s="1">
        <v>16</v>
      </c>
      <c r="K812" s="1">
        <v>-5</v>
      </c>
    </row>
    <row r="813" spans="3:11" x14ac:dyDescent="0.25">
      <c r="C813" s="1" t="s">
        <v>6386</v>
      </c>
      <c r="D813" s="1" t="s">
        <v>6387</v>
      </c>
      <c r="E813" s="1" t="s">
        <v>6388</v>
      </c>
      <c r="F813" s="1">
        <v>-5</v>
      </c>
      <c r="G813" s="1">
        <v>-5</v>
      </c>
      <c r="H813" s="1">
        <v>0</v>
      </c>
      <c r="I813" s="1">
        <v>11</v>
      </c>
      <c r="J813" s="1">
        <v>16</v>
      </c>
      <c r="K813" s="1">
        <v>-5</v>
      </c>
    </row>
    <row r="814" spans="3:11" x14ac:dyDescent="0.25">
      <c r="C814" s="1" t="s">
        <v>6389</v>
      </c>
      <c r="D814" s="1" t="s">
        <v>6390</v>
      </c>
      <c r="E814" s="1" t="s">
        <v>6389</v>
      </c>
      <c r="F814" s="1">
        <v>-5</v>
      </c>
      <c r="G814" s="1">
        <v>-5</v>
      </c>
      <c r="H814" s="1">
        <v>0</v>
      </c>
      <c r="I814" s="1">
        <v>4</v>
      </c>
      <c r="J814" s="1">
        <v>9</v>
      </c>
      <c r="K814" s="1">
        <v>-5</v>
      </c>
    </row>
    <row r="815" spans="3:11" x14ac:dyDescent="0.25">
      <c r="C815" s="1" t="s">
        <v>4162</v>
      </c>
      <c r="D815" s="1" t="s">
        <v>4163</v>
      </c>
      <c r="E815" s="1" t="s">
        <v>4164</v>
      </c>
      <c r="F815" s="1">
        <v>-5</v>
      </c>
      <c r="G815" s="1">
        <v>-5</v>
      </c>
      <c r="H815" s="1">
        <v>0</v>
      </c>
      <c r="I815" s="1">
        <v>4</v>
      </c>
      <c r="J815" s="1">
        <v>9</v>
      </c>
      <c r="K815" s="1">
        <v>-5</v>
      </c>
    </row>
    <row r="816" spans="3:11" x14ac:dyDescent="0.25">
      <c r="C816" s="1" t="s">
        <v>6391</v>
      </c>
      <c r="D816" s="1" t="s">
        <v>6392</v>
      </c>
      <c r="E816" s="1" t="s">
        <v>6393</v>
      </c>
      <c r="F816" s="1">
        <v>-5</v>
      </c>
      <c r="G816" s="1">
        <v>-5</v>
      </c>
      <c r="H816" s="1">
        <v>0</v>
      </c>
      <c r="I816" s="1">
        <v>3</v>
      </c>
      <c r="J816" s="1">
        <v>8</v>
      </c>
      <c r="K816" s="1">
        <v>-5</v>
      </c>
    </row>
    <row r="817" spans="3:11" x14ac:dyDescent="0.25">
      <c r="D817" s="1" t="s">
        <v>6394</v>
      </c>
      <c r="E817" s="1" t="s">
        <v>6395</v>
      </c>
      <c r="F817" s="1">
        <v>-5</v>
      </c>
      <c r="G817" s="1">
        <v>-5</v>
      </c>
      <c r="H817" s="1">
        <v>0</v>
      </c>
      <c r="I817" s="1">
        <v>3</v>
      </c>
      <c r="J817" s="1">
        <v>8</v>
      </c>
      <c r="K817" s="1">
        <v>-5</v>
      </c>
    </row>
    <row r="818" spans="3:11" x14ac:dyDescent="0.25">
      <c r="C818" s="1" t="s">
        <v>6396</v>
      </c>
      <c r="D818" s="1" t="s">
        <v>6397</v>
      </c>
      <c r="E818" s="1" t="s">
        <v>6398</v>
      </c>
      <c r="F818" s="1">
        <v>-5</v>
      </c>
      <c r="G818" s="1">
        <v>-5</v>
      </c>
      <c r="H818" s="1">
        <v>0</v>
      </c>
      <c r="I818" s="1">
        <v>3</v>
      </c>
      <c r="J818" s="1">
        <v>8</v>
      </c>
      <c r="K818" s="1">
        <v>-5</v>
      </c>
    </row>
    <row r="819" spans="3:11" x14ac:dyDescent="0.25">
      <c r="C819" s="1" t="s">
        <v>6399</v>
      </c>
      <c r="D819" s="1" t="s">
        <v>6400</v>
      </c>
      <c r="E819" s="1" t="s">
        <v>6401</v>
      </c>
      <c r="F819" s="1">
        <v>-5</v>
      </c>
      <c r="G819" s="1">
        <v>-5</v>
      </c>
      <c r="H819" s="1">
        <v>0</v>
      </c>
      <c r="I819" s="1">
        <v>2</v>
      </c>
      <c r="J819" s="1">
        <v>7</v>
      </c>
      <c r="K819" s="1">
        <v>-5</v>
      </c>
    </row>
    <row r="820" spans="3:11" x14ac:dyDescent="0.25">
      <c r="C820" s="1" t="s">
        <v>6402</v>
      </c>
      <c r="D820" s="1" t="s">
        <v>6403</v>
      </c>
      <c r="E820" s="1" t="s">
        <v>6404</v>
      </c>
      <c r="F820" s="1">
        <v>-5</v>
      </c>
      <c r="G820" s="1">
        <v>-5</v>
      </c>
      <c r="H820" s="1">
        <v>0</v>
      </c>
      <c r="I820" s="1">
        <v>2</v>
      </c>
      <c r="J820" s="1">
        <v>7</v>
      </c>
      <c r="K820" s="1">
        <v>-5</v>
      </c>
    </row>
    <row r="821" spans="3:11" x14ac:dyDescent="0.25">
      <c r="C821" s="1" t="s">
        <v>6405</v>
      </c>
      <c r="D821" s="1" t="s">
        <v>6406</v>
      </c>
      <c r="E821" s="1" t="s">
        <v>6405</v>
      </c>
      <c r="F821" s="1">
        <v>-5</v>
      </c>
      <c r="G821" s="1">
        <v>-5</v>
      </c>
      <c r="H821" s="1">
        <v>0</v>
      </c>
      <c r="I821" s="1">
        <v>1</v>
      </c>
      <c r="J821" s="1">
        <v>6</v>
      </c>
      <c r="K821" s="1">
        <v>-5</v>
      </c>
    </row>
    <row r="822" spans="3:11" x14ac:dyDescent="0.25">
      <c r="C822" s="1" t="s">
        <v>6407</v>
      </c>
      <c r="D822" s="1" t="s">
        <v>6408</v>
      </c>
      <c r="E822" s="1" t="s">
        <v>6409</v>
      </c>
      <c r="F822" s="1">
        <v>-5</v>
      </c>
      <c r="G822" s="1">
        <v>-5</v>
      </c>
      <c r="H822" s="1">
        <v>0</v>
      </c>
      <c r="I822" s="1">
        <v>1</v>
      </c>
      <c r="J822" s="1">
        <v>6</v>
      </c>
      <c r="K822" s="1">
        <v>-5</v>
      </c>
    </row>
    <row r="823" spans="3:11" x14ac:dyDescent="0.25">
      <c r="C823" s="1" t="s">
        <v>6410</v>
      </c>
      <c r="D823" s="1" t="s">
        <v>6411</v>
      </c>
      <c r="E823" s="1" t="s">
        <v>6412</v>
      </c>
      <c r="F823" s="1">
        <v>-5</v>
      </c>
      <c r="G823" s="1">
        <v>-5</v>
      </c>
      <c r="H823" s="1">
        <v>0</v>
      </c>
      <c r="I823" s="1">
        <v>0</v>
      </c>
      <c r="J823" s="1">
        <v>5</v>
      </c>
      <c r="K823" s="1">
        <v>-5</v>
      </c>
    </row>
    <row r="824" spans="3:11" x14ac:dyDescent="0.25">
      <c r="C824" s="1" t="s">
        <v>6413</v>
      </c>
      <c r="D824" s="1" t="s">
        <v>6414</v>
      </c>
      <c r="E824" s="1" t="s">
        <v>6415</v>
      </c>
      <c r="F824" s="1">
        <v>-5</v>
      </c>
      <c r="G824" s="1">
        <v>-5</v>
      </c>
      <c r="H824" s="1">
        <v>0</v>
      </c>
      <c r="I824" s="1">
        <v>0</v>
      </c>
      <c r="J824" s="1">
        <v>5</v>
      </c>
      <c r="K824" s="1">
        <v>-5</v>
      </c>
    </row>
    <row r="825" spans="3:11" x14ac:dyDescent="0.25">
      <c r="C825" s="1" t="s">
        <v>6416</v>
      </c>
      <c r="D825" s="1" t="s">
        <v>6417</v>
      </c>
      <c r="E825" s="1" t="s">
        <v>6418</v>
      </c>
      <c r="F825" s="1">
        <v>-5</v>
      </c>
      <c r="G825" s="1">
        <v>-5</v>
      </c>
      <c r="H825" s="1">
        <v>0</v>
      </c>
      <c r="I825" s="1">
        <v>0</v>
      </c>
      <c r="J825" s="1">
        <v>5</v>
      </c>
      <c r="K825" s="1">
        <v>-5</v>
      </c>
    </row>
    <row r="826" spans="3:11" x14ac:dyDescent="0.25">
      <c r="C826" s="1" t="s">
        <v>6419</v>
      </c>
      <c r="D826" s="1" t="s">
        <v>6420</v>
      </c>
      <c r="E826" s="1" t="s">
        <v>6421</v>
      </c>
      <c r="F826" s="1">
        <v>-5</v>
      </c>
      <c r="G826" s="1">
        <v>-5</v>
      </c>
      <c r="H826" s="1">
        <v>0</v>
      </c>
      <c r="I826" s="1">
        <v>0</v>
      </c>
      <c r="J826" s="1">
        <v>5</v>
      </c>
      <c r="K826" s="1">
        <v>-5</v>
      </c>
    </row>
    <row r="827" spans="3:11" x14ac:dyDescent="0.25">
      <c r="C827" s="1" t="s">
        <v>6422</v>
      </c>
      <c r="D827" s="1" t="s">
        <v>6423</v>
      </c>
      <c r="E827" s="1" t="s">
        <v>6424</v>
      </c>
      <c r="F827" s="1">
        <v>-5</v>
      </c>
      <c r="G827" s="1">
        <v>-5</v>
      </c>
      <c r="H827" s="1">
        <v>0</v>
      </c>
      <c r="I827" s="1">
        <v>0</v>
      </c>
      <c r="J827" s="1">
        <v>5</v>
      </c>
      <c r="K827" s="1">
        <v>-5</v>
      </c>
    </row>
    <row r="828" spans="3:11" x14ac:dyDescent="0.25">
      <c r="C828" s="1" t="s">
        <v>6425</v>
      </c>
      <c r="D828" s="1" t="s">
        <v>6426</v>
      </c>
      <c r="E828" s="1" t="s">
        <v>6427</v>
      </c>
      <c r="F828" s="1">
        <v>-5</v>
      </c>
      <c r="G828" s="1">
        <v>-5</v>
      </c>
      <c r="H828" s="1">
        <v>0</v>
      </c>
      <c r="I828" s="1">
        <v>0</v>
      </c>
      <c r="J828" s="1">
        <v>5</v>
      </c>
      <c r="K828" s="1">
        <v>-5</v>
      </c>
    </row>
    <row r="829" spans="3:11" x14ac:dyDescent="0.25">
      <c r="C829" s="1" t="s">
        <v>6428</v>
      </c>
      <c r="D829" s="1" t="s">
        <v>6429</v>
      </c>
      <c r="E829" s="1" t="s">
        <v>6430</v>
      </c>
      <c r="F829" s="1">
        <v>-5</v>
      </c>
      <c r="G829" s="1">
        <v>-5</v>
      </c>
      <c r="H829" s="1">
        <v>0</v>
      </c>
      <c r="I829" s="1">
        <v>0</v>
      </c>
      <c r="J829" s="1">
        <v>5</v>
      </c>
      <c r="K829" s="1">
        <v>-5</v>
      </c>
    </row>
    <row r="830" spans="3:11" x14ac:dyDescent="0.25">
      <c r="C830" s="1" t="s">
        <v>6431</v>
      </c>
      <c r="D830" s="1" t="s">
        <v>6432</v>
      </c>
      <c r="E830" s="1" t="s">
        <v>6433</v>
      </c>
      <c r="F830" s="1">
        <v>-5</v>
      </c>
      <c r="G830" s="1">
        <v>-5</v>
      </c>
      <c r="H830" s="1">
        <v>0</v>
      </c>
      <c r="I830" s="1">
        <v>0</v>
      </c>
      <c r="J830" s="1">
        <v>5</v>
      </c>
      <c r="K830" s="1">
        <v>-5</v>
      </c>
    </row>
    <row r="831" spans="3:11" x14ac:dyDescent="0.25">
      <c r="C831" s="1" t="s">
        <v>6434</v>
      </c>
      <c r="D831" s="1" t="s">
        <v>6435</v>
      </c>
      <c r="E831" s="1" t="s">
        <v>6434</v>
      </c>
      <c r="F831" s="1">
        <v>-5</v>
      </c>
      <c r="G831" s="1">
        <v>-5</v>
      </c>
      <c r="H831" s="1">
        <v>0</v>
      </c>
      <c r="I831" s="1">
        <v>0</v>
      </c>
      <c r="J831" s="1">
        <v>5</v>
      </c>
      <c r="K831" s="1">
        <v>-5</v>
      </c>
    </row>
    <row r="832" spans="3:11" x14ac:dyDescent="0.25">
      <c r="D832" s="1" t="s">
        <v>6436</v>
      </c>
      <c r="E832" s="1" t="s">
        <v>6437</v>
      </c>
      <c r="F832" s="1">
        <v>-5</v>
      </c>
      <c r="G832" s="1">
        <v>-5</v>
      </c>
      <c r="H832" s="1">
        <v>0</v>
      </c>
      <c r="I832" s="1">
        <v>0</v>
      </c>
      <c r="J832" s="1">
        <v>5</v>
      </c>
      <c r="K832" s="1">
        <v>-5</v>
      </c>
    </row>
    <row r="833" spans="3:11" x14ac:dyDescent="0.25">
      <c r="C833" s="1" t="s">
        <v>6438</v>
      </c>
      <c r="D833" s="1" t="s">
        <v>6439</v>
      </c>
      <c r="E833" s="1" t="s">
        <v>6440</v>
      </c>
      <c r="F833" s="1">
        <v>-5</v>
      </c>
      <c r="G833" s="1">
        <v>-5</v>
      </c>
      <c r="H833" s="1">
        <v>0</v>
      </c>
      <c r="I833" s="1">
        <v>0</v>
      </c>
      <c r="J833" s="1">
        <v>5</v>
      </c>
      <c r="K833" s="1">
        <v>-5</v>
      </c>
    </row>
    <row r="834" spans="3:11" x14ac:dyDescent="0.25">
      <c r="C834" s="1" t="s">
        <v>6441</v>
      </c>
      <c r="D834" s="1" t="s">
        <v>6442</v>
      </c>
      <c r="E834" s="1" t="s">
        <v>6441</v>
      </c>
      <c r="F834" s="1">
        <v>-5</v>
      </c>
      <c r="G834" s="1">
        <v>-5</v>
      </c>
      <c r="H834" s="1">
        <v>0</v>
      </c>
      <c r="I834" s="1">
        <v>0</v>
      </c>
      <c r="J834" s="1">
        <v>5</v>
      </c>
      <c r="K834" s="1">
        <v>-5</v>
      </c>
    </row>
    <row r="835" spans="3:11" x14ac:dyDescent="0.25">
      <c r="C835" s="1" t="s">
        <v>6443</v>
      </c>
      <c r="D835" s="1" t="s">
        <v>6444</v>
      </c>
      <c r="E835" s="1" t="s">
        <v>6445</v>
      </c>
      <c r="F835" s="1">
        <v>-5</v>
      </c>
      <c r="G835" s="1">
        <v>-5</v>
      </c>
      <c r="H835" s="1">
        <v>0</v>
      </c>
      <c r="I835" s="1">
        <v>0</v>
      </c>
      <c r="J835" s="1">
        <v>5</v>
      </c>
      <c r="K835" s="1">
        <v>-5</v>
      </c>
    </row>
    <row r="836" spans="3:11" x14ac:dyDescent="0.25">
      <c r="C836" s="1" t="s">
        <v>6446</v>
      </c>
      <c r="D836" s="1" t="s">
        <v>6447</v>
      </c>
      <c r="E836" s="1" t="s">
        <v>6448</v>
      </c>
      <c r="F836" s="1">
        <v>-5</v>
      </c>
      <c r="G836" s="1">
        <v>-5</v>
      </c>
      <c r="H836" s="1">
        <v>0</v>
      </c>
      <c r="I836" s="1">
        <v>0</v>
      </c>
      <c r="J836" s="1">
        <v>5</v>
      </c>
      <c r="K836" s="1">
        <v>-5</v>
      </c>
    </row>
    <row r="837" spans="3:11" x14ac:dyDescent="0.25">
      <c r="D837" s="1" t="s">
        <v>6449</v>
      </c>
      <c r="E837" s="1" t="s">
        <v>6450</v>
      </c>
      <c r="F837" s="1">
        <v>-5</v>
      </c>
      <c r="G837" s="1">
        <v>-5</v>
      </c>
      <c r="H837" s="1">
        <v>0</v>
      </c>
      <c r="I837" s="1">
        <v>0</v>
      </c>
      <c r="J837" s="1">
        <v>5</v>
      </c>
      <c r="K837" s="1">
        <v>-5</v>
      </c>
    </row>
    <row r="838" spans="3:11" x14ac:dyDescent="0.25">
      <c r="D838" s="1" t="s">
        <v>6451</v>
      </c>
      <c r="E838" s="1" t="s">
        <v>6452</v>
      </c>
      <c r="F838" s="1">
        <v>-5</v>
      </c>
      <c r="G838" s="1">
        <v>-5</v>
      </c>
      <c r="H838" s="1">
        <v>0</v>
      </c>
      <c r="I838" s="1">
        <v>0</v>
      </c>
      <c r="J838" s="1">
        <v>5</v>
      </c>
      <c r="K838" s="1">
        <v>-5</v>
      </c>
    </row>
    <row r="839" spans="3:11" x14ac:dyDescent="0.25">
      <c r="C839" s="1" t="s">
        <v>6453</v>
      </c>
      <c r="D839" s="1" t="s">
        <v>6454</v>
      </c>
      <c r="E839" s="1" t="s">
        <v>6455</v>
      </c>
      <c r="F839" s="1">
        <v>-5</v>
      </c>
      <c r="G839" s="1">
        <v>-5</v>
      </c>
      <c r="H839" s="1">
        <v>0</v>
      </c>
      <c r="I839" s="1">
        <v>0</v>
      </c>
      <c r="J839" s="1">
        <v>5</v>
      </c>
      <c r="K839" s="1">
        <v>-5</v>
      </c>
    </row>
    <row r="840" spans="3:11" x14ac:dyDescent="0.25">
      <c r="C840" s="1" t="s">
        <v>6456</v>
      </c>
      <c r="D840" s="1" t="s">
        <v>6457</v>
      </c>
      <c r="E840" s="1" t="s">
        <v>6456</v>
      </c>
      <c r="F840" s="1">
        <v>-5</v>
      </c>
      <c r="G840" s="1">
        <v>-5</v>
      </c>
      <c r="H840" s="1">
        <v>0</v>
      </c>
      <c r="I840" s="1">
        <v>0</v>
      </c>
      <c r="J840" s="1">
        <v>5</v>
      </c>
      <c r="K840" s="1">
        <v>-5</v>
      </c>
    </row>
    <row r="841" spans="3:11" x14ac:dyDescent="0.25">
      <c r="C841" s="1" t="s">
        <v>6458</v>
      </c>
      <c r="D841" s="1" t="s">
        <v>6459</v>
      </c>
      <c r="E841" s="1" t="s">
        <v>6458</v>
      </c>
      <c r="F841" s="1">
        <v>-5</v>
      </c>
      <c r="G841" s="1">
        <v>-5</v>
      </c>
      <c r="H841" s="1">
        <v>0</v>
      </c>
      <c r="I841" s="1">
        <v>0</v>
      </c>
      <c r="J841" s="1">
        <v>5</v>
      </c>
      <c r="K841" s="1">
        <v>-5</v>
      </c>
    </row>
    <row r="842" spans="3:11" x14ac:dyDescent="0.25">
      <c r="C842" s="1" t="s">
        <v>6460</v>
      </c>
      <c r="D842" s="1" t="s">
        <v>6461</v>
      </c>
      <c r="E842" s="1" t="s">
        <v>6462</v>
      </c>
      <c r="F842" s="1">
        <v>-5</v>
      </c>
      <c r="G842" s="1">
        <v>-5</v>
      </c>
      <c r="H842" s="1">
        <v>0</v>
      </c>
      <c r="I842" s="1">
        <v>0</v>
      </c>
      <c r="J842" s="1">
        <v>5</v>
      </c>
      <c r="K842" s="1">
        <v>-5</v>
      </c>
    </row>
    <row r="843" spans="3:11" x14ac:dyDescent="0.25">
      <c r="D843" s="1" t="s">
        <v>6463</v>
      </c>
      <c r="E843" s="1" t="s">
        <v>6464</v>
      </c>
      <c r="F843" s="1">
        <v>-5</v>
      </c>
      <c r="G843" s="1">
        <v>-5</v>
      </c>
      <c r="H843" s="1">
        <v>0</v>
      </c>
      <c r="I843" s="1">
        <v>0</v>
      </c>
      <c r="J843" s="1">
        <v>5</v>
      </c>
      <c r="K843" s="1">
        <v>-5</v>
      </c>
    </row>
    <row r="844" spans="3:11" x14ac:dyDescent="0.25">
      <c r="D844" s="1" t="s">
        <v>6465</v>
      </c>
      <c r="E844" s="1" t="s">
        <v>6466</v>
      </c>
      <c r="F844" s="1">
        <v>-5</v>
      </c>
      <c r="G844" s="1">
        <v>-5</v>
      </c>
      <c r="H844" s="1">
        <v>0</v>
      </c>
      <c r="I844" s="1">
        <v>0</v>
      </c>
      <c r="J844" s="1">
        <v>5</v>
      </c>
      <c r="K844" s="1">
        <v>-5</v>
      </c>
    </row>
    <row r="845" spans="3:11" x14ac:dyDescent="0.25">
      <c r="C845" s="1" t="s">
        <v>6467</v>
      </c>
      <c r="D845" s="1" t="s">
        <v>6468</v>
      </c>
      <c r="E845" s="1" t="s">
        <v>6469</v>
      </c>
      <c r="F845" s="1">
        <v>-5</v>
      </c>
      <c r="G845" s="1">
        <v>-5</v>
      </c>
      <c r="H845" s="1">
        <v>0</v>
      </c>
      <c r="I845" s="1">
        <v>0</v>
      </c>
      <c r="J845" s="1">
        <v>5</v>
      </c>
      <c r="K845" s="1">
        <v>-5</v>
      </c>
    </row>
    <row r="846" spans="3:11" x14ac:dyDescent="0.25">
      <c r="D846" s="1" t="s">
        <v>6470</v>
      </c>
      <c r="E846" s="1" t="s">
        <v>6471</v>
      </c>
      <c r="F846" s="1">
        <v>-5</v>
      </c>
      <c r="G846" s="1">
        <v>-5</v>
      </c>
      <c r="H846" s="1">
        <v>0</v>
      </c>
      <c r="I846" s="1">
        <v>0</v>
      </c>
      <c r="J846" s="1">
        <v>5</v>
      </c>
      <c r="K846" s="1">
        <v>-5</v>
      </c>
    </row>
    <row r="847" spans="3:11" x14ac:dyDescent="0.25">
      <c r="D847" s="1" t="s">
        <v>6472</v>
      </c>
      <c r="E847" s="1" t="s">
        <v>6473</v>
      </c>
      <c r="F847" s="1">
        <v>-5</v>
      </c>
      <c r="G847" s="1">
        <v>-5</v>
      </c>
      <c r="H847" s="1">
        <v>0</v>
      </c>
      <c r="I847" s="1">
        <v>0</v>
      </c>
      <c r="J847" s="1">
        <v>5</v>
      </c>
      <c r="K847" s="1">
        <v>-5</v>
      </c>
    </row>
    <row r="848" spans="3:11" x14ac:dyDescent="0.25">
      <c r="C848" s="1" t="s">
        <v>6474</v>
      </c>
      <c r="D848" s="1" t="s">
        <v>6475</v>
      </c>
      <c r="E848" s="1" t="s">
        <v>6474</v>
      </c>
      <c r="F848" s="1">
        <v>-5</v>
      </c>
      <c r="G848" s="1">
        <v>-5</v>
      </c>
      <c r="H848" s="1">
        <v>0</v>
      </c>
      <c r="I848" s="1">
        <v>0</v>
      </c>
      <c r="J848" s="1">
        <v>5</v>
      </c>
      <c r="K848" s="1">
        <v>-5</v>
      </c>
    </row>
    <row r="849" spans="3:11" x14ac:dyDescent="0.25">
      <c r="D849" s="1" t="s">
        <v>6476</v>
      </c>
      <c r="E849" s="1" t="s">
        <v>6477</v>
      </c>
      <c r="F849" s="1">
        <v>-5</v>
      </c>
      <c r="G849" s="1">
        <v>-5</v>
      </c>
      <c r="H849" s="1">
        <v>0</v>
      </c>
      <c r="I849" s="1">
        <v>0</v>
      </c>
      <c r="J849" s="1">
        <v>5</v>
      </c>
      <c r="K849" s="1">
        <v>-5</v>
      </c>
    </row>
    <row r="850" spans="3:11" x14ac:dyDescent="0.25">
      <c r="D850" s="1" t="s">
        <v>6478</v>
      </c>
      <c r="E850" s="1" t="s">
        <v>6479</v>
      </c>
      <c r="F850" s="1">
        <v>-5</v>
      </c>
      <c r="G850" s="1">
        <v>-5</v>
      </c>
      <c r="H850" s="1">
        <v>0</v>
      </c>
      <c r="I850" s="1">
        <v>0</v>
      </c>
      <c r="J850" s="1">
        <v>5</v>
      </c>
      <c r="K850" s="1">
        <v>-5</v>
      </c>
    </row>
    <row r="851" spans="3:11" x14ac:dyDescent="0.25">
      <c r="D851" s="1" t="s">
        <v>6480</v>
      </c>
      <c r="E851" s="1" t="s">
        <v>6481</v>
      </c>
      <c r="F851" s="1">
        <v>-5</v>
      </c>
      <c r="G851" s="1">
        <v>-5</v>
      </c>
      <c r="H851" s="1">
        <v>0</v>
      </c>
      <c r="I851" s="1">
        <v>0</v>
      </c>
      <c r="J851" s="1">
        <v>5</v>
      </c>
      <c r="K851" s="1">
        <v>-5</v>
      </c>
    </row>
    <row r="852" spans="3:11" x14ac:dyDescent="0.25">
      <c r="D852" s="1" t="s">
        <v>6482</v>
      </c>
      <c r="E852" s="1" t="s">
        <v>6483</v>
      </c>
      <c r="F852" s="1">
        <v>-5</v>
      </c>
      <c r="G852" s="1">
        <v>-5</v>
      </c>
      <c r="H852" s="1">
        <v>0</v>
      </c>
      <c r="I852" s="1">
        <v>0</v>
      </c>
      <c r="J852" s="1">
        <v>5</v>
      </c>
      <c r="K852" s="1">
        <v>-5</v>
      </c>
    </row>
    <row r="853" spans="3:11" x14ac:dyDescent="0.25">
      <c r="D853" s="1" t="s">
        <v>6484</v>
      </c>
      <c r="E853" s="1" t="s">
        <v>6485</v>
      </c>
      <c r="F853" s="1">
        <v>-5</v>
      </c>
      <c r="G853" s="1">
        <v>-5</v>
      </c>
      <c r="H853" s="1">
        <v>0</v>
      </c>
      <c r="I853" s="1">
        <v>0</v>
      </c>
      <c r="J853" s="1">
        <v>5</v>
      </c>
      <c r="K853" s="1">
        <v>-5</v>
      </c>
    </row>
    <row r="854" spans="3:11" x14ac:dyDescent="0.25">
      <c r="D854" s="1" t="s">
        <v>6486</v>
      </c>
      <c r="E854" s="1" t="s">
        <v>6487</v>
      </c>
      <c r="F854" s="1">
        <v>-5</v>
      </c>
      <c r="G854" s="1">
        <v>-5</v>
      </c>
      <c r="H854" s="1">
        <v>0</v>
      </c>
      <c r="I854" s="1">
        <v>0</v>
      </c>
      <c r="J854" s="1">
        <v>5</v>
      </c>
      <c r="K854" s="1">
        <v>-5</v>
      </c>
    </row>
    <row r="855" spans="3:11" x14ac:dyDescent="0.25">
      <c r="D855" s="1" t="s">
        <v>6488</v>
      </c>
      <c r="E855" s="1" t="s">
        <v>6489</v>
      </c>
      <c r="F855" s="1">
        <v>-5</v>
      </c>
      <c r="G855" s="1">
        <v>-5</v>
      </c>
      <c r="H855" s="1">
        <v>0</v>
      </c>
      <c r="I855" s="1">
        <v>0</v>
      </c>
      <c r="J855" s="1">
        <v>5</v>
      </c>
      <c r="K855" s="1">
        <v>-5</v>
      </c>
    </row>
    <row r="856" spans="3:11" x14ac:dyDescent="0.25">
      <c r="C856" s="1" t="s">
        <v>6490</v>
      </c>
      <c r="D856" s="1" t="s">
        <v>6491</v>
      </c>
      <c r="E856" s="1" t="s">
        <v>6490</v>
      </c>
      <c r="F856" s="1">
        <v>-5</v>
      </c>
      <c r="G856" s="1">
        <v>-5</v>
      </c>
      <c r="H856" s="1">
        <v>0</v>
      </c>
      <c r="I856" s="1">
        <v>0</v>
      </c>
      <c r="J856" s="1">
        <v>5</v>
      </c>
      <c r="K856" s="1">
        <v>-5</v>
      </c>
    </row>
    <row r="857" spans="3:11" x14ac:dyDescent="0.25">
      <c r="C857" s="1" t="s">
        <v>6492</v>
      </c>
      <c r="D857" s="1" t="s">
        <v>6493</v>
      </c>
      <c r="E857" s="1" t="s">
        <v>6494</v>
      </c>
      <c r="F857" s="1">
        <v>-5</v>
      </c>
      <c r="G857" s="1">
        <v>-5</v>
      </c>
      <c r="H857" s="1">
        <v>0</v>
      </c>
      <c r="I857" s="1">
        <v>0</v>
      </c>
      <c r="J857" s="1">
        <v>5</v>
      </c>
      <c r="K857" s="1">
        <v>-5</v>
      </c>
    </row>
    <row r="858" spans="3:11" x14ac:dyDescent="0.25">
      <c r="C858" s="1" t="s">
        <v>6495</v>
      </c>
      <c r="D858" s="1" t="s">
        <v>6496</v>
      </c>
      <c r="E858" s="1" t="s">
        <v>6495</v>
      </c>
      <c r="F858" s="1">
        <v>-5</v>
      </c>
      <c r="G858" s="1">
        <v>-5</v>
      </c>
      <c r="H858" s="1">
        <v>0</v>
      </c>
      <c r="I858" s="1">
        <v>0</v>
      </c>
      <c r="J858" s="1">
        <v>5</v>
      </c>
      <c r="K858" s="1">
        <v>-5</v>
      </c>
    </row>
    <row r="859" spans="3:11" x14ac:dyDescent="0.25">
      <c r="D859" s="1" t="s">
        <v>6497</v>
      </c>
      <c r="E859" s="1" t="s">
        <v>6498</v>
      </c>
      <c r="F859" s="1">
        <v>-5</v>
      </c>
      <c r="G859" s="1">
        <v>-5</v>
      </c>
      <c r="H859" s="1">
        <v>0</v>
      </c>
      <c r="I859" s="1">
        <v>0</v>
      </c>
      <c r="J859" s="1">
        <v>5</v>
      </c>
      <c r="K859" s="1">
        <v>-5</v>
      </c>
    </row>
    <row r="860" spans="3:11" x14ac:dyDescent="0.25">
      <c r="C860" s="1" t="s">
        <v>6499</v>
      </c>
      <c r="D860" s="1" t="s">
        <v>6500</v>
      </c>
      <c r="E860" s="1" t="s">
        <v>6499</v>
      </c>
      <c r="F860" s="1">
        <v>-5</v>
      </c>
      <c r="G860" s="1">
        <v>-5</v>
      </c>
      <c r="H860" s="1">
        <v>0</v>
      </c>
      <c r="I860" s="1">
        <v>0</v>
      </c>
      <c r="J860" s="1">
        <v>5</v>
      </c>
      <c r="K860" s="1">
        <v>-5</v>
      </c>
    </row>
    <row r="861" spans="3:11" x14ac:dyDescent="0.25">
      <c r="C861" s="1" t="s">
        <v>6501</v>
      </c>
      <c r="D861" s="1" t="s">
        <v>6502</v>
      </c>
      <c r="E861" s="1" t="s">
        <v>6501</v>
      </c>
      <c r="F861" s="1">
        <v>-5</v>
      </c>
      <c r="G861" s="1">
        <v>-5</v>
      </c>
      <c r="H861" s="1">
        <v>0</v>
      </c>
      <c r="I861" s="1">
        <v>0</v>
      </c>
      <c r="J861" s="1">
        <v>5</v>
      </c>
      <c r="K861" s="1">
        <v>-5</v>
      </c>
    </row>
    <row r="862" spans="3:11" x14ac:dyDescent="0.25">
      <c r="C862" s="1" t="s">
        <v>6503</v>
      </c>
      <c r="D862" s="1" t="s">
        <v>6504</v>
      </c>
      <c r="E862" s="1" t="s">
        <v>6503</v>
      </c>
      <c r="F862" s="1">
        <v>-5</v>
      </c>
      <c r="G862" s="1">
        <v>-5</v>
      </c>
      <c r="H862" s="1">
        <v>0</v>
      </c>
      <c r="I862" s="1">
        <v>0</v>
      </c>
      <c r="J862" s="1">
        <v>5</v>
      </c>
      <c r="K862" s="1">
        <v>-5</v>
      </c>
    </row>
    <row r="863" spans="3:11" x14ac:dyDescent="0.25">
      <c r="D863" s="1" t="s">
        <v>6505</v>
      </c>
      <c r="E863" s="1" t="s">
        <v>6506</v>
      </c>
      <c r="F863" s="1">
        <v>-5</v>
      </c>
      <c r="G863" s="1">
        <v>-5</v>
      </c>
      <c r="H863" s="1">
        <v>0</v>
      </c>
      <c r="I863" s="1">
        <v>0</v>
      </c>
      <c r="J863" s="1">
        <v>5</v>
      </c>
      <c r="K863" s="1">
        <v>-5</v>
      </c>
    </row>
    <row r="864" spans="3:11" x14ac:dyDescent="0.25">
      <c r="C864" s="1" t="s">
        <v>6507</v>
      </c>
      <c r="D864" s="1" t="s">
        <v>6508</v>
      </c>
      <c r="E864" s="1" t="s">
        <v>6509</v>
      </c>
      <c r="F864" s="1">
        <v>-5</v>
      </c>
      <c r="G864" s="1">
        <v>-5</v>
      </c>
      <c r="H864" s="1">
        <v>0</v>
      </c>
      <c r="I864" s="1">
        <v>0</v>
      </c>
      <c r="J864" s="1">
        <v>5</v>
      </c>
      <c r="K864" s="1">
        <v>-5</v>
      </c>
    </row>
    <row r="865" spans="3:11" x14ac:dyDescent="0.25">
      <c r="D865" s="1" t="s">
        <v>6510</v>
      </c>
      <c r="E865" s="1" t="s">
        <v>6511</v>
      </c>
      <c r="F865" s="1">
        <v>-5</v>
      </c>
      <c r="G865" s="1">
        <v>-5</v>
      </c>
      <c r="H865" s="1">
        <v>0</v>
      </c>
      <c r="I865" s="1">
        <v>0</v>
      </c>
      <c r="J865" s="1">
        <v>5</v>
      </c>
      <c r="K865" s="1">
        <v>-5</v>
      </c>
    </row>
    <row r="866" spans="3:11" x14ac:dyDescent="0.25">
      <c r="C866" s="1" t="s">
        <v>6512</v>
      </c>
      <c r="D866" s="1" t="s">
        <v>6513</v>
      </c>
      <c r="E866" s="1" t="s">
        <v>6514</v>
      </c>
      <c r="F866" s="1">
        <v>-5</v>
      </c>
      <c r="G866" s="1">
        <v>-5</v>
      </c>
      <c r="H866" s="1">
        <v>0</v>
      </c>
      <c r="I866" s="1">
        <v>0</v>
      </c>
      <c r="J866" s="1">
        <v>5</v>
      </c>
      <c r="K866" s="1">
        <v>-5</v>
      </c>
    </row>
    <row r="867" spans="3:11" x14ac:dyDescent="0.25">
      <c r="C867" s="1" t="s">
        <v>6515</v>
      </c>
      <c r="D867" s="1" t="s">
        <v>6516</v>
      </c>
      <c r="E867" s="1" t="s">
        <v>6517</v>
      </c>
      <c r="F867" s="1">
        <v>-5</v>
      </c>
      <c r="G867" s="1">
        <v>-5</v>
      </c>
      <c r="H867" s="1">
        <v>0</v>
      </c>
      <c r="I867" s="1">
        <v>0</v>
      </c>
      <c r="J867" s="1">
        <v>5</v>
      </c>
      <c r="K867" s="1">
        <v>-5</v>
      </c>
    </row>
    <row r="868" spans="3:11" x14ac:dyDescent="0.25">
      <c r="D868" s="1" t="s">
        <v>6518</v>
      </c>
      <c r="E868" s="1" t="s">
        <v>6519</v>
      </c>
      <c r="F868" s="1">
        <v>-5</v>
      </c>
      <c r="G868" s="1">
        <v>-5</v>
      </c>
      <c r="H868" s="1">
        <v>0</v>
      </c>
      <c r="I868" s="1">
        <v>0</v>
      </c>
      <c r="J868" s="1">
        <v>5</v>
      </c>
      <c r="K868" s="1">
        <v>-5</v>
      </c>
    </row>
    <row r="869" spans="3:11" x14ac:dyDescent="0.25">
      <c r="D869" s="1" t="s">
        <v>6520</v>
      </c>
      <c r="E869" s="1" t="s">
        <v>6521</v>
      </c>
      <c r="F869" s="1">
        <v>-5</v>
      </c>
      <c r="G869" s="1">
        <v>-5</v>
      </c>
      <c r="H869" s="1">
        <v>0</v>
      </c>
      <c r="I869" s="1">
        <v>0</v>
      </c>
      <c r="J869" s="1">
        <v>5</v>
      </c>
      <c r="K869" s="1">
        <v>-5</v>
      </c>
    </row>
    <row r="870" spans="3:11" x14ac:dyDescent="0.25">
      <c r="D870" s="1" t="s">
        <v>6522</v>
      </c>
      <c r="E870" s="1" t="s">
        <v>6523</v>
      </c>
      <c r="F870" s="1">
        <v>-5</v>
      </c>
      <c r="G870" s="1">
        <v>-5</v>
      </c>
      <c r="H870" s="1">
        <v>0</v>
      </c>
      <c r="I870" s="1">
        <v>0</v>
      </c>
      <c r="J870" s="1">
        <v>5</v>
      </c>
      <c r="K870" s="1">
        <v>-5</v>
      </c>
    </row>
    <row r="871" spans="3:11" x14ac:dyDescent="0.25">
      <c r="D871" s="1" t="s">
        <v>6524</v>
      </c>
      <c r="E871" s="1" t="s">
        <v>6525</v>
      </c>
      <c r="F871" s="1">
        <v>-5</v>
      </c>
      <c r="G871" s="1">
        <v>-5</v>
      </c>
      <c r="H871" s="1">
        <v>0</v>
      </c>
      <c r="I871" s="1">
        <v>0</v>
      </c>
      <c r="J871" s="1">
        <v>5</v>
      </c>
      <c r="K871" s="1">
        <v>-5</v>
      </c>
    </row>
    <row r="872" spans="3:11" x14ac:dyDescent="0.25">
      <c r="D872" s="1" t="s">
        <v>6526</v>
      </c>
      <c r="E872" s="1" t="s">
        <v>6527</v>
      </c>
      <c r="F872" s="1">
        <v>-5</v>
      </c>
      <c r="G872" s="1">
        <v>-5</v>
      </c>
      <c r="H872" s="1">
        <v>0</v>
      </c>
      <c r="I872" s="1">
        <v>0</v>
      </c>
      <c r="J872" s="1">
        <v>5</v>
      </c>
      <c r="K872" s="1">
        <v>-5</v>
      </c>
    </row>
    <row r="873" spans="3:11" x14ac:dyDescent="0.25">
      <c r="D873" s="1" t="s">
        <v>6528</v>
      </c>
      <c r="E873" s="1" t="s">
        <v>6529</v>
      </c>
      <c r="F873" s="1">
        <v>-5</v>
      </c>
      <c r="G873" s="1">
        <v>-5</v>
      </c>
      <c r="H873" s="1">
        <v>0</v>
      </c>
      <c r="I873" s="1">
        <v>0</v>
      </c>
      <c r="J873" s="1">
        <v>5</v>
      </c>
      <c r="K873" s="1">
        <v>-5</v>
      </c>
    </row>
    <row r="874" spans="3:11" x14ac:dyDescent="0.25">
      <c r="C874" s="1" t="s">
        <v>6530</v>
      </c>
      <c r="D874" s="1" t="s">
        <v>6531</v>
      </c>
      <c r="E874" s="1" t="s">
        <v>6532</v>
      </c>
      <c r="F874" s="1">
        <v>-5</v>
      </c>
      <c r="G874" s="1">
        <v>-5</v>
      </c>
      <c r="H874" s="1">
        <v>0</v>
      </c>
      <c r="I874" s="1">
        <v>0</v>
      </c>
      <c r="J874" s="1">
        <v>5</v>
      </c>
      <c r="K874" s="1">
        <v>-5</v>
      </c>
    </row>
    <row r="875" spans="3:11" x14ac:dyDescent="0.25">
      <c r="D875" s="1" t="s">
        <v>6533</v>
      </c>
      <c r="E875" s="1" t="s">
        <v>6534</v>
      </c>
      <c r="F875" s="1">
        <v>-5</v>
      </c>
      <c r="G875" s="1">
        <v>-5</v>
      </c>
      <c r="H875" s="1">
        <v>0</v>
      </c>
      <c r="I875" s="1">
        <v>0</v>
      </c>
      <c r="J875" s="1">
        <v>5</v>
      </c>
      <c r="K875" s="1">
        <v>-5</v>
      </c>
    </row>
    <row r="876" spans="3:11" x14ac:dyDescent="0.25">
      <c r="C876" s="1" t="s">
        <v>6535</v>
      </c>
      <c r="D876" s="1" t="s">
        <v>6536</v>
      </c>
      <c r="E876" s="1" t="s">
        <v>6537</v>
      </c>
      <c r="F876" s="1">
        <v>-5</v>
      </c>
      <c r="G876" s="1">
        <v>-5</v>
      </c>
      <c r="H876" s="1">
        <v>0</v>
      </c>
      <c r="I876" s="1">
        <v>0</v>
      </c>
      <c r="J876" s="1">
        <v>5</v>
      </c>
      <c r="K876" s="1">
        <v>-5</v>
      </c>
    </row>
    <row r="877" spans="3:11" x14ac:dyDescent="0.25">
      <c r="D877" s="1" t="s">
        <v>6538</v>
      </c>
      <c r="E877" s="1" t="s">
        <v>6539</v>
      </c>
      <c r="F877" s="1">
        <v>-5</v>
      </c>
      <c r="G877" s="1">
        <v>-5</v>
      </c>
      <c r="H877" s="1">
        <v>0</v>
      </c>
      <c r="I877" s="1">
        <v>0</v>
      </c>
      <c r="J877" s="1">
        <v>5</v>
      </c>
      <c r="K877" s="1">
        <v>-5</v>
      </c>
    </row>
    <row r="878" spans="3:11" x14ac:dyDescent="0.25">
      <c r="D878" s="1" t="s">
        <v>6540</v>
      </c>
      <c r="E878" s="1" t="s">
        <v>6541</v>
      </c>
      <c r="F878" s="1">
        <v>-5</v>
      </c>
      <c r="G878" s="1">
        <v>-5</v>
      </c>
      <c r="H878" s="1">
        <v>0</v>
      </c>
      <c r="I878" s="1">
        <v>0</v>
      </c>
      <c r="J878" s="1">
        <v>5</v>
      </c>
      <c r="K878" s="1">
        <v>-5</v>
      </c>
    </row>
    <row r="879" spans="3:11" x14ac:dyDescent="0.25">
      <c r="D879" s="1" t="s">
        <v>6542</v>
      </c>
      <c r="E879" s="1" t="s">
        <v>6543</v>
      </c>
      <c r="F879" s="1">
        <v>-5</v>
      </c>
      <c r="G879" s="1">
        <v>-5</v>
      </c>
      <c r="H879" s="1">
        <v>0</v>
      </c>
      <c r="I879" s="1">
        <v>0</v>
      </c>
      <c r="J879" s="1">
        <v>5</v>
      </c>
      <c r="K879" s="1">
        <v>-5</v>
      </c>
    </row>
    <row r="880" spans="3:11" x14ac:dyDescent="0.25">
      <c r="C880" s="1" t="s">
        <v>6544</v>
      </c>
      <c r="D880" s="1" t="s">
        <v>6545</v>
      </c>
      <c r="E880" s="1" t="s">
        <v>6546</v>
      </c>
      <c r="F880" s="1">
        <v>-5</v>
      </c>
      <c r="G880" s="1">
        <v>-5</v>
      </c>
      <c r="H880" s="1">
        <v>0</v>
      </c>
      <c r="I880" s="1">
        <v>0</v>
      </c>
      <c r="J880" s="1">
        <v>5</v>
      </c>
      <c r="K880" s="1">
        <v>-5</v>
      </c>
    </row>
    <row r="881" spans="3:11" x14ac:dyDescent="0.25">
      <c r="D881" s="1" t="s">
        <v>6547</v>
      </c>
      <c r="E881" s="1" t="s">
        <v>6548</v>
      </c>
      <c r="F881" s="1">
        <v>-5</v>
      </c>
      <c r="G881" s="1">
        <v>-5</v>
      </c>
      <c r="H881" s="1">
        <v>0</v>
      </c>
      <c r="I881" s="1">
        <v>0</v>
      </c>
      <c r="J881" s="1">
        <v>5</v>
      </c>
      <c r="K881" s="1">
        <v>-5</v>
      </c>
    </row>
    <row r="882" spans="3:11" x14ac:dyDescent="0.25">
      <c r="C882" s="1" t="s">
        <v>6549</v>
      </c>
      <c r="D882" s="1" t="s">
        <v>6550</v>
      </c>
      <c r="E882" s="1" t="s">
        <v>6551</v>
      </c>
      <c r="F882" s="1">
        <v>-5</v>
      </c>
      <c r="G882" s="1">
        <v>-5</v>
      </c>
      <c r="H882" s="1">
        <v>0</v>
      </c>
      <c r="I882" s="1">
        <v>0</v>
      </c>
      <c r="J882" s="1">
        <v>5</v>
      </c>
      <c r="K882" s="1">
        <v>-5</v>
      </c>
    </row>
    <row r="883" spans="3:11" x14ac:dyDescent="0.25">
      <c r="C883" s="1" t="s">
        <v>6552</v>
      </c>
      <c r="D883" s="1" t="s">
        <v>6553</v>
      </c>
      <c r="E883" s="1" t="s">
        <v>6554</v>
      </c>
      <c r="F883" s="1">
        <v>-5</v>
      </c>
      <c r="G883" s="1">
        <v>-5</v>
      </c>
      <c r="H883" s="1">
        <v>0</v>
      </c>
      <c r="I883" s="1">
        <v>0</v>
      </c>
      <c r="J883" s="1">
        <v>5</v>
      </c>
      <c r="K883" s="1">
        <v>-5</v>
      </c>
    </row>
    <row r="884" spans="3:11" x14ac:dyDescent="0.25">
      <c r="C884" s="1" t="s">
        <v>6555</v>
      </c>
      <c r="D884" s="1" t="s">
        <v>6556</v>
      </c>
      <c r="E884" s="1" t="s">
        <v>6555</v>
      </c>
      <c r="F884" s="1">
        <v>-5</v>
      </c>
      <c r="G884" s="1">
        <v>-5</v>
      </c>
      <c r="H884" s="1">
        <v>0</v>
      </c>
      <c r="I884" s="1">
        <v>0</v>
      </c>
      <c r="J884" s="1">
        <v>5</v>
      </c>
      <c r="K884" s="1">
        <v>-5</v>
      </c>
    </row>
    <row r="885" spans="3:11" x14ac:dyDescent="0.25">
      <c r="C885" s="1" t="s">
        <v>6557</v>
      </c>
      <c r="D885" s="1" t="s">
        <v>6558</v>
      </c>
      <c r="E885" s="1" t="s">
        <v>6559</v>
      </c>
      <c r="F885" s="1">
        <v>-5</v>
      </c>
      <c r="G885" s="1">
        <v>-5</v>
      </c>
      <c r="H885" s="1">
        <v>0</v>
      </c>
      <c r="I885" s="1">
        <v>0</v>
      </c>
      <c r="J885" s="1">
        <v>5</v>
      </c>
      <c r="K885" s="1">
        <v>-5</v>
      </c>
    </row>
    <row r="886" spans="3:11" x14ac:dyDescent="0.25">
      <c r="D886" s="1" t="s">
        <v>6560</v>
      </c>
      <c r="E886" s="1" t="s">
        <v>6561</v>
      </c>
      <c r="F886" s="1">
        <v>-5</v>
      </c>
      <c r="G886" s="1">
        <v>-5</v>
      </c>
      <c r="H886" s="1">
        <v>0</v>
      </c>
      <c r="I886" s="1">
        <v>0</v>
      </c>
      <c r="J886" s="1">
        <v>5</v>
      </c>
      <c r="K886" s="1">
        <v>-5</v>
      </c>
    </row>
    <row r="887" spans="3:11" x14ac:dyDescent="0.25">
      <c r="D887" s="1" t="s">
        <v>6562</v>
      </c>
      <c r="E887" s="1" t="s">
        <v>6563</v>
      </c>
      <c r="F887" s="1">
        <v>-5</v>
      </c>
      <c r="G887" s="1">
        <v>-5</v>
      </c>
      <c r="H887" s="1">
        <v>0</v>
      </c>
      <c r="I887" s="1">
        <v>0</v>
      </c>
      <c r="J887" s="1">
        <v>5</v>
      </c>
      <c r="K887" s="1">
        <v>-5</v>
      </c>
    </row>
    <row r="888" spans="3:11" x14ac:dyDescent="0.25">
      <c r="C888" s="1" t="s">
        <v>6564</v>
      </c>
      <c r="D888" s="1" t="s">
        <v>6565</v>
      </c>
      <c r="E888" s="1" t="s">
        <v>6566</v>
      </c>
      <c r="F888" s="1">
        <v>-5</v>
      </c>
      <c r="G888" s="1">
        <v>-5</v>
      </c>
      <c r="H888" s="1">
        <v>0</v>
      </c>
      <c r="I888" s="1">
        <v>0</v>
      </c>
      <c r="J888" s="1">
        <v>5</v>
      </c>
      <c r="K888" s="1">
        <v>-5</v>
      </c>
    </row>
    <row r="889" spans="3:11" x14ac:dyDescent="0.25">
      <c r="C889" s="1" t="s">
        <v>6567</v>
      </c>
      <c r="D889" s="1" t="s">
        <v>6568</v>
      </c>
      <c r="E889" s="1" t="s">
        <v>6567</v>
      </c>
      <c r="F889" s="1">
        <v>-5</v>
      </c>
      <c r="G889" s="1">
        <v>-5</v>
      </c>
      <c r="H889" s="1">
        <v>0</v>
      </c>
      <c r="I889" s="1">
        <v>0</v>
      </c>
      <c r="J889" s="1">
        <v>5</v>
      </c>
      <c r="K889" s="1">
        <v>-5</v>
      </c>
    </row>
    <row r="890" spans="3:11" x14ac:dyDescent="0.25">
      <c r="C890" s="1" t="s">
        <v>6569</v>
      </c>
      <c r="D890" s="1" t="s">
        <v>6570</v>
      </c>
      <c r="E890" s="1" t="s">
        <v>6571</v>
      </c>
      <c r="F890" s="1">
        <v>-5</v>
      </c>
      <c r="G890" s="1">
        <v>-5</v>
      </c>
      <c r="H890" s="1">
        <v>0</v>
      </c>
      <c r="I890" s="1">
        <v>0</v>
      </c>
      <c r="J890" s="1">
        <v>5</v>
      </c>
      <c r="K890" s="1">
        <v>-5</v>
      </c>
    </row>
    <row r="891" spans="3:11" x14ac:dyDescent="0.25">
      <c r="D891" s="1" t="s">
        <v>6572</v>
      </c>
      <c r="E891" s="1" t="s">
        <v>6573</v>
      </c>
      <c r="F891" s="1">
        <v>-5</v>
      </c>
      <c r="G891" s="1">
        <v>-5</v>
      </c>
      <c r="H891" s="1">
        <v>0</v>
      </c>
      <c r="I891" s="1">
        <v>0</v>
      </c>
      <c r="J891" s="1">
        <v>5</v>
      </c>
      <c r="K891" s="1">
        <v>-5</v>
      </c>
    </row>
    <row r="892" spans="3:11" x14ac:dyDescent="0.25">
      <c r="C892" s="1" t="s">
        <v>6574</v>
      </c>
      <c r="D892" s="1" t="s">
        <v>6575</v>
      </c>
      <c r="E892" s="1" t="s">
        <v>6574</v>
      </c>
      <c r="F892" s="1">
        <v>-5</v>
      </c>
      <c r="G892" s="1">
        <v>-5</v>
      </c>
      <c r="H892" s="1">
        <v>0</v>
      </c>
      <c r="I892" s="1">
        <v>0</v>
      </c>
      <c r="J892" s="1">
        <v>5</v>
      </c>
      <c r="K892" s="1">
        <v>-5</v>
      </c>
    </row>
    <row r="893" spans="3:11" x14ac:dyDescent="0.25">
      <c r="C893" s="1" t="s">
        <v>4245</v>
      </c>
      <c r="D893" s="1" t="s">
        <v>4246</v>
      </c>
      <c r="E893" s="1" t="s">
        <v>4247</v>
      </c>
      <c r="F893" s="1">
        <v>-5</v>
      </c>
      <c r="G893" s="1">
        <v>-5</v>
      </c>
      <c r="H893" s="1">
        <v>0</v>
      </c>
      <c r="I893" s="1">
        <v>0</v>
      </c>
      <c r="J893" s="1">
        <v>5</v>
      </c>
      <c r="K893" s="1">
        <v>-5</v>
      </c>
    </row>
    <row r="894" spans="3:11" x14ac:dyDescent="0.25">
      <c r="C894" s="1" t="s">
        <v>2334</v>
      </c>
      <c r="D894" s="1" t="s">
        <v>2335</v>
      </c>
      <c r="E894" s="1" t="s">
        <v>2336</v>
      </c>
      <c r="F894" s="1">
        <v>-5</v>
      </c>
      <c r="G894" s="1">
        <v>-5</v>
      </c>
      <c r="H894" s="1">
        <v>0</v>
      </c>
      <c r="I894" s="1">
        <v>0</v>
      </c>
      <c r="J894" s="1">
        <v>5</v>
      </c>
      <c r="K894" s="1">
        <v>-5</v>
      </c>
    </row>
    <row r="895" spans="3:11" x14ac:dyDescent="0.25">
      <c r="C895" s="1" t="s">
        <v>6576</v>
      </c>
      <c r="D895" s="1" t="s">
        <v>6577</v>
      </c>
      <c r="E895" s="1" t="s">
        <v>6578</v>
      </c>
      <c r="F895" s="1">
        <v>-4</v>
      </c>
      <c r="G895" s="1">
        <v>-4</v>
      </c>
      <c r="H895" s="1">
        <v>0</v>
      </c>
      <c r="I895" s="1">
        <v>1604</v>
      </c>
      <c r="J895" s="1">
        <v>1608</v>
      </c>
      <c r="K895" s="1">
        <v>-4</v>
      </c>
    </row>
    <row r="896" spans="3:11" x14ac:dyDescent="0.25">
      <c r="C896" s="1" t="s">
        <v>6579</v>
      </c>
      <c r="D896" s="1" t="s">
        <v>6580</v>
      </c>
      <c r="E896" s="1" t="s">
        <v>6581</v>
      </c>
      <c r="F896" s="1">
        <v>-4</v>
      </c>
      <c r="G896" s="1">
        <v>-4</v>
      </c>
      <c r="H896" s="1">
        <v>0</v>
      </c>
      <c r="I896" s="1">
        <v>1296</v>
      </c>
      <c r="J896" s="1">
        <v>1300</v>
      </c>
      <c r="K896" s="1">
        <v>-4</v>
      </c>
    </row>
    <row r="897" spans="3:11" x14ac:dyDescent="0.25">
      <c r="C897" s="1" t="s">
        <v>1140</v>
      </c>
      <c r="D897" s="1" t="s">
        <v>1141</v>
      </c>
      <c r="E897" s="1" t="s">
        <v>1142</v>
      </c>
      <c r="F897" s="1">
        <v>-4</v>
      </c>
      <c r="G897" s="1">
        <v>-4</v>
      </c>
      <c r="H897" s="1">
        <v>0</v>
      </c>
      <c r="I897" s="1">
        <v>1182</v>
      </c>
      <c r="J897" s="1">
        <v>1186</v>
      </c>
      <c r="K897" s="1">
        <v>-4</v>
      </c>
    </row>
    <row r="898" spans="3:11" x14ac:dyDescent="0.25">
      <c r="C898" s="1" t="s">
        <v>6582</v>
      </c>
      <c r="D898" s="1" t="s">
        <v>6583</v>
      </c>
      <c r="E898" s="1" t="s">
        <v>6584</v>
      </c>
      <c r="F898" s="1">
        <v>-4</v>
      </c>
      <c r="G898" s="1">
        <v>-4</v>
      </c>
      <c r="H898" s="1">
        <v>0</v>
      </c>
      <c r="I898" s="1">
        <v>1146</v>
      </c>
      <c r="J898" s="1">
        <v>1150</v>
      </c>
      <c r="K898" s="1">
        <v>-4</v>
      </c>
    </row>
    <row r="899" spans="3:11" x14ac:dyDescent="0.25">
      <c r="C899" s="1" t="s">
        <v>6585</v>
      </c>
      <c r="D899" s="1" t="s">
        <v>6586</v>
      </c>
      <c r="E899" s="1" t="s">
        <v>6587</v>
      </c>
      <c r="F899" s="1">
        <v>-4</v>
      </c>
      <c r="G899" s="1">
        <v>-4</v>
      </c>
      <c r="H899" s="1">
        <v>0</v>
      </c>
      <c r="I899" s="1">
        <v>865</v>
      </c>
      <c r="J899" s="1">
        <v>869</v>
      </c>
      <c r="K899" s="1">
        <v>-4</v>
      </c>
    </row>
    <row r="900" spans="3:11" x14ac:dyDescent="0.25">
      <c r="C900" s="1" t="s">
        <v>1349</v>
      </c>
      <c r="D900" s="1" t="s">
        <v>1350</v>
      </c>
      <c r="E900" s="1" t="s">
        <v>1351</v>
      </c>
      <c r="F900" s="1">
        <v>-4</v>
      </c>
      <c r="G900" s="1">
        <v>-4</v>
      </c>
      <c r="H900" s="1">
        <v>0</v>
      </c>
      <c r="I900" s="1">
        <v>405</v>
      </c>
      <c r="J900" s="1">
        <v>409</v>
      </c>
      <c r="K900" s="1">
        <v>-4</v>
      </c>
    </row>
    <row r="901" spans="3:11" x14ac:dyDescent="0.25">
      <c r="C901" s="1" t="s">
        <v>2284</v>
      </c>
      <c r="D901" s="1" t="s">
        <v>2285</v>
      </c>
      <c r="E901" s="1" t="s">
        <v>2286</v>
      </c>
      <c r="F901" s="1">
        <v>-4</v>
      </c>
      <c r="G901" s="1">
        <v>-4</v>
      </c>
      <c r="H901" s="1">
        <v>0</v>
      </c>
      <c r="I901" s="1">
        <v>320</v>
      </c>
      <c r="J901" s="1">
        <v>324</v>
      </c>
      <c r="K901" s="1">
        <v>-4</v>
      </c>
    </row>
    <row r="902" spans="3:11" x14ac:dyDescent="0.25">
      <c r="C902" s="1" t="s">
        <v>6588</v>
      </c>
      <c r="D902" s="1" t="s">
        <v>6589</v>
      </c>
      <c r="E902" s="1" t="s">
        <v>6590</v>
      </c>
      <c r="F902" s="1">
        <v>-4</v>
      </c>
      <c r="G902" s="1">
        <v>-4</v>
      </c>
      <c r="H902" s="1">
        <v>0</v>
      </c>
      <c r="I902" s="1">
        <v>241</v>
      </c>
      <c r="J902" s="1">
        <v>245</v>
      </c>
      <c r="K902" s="1">
        <v>-4</v>
      </c>
    </row>
    <row r="903" spans="3:11" x14ac:dyDescent="0.25">
      <c r="C903" s="1" t="s">
        <v>1603</v>
      </c>
      <c r="D903" s="1" t="s">
        <v>1604</v>
      </c>
      <c r="E903" s="1" t="s">
        <v>1605</v>
      </c>
      <c r="F903" s="1">
        <v>-4</v>
      </c>
      <c r="G903" s="1">
        <v>-4</v>
      </c>
      <c r="H903" s="1">
        <v>0</v>
      </c>
      <c r="I903" s="1">
        <v>237</v>
      </c>
      <c r="J903" s="1">
        <v>241</v>
      </c>
      <c r="K903" s="1">
        <v>-4</v>
      </c>
    </row>
    <row r="904" spans="3:11" x14ac:dyDescent="0.25">
      <c r="C904" s="1" t="s">
        <v>1606</v>
      </c>
      <c r="D904" s="1" t="s">
        <v>1607</v>
      </c>
      <c r="E904" s="1" t="s">
        <v>1606</v>
      </c>
      <c r="F904" s="1">
        <v>-4</v>
      </c>
      <c r="G904" s="1">
        <v>-4</v>
      </c>
      <c r="H904" s="1">
        <v>0</v>
      </c>
      <c r="I904" s="1">
        <v>230</v>
      </c>
      <c r="J904" s="1">
        <v>234</v>
      </c>
      <c r="K904" s="1">
        <v>-4</v>
      </c>
    </row>
    <row r="905" spans="3:11" x14ac:dyDescent="0.25">
      <c r="C905" s="1" t="s">
        <v>1631</v>
      </c>
      <c r="D905" s="1" t="s">
        <v>1632</v>
      </c>
      <c r="E905" s="1" t="s">
        <v>1633</v>
      </c>
      <c r="F905" s="1">
        <v>-4</v>
      </c>
      <c r="G905" s="1">
        <v>-4</v>
      </c>
      <c r="H905" s="1">
        <v>0</v>
      </c>
      <c r="I905" s="1">
        <v>179</v>
      </c>
      <c r="J905" s="1">
        <v>183</v>
      </c>
      <c r="K905" s="1">
        <v>-4</v>
      </c>
    </row>
    <row r="906" spans="3:11" x14ac:dyDescent="0.25">
      <c r="C906" s="1" t="s">
        <v>3250</v>
      </c>
      <c r="D906" s="1" t="s">
        <v>3251</v>
      </c>
      <c r="E906" s="1" t="s">
        <v>3252</v>
      </c>
      <c r="F906" s="1">
        <v>-4</v>
      </c>
      <c r="G906" s="1">
        <v>-4</v>
      </c>
      <c r="H906" s="1">
        <v>0</v>
      </c>
      <c r="I906" s="1">
        <v>148</v>
      </c>
      <c r="J906" s="1">
        <v>152</v>
      </c>
      <c r="K906" s="1">
        <v>-4</v>
      </c>
    </row>
    <row r="907" spans="3:11" x14ac:dyDescent="0.25">
      <c r="C907" s="1" t="s">
        <v>1734</v>
      </c>
      <c r="D907" s="1" t="s">
        <v>1735</v>
      </c>
      <c r="E907" s="1" t="s">
        <v>1736</v>
      </c>
      <c r="F907" s="1">
        <v>-4</v>
      </c>
      <c r="G907" s="1">
        <v>-4</v>
      </c>
      <c r="H907" s="1">
        <v>0</v>
      </c>
      <c r="I907" s="1">
        <v>98</v>
      </c>
      <c r="J907" s="1">
        <v>102</v>
      </c>
      <c r="K907" s="1">
        <v>-4</v>
      </c>
    </row>
    <row r="908" spans="3:11" x14ac:dyDescent="0.25">
      <c r="C908" s="1" t="s">
        <v>1804</v>
      </c>
      <c r="D908" s="1" t="s">
        <v>1805</v>
      </c>
      <c r="E908" s="1" t="s">
        <v>1806</v>
      </c>
      <c r="F908" s="1">
        <v>-4</v>
      </c>
      <c r="G908" s="1">
        <v>-4</v>
      </c>
      <c r="H908" s="1">
        <v>0</v>
      </c>
      <c r="I908" s="1">
        <v>81</v>
      </c>
      <c r="J908" s="1">
        <v>85</v>
      </c>
      <c r="K908" s="1">
        <v>-4</v>
      </c>
    </row>
    <row r="909" spans="3:11" x14ac:dyDescent="0.25">
      <c r="C909" s="1" t="s">
        <v>3494</v>
      </c>
      <c r="D909" s="1" t="s">
        <v>3495</v>
      </c>
      <c r="E909" s="1" t="s">
        <v>3496</v>
      </c>
      <c r="F909" s="1">
        <v>-4</v>
      </c>
      <c r="G909" s="1">
        <v>-4</v>
      </c>
      <c r="H909" s="1">
        <v>0</v>
      </c>
      <c r="I909" s="1">
        <v>77</v>
      </c>
      <c r="J909" s="1">
        <v>81</v>
      </c>
      <c r="K909" s="1">
        <v>-4</v>
      </c>
    </row>
    <row r="910" spans="3:11" x14ac:dyDescent="0.25">
      <c r="C910" s="1" t="s">
        <v>6591</v>
      </c>
      <c r="D910" s="1" t="s">
        <v>6592</v>
      </c>
      <c r="E910" s="1" t="s">
        <v>6591</v>
      </c>
      <c r="F910" s="1">
        <v>-4</v>
      </c>
      <c r="G910" s="1">
        <v>-4</v>
      </c>
      <c r="H910" s="1">
        <v>0</v>
      </c>
      <c r="I910" s="1">
        <v>55</v>
      </c>
      <c r="J910" s="1">
        <v>59</v>
      </c>
      <c r="K910" s="1">
        <v>-4</v>
      </c>
    </row>
    <row r="911" spans="3:11" x14ac:dyDescent="0.25">
      <c r="C911" s="1" t="s">
        <v>3636</v>
      </c>
      <c r="D911" s="1" t="s">
        <v>3637</v>
      </c>
      <c r="E911" s="1" t="s">
        <v>3638</v>
      </c>
      <c r="F911" s="1">
        <v>-4</v>
      </c>
      <c r="G911" s="1">
        <v>-4</v>
      </c>
      <c r="H911" s="1">
        <v>0</v>
      </c>
      <c r="I911" s="1">
        <v>54</v>
      </c>
      <c r="J911" s="1">
        <v>58</v>
      </c>
      <c r="K911" s="1">
        <v>-4</v>
      </c>
    </row>
    <row r="912" spans="3:11" x14ac:dyDescent="0.25">
      <c r="C912" s="1" t="s">
        <v>3639</v>
      </c>
      <c r="D912" s="1" t="s">
        <v>3640</v>
      </c>
      <c r="E912" s="1" t="s">
        <v>3641</v>
      </c>
      <c r="F912" s="1">
        <v>-4</v>
      </c>
      <c r="G912" s="1">
        <v>-4</v>
      </c>
      <c r="H912" s="1">
        <v>0</v>
      </c>
      <c r="I912" s="1">
        <v>53</v>
      </c>
      <c r="J912" s="1">
        <v>57</v>
      </c>
      <c r="K912" s="1">
        <v>-4</v>
      </c>
    </row>
    <row r="913" spans="3:11" x14ac:dyDescent="0.25">
      <c r="C913" s="1" t="s">
        <v>6593</v>
      </c>
      <c r="D913" s="1" t="s">
        <v>6594</v>
      </c>
      <c r="E913" s="1" t="s">
        <v>6593</v>
      </c>
      <c r="F913" s="1">
        <v>-4</v>
      </c>
      <c r="G913" s="1">
        <v>-4</v>
      </c>
      <c r="H913" s="1">
        <v>0</v>
      </c>
      <c r="I913" s="1">
        <v>45</v>
      </c>
      <c r="J913" s="1">
        <v>49</v>
      </c>
      <c r="K913" s="1">
        <v>-4</v>
      </c>
    </row>
    <row r="914" spans="3:11" x14ac:dyDescent="0.25">
      <c r="C914" s="1" t="s">
        <v>3839</v>
      </c>
      <c r="D914" s="1" t="s">
        <v>3840</v>
      </c>
      <c r="E914" s="1" t="s">
        <v>3841</v>
      </c>
      <c r="F914" s="1">
        <v>-4</v>
      </c>
      <c r="G914" s="1">
        <v>-4</v>
      </c>
      <c r="H914" s="1">
        <v>0</v>
      </c>
      <c r="I914" s="1">
        <v>33</v>
      </c>
      <c r="J914" s="1">
        <v>37</v>
      </c>
      <c r="K914" s="1">
        <v>-4</v>
      </c>
    </row>
    <row r="915" spans="3:11" x14ac:dyDescent="0.25">
      <c r="C915" s="1" t="s">
        <v>3881</v>
      </c>
      <c r="D915" s="1" t="s">
        <v>3882</v>
      </c>
      <c r="E915" s="1" t="s">
        <v>3883</v>
      </c>
      <c r="F915" s="1">
        <v>-4</v>
      </c>
      <c r="G915" s="1">
        <v>-4</v>
      </c>
      <c r="H915" s="1">
        <v>0</v>
      </c>
      <c r="I915" s="1">
        <v>29</v>
      </c>
      <c r="J915" s="1">
        <v>33</v>
      </c>
      <c r="K915" s="1">
        <v>-4</v>
      </c>
    </row>
    <row r="916" spans="3:11" x14ac:dyDescent="0.25">
      <c r="C916" s="1" t="s">
        <v>6595</v>
      </c>
      <c r="D916" s="1" t="s">
        <v>6596</v>
      </c>
      <c r="E916" s="1" t="s">
        <v>6597</v>
      </c>
      <c r="F916" s="1">
        <v>-4</v>
      </c>
      <c r="G916" s="1">
        <v>-4</v>
      </c>
      <c r="H916" s="1">
        <v>0</v>
      </c>
      <c r="I916" s="1">
        <v>28</v>
      </c>
      <c r="J916" s="1">
        <v>32</v>
      </c>
      <c r="K916" s="1">
        <v>-4</v>
      </c>
    </row>
    <row r="917" spans="3:11" x14ac:dyDescent="0.25">
      <c r="C917" s="1" t="s">
        <v>6598</v>
      </c>
      <c r="D917" s="1" t="s">
        <v>6599</v>
      </c>
      <c r="E917" s="1" t="s">
        <v>6600</v>
      </c>
      <c r="F917" s="1">
        <v>-4</v>
      </c>
      <c r="G917" s="1">
        <v>-4</v>
      </c>
      <c r="H917" s="1">
        <v>0</v>
      </c>
      <c r="I917" s="1">
        <v>27</v>
      </c>
      <c r="J917" s="1">
        <v>31</v>
      </c>
      <c r="K917" s="1">
        <v>-4</v>
      </c>
    </row>
    <row r="918" spans="3:11" x14ac:dyDescent="0.25">
      <c r="D918" s="1" t="s">
        <v>6601</v>
      </c>
      <c r="E918" s="1" t="s">
        <v>6602</v>
      </c>
      <c r="F918" s="1">
        <v>-4</v>
      </c>
      <c r="G918" s="1">
        <v>-4</v>
      </c>
      <c r="H918" s="1">
        <v>0</v>
      </c>
      <c r="I918" s="1">
        <v>18</v>
      </c>
      <c r="J918" s="1">
        <v>22</v>
      </c>
      <c r="K918" s="1">
        <v>-4</v>
      </c>
    </row>
    <row r="919" spans="3:11" x14ac:dyDescent="0.25">
      <c r="C919" s="1" t="s">
        <v>6603</v>
      </c>
      <c r="D919" s="1" t="s">
        <v>6604</v>
      </c>
      <c r="E919" s="1" t="s">
        <v>6605</v>
      </c>
      <c r="F919" s="1">
        <v>-4</v>
      </c>
      <c r="G919" s="1">
        <v>-4</v>
      </c>
      <c r="H919" s="1">
        <v>0</v>
      </c>
      <c r="I919" s="1">
        <v>16</v>
      </c>
      <c r="J919" s="1">
        <v>20</v>
      </c>
      <c r="K919" s="1">
        <v>-4</v>
      </c>
    </row>
    <row r="920" spans="3:11" x14ac:dyDescent="0.25">
      <c r="C920" s="1" t="s">
        <v>6606</v>
      </c>
      <c r="D920" s="1" t="s">
        <v>6607</v>
      </c>
      <c r="E920" s="1" t="s">
        <v>6608</v>
      </c>
      <c r="F920" s="1">
        <v>-4</v>
      </c>
      <c r="G920" s="1">
        <v>-4</v>
      </c>
      <c r="H920" s="1">
        <v>0</v>
      </c>
      <c r="I920" s="1">
        <v>16</v>
      </c>
      <c r="J920" s="1">
        <v>20</v>
      </c>
      <c r="K920" s="1">
        <v>-4</v>
      </c>
    </row>
    <row r="921" spans="3:11" x14ac:dyDescent="0.25">
      <c r="C921" s="1" t="s">
        <v>6609</v>
      </c>
      <c r="D921" s="1" t="s">
        <v>6610</v>
      </c>
      <c r="E921" s="1" t="s">
        <v>6611</v>
      </c>
      <c r="F921" s="1">
        <v>-4</v>
      </c>
      <c r="G921" s="1">
        <v>-4</v>
      </c>
      <c r="H921" s="1">
        <v>0</v>
      </c>
      <c r="I921" s="1">
        <v>13</v>
      </c>
      <c r="J921" s="1">
        <v>17</v>
      </c>
      <c r="K921" s="1">
        <v>-4</v>
      </c>
    </row>
    <row r="922" spans="3:11" x14ac:dyDescent="0.25">
      <c r="C922" s="1" t="s">
        <v>6612</v>
      </c>
      <c r="D922" s="1" t="s">
        <v>6613</v>
      </c>
      <c r="E922" s="1" t="s">
        <v>6614</v>
      </c>
      <c r="F922" s="1">
        <v>-4</v>
      </c>
      <c r="G922" s="1">
        <v>-4</v>
      </c>
      <c r="H922" s="1">
        <v>0</v>
      </c>
      <c r="I922" s="1">
        <v>12</v>
      </c>
      <c r="J922" s="1">
        <v>16</v>
      </c>
      <c r="K922" s="1">
        <v>-4</v>
      </c>
    </row>
    <row r="923" spans="3:11" x14ac:dyDescent="0.25">
      <c r="C923" s="1" t="s">
        <v>6615</v>
      </c>
      <c r="D923" s="1" t="s">
        <v>6616</v>
      </c>
      <c r="E923" s="1" t="s">
        <v>6617</v>
      </c>
      <c r="F923" s="1">
        <v>-4</v>
      </c>
      <c r="G923" s="1">
        <v>-4</v>
      </c>
      <c r="H923" s="1">
        <v>0</v>
      </c>
      <c r="I923" s="1">
        <v>12</v>
      </c>
      <c r="J923" s="1">
        <v>16</v>
      </c>
      <c r="K923" s="1">
        <v>-4</v>
      </c>
    </row>
    <row r="924" spans="3:11" x14ac:dyDescent="0.25">
      <c r="C924" s="1" t="s">
        <v>6618</v>
      </c>
      <c r="D924" s="1" t="s">
        <v>6619</v>
      </c>
      <c r="E924" s="1" t="s">
        <v>6620</v>
      </c>
      <c r="F924" s="1">
        <v>-4</v>
      </c>
      <c r="G924" s="1">
        <v>-4</v>
      </c>
      <c r="H924" s="1">
        <v>0</v>
      </c>
      <c r="I924" s="1">
        <v>10</v>
      </c>
      <c r="J924" s="1">
        <v>14</v>
      </c>
      <c r="K924" s="1">
        <v>-4</v>
      </c>
    </row>
    <row r="925" spans="3:11" x14ac:dyDescent="0.25">
      <c r="C925" s="1" t="s">
        <v>6621</v>
      </c>
      <c r="D925" s="1" t="s">
        <v>6622</v>
      </c>
      <c r="E925" s="1" t="s">
        <v>6621</v>
      </c>
      <c r="F925" s="1">
        <v>-4</v>
      </c>
      <c r="G925" s="1">
        <v>-4</v>
      </c>
      <c r="H925" s="1">
        <v>0</v>
      </c>
      <c r="I925" s="1">
        <v>8</v>
      </c>
      <c r="J925" s="1">
        <v>12</v>
      </c>
      <c r="K925" s="1">
        <v>-4</v>
      </c>
    </row>
    <row r="926" spans="3:11" x14ac:dyDescent="0.25">
      <c r="C926" s="1" t="s">
        <v>6623</v>
      </c>
      <c r="D926" s="1" t="s">
        <v>6624</v>
      </c>
      <c r="E926" s="1" t="s">
        <v>6625</v>
      </c>
      <c r="F926" s="1">
        <v>-4</v>
      </c>
      <c r="G926" s="1">
        <v>-4</v>
      </c>
      <c r="H926" s="1">
        <v>0</v>
      </c>
      <c r="I926" s="1">
        <v>7</v>
      </c>
      <c r="J926" s="1">
        <v>11</v>
      </c>
      <c r="K926" s="1">
        <v>-4</v>
      </c>
    </row>
    <row r="927" spans="3:11" x14ac:dyDescent="0.25">
      <c r="C927" s="1" t="s">
        <v>6626</v>
      </c>
      <c r="D927" s="1" t="s">
        <v>6627</v>
      </c>
      <c r="E927" s="1" t="s">
        <v>6626</v>
      </c>
      <c r="F927" s="1">
        <v>-4</v>
      </c>
      <c r="G927" s="1">
        <v>-4</v>
      </c>
      <c r="H927" s="1">
        <v>0</v>
      </c>
      <c r="I927" s="1">
        <v>5</v>
      </c>
      <c r="J927" s="1">
        <v>9</v>
      </c>
      <c r="K927" s="1">
        <v>-4</v>
      </c>
    </row>
    <row r="928" spans="3:11" x14ac:dyDescent="0.25">
      <c r="D928" s="1" t="s">
        <v>6628</v>
      </c>
      <c r="E928" s="1" t="s">
        <v>6629</v>
      </c>
      <c r="F928" s="1">
        <v>-4</v>
      </c>
      <c r="G928" s="1">
        <v>-4</v>
      </c>
      <c r="H928" s="1">
        <v>0</v>
      </c>
      <c r="I928" s="1">
        <v>4</v>
      </c>
      <c r="J928" s="1">
        <v>8</v>
      </c>
      <c r="K928" s="1">
        <v>-4</v>
      </c>
    </row>
    <row r="929" spans="3:11" x14ac:dyDescent="0.25">
      <c r="C929" s="1" t="s">
        <v>4227</v>
      </c>
      <c r="D929" s="1" t="s">
        <v>4228</v>
      </c>
      <c r="E929" s="1" t="s">
        <v>4229</v>
      </c>
      <c r="F929" s="1">
        <v>-4</v>
      </c>
      <c r="G929" s="1">
        <v>-4</v>
      </c>
      <c r="H929" s="1">
        <v>0</v>
      </c>
      <c r="I929" s="1">
        <v>3</v>
      </c>
      <c r="J929" s="1">
        <v>7</v>
      </c>
      <c r="K929" s="1">
        <v>-4</v>
      </c>
    </row>
    <row r="930" spans="3:11" x14ac:dyDescent="0.25">
      <c r="C930" s="1" t="s">
        <v>6630</v>
      </c>
      <c r="D930" s="1" t="s">
        <v>6631</v>
      </c>
      <c r="E930" s="1" t="s">
        <v>6632</v>
      </c>
      <c r="F930" s="1">
        <v>-4</v>
      </c>
      <c r="G930" s="1">
        <v>-4</v>
      </c>
      <c r="H930" s="1">
        <v>0</v>
      </c>
      <c r="I930" s="1">
        <v>2</v>
      </c>
      <c r="J930" s="1">
        <v>6</v>
      </c>
      <c r="K930" s="1">
        <v>-4</v>
      </c>
    </row>
    <row r="931" spans="3:11" x14ac:dyDescent="0.25">
      <c r="C931" s="1" t="s">
        <v>6633</v>
      </c>
      <c r="D931" s="1" t="s">
        <v>6634</v>
      </c>
      <c r="E931" s="1" t="s">
        <v>6633</v>
      </c>
      <c r="F931" s="1">
        <v>-4</v>
      </c>
      <c r="G931" s="1">
        <v>-4</v>
      </c>
      <c r="H931" s="1">
        <v>0</v>
      </c>
      <c r="I931" s="1">
        <v>2</v>
      </c>
      <c r="J931" s="1">
        <v>6</v>
      </c>
      <c r="K931" s="1">
        <v>-4</v>
      </c>
    </row>
    <row r="932" spans="3:11" x14ac:dyDescent="0.25">
      <c r="D932" s="1" t="s">
        <v>6635</v>
      </c>
      <c r="E932" s="1" t="s">
        <v>6636</v>
      </c>
      <c r="F932" s="1">
        <v>-4</v>
      </c>
      <c r="G932" s="1">
        <v>-4</v>
      </c>
      <c r="H932" s="1">
        <v>0</v>
      </c>
      <c r="I932" s="1">
        <v>2</v>
      </c>
      <c r="J932" s="1">
        <v>6</v>
      </c>
      <c r="K932" s="1">
        <v>-4</v>
      </c>
    </row>
    <row r="933" spans="3:11" x14ac:dyDescent="0.25">
      <c r="C933" s="1" t="s">
        <v>6637</v>
      </c>
      <c r="D933" s="1" t="s">
        <v>6638</v>
      </c>
      <c r="E933" s="1" t="s">
        <v>6639</v>
      </c>
      <c r="F933" s="1">
        <v>-4</v>
      </c>
      <c r="G933" s="1">
        <v>-4</v>
      </c>
      <c r="H933" s="1">
        <v>0</v>
      </c>
      <c r="I933" s="1">
        <v>2</v>
      </c>
      <c r="J933" s="1">
        <v>6</v>
      </c>
      <c r="K933" s="1">
        <v>-4</v>
      </c>
    </row>
    <row r="934" spans="3:11" x14ac:dyDescent="0.25">
      <c r="D934" s="1" t="s">
        <v>6640</v>
      </c>
      <c r="E934" s="1" t="s">
        <v>6641</v>
      </c>
      <c r="F934" s="1">
        <v>-4</v>
      </c>
      <c r="G934" s="1">
        <v>-4</v>
      </c>
      <c r="H934" s="1">
        <v>0</v>
      </c>
      <c r="I934" s="1">
        <v>2</v>
      </c>
      <c r="J934" s="1">
        <v>6</v>
      </c>
      <c r="K934" s="1">
        <v>-4</v>
      </c>
    </row>
    <row r="935" spans="3:11" x14ac:dyDescent="0.25">
      <c r="C935" s="1" t="s">
        <v>6642</v>
      </c>
      <c r="D935" s="1" t="s">
        <v>6643</v>
      </c>
      <c r="E935" s="1" t="s">
        <v>6644</v>
      </c>
      <c r="F935" s="1">
        <v>-4</v>
      </c>
      <c r="G935" s="1">
        <v>-4</v>
      </c>
      <c r="H935" s="1">
        <v>0</v>
      </c>
      <c r="I935" s="1">
        <v>2</v>
      </c>
      <c r="J935" s="1">
        <v>6</v>
      </c>
      <c r="K935" s="1">
        <v>-4</v>
      </c>
    </row>
    <row r="936" spans="3:11" x14ac:dyDescent="0.25">
      <c r="C936" s="1" t="s">
        <v>4287</v>
      </c>
      <c r="D936" s="1" t="s">
        <v>4288</v>
      </c>
      <c r="E936" s="1" t="s">
        <v>4289</v>
      </c>
      <c r="F936" s="1">
        <v>-4</v>
      </c>
      <c r="G936" s="1">
        <v>-4</v>
      </c>
      <c r="H936" s="1">
        <v>0</v>
      </c>
      <c r="I936" s="1">
        <v>2</v>
      </c>
      <c r="J936" s="1">
        <v>6</v>
      </c>
      <c r="K936" s="1">
        <v>-4</v>
      </c>
    </row>
    <row r="937" spans="3:11" x14ac:dyDescent="0.25">
      <c r="C937" s="1" t="s">
        <v>6645</v>
      </c>
      <c r="D937" s="1" t="s">
        <v>6646</v>
      </c>
      <c r="E937" s="1" t="s">
        <v>6645</v>
      </c>
      <c r="F937" s="1">
        <v>-4</v>
      </c>
      <c r="G937" s="1">
        <v>-4</v>
      </c>
      <c r="H937" s="1">
        <v>0</v>
      </c>
      <c r="I937" s="1">
        <v>1</v>
      </c>
      <c r="J937" s="1">
        <v>5</v>
      </c>
      <c r="K937" s="1">
        <v>-4</v>
      </c>
    </row>
    <row r="938" spans="3:11" x14ac:dyDescent="0.25">
      <c r="D938" s="1" t="s">
        <v>6647</v>
      </c>
      <c r="E938" s="1" t="s">
        <v>6648</v>
      </c>
      <c r="F938" s="1">
        <v>-4</v>
      </c>
      <c r="G938" s="1">
        <v>-4</v>
      </c>
      <c r="H938" s="1">
        <v>0</v>
      </c>
      <c r="I938" s="1">
        <v>1</v>
      </c>
      <c r="J938" s="1">
        <v>5</v>
      </c>
      <c r="K938" s="1">
        <v>-4</v>
      </c>
    </row>
    <row r="939" spans="3:11" x14ac:dyDescent="0.25">
      <c r="C939" s="1" t="s">
        <v>6649</v>
      </c>
      <c r="D939" s="1" t="s">
        <v>6650</v>
      </c>
      <c r="E939" s="1" t="s">
        <v>6649</v>
      </c>
      <c r="F939" s="1">
        <v>-4</v>
      </c>
      <c r="G939" s="1">
        <v>-4</v>
      </c>
      <c r="H939" s="1">
        <v>0</v>
      </c>
      <c r="I939" s="1">
        <v>1</v>
      </c>
      <c r="J939" s="1">
        <v>5</v>
      </c>
      <c r="K939" s="1">
        <v>-4</v>
      </c>
    </row>
    <row r="940" spans="3:11" x14ac:dyDescent="0.25">
      <c r="C940" s="1" t="s">
        <v>6651</v>
      </c>
      <c r="D940" s="1" t="s">
        <v>6652</v>
      </c>
      <c r="E940" s="1" t="s">
        <v>6653</v>
      </c>
      <c r="F940" s="1">
        <v>-4</v>
      </c>
      <c r="G940" s="1">
        <v>-4</v>
      </c>
      <c r="H940" s="1">
        <v>0</v>
      </c>
      <c r="I940" s="1">
        <v>1</v>
      </c>
      <c r="J940" s="1">
        <v>5</v>
      </c>
      <c r="K940" s="1">
        <v>-4</v>
      </c>
    </row>
    <row r="941" spans="3:11" x14ac:dyDescent="0.25">
      <c r="D941" s="1" t="s">
        <v>6654</v>
      </c>
      <c r="E941" s="1" t="s">
        <v>6655</v>
      </c>
      <c r="F941" s="1">
        <v>-4</v>
      </c>
      <c r="G941" s="1">
        <v>-4</v>
      </c>
      <c r="H941" s="1">
        <v>0</v>
      </c>
      <c r="I941" s="1">
        <v>1</v>
      </c>
      <c r="J941" s="1">
        <v>5</v>
      </c>
      <c r="K941" s="1">
        <v>-4</v>
      </c>
    </row>
    <row r="942" spans="3:11" x14ac:dyDescent="0.25">
      <c r="C942" s="1" t="s">
        <v>6656</v>
      </c>
      <c r="D942" s="1" t="s">
        <v>6657</v>
      </c>
      <c r="F942" s="1">
        <v>-4</v>
      </c>
      <c r="G942" s="1">
        <v>-4</v>
      </c>
      <c r="H942" s="1">
        <v>0</v>
      </c>
      <c r="I942" s="1">
        <v>0</v>
      </c>
      <c r="J942" s="1">
        <v>4</v>
      </c>
      <c r="K942" s="1">
        <v>-4</v>
      </c>
    </row>
    <row r="943" spans="3:11" x14ac:dyDescent="0.25">
      <c r="C943" s="1" t="s">
        <v>6658</v>
      </c>
      <c r="D943" s="1" t="s">
        <v>6659</v>
      </c>
      <c r="E943" s="1" t="s">
        <v>6660</v>
      </c>
      <c r="F943" s="1">
        <v>-4</v>
      </c>
      <c r="G943" s="1">
        <v>-4</v>
      </c>
      <c r="H943" s="1">
        <v>0</v>
      </c>
      <c r="I943" s="1">
        <v>0</v>
      </c>
      <c r="J943" s="1">
        <v>4</v>
      </c>
      <c r="K943" s="1">
        <v>-4</v>
      </c>
    </row>
    <row r="944" spans="3:11" x14ac:dyDescent="0.25">
      <c r="C944" s="1" t="s">
        <v>6661</v>
      </c>
      <c r="D944" s="1" t="s">
        <v>6662</v>
      </c>
      <c r="E944" s="1" t="s">
        <v>6663</v>
      </c>
      <c r="F944" s="1">
        <v>-4</v>
      </c>
      <c r="G944" s="1">
        <v>-4</v>
      </c>
      <c r="H944" s="1">
        <v>0</v>
      </c>
      <c r="I944" s="1">
        <v>0</v>
      </c>
      <c r="J944" s="1">
        <v>4</v>
      </c>
      <c r="K944" s="1">
        <v>-4</v>
      </c>
    </row>
    <row r="945" spans="3:11" x14ac:dyDescent="0.25">
      <c r="C945" s="1" t="s">
        <v>6664</v>
      </c>
      <c r="D945" s="1" t="s">
        <v>6665</v>
      </c>
      <c r="E945" s="1" t="s">
        <v>6664</v>
      </c>
      <c r="F945" s="1">
        <v>-4</v>
      </c>
      <c r="G945" s="1">
        <v>-4</v>
      </c>
      <c r="H945" s="1">
        <v>0</v>
      </c>
      <c r="I945" s="1">
        <v>0</v>
      </c>
      <c r="J945" s="1">
        <v>4</v>
      </c>
      <c r="K945" s="1">
        <v>-4</v>
      </c>
    </row>
    <row r="946" spans="3:11" x14ac:dyDescent="0.25">
      <c r="C946" s="1" t="s">
        <v>6666</v>
      </c>
      <c r="D946" s="1" t="s">
        <v>6667</v>
      </c>
      <c r="E946" s="1" t="s">
        <v>6666</v>
      </c>
      <c r="F946" s="1">
        <v>-4</v>
      </c>
      <c r="G946" s="1">
        <v>-4</v>
      </c>
      <c r="H946" s="1">
        <v>0</v>
      </c>
      <c r="I946" s="1">
        <v>0</v>
      </c>
      <c r="J946" s="1">
        <v>4</v>
      </c>
      <c r="K946" s="1">
        <v>-4</v>
      </c>
    </row>
    <row r="947" spans="3:11" x14ac:dyDescent="0.25">
      <c r="C947" s="1" t="s">
        <v>6668</v>
      </c>
      <c r="D947" s="1" t="s">
        <v>6669</v>
      </c>
      <c r="E947" s="1" t="s">
        <v>6670</v>
      </c>
      <c r="F947" s="1">
        <v>-4</v>
      </c>
      <c r="G947" s="1">
        <v>-4</v>
      </c>
      <c r="H947" s="1">
        <v>0</v>
      </c>
      <c r="I947" s="1">
        <v>0</v>
      </c>
      <c r="J947" s="1">
        <v>4</v>
      </c>
      <c r="K947" s="1">
        <v>-4</v>
      </c>
    </row>
    <row r="948" spans="3:11" x14ac:dyDescent="0.25">
      <c r="C948" s="1" t="s">
        <v>6671</v>
      </c>
      <c r="D948" s="1" t="s">
        <v>6672</v>
      </c>
      <c r="E948" s="1" t="s">
        <v>6673</v>
      </c>
      <c r="F948" s="1">
        <v>-4</v>
      </c>
      <c r="G948" s="1">
        <v>-4</v>
      </c>
      <c r="H948" s="1">
        <v>0</v>
      </c>
      <c r="I948" s="1">
        <v>0</v>
      </c>
      <c r="J948" s="1">
        <v>4</v>
      </c>
      <c r="K948" s="1">
        <v>-4</v>
      </c>
    </row>
    <row r="949" spans="3:11" x14ac:dyDescent="0.25">
      <c r="C949" s="1" t="s">
        <v>6674</v>
      </c>
      <c r="D949" s="1" t="s">
        <v>6675</v>
      </c>
      <c r="E949" s="1" t="s">
        <v>6674</v>
      </c>
      <c r="F949" s="1">
        <v>-4</v>
      </c>
      <c r="G949" s="1">
        <v>-4</v>
      </c>
      <c r="H949" s="1">
        <v>0</v>
      </c>
      <c r="I949" s="1">
        <v>0</v>
      </c>
      <c r="J949" s="1">
        <v>4</v>
      </c>
      <c r="K949" s="1">
        <v>-4</v>
      </c>
    </row>
    <row r="950" spans="3:11" x14ac:dyDescent="0.25">
      <c r="C950" s="1" t="s">
        <v>6676</v>
      </c>
      <c r="D950" s="1" t="s">
        <v>6677</v>
      </c>
      <c r="E950" s="1" t="s">
        <v>6676</v>
      </c>
      <c r="F950" s="1">
        <v>-4</v>
      </c>
      <c r="G950" s="1">
        <v>-4</v>
      </c>
      <c r="H950" s="1">
        <v>0</v>
      </c>
      <c r="I950" s="1">
        <v>0</v>
      </c>
      <c r="J950" s="1">
        <v>4</v>
      </c>
      <c r="K950" s="1">
        <v>-4</v>
      </c>
    </row>
    <row r="951" spans="3:11" x14ac:dyDescent="0.25">
      <c r="C951" s="1" t="s">
        <v>6678</v>
      </c>
      <c r="D951" s="1" t="s">
        <v>6679</v>
      </c>
      <c r="E951" s="1" t="s">
        <v>6678</v>
      </c>
      <c r="F951" s="1">
        <v>-4</v>
      </c>
      <c r="G951" s="1">
        <v>-4</v>
      </c>
      <c r="H951" s="1">
        <v>0</v>
      </c>
      <c r="I951" s="1">
        <v>0</v>
      </c>
      <c r="J951" s="1">
        <v>4</v>
      </c>
      <c r="K951" s="1">
        <v>-4</v>
      </c>
    </row>
    <row r="952" spans="3:11" x14ac:dyDescent="0.25">
      <c r="C952" s="1" t="s">
        <v>6680</v>
      </c>
      <c r="D952" s="1" t="s">
        <v>6681</v>
      </c>
      <c r="E952" s="1" t="s">
        <v>6680</v>
      </c>
      <c r="F952" s="1">
        <v>-4</v>
      </c>
      <c r="G952" s="1">
        <v>-4</v>
      </c>
      <c r="H952" s="1">
        <v>0</v>
      </c>
      <c r="I952" s="1">
        <v>0</v>
      </c>
      <c r="J952" s="1">
        <v>4</v>
      </c>
      <c r="K952" s="1">
        <v>-4</v>
      </c>
    </row>
    <row r="953" spans="3:11" x14ac:dyDescent="0.25">
      <c r="C953" s="1" t="s">
        <v>6682</v>
      </c>
      <c r="D953" s="1" t="s">
        <v>6683</v>
      </c>
      <c r="E953" s="1" t="s">
        <v>6682</v>
      </c>
      <c r="F953" s="1">
        <v>-4</v>
      </c>
      <c r="G953" s="1">
        <v>-4</v>
      </c>
      <c r="H953" s="1">
        <v>0</v>
      </c>
      <c r="I953" s="1">
        <v>0</v>
      </c>
      <c r="J953" s="1">
        <v>4</v>
      </c>
      <c r="K953" s="1">
        <v>-4</v>
      </c>
    </row>
    <row r="954" spans="3:11" x14ac:dyDescent="0.25">
      <c r="D954" s="1" t="s">
        <v>6684</v>
      </c>
      <c r="E954" s="1" t="s">
        <v>6685</v>
      </c>
      <c r="F954" s="1">
        <v>-4</v>
      </c>
      <c r="G954" s="1">
        <v>-4</v>
      </c>
      <c r="H954" s="1">
        <v>0</v>
      </c>
      <c r="I954" s="1">
        <v>0</v>
      </c>
      <c r="J954" s="1">
        <v>4</v>
      </c>
      <c r="K954" s="1">
        <v>-4</v>
      </c>
    </row>
    <row r="955" spans="3:11" x14ac:dyDescent="0.25">
      <c r="C955" s="1" t="s">
        <v>6686</v>
      </c>
      <c r="D955" s="1" t="s">
        <v>6687</v>
      </c>
      <c r="E955" s="1" t="s">
        <v>6686</v>
      </c>
      <c r="F955" s="1">
        <v>-4</v>
      </c>
      <c r="G955" s="1">
        <v>-4</v>
      </c>
      <c r="H955" s="1">
        <v>0</v>
      </c>
      <c r="I955" s="1">
        <v>0</v>
      </c>
      <c r="J955" s="1">
        <v>4</v>
      </c>
      <c r="K955" s="1">
        <v>-4</v>
      </c>
    </row>
    <row r="956" spans="3:11" x14ac:dyDescent="0.25">
      <c r="C956" s="1" t="s">
        <v>6688</v>
      </c>
      <c r="D956" s="1" t="s">
        <v>6689</v>
      </c>
      <c r="E956" s="1" t="s">
        <v>6688</v>
      </c>
      <c r="F956" s="1">
        <v>-4</v>
      </c>
      <c r="G956" s="1">
        <v>-4</v>
      </c>
      <c r="H956" s="1">
        <v>0</v>
      </c>
      <c r="I956" s="1">
        <v>0</v>
      </c>
      <c r="J956" s="1">
        <v>4</v>
      </c>
      <c r="K956" s="1">
        <v>-4</v>
      </c>
    </row>
    <row r="957" spans="3:11" x14ac:dyDescent="0.25">
      <c r="C957" s="1" t="s">
        <v>6690</v>
      </c>
      <c r="D957" s="1" t="s">
        <v>6691</v>
      </c>
      <c r="E957" s="1" t="s">
        <v>6690</v>
      </c>
      <c r="F957" s="1">
        <v>-4</v>
      </c>
      <c r="G957" s="1">
        <v>-4</v>
      </c>
      <c r="H957" s="1">
        <v>0</v>
      </c>
      <c r="I957" s="1">
        <v>0</v>
      </c>
      <c r="J957" s="1">
        <v>4</v>
      </c>
      <c r="K957" s="1">
        <v>-4</v>
      </c>
    </row>
    <row r="958" spans="3:11" x14ac:dyDescent="0.25">
      <c r="C958" s="1" t="s">
        <v>6692</v>
      </c>
      <c r="D958" s="1" t="s">
        <v>6693</v>
      </c>
      <c r="E958" s="1" t="s">
        <v>6692</v>
      </c>
      <c r="F958" s="1">
        <v>-4</v>
      </c>
      <c r="G958" s="1">
        <v>-4</v>
      </c>
      <c r="H958" s="1">
        <v>0</v>
      </c>
      <c r="I958" s="1">
        <v>0</v>
      </c>
      <c r="J958" s="1">
        <v>4</v>
      </c>
      <c r="K958" s="1">
        <v>-4</v>
      </c>
    </row>
    <row r="959" spans="3:11" x14ac:dyDescent="0.25">
      <c r="C959" s="1" t="s">
        <v>6694</v>
      </c>
      <c r="D959" s="1" t="s">
        <v>6695</v>
      </c>
      <c r="E959" s="1" t="s">
        <v>6694</v>
      </c>
      <c r="F959" s="1">
        <v>-4</v>
      </c>
      <c r="G959" s="1">
        <v>-4</v>
      </c>
      <c r="H959" s="1">
        <v>0</v>
      </c>
      <c r="I959" s="1">
        <v>0</v>
      </c>
      <c r="J959" s="1">
        <v>4</v>
      </c>
      <c r="K959" s="1">
        <v>-4</v>
      </c>
    </row>
    <row r="960" spans="3:11" x14ac:dyDescent="0.25">
      <c r="C960" s="1" t="s">
        <v>6696</v>
      </c>
      <c r="D960" s="1" t="s">
        <v>6697</v>
      </c>
      <c r="E960" s="1" t="s">
        <v>6698</v>
      </c>
      <c r="F960" s="1">
        <v>-4</v>
      </c>
      <c r="G960" s="1">
        <v>-4</v>
      </c>
      <c r="H960" s="1">
        <v>0</v>
      </c>
      <c r="I960" s="1">
        <v>0</v>
      </c>
      <c r="J960" s="1">
        <v>4</v>
      </c>
      <c r="K960" s="1">
        <v>-4</v>
      </c>
    </row>
    <row r="961" spans="3:11" x14ac:dyDescent="0.25">
      <c r="C961" s="1" t="s">
        <v>6699</v>
      </c>
      <c r="D961" s="1" t="s">
        <v>6700</v>
      </c>
      <c r="E961" s="1" t="s">
        <v>6699</v>
      </c>
      <c r="F961" s="1">
        <v>-4</v>
      </c>
      <c r="G961" s="1">
        <v>-4</v>
      </c>
      <c r="H961" s="1">
        <v>0</v>
      </c>
      <c r="I961" s="1">
        <v>0</v>
      </c>
      <c r="J961" s="1">
        <v>4</v>
      </c>
      <c r="K961" s="1">
        <v>-4</v>
      </c>
    </row>
    <row r="962" spans="3:11" x14ac:dyDescent="0.25">
      <c r="C962" s="1" t="s">
        <v>6701</v>
      </c>
      <c r="D962" s="1" t="s">
        <v>6702</v>
      </c>
      <c r="E962" s="1" t="s">
        <v>6701</v>
      </c>
      <c r="F962" s="1">
        <v>-4</v>
      </c>
      <c r="G962" s="1">
        <v>-4</v>
      </c>
      <c r="H962" s="1">
        <v>0</v>
      </c>
      <c r="I962" s="1">
        <v>0</v>
      </c>
      <c r="J962" s="1">
        <v>4</v>
      </c>
      <c r="K962" s="1">
        <v>-4</v>
      </c>
    </row>
    <row r="963" spans="3:11" x14ac:dyDescent="0.25">
      <c r="C963" s="1" t="s">
        <v>6703</v>
      </c>
      <c r="D963" s="1" t="s">
        <v>6704</v>
      </c>
      <c r="E963" s="1" t="s">
        <v>6705</v>
      </c>
      <c r="F963" s="1">
        <v>-4</v>
      </c>
      <c r="G963" s="1">
        <v>-4</v>
      </c>
      <c r="H963" s="1">
        <v>0</v>
      </c>
      <c r="I963" s="1">
        <v>0</v>
      </c>
      <c r="J963" s="1">
        <v>4</v>
      </c>
      <c r="K963" s="1">
        <v>-4</v>
      </c>
    </row>
    <row r="964" spans="3:11" x14ac:dyDescent="0.25">
      <c r="C964" s="1" t="s">
        <v>6706</v>
      </c>
      <c r="D964" s="1" t="s">
        <v>6707</v>
      </c>
      <c r="E964" s="1" t="s">
        <v>6708</v>
      </c>
      <c r="F964" s="1">
        <v>-4</v>
      </c>
      <c r="G964" s="1">
        <v>-4</v>
      </c>
      <c r="H964" s="1">
        <v>0</v>
      </c>
      <c r="I964" s="1">
        <v>0</v>
      </c>
      <c r="J964" s="1">
        <v>4</v>
      </c>
      <c r="K964" s="1">
        <v>-4</v>
      </c>
    </row>
    <row r="965" spans="3:11" x14ac:dyDescent="0.25">
      <c r="C965" s="1" t="s">
        <v>6709</v>
      </c>
      <c r="D965" s="1" t="s">
        <v>6710</v>
      </c>
      <c r="E965" s="1" t="s">
        <v>6709</v>
      </c>
      <c r="F965" s="1">
        <v>-4</v>
      </c>
      <c r="G965" s="1">
        <v>-4</v>
      </c>
      <c r="H965" s="1">
        <v>0</v>
      </c>
      <c r="I965" s="1">
        <v>0</v>
      </c>
      <c r="J965" s="1">
        <v>4</v>
      </c>
      <c r="K965" s="1">
        <v>-4</v>
      </c>
    </row>
    <row r="966" spans="3:11" x14ac:dyDescent="0.25">
      <c r="C966" s="1" t="s">
        <v>6711</v>
      </c>
      <c r="D966" s="1" t="s">
        <v>6712</v>
      </c>
      <c r="E966" s="1" t="s">
        <v>6713</v>
      </c>
      <c r="F966" s="1">
        <v>-4</v>
      </c>
      <c r="G966" s="1">
        <v>-4</v>
      </c>
      <c r="H966" s="1">
        <v>0</v>
      </c>
      <c r="I966" s="1">
        <v>0</v>
      </c>
      <c r="J966" s="1">
        <v>4</v>
      </c>
      <c r="K966" s="1">
        <v>-4</v>
      </c>
    </row>
    <row r="967" spans="3:11" x14ac:dyDescent="0.25">
      <c r="D967" s="1" t="s">
        <v>6714</v>
      </c>
      <c r="E967" s="1" t="s">
        <v>6715</v>
      </c>
      <c r="F967" s="1">
        <v>-4</v>
      </c>
      <c r="G967" s="1">
        <v>-4</v>
      </c>
      <c r="H967" s="1">
        <v>0</v>
      </c>
      <c r="I967" s="1">
        <v>0</v>
      </c>
      <c r="J967" s="1">
        <v>4</v>
      </c>
      <c r="K967" s="1">
        <v>-4</v>
      </c>
    </row>
    <row r="968" spans="3:11" x14ac:dyDescent="0.25">
      <c r="C968" s="1" t="s">
        <v>6716</v>
      </c>
      <c r="D968" s="1" t="s">
        <v>6717</v>
      </c>
      <c r="E968" s="1" t="s">
        <v>6718</v>
      </c>
      <c r="F968" s="1">
        <v>-4</v>
      </c>
      <c r="G968" s="1">
        <v>-4</v>
      </c>
      <c r="H968" s="1">
        <v>0</v>
      </c>
      <c r="I968" s="1">
        <v>0</v>
      </c>
      <c r="J968" s="1">
        <v>4</v>
      </c>
      <c r="K968" s="1">
        <v>-4</v>
      </c>
    </row>
    <row r="969" spans="3:11" x14ac:dyDescent="0.25">
      <c r="C969" s="1" t="s">
        <v>6719</v>
      </c>
      <c r="D969" s="1" t="s">
        <v>6720</v>
      </c>
      <c r="E969" s="1" t="s">
        <v>6721</v>
      </c>
      <c r="F969" s="1">
        <v>-4</v>
      </c>
      <c r="G969" s="1">
        <v>-4</v>
      </c>
      <c r="H969" s="1">
        <v>0</v>
      </c>
      <c r="I969" s="1">
        <v>0</v>
      </c>
      <c r="J969" s="1">
        <v>4</v>
      </c>
      <c r="K969" s="1">
        <v>-4</v>
      </c>
    </row>
    <row r="970" spans="3:11" x14ac:dyDescent="0.25">
      <c r="C970" s="1" t="s">
        <v>6722</v>
      </c>
      <c r="D970" s="1" t="s">
        <v>6723</v>
      </c>
      <c r="E970" s="1" t="s">
        <v>6724</v>
      </c>
      <c r="F970" s="1">
        <v>-4</v>
      </c>
      <c r="G970" s="1">
        <v>-4</v>
      </c>
      <c r="H970" s="1">
        <v>0</v>
      </c>
      <c r="I970" s="1">
        <v>0</v>
      </c>
      <c r="J970" s="1">
        <v>4</v>
      </c>
      <c r="K970" s="1">
        <v>-4</v>
      </c>
    </row>
    <row r="971" spans="3:11" x14ac:dyDescent="0.25">
      <c r="C971" s="1" t="s">
        <v>6725</v>
      </c>
      <c r="D971" s="1" t="s">
        <v>6726</v>
      </c>
      <c r="E971" s="1" t="s">
        <v>6725</v>
      </c>
      <c r="F971" s="1">
        <v>-4</v>
      </c>
      <c r="G971" s="1">
        <v>-4</v>
      </c>
      <c r="H971" s="1">
        <v>0</v>
      </c>
      <c r="I971" s="1">
        <v>0</v>
      </c>
      <c r="J971" s="1">
        <v>4</v>
      </c>
      <c r="K971" s="1">
        <v>-4</v>
      </c>
    </row>
    <row r="972" spans="3:11" x14ac:dyDescent="0.25">
      <c r="C972" s="1" t="s">
        <v>6727</v>
      </c>
      <c r="D972" s="1" t="s">
        <v>6728</v>
      </c>
      <c r="E972" s="1" t="s">
        <v>6727</v>
      </c>
      <c r="F972" s="1">
        <v>-4</v>
      </c>
      <c r="G972" s="1">
        <v>-4</v>
      </c>
      <c r="H972" s="1">
        <v>0</v>
      </c>
      <c r="I972" s="1">
        <v>0</v>
      </c>
      <c r="J972" s="1">
        <v>4</v>
      </c>
      <c r="K972" s="1">
        <v>-4</v>
      </c>
    </row>
    <row r="973" spans="3:11" x14ac:dyDescent="0.25">
      <c r="C973" s="1" t="s">
        <v>6729</v>
      </c>
      <c r="D973" s="1" t="s">
        <v>6730</v>
      </c>
      <c r="E973" s="1" t="s">
        <v>6729</v>
      </c>
      <c r="F973" s="1">
        <v>-4</v>
      </c>
      <c r="G973" s="1">
        <v>-4</v>
      </c>
      <c r="H973" s="1">
        <v>0</v>
      </c>
      <c r="I973" s="1">
        <v>0</v>
      </c>
      <c r="J973" s="1">
        <v>4</v>
      </c>
      <c r="K973" s="1">
        <v>-4</v>
      </c>
    </row>
    <row r="974" spans="3:11" x14ac:dyDescent="0.25">
      <c r="C974" s="1" t="s">
        <v>6731</v>
      </c>
      <c r="D974" s="1" t="s">
        <v>6732</v>
      </c>
      <c r="E974" s="1" t="s">
        <v>6731</v>
      </c>
      <c r="F974" s="1">
        <v>-4</v>
      </c>
      <c r="G974" s="1">
        <v>-4</v>
      </c>
      <c r="H974" s="1">
        <v>0</v>
      </c>
      <c r="I974" s="1">
        <v>0</v>
      </c>
      <c r="J974" s="1">
        <v>4</v>
      </c>
      <c r="K974" s="1">
        <v>-4</v>
      </c>
    </row>
    <row r="975" spans="3:11" x14ac:dyDescent="0.25">
      <c r="C975" s="1" t="s">
        <v>6733</v>
      </c>
      <c r="D975" s="1" t="s">
        <v>6734</v>
      </c>
      <c r="E975" s="1" t="s">
        <v>6735</v>
      </c>
      <c r="F975" s="1">
        <v>-4</v>
      </c>
      <c r="G975" s="1">
        <v>-4</v>
      </c>
      <c r="H975" s="1">
        <v>0</v>
      </c>
      <c r="I975" s="1">
        <v>0</v>
      </c>
      <c r="J975" s="1">
        <v>4</v>
      </c>
      <c r="K975" s="1">
        <v>-4</v>
      </c>
    </row>
    <row r="976" spans="3:11" x14ac:dyDescent="0.25">
      <c r="C976" s="1" t="s">
        <v>6736</v>
      </c>
      <c r="D976" s="1" t="s">
        <v>6737</v>
      </c>
      <c r="E976" s="1" t="s">
        <v>6738</v>
      </c>
      <c r="F976" s="1">
        <v>-4</v>
      </c>
      <c r="G976" s="1">
        <v>-4</v>
      </c>
      <c r="H976" s="1">
        <v>0</v>
      </c>
      <c r="I976" s="1">
        <v>0</v>
      </c>
      <c r="J976" s="1">
        <v>4</v>
      </c>
      <c r="K976" s="1">
        <v>-4</v>
      </c>
    </row>
    <row r="977" spans="3:11" x14ac:dyDescent="0.25">
      <c r="C977" s="1" t="s">
        <v>6739</v>
      </c>
      <c r="D977" s="1" t="s">
        <v>6740</v>
      </c>
      <c r="E977" s="1" t="s">
        <v>6739</v>
      </c>
      <c r="F977" s="1">
        <v>-4</v>
      </c>
      <c r="G977" s="1">
        <v>-4</v>
      </c>
      <c r="H977" s="1">
        <v>0</v>
      </c>
      <c r="I977" s="1">
        <v>0</v>
      </c>
      <c r="J977" s="1">
        <v>4</v>
      </c>
      <c r="K977" s="1">
        <v>-4</v>
      </c>
    </row>
    <row r="978" spans="3:11" x14ac:dyDescent="0.25">
      <c r="D978" s="1" t="s">
        <v>6741</v>
      </c>
      <c r="E978" s="1" t="s">
        <v>6742</v>
      </c>
      <c r="F978" s="1">
        <v>-4</v>
      </c>
      <c r="G978" s="1">
        <v>-4</v>
      </c>
      <c r="H978" s="1">
        <v>0</v>
      </c>
      <c r="I978" s="1">
        <v>0</v>
      </c>
      <c r="J978" s="1">
        <v>4</v>
      </c>
      <c r="K978" s="1">
        <v>-4</v>
      </c>
    </row>
    <row r="979" spans="3:11" x14ac:dyDescent="0.25">
      <c r="D979" s="1" t="s">
        <v>6743</v>
      </c>
      <c r="E979" s="1" t="s">
        <v>6744</v>
      </c>
      <c r="F979" s="1">
        <v>-4</v>
      </c>
      <c r="G979" s="1">
        <v>-4</v>
      </c>
      <c r="H979" s="1">
        <v>0</v>
      </c>
      <c r="I979" s="1">
        <v>0</v>
      </c>
      <c r="J979" s="1">
        <v>4</v>
      </c>
      <c r="K979" s="1">
        <v>-4</v>
      </c>
    </row>
    <row r="980" spans="3:11" x14ac:dyDescent="0.25">
      <c r="D980" s="1" t="s">
        <v>6745</v>
      </c>
      <c r="E980" s="1" t="s">
        <v>6746</v>
      </c>
      <c r="F980" s="1">
        <v>-4</v>
      </c>
      <c r="G980" s="1">
        <v>-4</v>
      </c>
      <c r="H980" s="1">
        <v>0</v>
      </c>
      <c r="I980" s="1">
        <v>0</v>
      </c>
      <c r="J980" s="1">
        <v>4</v>
      </c>
      <c r="K980" s="1">
        <v>-4</v>
      </c>
    </row>
    <row r="981" spans="3:11" x14ac:dyDescent="0.25">
      <c r="D981" s="1" t="s">
        <v>6747</v>
      </c>
      <c r="E981" s="1" t="s">
        <v>6748</v>
      </c>
      <c r="F981" s="1">
        <v>-4</v>
      </c>
      <c r="G981" s="1">
        <v>-4</v>
      </c>
      <c r="H981" s="1">
        <v>0</v>
      </c>
      <c r="I981" s="1">
        <v>0</v>
      </c>
      <c r="J981" s="1">
        <v>4</v>
      </c>
      <c r="K981" s="1">
        <v>-4</v>
      </c>
    </row>
    <row r="982" spans="3:11" x14ac:dyDescent="0.25">
      <c r="D982" s="1" t="s">
        <v>6749</v>
      </c>
      <c r="E982" s="1" t="s">
        <v>6750</v>
      </c>
      <c r="F982" s="1">
        <v>-4</v>
      </c>
      <c r="G982" s="1">
        <v>-4</v>
      </c>
      <c r="H982" s="1">
        <v>0</v>
      </c>
      <c r="I982" s="1">
        <v>0</v>
      </c>
      <c r="J982" s="1">
        <v>4</v>
      </c>
      <c r="K982" s="1">
        <v>-4</v>
      </c>
    </row>
    <row r="983" spans="3:11" x14ac:dyDescent="0.25">
      <c r="D983" s="1" t="s">
        <v>6751</v>
      </c>
      <c r="E983" s="1" t="s">
        <v>6752</v>
      </c>
      <c r="F983" s="1">
        <v>-4</v>
      </c>
      <c r="G983" s="1">
        <v>-4</v>
      </c>
      <c r="H983" s="1">
        <v>0</v>
      </c>
      <c r="I983" s="1">
        <v>0</v>
      </c>
      <c r="J983" s="1">
        <v>4</v>
      </c>
      <c r="K983" s="1">
        <v>-4</v>
      </c>
    </row>
    <row r="984" spans="3:11" x14ac:dyDescent="0.25">
      <c r="D984" s="1" t="s">
        <v>6753</v>
      </c>
      <c r="E984" s="1" t="s">
        <v>6754</v>
      </c>
      <c r="F984" s="1">
        <v>-4</v>
      </c>
      <c r="G984" s="1">
        <v>-4</v>
      </c>
      <c r="H984" s="1">
        <v>0</v>
      </c>
      <c r="I984" s="1">
        <v>0</v>
      </c>
      <c r="J984" s="1">
        <v>4</v>
      </c>
      <c r="K984" s="1">
        <v>-4</v>
      </c>
    </row>
    <row r="985" spans="3:11" x14ac:dyDescent="0.25">
      <c r="D985" s="1" t="s">
        <v>6755</v>
      </c>
      <c r="E985" s="1" t="s">
        <v>6756</v>
      </c>
      <c r="F985" s="1">
        <v>-4</v>
      </c>
      <c r="G985" s="1">
        <v>-4</v>
      </c>
      <c r="H985" s="1">
        <v>0</v>
      </c>
      <c r="I985" s="1">
        <v>0</v>
      </c>
      <c r="J985" s="1">
        <v>4</v>
      </c>
      <c r="K985" s="1">
        <v>-4</v>
      </c>
    </row>
    <row r="986" spans="3:11" x14ac:dyDescent="0.25">
      <c r="D986" s="1" t="s">
        <v>6757</v>
      </c>
      <c r="E986" s="1" t="s">
        <v>6758</v>
      </c>
      <c r="F986" s="1">
        <v>-4</v>
      </c>
      <c r="G986" s="1">
        <v>-4</v>
      </c>
      <c r="H986" s="1">
        <v>0</v>
      </c>
      <c r="I986" s="1">
        <v>0</v>
      </c>
      <c r="J986" s="1">
        <v>4</v>
      </c>
      <c r="K986" s="1">
        <v>-4</v>
      </c>
    </row>
    <row r="987" spans="3:11" x14ac:dyDescent="0.25">
      <c r="D987" s="1" t="s">
        <v>6759</v>
      </c>
      <c r="E987" s="1" t="s">
        <v>6760</v>
      </c>
      <c r="F987" s="1">
        <v>-4</v>
      </c>
      <c r="G987" s="1">
        <v>-4</v>
      </c>
      <c r="H987" s="1">
        <v>0</v>
      </c>
      <c r="I987" s="1">
        <v>0</v>
      </c>
      <c r="J987" s="1">
        <v>4</v>
      </c>
      <c r="K987" s="1">
        <v>-4</v>
      </c>
    </row>
    <row r="988" spans="3:11" x14ac:dyDescent="0.25">
      <c r="D988" s="1" t="s">
        <v>6761</v>
      </c>
      <c r="E988" s="1" t="s">
        <v>6762</v>
      </c>
      <c r="F988" s="1">
        <v>-4</v>
      </c>
      <c r="G988" s="1">
        <v>-4</v>
      </c>
      <c r="H988" s="1">
        <v>0</v>
      </c>
      <c r="I988" s="1">
        <v>0</v>
      </c>
      <c r="J988" s="1">
        <v>4</v>
      </c>
      <c r="K988" s="1">
        <v>-4</v>
      </c>
    </row>
    <row r="989" spans="3:11" x14ac:dyDescent="0.25">
      <c r="D989" s="1" t="s">
        <v>6763</v>
      </c>
      <c r="E989" s="1" t="s">
        <v>6764</v>
      </c>
      <c r="F989" s="1">
        <v>-4</v>
      </c>
      <c r="G989" s="1">
        <v>-4</v>
      </c>
      <c r="H989" s="1">
        <v>0</v>
      </c>
      <c r="I989" s="1">
        <v>0</v>
      </c>
      <c r="J989" s="1">
        <v>4</v>
      </c>
      <c r="K989" s="1">
        <v>-4</v>
      </c>
    </row>
    <row r="990" spans="3:11" x14ac:dyDescent="0.25">
      <c r="D990" s="1" t="s">
        <v>6765</v>
      </c>
      <c r="E990" s="1" t="s">
        <v>6766</v>
      </c>
      <c r="F990" s="1">
        <v>-4</v>
      </c>
      <c r="G990" s="1">
        <v>-4</v>
      </c>
      <c r="H990" s="1">
        <v>0</v>
      </c>
      <c r="I990" s="1">
        <v>0</v>
      </c>
      <c r="J990" s="1">
        <v>4</v>
      </c>
      <c r="K990" s="1">
        <v>-4</v>
      </c>
    </row>
    <row r="991" spans="3:11" x14ac:dyDescent="0.25">
      <c r="D991" s="1" t="s">
        <v>6767</v>
      </c>
      <c r="E991" s="1" t="s">
        <v>6768</v>
      </c>
      <c r="F991" s="1">
        <v>-4</v>
      </c>
      <c r="G991" s="1">
        <v>-4</v>
      </c>
      <c r="H991" s="1">
        <v>0</v>
      </c>
      <c r="I991" s="1">
        <v>0</v>
      </c>
      <c r="J991" s="1">
        <v>4</v>
      </c>
      <c r="K991" s="1">
        <v>-4</v>
      </c>
    </row>
    <row r="992" spans="3:11" x14ac:dyDescent="0.25">
      <c r="D992" s="1" t="s">
        <v>6769</v>
      </c>
      <c r="E992" s="1" t="s">
        <v>6770</v>
      </c>
      <c r="F992" s="1">
        <v>-4</v>
      </c>
      <c r="G992" s="1">
        <v>-4</v>
      </c>
      <c r="H992" s="1">
        <v>0</v>
      </c>
      <c r="I992" s="1">
        <v>0</v>
      </c>
      <c r="J992" s="1">
        <v>4</v>
      </c>
      <c r="K992" s="1">
        <v>-4</v>
      </c>
    </row>
    <row r="993" spans="3:11" x14ac:dyDescent="0.25">
      <c r="D993" s="1" t="s">
        <v>6771</v>
      </c>
      <c r="E993" s="1" t="s">
        <v>6772</v>
      </c>
      <c r="F993" s="1">
        <v>-4</v>
      </c>
      <c r="G993" s="1">
        <v>-4</v>
      </c>
      <c r="H993" s="1">
        <v>0</v>
      </c>
      <c r="I993" s="1">
        <v>0</v>
      </c>
      <c r="J993" s="1">
        <v>4</v>
      </c>
      <c r="K993" s="1">
        <v>-4</v>
      </c>
    </row>
    <row r="994" spans="3:11" x14ac:dyDescent="0.25">
      <c r="C994" s="1" t="s">
        <v>6773</v>
      </c>
      <c r="D994" s="1" t="s">
        <v>6774</v>
      </c>
      <c r="E994" s="1" t="s">
        <v>6773</v>
      </c>
      <c r="F994" s="1">
        <v>-4</v>
      </c>
      <c r="G994" s="1">
        <v>-4</v>
      </c>
      <c r="H994" s="1">
        <v>0</v>
      </c>
      <c r="I994" s="1">
        <v>0</v>
      </c>
      <c r="J994" s="1">
        <v>4</v>
      </c>
      <c r="K994" s="1">
        <v>-4</v>
      </c>
    </row>
    <row r="995" spans="3:11" x14ac:dyDescent="0.25">
      <c r="D995" s="1" t="s">
        <v>6775</v>
      </c>
      <c r="E995" s="1" t="s">
        <v>6776</v>
      </c>
      <c r="F995" s="1">
        <v>-4</v>
      </c>
      <c r="G995" s="1">
        <v>-4</v>
      </c>
      <c r="H995" s="1">
        <v>0</v>
      </c>
      <c r="I995" s="1">
        <v>0</v>
      </c>
      <c r="J995" s="1">
        <v>4</v>
      </c>
      <c r="K995" s="1">
        <v>-4</v>
      </c>
    </row>
    <row r="996" spans="3:11" x14ac:dyDescent="0.25">
      <c r="C996" s="1" t="s">
        <v>6777</v>
      </c>
      <c r="D996" s="1" t="s">
        <v>6778</v>
      </c>
      <c r="E996" s="1" t="s">
        <v>6777</v>
      </c>
      <c r="F996" s="1">
        <v>-4</v>
      </c>
      <c r="G996" s="1">
        <v>-4</v>
      </c>
      <c r="H996" s="1">
        <v>0</v>
      </c>
      <c r="I996" s="1">
        <v>0</v>
      </c>
      <c r="J996" s="1">
        <v>4</v>
      </c>
      <c r="K996" s="1">
        <v>-4</v>
      </c>
    </row>
    <row r="997" spans="3:11" x14ac:dyDescent="0.25">
      <c r="C997" s="1" t="s">
        <v>6779</v>
      </c>
      <c r="D997" s="1" t="s">
        <v>6780</v>
      </c>
      <c r="E997" s="1" t="s">
        <v>6779</v>
      </c>
      <c r="F997" s="1">
        <v>-4</v>
      </c>
      <c r="G997" s="1">
        <v>-4</v>
      </c>
      <c r="H997" s="1">
        <v>0</v>
      </c>
      <c r="I997" s="1">
        <v>0</v>
      </c>
      <c r="J997" s="1">
        <v>4</v>
      </c>
      <c r="K997" s="1">
        <v>-4</v>
      </c>
    </row>
    <row r="998" spans="3:11" x14ac:dyDescent="0.25">
      <c r="C998" s="1" t="s">
        <v>6781</v>
      </c>
      <c r="D998" s="1" t="s">
        <v>6782</v>
      </c>
      <c r="E998" s="1" t="s">
        <v>6781</v>
      </c>
      <c r="F998" s="1">
        <v>-4</v>
      </c>
      <c r="G998" s="1">
        <v>-4</v>
      </c>
      <c r="H998" s="1">
        <v>0</v>
      </c>
      <c r="I998" s="1">
        <v>0</v>
      </c>
      <c r="J998" s="1">
        <v>4</v>
      </c>
      <c r="K998" s="1">
        <v>-4</v>
      </c>
    </row>
    <row r="999" spans="3:11" x14ac:dyDescent="0.25">
      <c r="C999" s="1" t="s">
        <v>6783</v>
      </c>
      <c r="D999" s="1" t="s">
        <v>6784</v>
      </c>
      <c r="E999" s="1" t="s">
        <v>6783</v>
      </c>
      <c r="F999" s="1">
        <v>-4</v>
      </c>
      <c r="G999" s="1">
        <v>-4</v>
      </c>
      <c r="H999" s="1">
        <v>0</v>
      </c>
      <c r="I999" s="1">
        <v>0</v>
      </c>
      <c r="J999" s="1">
        <v>4</v>
      </c>
      <c r="K999" s="1">
        <v>-4</v>
      </c>
    </row>
    <row r="1000" spans="3:11" x14ac:dyDescent="0.25">
      <c r="C1000" s="1" t="s">
        <v>6785</v>
      </c>
      <c r="D1000" s="1" t="s">
        <v>6786</v>
      </c>
      <c r="E1000" s="1" t="s">
        <v>6785</v>
      </c>
      <c r="F1000" s="1">
        <v>-4</v>
      </c>
      <c r="G1000" s="1">
        <v>-4</v>
      </c>
      <c r="H1000" s="1">
        <v>0</v>
      </c>
      <c r="I1000" s="1">
        <v>0</v>
      </c>
      <c r="J1000" s="1">
        <v>4</v>
      </c>
      <c r="K1000" s="1">
        <v>-4</v>
      </c>
    </row>
    <row r="1001" spans="3:11" x14ac:dyDescent="0.25">
      <c r="C1001" s="1" t="s">
        <v>6787</v>
      </c>
      <c r="D1001" s="1" t="s">
        <v>6788</v>
      </c>
      <c r="E1001" s="1" t="s">
        <v>6787</v>
      </c>
      <c r="F1001" s="1">
        <v>-4</v>
      </c>
      <c r="G1001" s="1">
        <v>-4</v>
      </c>
      <c r="H1001" s="1">
        <v>0</v>
      </c>
      <c r="I1001" s="1">
        <v>0</v>
      </c>
      <c r="J1001" s="1">
        <v>4</v>
      </c>
      <c r="K1001" s="1">
        <v>-4</v>
      </c>
    </row>
    <row r="1002" spans="3:11" x14ac:dyDescent="0.25">
      <c r="C1002" s="1" t="s">
        <v>6789</v>
      </c>
      <c r="D1002" s="1" t="s">
        <v>6790</v>
      </c>
      <c r="E1002" s="1" t="s">
        <v>6789</v>
      </c>
      <c r="F1002" s="1">
        <v>-4</v>
      </c>
      <c r="G1002" s="1">
        <v>-4</v>
      </c>
      <c r="H1002" s="1">
        <v>0</v>
      </c>
      <c r="I1002" s="1">
        <v>0</v>
      </c>
      <c r="J1002" s="1">
        <v>4</v>
      </c>
      <c r="K1002" s="1">
        <v>-4</v>
      </c>
    </row>
    <row r="1003" spans="3:11" x14ac:dyDescent="0.25">
      <c r="C1003" s="1" t="s">
        <v>6791</v>
      </c>
      <c r="D1003" s="1" t="s">
        <v>6792</v>
      </c>
      <c r="E1003" s="1" t="s">
        <v>6791</v>
      </c>
      <c r="F1003" s="1">
        <v>-4</v>
      </c>
      <c r="G1003" s="1">
        <v>-4</v>
      </c>
      <c r="H1003" s="1">
        <v>0</v>
      </c>
      <c r="I1003" s="1">
        <v>0</v>
      </c>
      <c r="J1003" s="1">
        <v>4</v>
      </c>
      <c r="K1003" s="1">
        <v>-4</v>
      </c>
    </row>
    <row r="1004" spans="3:11" x14ac:dyDescent="0.25">
      <c r="C1004" s="1" t="s">
        <v>6793</v>
      </c>
      <c r="D1004" s="1" t="s">
        <v>6794</v>
      </c>
      <c r="E1004" s="1" t="s">
        <v>6793</v>
      </c>
      <c r="F1004" s="1">
        <v>-4</v>
      </c>
      <c r="G1004" s="1">
        <v>-4</v>
      </c>
      <c r="H1004" s="1">
        <v>0</v>
      </c>
      <c r="I1004" s="1">
        <v>0</v>
      </c>
      <c r="J1004" s="1">
        <v>4</v>
      </c>
      <c r="K1004" s="1">
        <v>-4</v>
      </c>
    </row>
    <row r="1005" spans="3:11" x14ac:dyDescent="0.25">
      <c r="C1005" s="1" t="s">
        <v>6795</v>
      </c>
      <c r="D1005" s="1" t="s">
        <v>6796</v>
      </c>
      <c r="E1005" s="1" t="s">
        <v>6795</v>
      </c>
      <c r="F1005" s="1">
        <v>-4</v>
      </c>
      <c r="G1005" s="1">
        <v>-4</v>
      </c>
      <c r="H1005" s="1">
        <v>0</v>
      </c>
      <c r="I1005" s="1">
        <v>0</v>
      </c>
      <c r="J1005" s="1">
        <v>4</v>
      </c>
      <c r="K1005" s="1">
        <v>-4</v>
      </c>
    </row>
    <row r="1006" spans="3:11" x14ac:dyDescent="0.25">
      <c r="C1006" s="1" t="s">
        <v>6797</v>
      </c>
      <c r="D1006" s="1" t="s">
        <v>6798</v>
      </c>
      <c r="E1006" s="1" t="s">
        <v>6799</v>
      </c>
      <c r="F1006" s="1">
        <v>-4</v>
      </c>
      <c r="G1006" s="1">
        <v>-4</v>
      </c>
      <c r="H1006" s="1">
        <v>0</v>
      </c>
      <c r="I1006" s="1">
        <v>0</v>
      </c>
      <c r="J1006" s="1">
        <v>4</v>
      </c>
      <c r="K1006" s="1">
        <v>-4</v>
      </c>
    </row>
    <row r="1007" spans="3:11" x14ac:dyDescent="0.25">
      <c r="C1007" s="1" t="s">
        <v>6800</v>
      </c>
      <c r="D1007" s="1" t="s">
        <v>6801</v>
      </c>
      <c r="E1007" s="1" t="s">
        <v>6800</v>
      </c>
      <c r="F1007" s="1">
        <v>-4</v>
      </c>
      <c r="G1007" s="1">
        <v>-4</v>
      </c>
      <c r="H1007" s="1">
        <v>0</v>
      </c>
      <c r="I1007" s="1">
        <v>0</v>
      </c>
      <c r="J1007" s="1">
        <v>4</v>
      </c>
      <c r="K1007" s="1">
        <v>-4</v>
      </c>
    </row>
    <row r="1008" spans="3:11" x14ac:dyDescent="0.25">
      <c r="C1008" s="1" t="s">
        <v>6802</v>
      </c>
      <c r="D1008" s="1" t="s">
        <v>6803</v>
      </c>
      <c r="E1008" s="1" t="s">
        <v>6802</v>
      </c>
      <c r="F1008" s="1">
        <v>-4</v>
      </c>
      <c r="G1008" s="1">
        <v>-4</v>
      </c>
      <c r="H1008" s="1">
        <v>0</v>
      </c>
      <c r="I1008" s="1">
        <v>0</v>
      </c>
      <c r="J1008" s="1">
        <v>4</v>
      </c>
      <c r="K1008" s="1">
        <v>-4</v>
      </c>
    </row>
    <row r="1009" spans="3:11" x14ac:dyDescent="0.25">
      <c r="C1009" s="1" t="s">
        <v>6804</v>
      </c>
      <c r="D1009" s="1" t="s">
        <v>6805</v>
      </c>
      <c r="E1009" s="1" t="s">
        <v>6804</v>
      </c>
      <c r="F1009" s="1">
        <v>-4</v>
      </c>
      <c r="G1009" s="1">
        <v>-4</v>
      </c>
      <c r="H1009" s="1">
        <v>0</v>
      </c>
      <c r="I1009" s="1">
        <v>0</v>
      </c>
      <c r="J1009" s="1">
        <v>4</v>
      </c>
      <c r="K1009" s="1">
        <v>-4</v>
      </c>
    </row>
    <row r="1010" spans="3:11" x14ac:dyDescent="0.25">
      <c r="C1010" s="1" t="s">
        <v>6806</v>
      </c>
      <c r="D1010" s="1" t="s">
        <v>6807</v>
      </c>
      <c r="E1010" s="1" t="s">
        <v>6806</v>
      </c>
      <c r="F1010" s="1">
        <v>-4</v>
      </c>
      <c r="G1010" s="1">
        <v>-4</v>
      </c>
      <c r="H1010" s="1">
        <v>0</v>
      </c>
      <c r="I1010" s="1">
        <v>0</v>
      </c>
      <c r="J1010" s="1">
        <v>4</v>
      </c>
      <c r="K1010" s="1">
        <v>-4</v>
      </c>
    </row>
    <row r="1011" spans="3:11" x14ac:dyDescent="0.25">
      <c r="D1011" s="1" t="s">
        <v>6808</v>
      </c>
      <c r="E1011" s="1" t="s">
        <v>6809</v>
      </c>
      <c r="F1011" s="1">
        <v>-4</v>
      </c>
      <c r="G1011" s="1">
        <v>-4</v>
      </c>
      <c r="H1011" s="1">
        <v>0</v>
      </c>
      <c r="I1011" s="1">
        <v>0</v>
      </c>
      <c r="J1011" s="1">
        <v>4</v>
      </c>
      <c r="K1011" s="1">
        <v>-4</v>
      </c>
    </row>
    <row r="1012" spans="3:11" x14ac:dyDescent="0.25">
      <c r="C1012" s="1" t="s">
        <v>6810</v>
      </c>
      <c r="D1012" s="1" t="s">
        <v>6811</v>
      </c>
      <c r="E1012" s="1" t="s">
        <v>6810</v>
      </c>
      <c r="F1012" s="1">
        <v>-4</v>
      </c>
      <c r="G1012" s="1">
        <v>-4</v>
      </c>
      <c r="H1012" s="1">
        <v>0</v>
      </c>
      <c r="I1012" s="1">
        <v>0</v>
      </c>
      <c r="J1012" s="1">
        <v>4</v>
      </c>
      <c r="K1012" s="1">
        <v>-4</v>
      </c>
    </row>
    <row r="1013" spans="3:11" x14ac:dyDescent="0.25">
      <c r="C1013" s="1" t="s">
        <v>6812</v>
      </c>
      <c r="D1013" s="1" t="s">
        <v>6813</v>
      </c>
      <c r="E1013" s="1" t="s">
        <v>6814</v>
      </c>
      <c r="F1013" s="1">
        <v>-4</v>
      </c>
      <c r="G1013" s="1">
        <v>-4</v>
      </c>
      <c r="H1013" s="1">
        <v>0</v>
      </c>
      <c r="I1013" s="1">
        <v>0</v>
      </c>
      <c r="J1013" s="1">
        <v>4</v>
      </c>
      <c r="K1013" s="1">
        <v>-4</v>
      </c>
    </row>
    <row r="1014" spans="3:11" x14ac:dyDescent="0.25">
      <c r="C1014" s="1" t="s">
        <v>6815</v>
      </c>
      <c r="D1014" s="1" t="s">
        <v>6816</v>
      </c>
      <c r="E1014" s="1" t="s">
        <v>6815</v>
      </c>
      <c r="F1014" s="1">
        <v>-4</v>
      </c>
      <c r="G1014" s="1">
        <v>-4</v>
      </c>
      <c r="H1014" s="1">
        <v>0</v>
      </c>
      <c r="I1014" s="1">
        <v>0</v>
      </c>
      <c r="J1014" s="1">
        <v>4</v>
      </c>
      <c r="K1014" s="1">
        <v>-4</v>
      </c>
    </row>
    <row r="1015" spans="3:11" x14ac:dyDescent="0.25">
      <c r="C1015" s="1" t="s">
        <v>6817</v>
      </c>
      <c r="D1015" s="1" t="s">
        <v>6818</v>
      </c>
      <c r="E1015" s="1" t="s">
        <v>6817</v>
      </c>
      <c r="F1015" s="1">
        <v>-4</v>
      </c>
      <c r="G1015" s="1">
        <v>-4</v>
      </c>
      <c r="H1015" s="1">
        <v>0</v>
      </c>
      <c r="I1015" s="1">
        <v>0</v>
      </c>
      <c r="J1015" s="1">
        <v>4</v>
      </c>
      <c r="K1015" s="1">
        <v>-4</v>
      </c>
    </row>
    <row r="1016" spans="3:11" x14ac:dyDescent="0.25">
      <c r="D1016" s="1" t="s">
        <v>6819</v>
      </c>
      <c r="E1016" s="1" t="s">
        <v>6820</v>
      </c>
      <c r="F1016" s="1">
        <v>-4</v>
      </c>
      <c r="G1016" s="1">
        <v>-4</v>
      </c>
      <c r="H1016" s="1">
        <v>0</v>
      </c>
      <c r="I1016" s="1">
        <v>0</v>
      </c>
      <c r="J1016" s="1">
        <v>4</v>
      </c>
      <c r="K1016" s="1">
        <v>-4</v>
      </c>
    </row>
    <row r="1017" spans="3:11" x14ac:dyDescent="0.25">
      <c r="C1017" s="1" t="s">
        <v>6821</v>
      </c>
      <c r="D1017" s="1" t="s">
        <v>6822</v>
      </c>
      <c r="E1017" s="1" t="s">
        <v>6823</v>
      </c>
      <c r="F1017" s="1">
        <v>-4</v>
      </c>
      <c r="G1017" s="1">
        <v>-4</v>
      </c>
      <c r="H1017" s="1">
        <v>0</v>
      </c>
      <c r="I1017" s="1">
        <v>0</v>
      </c>
      <c r="J1017" s="1">
        <v>4</v>
      </c>
      <c r="K1017" s="1">
        <v>-4</v>
      </c>
    </row>
    <row r="1018" spans="3:11" x14ac:dyDescent="0.25">
      <c r="C1018" s="1" t="s">
        <v>6824</v>
      </c>
      <c r="D1018" s="1" t="s">
        <v>6825</v>
      </c>
      <c r="E1018" s="1" t="s">
        <v>6826</v>
      </c>
      <c r="F1018" s="1">
        <v>-4</v>
      </c>
      <c r="G1018" s="1">
        <v>-4</v>
      </c>
      <c r="H1018" s="1">
        <v>0</v>
      </c>
      <c r="I1018" s="1">
        <v>0</v>
      </c>
      <c r="J1018" s="1">
        <v>4</v>
      </c>
      <c r="K1018" s="1">
        <v>-4</v>
      </c>
    </row>
    <row r="1019" spans="3:11" x14ac:dyDescent="0.25">
      <c r="D1019" s="1" t="s">
        <v>6827</v>
      </c>
      <c r="E1019" s="1" t="s">
        <v>6828</v>
      </c>
      <c r="F1019" s="1">
        <v>-4</v>
      </c>
      <c r="G1019" s="1">
        <v>-4</v>
      </c>
      <c r="H1019" s="1">
        <v>0</v>
      </c>
      <c r="I1019" s="1">
        <v>0</v>
      </c>
      <c r="J1019" s="1">
        <v>4</v>
      </c>
      <c r="K1019" s="1">
        <v>-4</v>
      </c>
    </row>
    <row r="1020" spans="3:11" x14ac:dyDescent="0.25">
      <c r="C1020" s="1" t="s">
        <v>6829</v>
      </c>
      <c r="D1020" s="1" t="s">
        <v>6830</v>
      </c>
      <c r="E1020" s="1" t="s">
        <v>6831</v>
      </c>
      <c r="F1020" s="1">
        <v>-4</v>
      </c>
      <c r="G1020" s="1">
        <v>-4</v>
      </c>
      <c r="H1020" s="1">
        <v>0</v>
      </c>
      <c r="I1020" s="1">
        <v>0</v>
      </c>
      <c r="J1020" s="1">
        <v>4</v>
      </c>
      <c r="K1020" s="1">
        <v>-4</v>
      </c>
    </row>
    <row r="1021" spans="3:11" x14ac:dyDescent="0.25">
      <c r="C1021" s="1" t="s">
        <v>6832</v>
      </c>
      <c r="D1021" s="1" t="s">
        <v>6833</v>
      </c>
      <c r="E1021" s="1" t="s">
        <v>6834</v>
      </c>
      <c r="F1021" s="1">
        <v>-4</v>
      </c>
      <c r="G1021" s="1">
        <v>-4</v>
      </c>
      <c r="H1021" s="1">
        <v>0</v>
      </c>
      <c r="I1021" s="1">
        <v>0</v>
      </c>
      <c r="J1021" s="1">
        <v>4</v>
      </c>
      <c r="K1021" s="1">
        <v>-4</v>
      </c>
    </row>
    <row r="1022" spans="3:11" x14ac:dyDescent="0.25">
      <c r="D1022" s="1" t="s">
        <v>6835</v>
      </c>
      <c r="E1022" s="1" t="s">
        <v>6836</v>
      </c>
      <c r="F1022" s="1">
        <v>-4</v>
      </c>
      <c r="G1022" s="1">
        <v>-4</v>
      </c>
      <c r="H1022" s="1">
        <v>0</v>
      </c>
      <c r="I1022" s="1">
        <v>0</v>
      </c>
      <c r="J1022" s="1">
        <v>4</v>
      </c>
      <c r="K1022" s="1">
        <v>-4</v>
      </c>
    </row>
    <row r="1023" spans="3:11" x14ac:dyDescent="0.25">
      <c r="D1023" s="1" t="s">
        <v>6837</v>
      </c>
      <c r="E1023" s="1" t="s">
        <v>6838</v>
      </c>
      <c r="F1023" s="1">
        <v>-4</v>
      </c>
      <c r="G1023" s="1">
        <v>-4</v>
      </c>
      <c r="H1023" s="1">
        <v>0</v>
      </c>
      <c r="I1023" s="1">
        <v>0</v>
      </c>
      <c r="J1023" s="1">
        <v>4</v>
      </c>
      <c r="K1023" s="1">
        <v>-4</v>
      </c>
    </row>
    <row r="1024" spans="3:11" x14ac:dyDescent="0.25">
      <c r="D1024" s="1" t="s">
        <v>6839</v>
      </c>
      <c r="E1024" s="1" t="s">
        <v>6840</v>
      </c>
      <c r="F1024" s="1">
        <v>-4</v>
      </c>
      <c r="G1024" s="1">
        <v>-4</v>
      </c>
      <c r="H1024" s="1">
        <v>0</v>
      </c>
      <c r="I1024" s="1">
        <v>0</v>
      </c>
      <c r="J1024" s="1">
        <v>4</v>
      </c>
      <c r="K1024" s="1">
        <v>-4</v>
      </c>
    </row>
    <row r="1025" spans="3:11" x14ac:dyDescent="0.25">
      <c r="D1025" s="1" t="s">
        <v>6841</v>
      </c>
      <c r="E1025" s="1" t="s">
        <v>6842</v>
      </c>
      <c r="F1025" s="1">
        <v>-4</v>
      </c>
      <c r="G1025" s="1">
        <v>-4</v>
      </c>
      <c r="H1025" s="1">
        <v>0</v>
      </c>
      <c r="I1025" s="1">
        <v>0</v>
      </c>
      <c r="J1025" s="1">
        <v>4</v>
      </c>
      <c r="K1025" s="1">
        <v>-4</v>
      </c>
    </row>
    <row r="1026" spans="3:11" x14ac:dyDescent="0.25">
      <c r="D1026" s="1" t="s">
        <v>6843</v>
      </c>
      <c r="E1026" s="1" t="s">
        <v>6844</v>
      </c>
      <c r="F1026" s="1">
        <v>-4</v>
      </c>
      <c r="G1026" s="1">
        <v>-4</v>
      </c>
      <c r="H1026" s="1">
        <v>0</v>
      </c>
      <c r="I1026" s="1">
        <v>0</v>
      </c>
      <c r="J1026" s="1">
        <v>4</v>
      </c>
      <c r="K1026" s="1">
        <v>-4</v>
      </c>
    </row>
    <row r="1027" spans="3:11" x14ac:dyDescent="0.25">
      <c r="C1027" s="1" t="s">
        <v>6845</v>
      </c>
      <c r="D1027" s="1" t="s">
        <v>6846</v>
      </c>
      <c r="E1027" s="1" t="s">
        <v>6847</v>
      </c>
      <c r="F1027" s="1">
        <v>-4</v>
      </c>
      <c r="G1027" s="1">
        <v>-4</v>
      </c>
      <c r="H1027" s="1">
        <v>0</v>
      </c>
      <c r="I1027" s="1">
        <v>0</v>
      </c>
      <c r="J1027" s="1">
        <v>4</v>
      </c>
      <c r="K1027" s="1">
        <v>-4</v>
      </c>
    </row>
    <row r="1028" spans="3:11" x14ac:dyDescent="0.25">
      <c r="C1028" s="1" t="s">
        <v>6848</v>
      </c>
      <c r="D1028" s="1" t="s">
        <v>6849</v>
      </c>
      <c r="E1028" s="1" t="s">
        <v>6850</v>
      </c>
      <c r="F1028" s="1">
        <v>-4</v>
      </c>
      <c r="G1028" s="1">
        <v>-4</v>
      </c>
      <c r="H1028" s="1">
        <v>0</v>
      </c>
      <c r="I1028" s="1">
        <v>0</v>
      </c>
      <c r="J1028" s="1">
        <v>4</v>
      </c>
      <c r="K1028" s="1">
        <v>-4</v>
      </c>
    </row>
    <row r="1029" spans="3:11" x14ac:dyDescent="0.25">
      <c r="D1029" s="1" t="s">
        <v>6851</v>
      </c>
      <c r="E1029" s="1" t="s">
        <v>6852</v>
      </c>
      <c r="F1029" s="1">
        <v>-4</v>
      </c>
      <c r="G1029" s="1">
        <v>-4</v>
      </c>
      <c r="H1029" s="1">
        <v>0</v>
      </c>
      <c r="I1029" s="1">
        <v>0</v>
      </c>
      <c r="J1029" s="1">
        <v>4</v>
      </c>
      <c r="K1029" s="1">
        <v>-4</v>
      </c>
    </row>
    <row r="1030" spans="3:11" x14ac:dyDescent="0.25">
      <c r="C1030" s="1" t="s">
        <v>6853</v>
      </c>
      <c r="D1030" s="1" t="s">
        <v>6854</v>
      </c>
      <c r="E1030" s="1" t="s">
        <v>6855</v>
      </c>
      <c r="F1030" s="1">
        <v>-4</v>
      </c>
      <c r="G1030" s="1">
        <v>-4</v>
      </c>
      <c r="H1030" s="1">
        <v>0</v>
      </c>
      <c r="I1030" s="1">
        <v>0</v>
      </c>
      <c r="J1030" s="1">
        <v>4</v>
      </c>
      <c r="K1030" s="1">
        <v>-4</v>
      </c>
    </row>
    <row r="1031" spans="3:11" x14ac:dyDescent="0.25">
      <c r="D1031" s="1" t="s">
        <v>6856</v>
      </c>
      <c r="E1031" s="1" t="s">
        <v>6857</v>
      </c>
      <c r="F1031" s="1">
        <v>-4</v>
      </c>
      <c r="G1031" s="1">
        <v>-4</v>
      </c>
      <c r="H1031" s="1">
        <v>0</v>
      </c>
      <c r="I1031" s="1">
        <v>0</v>
      </c>
      <c r="J1031" s="1">
        <v>4</v>
      </c>
      <c r="K1031" s="1">
        <v>-4</v>
      </c>
    </row>
    <row r="1032" spans="3:11" x14ac:dyDescent="0.25">
      <c r="D1032" s="1" t="s">
        <v>6858</v>
      </c>
      <c r="E1032" s="1" t="s">
        <v>6859</v>
      </c>
      <c r="F1032" s="1">
        <v>-4</v>
      </c>
      <c r="G1032" s="1">
        <v>-4</v>
      </c>
      <c r="H1032" s="1">
        <v>0</v>
      </c>
      <c r="I1032" s="1">
        <v>0</v>
      </c>
      <c r="J1032" s="1">
        <v>4</v>
      </c>
      <c r="K1032" s="1">
        <v>-4</v>
      </c>
    </row>
    <row r="1033" spans="3:11" x14ac:dyDescent="0.25">
      <c r="D1033" s="1" t="s">
        <v>6860</v>
      </c>
      <c r="E1033" s="1" t="s">
        <v>6861</v>
      </c>
      <c r="F1033" s="1">
        <v>-4</v>
      </c>
      <c r="G1033" s="1">
        <v>-4</v>
      </c>
      <c r="H1033" s="1">
        <v>0</v>
      </c>
      <c r="I1033" s="1">
        <v>0</v>
      </c>
      <c r="J1033" s="1">
        <v>4</v>
      </c>
      <c r="K1033" s="1">
        <v>-4</v>
      </c>
    </row>
    <row r="1034" spans="3:11" x14ac:dyDescent="0.25">
      <c r="D1034" s="1" t="s">
        <v>6862</v>
      </c>
      <c r="E1034" s="1" t="s">
        <v>6863</v>
      </c>
      <c r="F1034" s="1">
        <v>-4</v>
      </c>
      <c r="G1034" s="1">
        <v>-4</v>
      </c>
      <c r="H1034" s="1">
        <v>0</v>
      </c>
      <c r="I1034" s="1">
        <v>0</v>
      </c>
      <c r="J1034" s="1">
        <v>4</v>
      </c>
      <c r="K1034" s="1">
        <v>-4</v>
      </c>
    </row>
    <row r="1035" spans="3:11" x14ac:dyDescent="0.25">
      <c r="C1035" s="1" t="s">
        <v>6864</v>
      </c>
      <c r="D1035" s="1" t="s">
        <v>6865</v>
      </c>
      <c r="E1035" s="1" t="s">
        <v>6866</v>
      </c>
      <c r="F1035" s="1">
        <v>-4</v>
      </c>
      <c r="G1035" s="1">
        <v>-4</v>
      </c>
      <c r="H1035" s="1">
        <v>0</v>
      </c>
      <c r="I1035" s="1">
        <v>0</v>
      </c>
      <c r="J1035" s="1">
        <v>4</v>
      </c>
      <c r="K1035" s="1">
        <v>-4</v>
      </c>
    </row>
    <row r="1036" spans="3:11" x14ac:dyDescent="0.25">
      <c r="D1036" s="1" t="s">
        <v>6867</v>
      </c>
      <c r="E1036" s="1" t="s">
        <v>6868</v>
      </c>
      <c r="F1036" s="1">
        <v>-4</v>
      </c>
      <c r="G1036" s="1">
        <v>-4</v>
      </c>
      <c r="H1036" s="1">
        <v>0</v>
      </c>
      <c r="I1036" s="1">
        <v>0</v>
      </c>
      <c r="J1036" s="1">
        <v>4</v>
      </c>
      <c r="K1036" s="1">
        <v>-4</v>
      </c>
    </row>
    <row r="1037" spans="3:11" x14ac:dyDescent="0.25">
      <c r="D1037" s="1" t="s">
        <v>6869</v>
      </c>
      <c r="E1037" s="1" t="s">
        <v>6870</v>
      </c>
      <c r="F1037" s="1">
        <v>-4</v>
      </c>
      <c r="G1037" s="1">
        <v>-4</v>
      </c>
      <c r="H1037" s="1">
        <v>0</v>
      </c>
      <c r="I1037" s="1">
        <v>0</v>
      </c>
      <c r="J1037" s="1">
        <v>4</v>
      </c>
      <c r="K1037" s="1">
        <v>-4</v>
      </c>
    </row>
    <row r="1038" spans="3:11" x14ac:dyDescent="0.25">
      <c r="D1038" s="1" t="s">
        <v>6871</v>
      </c>
      <c r="E1038" s="1" t="s">
        <v>6872</v>
      </c>
      <c r="F1038" s="1">
        <v>-4</v>
      </c>
      <c r="G1038" s="1">
        <v>-4</v>
      </c>
      <c r="H1038" s="1">
        <v>0</v>
      </c>
      <c r="I1038" s="1">
        <v>0</v>
      </c>
      <c r="J1038" s="1">
        <v>4</v>
      </c>
      <c r="K1038" s="1">
        <v>-4</v>
      </c>
    </row>
    <row r="1039" spans="3:11" x14ac:dyDescent="0.25">
      <c r="D1039" s="1" t="s">
        <v>6873</v>
      </c>
      <c r="E1039" s="1" t="s">
        <v>6874</v>
      </c>
      <c r="F1039" s="1">
        <v>-4</v>
      </c>
      <c r="G1039" s="1">
        <v>-4</v>
      </c>
      <c r="H1039" s="1">
        <v>0</v>
      </c>
      <c r="I1039" s="1">
        <v>0</v>
      </c>
      <c r="J1039" s="1">
        <v>4</v>
      </c>
      <c r="K1039" s="1">
        <v>-4</v>
      </c>
    </row>
    <row r="1040" spans="3:11" x14ac:dyDescent="0.25">
      <c r="C1040" s="1" t="s">
        <v>6875</v>
      </c>
      <c r="D1040" s="1" t="s">
        <v>6876</v>
      </c>
      <c r="E1040" s="1" t="s">
        <v>6875</v>
      </c>
      <c r="F1040" s="1">
        <v>-4</v>
      </c>
      <c r="G1040" s="1">
        <v>-4</v>
      </c>
      <c r="H1040" s="1">
        <v>0</v>
      </c>
      <c r="I1040" s="1">
        <v>0</v>
      </c>
      <c r="J1040" s="1">
        <v>4</v>
      </c>
      <c r="K1040" s="1">
        <v>-4</v>
      </c>
    </row>
    <row r="1041" spans="3:11" x14ac:dyDescent="0.25">
      <c r="C1041" s="1" t="s">
        <v>6877</v>
      </c>
      <c r="D1041" s="1" t="s">
        <v>6878</v>
      </c>
      <c r="E1041" s="1" t="s">
        <v>6879</v>
      </c>
      <c r="F1041" s="1">
        <v>-4</v>
      </c>
      <c r="G1041" s="1">
        <v>-4</v>
      </c>
      <c r="H1041" s="1">
        <v>0</v>
      </c>
      <c r="I1041" s="1">
        <v>0</v>
      </c>
      <c r="J1041" s="1">
        <v>4</v>
      </c>
      <c r="K1041" s="1">
        <v>-4</v>
      </c>
    </row>
    <row r="1042" spans="3:11" x14ac:dyDescent="0.25">
      <c r="D1042" s="1" t="s">
        <v>6880</v>
      </c>
      <c r="E1042" s="1" t="s">
        <v>6881</v>
      </c>
      <c r="F1042" s="1">
        <v>-4</v>
      </c>
      <c r="G1042" s="1">
        <v>-4</v>
      </c>
      <c r="H1042" s="1">
        <v>0</v>
      </c>
      <c r="I1042" s="1">
        <v>0</v>
      </c>
      <c r="J1042" s="1">
        <v>4</v>
      </c>
      <c r="K1042" s="1">
        <v>-4</v>
      </c>
    </row>
    <row r="1043" spans="3:11" x14ac:dyDescent="0.25">
      <c r="D1043" s="1" t="s">
        <v>6882</v>
      </c>
      <c r="E1043" s="1" t="s">
        <v>6883</v>
      </c>
      <c r="F1043" s="1">
        <v>-4</v>
      </c>
      <c r="G1043" s="1">
        <v>-4</v>
      </c>
      <c r="H1043" s="1">
        <v>0</v>
      </c>
      <c r="I1043" s="1">
        <v>0</v>
      </c>
      <c r="J1043" s="1">
        <v>4</v>
      </c>
      <c r="K1043" s="1">
        <v>-4</v>
      </c>
    </row>
    <row r="1044" spans="3:11" x14ac:dyDescent="0.25">
      <c r="C1044" s="1" t="s">
        <v>4325</v>
      </c>
      <c r="D1044" s="1" t="s">
        <v>4326</v>
      </c>
      <c r="E1044" s="1" t="s">
        <v>4327</v>
      </c>
      <c r="F1044" s="1">
        <v>-4</v>
      </c>
      <c r="G1044" s="1">
        <v>-4</v>
      </c>
      <c r="H1044" s="1">
        <v>0</v>
      </c>
      <c r="I1044" s="1">
        <v>0</v>
      </c>
      <c r="J1044" s="1">
        <v>4</v>
      </c>
      <c r="K1044" s="1">
        <v>-4</v>
      </c>
    </row>
    <row r="1045" spans="3:11" x14ac:dyDescent="0.25">
      <c r="D1045" s="1" t="s">
        <v>6884</v>
      </c>
      <c r="E1045" s="1" t="s">
        <v>6885</v>
      </c>
      <c r="F1045" s="1">
        <v>-4</v>
      </c>
      <c r="G1045" s="1">
        <v>-4</v>
      </c>
      <c r="H1045" s="1">
        <v>0</v>
      </c>
      <c r="I1045" s="1">
        <v>0</v>
      </c>
      <c r="J1045" s="1">
        <v>4</v>
      </c>
      <c r="K1045" s="1">
        <v>-4</v>
      </c>
    </row>
    <row r="1046" spans="3:11" x14ac:dyDescent="0.25">
      <c r="C1046" s="1" t="s">
        <v>6886</v>
      </c>
      <c r="D1046" s="1" t="s">
        <v>6887</v>
      </c>
      <c r="E1046" s="1" t="s">
        <v>6888</v>
      </c>
      <c r="F1046" s="1">
        <v>-3</v>
      </c>
      <c r="G1046" s="1">
        <v>-3</v>
      </c>
      <c r="H1046" s="1">
        <v>0</v>
      </c>
      <c r="I1046" s="1">
        <v>19654</v>
      </c>
      <c r="J1046" s="1">
        <v>19657</v>
      </c>
      <c r="K1046" s="1">
        <v>-3</v>
      </c>
    </row>
    <row r="1047" spans="3:11" x14ac:dyDescent="0.25">
      <c r="C1047" s="1" t="s">
        <v>6889</v>
      </c>
      <c r="D1047" s="1" t="s">
        <v>6890</v>
      </c>
      <c r="E1047" s="1" t="s">
        <v>6891</v>
      </c>
      <c r="F1047" s="1">
        <v>-3</v>
      </c>
      <c r="G1047" s="1">
        <v>-3</v>
      </c>
      <c r="H1047" s="1">
        <v>0</v>
      </c>
      <c r="I1047" s="1">
        <v>2383</v>
      </c>
      <c r="J1047" s="1">
        <v>2386</v>
      </c>
      <c r="K1047" s="1">
        <v>-3</v>
      </c>
    </row>
    <row r="1048" spans="3:11" x14ac:dyDescent="0.25">
      <c r="C1048" s="1" t="s">
        <v>6892</v>
      </c>
      <c r="D1048" s="1" t="s">
        <v>6893</v>
      </c>
      <c r="E1048" s="1" t="s">
        <v>6894</v>
      </c>
      <c r="F1048" s="1">
        <v>-3</v>
      </c>
      <c r="G1048" s="1">
        <v>-3</v>
      </c>
      <c r="H1048" s="1">
        <v>0</v>
      </c>
      <c r="I1048" s="1">
        <v>2064</v>
      </c>
      <c r="J1048" s="1">
        <v>2067</v>
      </c>
      <c r="K1048" s="1">
        <v>-3</v>
      </c>
    </row>
    <row r="1049" spans="3:11" x14ac:dyDescent="0.25">
      <c r="C1049" s="1" t="s">
        <v>6895</v>
      </c>
      <c r="D1049" s="1" t="s">
        <v>6896</v>
      </c>
      <c r="E1049" s="1" t="s">
        <v>6897</v>
      </c>
      <c r="F1049" s="1">
        <v>-3</v>
      </c>
      <c r="G1049" s="1">
        <v>-3</v>
      </c>
      <c r="H1049" s="1">
        <v>0</v>
      </c>
      <c r="I1049" s="1">
        <v>612</v>
      </c>
      <c r="J1049" s="1">
        <v>615</v>
      </c>
      <c r="K1049" s="1">
        <v>-3</v>
      </c>
    </row>
    <row r="1050" spans="3:11" x14ac:dyDescent="0.25">
      <c r="C1050" s="1" t="s">
        <v>1245</v>
      </c>
      <c r="D1050" s="1" t="s">
        <v>1246</v>
      </c>
      <c r="E1050" s="1" t="s">
        <v>1247</v>
      </c>
      <c r="F1050" s="1">
        <v>-3</v>
      </c>
      <c r="G1050" s="1">
        <v>-3</v>
      </c>
      <c r="H1050" s="1">
        <v>0</v>
      </c>
      <c r="I1050" s="1">
        <v>566</v>
      </c>
      <c r="J1050" s="1">
        <v>569</v>
      </c>
      <c r="K1050" s="1">
        <v>-3</v>
      </c>
    </row>
    <row r="1051" spans="3:11" x14ac:dyDescent="0.25">
      <c r="C1051" s="1" t="s">
        <v>6898</v>
      </c>
      <c r="D1051" s="1" t="s">
        <v>6899</v>
      </c>
      <c r="E1051" s="1" t="s">
        <v>6900</v>
      </c>
      <c r="F1051" s="1">
        <v>-3</v>
      </c>
      <c r="G1051" s="1">
        <v>-3</v>
      </c>
      <c r="H1051" s="1">
        <v>0</v>
      </c>
      <c r="I1051" s="1">
        <v>471</v>
      </c>
      <c r="J1051" s="1">
        <v>474</v>
      </c>
      <c r="K1051" s="1">
        <v>-3</v>
      </c>
    </row>
    <row r="1052" spans="3:11" x14ac:dyDescent="0.25">
      <c r="C1052" s="1" t="s">
        <v>1413</v>
      </c>
      <c r="D1052" s="1" t="s">
        <v>1414</v>
      </c>
      <c r="E1052" s="1" t="s">
        <v>1415</v>
      </c>
      <c r="F1052" s="1">
        <v>-3</v>
      </c>
      <c r="G1052" s="1">
        <v>-3</v>
      </c>
      <c r="H1052" s="1">
        <v>0</v>
      </c>
      <c r="I1052" s="1">
        <v>340</v>
      </c>
      <c r="J1052" s="1">
        <v>343</v>
      </c>
      <c r="K1052" s="1">
        <v>-3</v>
      </c>
    </row>
    <row r="1053" spans="3:11" x14ac:dyDescent="0.25">
      <c r="C1053" s="1" t="s">
        <v>6901</v>
      </c>
      <c r="D1053" s="1" t="s">
        <v>6902</v>
      </c>
      <c r="E1053" s="1" t="s">
        <v>6903</v>
      </c>
      <c r="F1053" s="1">
        <v>-3</v>
      </c>
      <c r="G1053" s="1">
        <v>-3</v>
      </c>
      <c r="H1053" s="1">
        <v>0</v>
      </c>
      <c r="I1053" s="1">
        <v>247</v>
      </c>
      <c r="J1053" s="1">
        <v>250</v>
      </c>
      <c r="K1053" s="1">
        <v>-3</v>
      </c>
    </row>
    <row r="1054" spans="3:11" x14ac:dyDescent="0.25">
      <c r="C1054" s="1" t="s">
        <v>1577</v>
      </c>
      <c r="D1054" s="1" t="s">
        <v>1578</v>
      </c>
      <c r="E1054" s="1" t="s">
        <v>1579</v>
      </c>
      <c r="F1054" s="1">
        <v>-3</v>
      </c>
      <c r="G1054" s="1">
        <v>-3</v>
      </c>
      <c r="H1054" s="1">
        <v>0</v>
      </c>
      <c r="I1054" s="1">
        <v>203</v>
      </c>
      <c r="J1054" s="1">
        <v>206</v>
      </c>
      <c r="K1054" s="1">
        <v>-3</v>
      </c>
    </row>
    <row r="1055" spans="3:11" x14ac:dyDescent="0.25">
      <c r="C1055" s="1" t="s">
        <v>6904</v>
      </c>
      <c r="D1055" s="1" t="s">
        <v>6905</v>
      </c>
      <c r="E1055" s="1" t="s">
        <v>6906</v>
      </c>
      <c r="F1055" s="1">
        <v>-3</v>
      </c>
      <c r="G1055" s="1">
        <v>-3</v>
      </c>
      <c r="H1055" s="1">
        <v>0</v>
      </c>
      <c r="I1055" s="1">
        <v>182</v>
      </c>
      <c r="J1055" s="1">
        <v>185</v>
      </c>
      <c r="K1055" s="1">
        <v>-3</v>
      </c>
    </row>
    <row r="1056" spans="3:11" x14ac:dyDescent="0.25">
      <c r="C1056" s="1" t="s">
        <v>1699</v>
      </c>
      <c r="D1056" s="1" t="s">
        <v>1700</v>
      </c>
      <c r="E1056" s="1" t="s">
        <v>1701</v>
      </c>
      <c r="F1056" s="1">
        <v>-3</v>
      </c>
      <c r="G1056" s="1">
        <v>-3</v>
      </c>
      <c r="H1056" s="1">
        <v>0</v>
      </c>
      <c r="I1056" s="1">
        <v>144</v>
      </c>
      <c r="J1056" s="1">
        <v>147</v>
      </c>
      <c r="K1056" s="1">
        <v>-3</v>
      </c>
    </row>
    <row r="1057" spans="3:11" x14ac:dyDescent="0.25">
      <c r="C1057" s="1" t="s">
        <v>2096</v>
      </c>
      <c r="D1057" s="1" t="s">
        <v>2097</v>
      </c>
      <c r="E1057" s="1" t="s">
        <v>2098</v>
      </c>
      <c r="F1057" s="1">
        <v>-3</v>
      </c>
      <c r="G1057" s="1">
        <v>-3</v>
      </c>
      <c r="H1057" s="1">
        <v>0</v>
      </c>
      <c r="I1057" s="1">
        <v>132</v>
      </c>
      <c r="J1057" s="1">
        <v>135</v>
      </c>
      <c r="K1057" s="1">
        <v>-3</v>
      </c>
    </row>
    <row r="1058" spans="3:11" x14ac:dyDescent="0.25">
      <c r="C1058" s="1" t="s">
        <v>6907</v>
      </c>
      <c r="D1058" s="1" t="s">
        <v>6908</v>
      </c>
      <c r="E1058" s="1" t="s">
        <v>6907</v>
      </c>
      <c r="F1058" s="1">
        <v>-3</v>
      </c>
      <c r="G1058" s="1">
        <v>-3</v>
      </c>
      <c r="H1058" s="1">
        <v>0</v>
      </c>
      <c r="I1058" s="1">
        <v>105</v>
      </c>
      <c r="J1058" s="1">
        <v>108</v>
      </c>
      <c r="K1058" s="1">
        <v>-3</v>
      </c>
    </row>
    <row r="1059" spans="3:11" x14ac:dyDescent="0.25">
      <c r="C1059" s="1" t="s">
        <v>6909</v>
      </c>
      <c r="D1059" s="1" t="s">
        <v>6910</v>
      </c>
      <c r="E1059" s="1" t="s">
        <v>6909</v>
      </c>
      <c r="F1059" s="1">
        <v>-3</v>
      </c>
      <c r="G1059" s="1">
        <v>-3</v>
      </c>
      <c r="H1059" s="1">
        <v>0</v>
      </c>
      <c r="I1059" s="1">
        <v>98</v>
      </c>
      <c r="J1059" s="1">
        <v>101</v>
      </c>
      <c r="K1059" s="1">
        <v>-3</v>
      </c>
    </row>
    <row r="1060" spans="3:11" x14ac:dyDescent="0.25">
      <c r="C1060" s="1" t="s">
        <v>6911</v>
      </c>
      <c r="D1060" s="1" t="s">
        <v>6912</v>
      </c>
      <c r="E1060" s="1" t="s">
        <v>6913</v>
      </c>
      <c r="F1060" s="1">
        <v>-3</v>
      </c>
      <c r="G1060" s="1">
        <v>-3</v>
      </c>
      <c r="H1060" s="1">
        <v>0</v>
      </c>
      <c r="I1060" s="1">
        <v>94</v>
      </c>
      <c r="J1060" s="1">
        <v>97</v>
      </c>
      <c r="K1060" s="1">
        <v>-3</v>
      </c>
    </row>
    <row r="1061" spans="3:11" x14ac:dyDescent="0.25">
      <c r="C1061" s="1" t="s">
        <v>6914</v>
      </c>
      <c r="D1061" s="1" t="s">
        <v>6915</v>
      </c>
      <c r="E1061" s="1" t="s">
        <v>6916</v>
      </c>
      <c r="F1061" s="1">
        <v>-3</v>
      </c>
      <c r="G1061" s="1">
        <v>-3</v>
      </c>
      <c r="H1061" s="1">
        <v>0</v>
      </c>
      <c r="I1061" s="1">
        <v>51</v>
      </c>
      <c r="J1061" s="1">
        <v>54</v>
      </c>
      <c r="K1061" s="1">
        <v>-3</v>
      </c>
    </row>
    <row r="1062" spans="3:11" x14ac:dyDescent="0.25">
      <c r="C1062" s="1" t="s">
        <v>2019</v>
      </c>
      <c r="D1062" s="1" t="s">
        <v>2020</v>
      </c>
      <c r="E1062" s="1" t="s">
        <v>2021</v>
      </c>
      <c r="F1062" s="1">
        <v>-3</v>
      </c>
      <c r="G1062" s="1">
        <v>-3</v>
      </c>
      <c r="H1062" s="1">
        <v>0</v>
      </c>
      <c r="I1062" s="1">
        <v>49</v>
      </c>
      <c r="J1062" s="1">
        <v>52</v>
      </c>
      <c r="K1062" s="1">
        <v>-3</v>
      </c>
    </row>
    <row r="1063" spans="3:11" x14ac:dyDescent="0.25">
      <c r="C1063" s="1" t="s">
        <v>3732</v>
      </c>
      <c r="D1063" s="1" t="s">
        <v>3733</v>
      </c>
      <c r="E1063" s="1" t="s">
        <v>3734</v>
      </c>
      <c r="F1063" s="1">
        <v>-3</v>
      </c>
      <c r="G1063" s="1">
        <v>-3</v>
      </c>
      <c r="H1063" s="1">
        <v>0</v>
      </c>
      <c r="I1063" s="1">
        <v>41</v>
      </c>
      <c r="J1063" s="1">
        <v>44</v>
      </c>
      <c r="K1063" s="1">
        <v>-3</v>
      </c>
    </row>
    <row r="1064" spans="3:11" x14ac:dyDescent="0.25">
      <c r="C1064" s="1" t="s">
        <v>6917</v>
      </c>
      <c r="D1064" s="1" t="s">
        <v>6918</v>
      </c>
      <c r="E1064" s="1" t="s">
        <v>6919</v>
      </c>
      <c r="F1064" s="1">
        <v>-3</v>
      </c>
      <c r="G1064" s="1">
        <v>-3</v>
      </c>
      <c r="H1064" s="1">
        <v>0</v>
      </c>
      <c r="I1064" s="1">
        <v>31</v>
      </c>
      <c r="J1064" s="1">
        <v>34</v>
      </c>
      <c r="K1064" s="1">
        <v>-3</v>
      </c>
    </row>
    <row r="1065" spans="3:11" x14ac:dyDescent="0.25">
      <c r="C1065" s="1" t="s">
        <v>3927</v>
      </c>
      <c r="D1065" s="1" t="s">
        <v>3928</v>
      </c>
      <c r="E1065" s="1" t="s">
        <v>3929</v>
      </c>
      <c r="F1065" s="1">
        <v>-3</v>
      </c>
      <c r="G1065" s="1">
        <v>-3</v>
      </c>
      <c r="H1065" s="1">
        <v>0</v>
      </c>
      <c r="I1065" s="1">
        <v>24</v>
      </c>
      <c r="J1065" s="1">
        <v>27</v>
      </c>
      <c r="K1065" s="1">
        <v>-3</v>
      </c>
    </row>
    <row r="1066" spans="3:11" x14ac:dyDescent="0.25">
      <c r="C1066" s="1" t="s">
        <v>3998</v>
      </c>
      <c r="D1066" s="1" t="s">
        <v>3999</v>
      </c>
      <c r="E1066" s="1" t="s">
        <v>3998</v>
      </c>
      <c r="F1066" s="1">
        <v>-3</v>
      </c>
      <c r="G1066" s="1">
        <v>-3</v>
      </c>
      <c r="H1066" s="1">
        <v>0</v>
      </c>
      <c r="I1066" s="1">
        <v>19</v>
      </c>
      <c r="J1066" s="1">
        <v>22</v>
      </c>
      <c r="K1066" s="1">
        <v>-3</v>
      </c>
    </row>
    <row r="1067" spans="3:11" x14ac:dyDescent="0.25">
      <c r="D1067" s="1" t="s">
        <v>6920</v>
      </c>
      <c r="E1067" s="1" t="s">
        <v>6921</v>
      </c>
      <c r="F1067" s="1">
        <v>-3</v>
      </c>
      <c r="G1067" s="1">
        <v>-3</v>
      </c>
      <c r="H1067" s="1">
        <v>0</v>
      </c>
      <c r="I1067" s="1">
        <v>18</v>
      </c>
      <c r="J1067" s="1">
        <v>21</v>
      </c>
      <c r="K1067" s="1">
        <v>-3</v>
      </c>
    </row>
    <row r="1068" spans="3:11" x14ac:dyDescent="0.25">
      <c r="C1068" s="1" t="s">
        <v>6922</v>
      </c>
      <c r="D1068" s="1" t="s">
        <v>6923</v>
      </c>
      <c r="E1068" s="1" t="s">
        <v>6924</v>
      </c>
      <c r="F1068" s="1">
        <v>-3</v>
      </c>
      <c r="G1068" s="1">
        <v>-3</v>
      </c>
      <c r="H1068" s="1">
        <v>0</v>
      </c>
      <c r="I1068" s="1">
        <v>16</v>
      </c>
      <c r="J1068" s="1">
        <v>19</v>
      </c>
      <c r="K1068" s="1">
        <v>-3</v>
      </c>
    </row>
    <row r="1069" spans="3:11" x14ac:dyDescent="0.25">
      <c r="C1069" s="1" t="s">
        <v>6925</v>
      </c>
      <c r="D1069" s="1" t="s">
        <v>6926</v>
      </c>
      <c r="E1069" s="1" t="s">
        <v>6927</v>
      </c>
      <c r="F1069" s="1">
        <v>-3</v>
      </c>
      <c r="G1069" s="1">
        <v>-3</v>
      </c>
      <c r="H1069" s="1">
        <v>0</v>
      </c>
      <c r="I1069" s="1">
        <v>15</v>
      </c>
      <c r="J1069" s="1">
        <v>18</v>
      </c>
      <c r="K1069" s="1">
        <v>-3</v>
      </c>
    </row>
    <row r="1070" spans="3:11" x14ac:dyDescent="0.25">
      <c r="C1070" s="1" t="s">
        <v>6928</v>
      </c>
      <c r="D1070" s="1" t="s">
        <v>6929</v>
      </c>
      <c r="E1070" s="1" t="s">
        <v>6930</v>
      </c>
      <c r="F1070" s="1">
        <v>-3</v>
      </c>
      <c r="G1070" s="1">
        <v>-3</v>
      </c>
      <c r="H1070" s="1">
        <v>0</v>
      </c>
      <c r="I1070" s="1">
        <v>15</v>
      </c>
      <c r="J1070" s="1">
        <v>18</v>
      </c>
      <c r="K1070" s="1">
        <v>-3</v>
      </c>
    </row>
    <row r="1071" spans="3:11" x14ac:dyDescent="0.25">
      <c r="C1071" s="1" t="s">
        <v>1999</v>
      </c>
      <c r="D1071" s="1" t="s">
        <v>2000</v>
      </c>
      <c r="E1071" s="1" t="s">
        <v>1999</v>
      </c>
      <c r="F1071" s="1">
        <v>-3</v>
      </c>
      <c r="G1071" s="1">
        <v>-3</v>
      </c>
      <c r="H1071" s="1">
        <v>0</v>
      </c>
      <c r="I1071" s="1">
        <v>12</v>
      </c>
      <c r="J1071" s="1">
        <v>15</v>
      </c>
      <c r="K1071" s="1">
        <v>-3</v>
      </c>
    </row>
    <row r="1072" spans="3:11" x14ac:dyDescent="0.25">
      <c r="C1072" s="1" t="s">
        <v>6931</v>
      </c>
      <c r="D1072" s="1" t="s">
        <v>6932</v>
      </c>
      <c r="E1072" s="1" t="s">
        <v>6933</v>
      </c>
      <c r="F1072" s="1">
        <v>-3</v>
      </c>
      <c r="G1072" s="1">
        <v>-3</v>
      </c>
      <c r="H1072" s="1">
        <v>0</v>
      </c>
      <c r="I1072" s="1">
        <v>11</v>
      </c>
      <c r="J1072" s="1">
        <v>14</v>
      </c>
      <c r="K1072" s="1">
        <v>-3</v>
      </c>
    </row>
    <row r="1073" spans="3:11" x14ac:dyDescent="0.25">
      <c r="C1073" s="1" t="s">
        <v>6934</v>
      </c>
      <c r="D1073" s="1" t="s">
        <v>6935</v>
      </c>
      <c r="E1073" s="1" t="s">
        <v>6934</v>
      </c>
      <c r="F1073" s="1">
        <v>-3</v>
      </c>
      <c r="G1073" s="1">
        <v>-3</v>
      </c>
      <c r="H1073" s="1">
        <v>0</v>
      </c>
      <c r="I1073" s="1">
        <v>9</v>
      </c>
      <c r="J1073" s="1">
        <v>12</v>
      </c>
      <c r="K1073" s="1">
        <v>-3</v>
      </c>
    </row>
    <row r="1074" spans="3:11" x14ac:dyDescent="0.25">
      <c r="C1074" s="1" t="s">
        <v>4108</v>
      </c>
      <c r="D1074" s="1" t="s">
        <v>4109</v>
      </c>
      <c r="E1074" s="1" t="s">
        <v>4110</v>
      </c>
      <c r="F1074" s="1">
        <v>-3</v>
      </c>
      <c r="G1074" s="1">
        <v>-3</v>
      </c>
      <c r="H1074" s="1">
        <v>0</v>
      </c>
      <c r="I1074" s="1">
        <v>8</v>
      </c>
      <c r="J1074" s="1">
        <v>11</v>
      </c>
      <c r="K1074" s="1">
        <v>-3</v>
      </c>
    </row>
    <row r="1075" spans="3:11" x14ac:dyDescent="0.25">
      <c r="C1075" s="1" t="s">
        <v>6936</v>
      </c>
      <c r="D1075" s="1" t="s">
        <v>6937</v>
      </c>
      <c r="E1075" s="1" t="s">
        <v>6938</v>
      </c>
      <c r="F1075" s="1">
        <v>-3</v>
      </c>
      <c r="G1075" s="1">
        <v>-3</v>
      </c>
      <c r="H1075" s="1">
        <v>0</v>
      </c>
      <c r="I1075" s="1">
        <v>5</v>
      </c>
      <c r="J1075" s="1">
        <v>8</v>
      </c>
      <c r="K1075" s="1">
        <v>-3</v>
      </c>
    </row>
    <row r="1076" spans="3:11" x14ac:dyDescent="0.25">
      <c r="D1076" s="1" t="s">
        <v>6939</v>
      </c>
      <c r="E1076" s="1" t="s">
        <v>6940</v>
      </c>
      <c r="F1076" s="1">
        <v>-3</v>
      </c>
      <c r="G1076" s="1">
        <v>-3</v>
      </c>
      <c r="H1076" s="1">
        <v>0</v>
      </c>
      <c r="I1076" s="1">
        <v>5</v>
      </c>
      <c r="J1076" s="1">
        <v>8</v>
      </c>
      <c r="K1076" s="1">
        <v>-3</v>
      </c>
    </row>
    <row r="1077" spans="3:11" x14ac:dyDescent="0.25">
      <c r="C1077" s="1" t="s">
        <v>4159</v>
      </c>
      <c r="D1077" s="1" t="s">
        <v>4160</v>
      </c>
      <c r="E1077" s="1" t="s">
        <v>4161</v>
      </c>
      <c r="F1077" s="1">
        <v>-3</v>
      </c>
      <c r="G1077" s="1">
        <v>-3</v>
      </c>
      <c r="H1077" s="1">
        <v>0</v>
      </c>
      <c r="I1077" s="1">
        <v>4</v>
      </c>
      <c r="J1077" s="1">
        <v>7</v>
      </c>
      <c r="K1077" s="1">
        <v>-3</v>
      </c>
    </row>
    <row r="1078" spans="3:11" x14ac:dyDescent="0.25">
      <c r="C1078" s="1" t="s">
        <v>6941</v>
      </c>
      <c r="D1078" s="1" t="s">
        <v>6942</v>
      </c>
      <c r="E1078" s="1" t="s">
        <v>6943</v>
      </c>
      <c r="F1078" s="1">
        <v>-3</v>
      </c>
      <c r="G1078" s="1">
        <v>-3</v>
      </c>
      <c r="H1078" s="1">
        <v>0</v>
      </c>
      <c r="I1078" s="1">
        <v>3</v>
      </c>
      <c r="J1078" s="1">
        <v>6</v>
      </c>
      <c r="K1078" s="1">
        <v>-3</v>
      </c>
    </row>
    <row r="1079" spans="3:11" x14ac:dyDescent="0.25">
      <c r="C1079" s="1" t="s">
        <v>6944</v>
      </c>
      <c r="D1079" s="1" t="s">
        <v>6945</v>
      </c>
      <c r="E1079" s="1" t="s">
        <v>6946</v>
      </c>
      <c r="F1079" s="1">
        <v>-3</v>
      </c>
      <c r="G1079" s="1">
        <v>-3</v>
      </c>
      <c r="H1079" s="1">
        <v>0</v>
      </c>
      <c r="I1079" s="1">
        <v>2</v>
      </c>
      <c r="J1079" s="1">
        <v>5</v>
      </c>
      <c r="K1079" s="1">
        <v>-3</v>
      </c>
    </row>
    <row r="1080" spans="3:11" x14ac:dyDescent="0.25">
      <c r="C1080" s="1" t="s">
        <v>6947</v>
      </c>
      <c r="D1080" s="1" t="s">
        <v>6948</v>
      </c>
      <c r="E1080" s="1" t="s">
        <v>6949</v>
      </c>
      <c r="F1080" s="1">
        <v>-3</v>
      </c>
      <c r="G1080" s="1">
        <v>-3</v>
      </c>
      <c r="H1080" s="1">
        <v>0</v>
      </c>
      <c r="I1080" s="1">
        <v>2</v>
      </c>
      <c r="J1080" s="1">
        <v>5</v>
      </c>
      <c r="K1080" s="1">
        <v>-3</v>
      </c>
    </row>
    <row r="1081" spans="3:11" x14ac:dyDescent="0.25">
      <c r="C1081" s="1" t="s">
        <v>6950</v>
      </c>
      <c r="D1081" s="1" t="s">
        <v>6951</v>
      </c>
      <c r="E1081" s="1" t="s">
        <v>6952</v>
      </c>
      <c r="F1081" s="1">
        <v>-3</v>
      </c>
      <c r="G1081" s="1">
        <v>-3</v>
      </c>
      <c r="H1081" s="1">
        <v>0</v>
      </c>
      <c r="I1081" s="1">
        <v>1</v>
      </c>
      <c r="J1081" s="1">
        <v>4</v>
      </c>
      <c r="K1081" s="1">
        <v>-3</v>
      </c>
    </row>
    <row r="1082" spans="3:11" x14ac:dyDescent="0.25">
      <c r="C1082" s="1" t="s">
        <v>6953</v>
      </c>
      <c r="D1082" s="1" t="s">
        <v>6954</v>
      </c>
      <c r="E1082" s="1" t="s">
        <v>6953</v>
      </c>
      <c r="F1082" s="1">
        <v>-3</v>
      </c>
      <c r="G1082" s="1">
        <v>-3</v>
      </c>
      <c r="H1082" s="1">
        <v>0</v>
      </c>
      <c r="I1082" s="1">
        <v>1</v>
      </c>
      <c r="J1082" s="1">
        <v>4</v>
      </c>
      <c r="K1082" s="1">
        <v>-3</v>
      </c>
    </row>
    <row r="1083" spans="3:11" x14ac:dyDescent="0.25">
      <c r="C1083" s="1" t="s">
        <v>6955</v>
      </c>
      <c r="D1083" s="1" t="s">
        <v>6956</v>
      </c>
      <c r="E1083" s="1" t="s">
        <v>6957</v>
      </c>
      <c r="F1083" s="1">
        <v>-3</v>
      </c>
      <c r="G1083" s="1">
        <v>-3</v>
      </c>
      <c r="H1083" s="1">
        <v>0</v>
      </c>
      <c r="I1083" s="1">
        <v>1</v>
      </c>
      <c r="J1083" s="1">
        <v>4</v>
      </c>
      <c r="K1083" s="1">
        <v>-3</v>
      </c>
    </row>
    <row r="1084" spans="3:11" x14ac:dyDescent="0.25">
      <c r="D1084" s="1" t="s">
        <v>6958</v>
      </c>
      <c r="E1084" s="1" t="s">
        <v>6959</v>
      </c>
      <c r="F1084" s="1">
        <v>-3</v>
      </c>
      <c r="G1084" s="1">
        <v>-3</v>
      </c>
      <c r="H1084" s="1">
        <v>0</v>
      </c>
      <c r="I1084" s="1">
        <v>1</v>
      </c>
      <c r="J1084" s="1">
        <v>4</v>
      </c>
      <c r="K1084" s="1">
        <v>-3</v>
      </c>
    </row>
    <row r="1085" spans="3:11" x14ac:dyDescent="0.25">
      <c r="D1085" s="1" t="s">
        <v>6960</v>
      </c>
      <c r="E1085" s="1" t="s">
        <v>6961</v>
      </c>
      <c r="F1085" s="1">
        <v>-3</v>
      </c>
      <c r="G1085" s="1">
        <v>-3</v>
      </c>
      <c r="H1085" s="1">
        <v>0</v>
      </c>
      <c r="I1085" s="1">
        <v>1</v>
      </c>
      <c r="J1085" s="1">
        <v>4</v>
      </c>
      <c r="K1085" s="1">
        <v>-3</v>
      </c>
    </row>
    <row r="1086" spans="3:11" x14ac:dyDescent="0.25">
      <c r="C1086" s="1" t="s">
        <v>6962</v>
      </c>
      <c r="D1086" s="1" t="s">
        <v>6963</v>
      </c>
      <c r="E1086" s="1" t="s">
        <v>6964</v>
      </c>
      <c r="F1086" s="1">
        <v>-3</v>
      </c>
      <c r="G1086" s="1">
        <v>-3</v>
      </c>
      <c r="H1086" s="1">
        <v>0</v>
      </c>
      <c r="I1086" s="1">
        <v>0</v>
      </c>
      <c r="J1086" s="1">
        <v>3</v>
      </c>
      <c r="K1086" s="1">
        <v>-3</v>
      </c>
    </row>
    <row r="1087" spans="3:11" x14ac:dyDescent="0.25">
      <c r="C1087" s="1" t="s">
        <v>6965</v>
      </c>
      <c r="D1087" s="1" t="s">
        <v>6966</v>
      </c>
      <c r="E1087" s="1" t="s">
        <v>6967</v>
      </c>
      <c r="F1087" s="1">
        <v>-3</v>
      </c>
      <c r="G1087" s="1">
        <v>-3</v>
      </c>
      <c r="H1087" s="1">
        <v>0</v>
      </c>
      <c r="I1087" s="1">
        <v>0</v>
      </c>
      <c r="J1087" s="1">
        <v>3</v>
      </c>
      <c r="K1087" s="1">
        <v>-3</v>
      </c>
    </row>
    <row r="1088" spans="3:11" x14ac:dyDescent="0.25">
      <c r="C1088" s="1" t="s">
        <v>6968</v>
      </c>
      <c r="D1088" s="1" t="s">
        <v>6969</v>
      </c>
      <c r="E1088" s="1" t="s">
        <v>6970</v>
      </c>
      <c r="F1088" s="1">
        <v>-3</v>
      </c>
      <c r="G1088" s="1">
        <v>-3</v>
      </c>
      <c r="H1088" s="1">
        <v>0</v>
      </c>
      <c r="I1088" s="1">
        <v>0</v>
      </c>
      <c r="J1088" s="1">
        <v>3</v>
      </c>
      <c r="K1088" s="1">
        <v>-3</v>
      </c>
    </row>
    <row r="1089" spans="3:11" x14ac:dyDescent="0.25">
      <c r="C1089" s="1" t="s">
        <v>6971</v>
      </c>
      <c r="D1089" s="1" t="s">
        <v>6972</v>
      </c>
      <c r="E1089" s="1" t="s">
        <v>6973</v>
      </c>
      <c r="F1089" s="1">
        <v>-3</v>
      </c>
      <c r="G1089" s="1">
        <v>-3</v>
      </c>
      <c r="H1089" s="1">
        <v>0</v>
      </c>
      <c r="I1089" s="1">
        <v>0</v>
      </c>
      <c r="J1089" s="1">
        <v>3</v>
      </c>
      <c r="K1089" s="1">
        <v>-3</v>
      </c>
    </row>
    <row r="1090" spans="3:11" x14ac:dyDescent="0.25">
      <c r="C1090" s="1" t="s">
        <v>6974</v>
      </c>
      <c r="D1090" s="1" t="s">
        <v>6975</v>
      </c>
      <c r="E1090" s="1" t="s">
        <v>6976</v>
      </c>
      <c r="F1090" s="1">
        <v>-3</v>
      </c>
      <c r="G1090" s="1">
        <v>-3</v>
      </c>
      <c r="H1090" s="1">
        <v>0</v>
      </c>
      <c r="I1090" s="1">
        <v>0</v>
      </c>
      <c r="J1090" s="1">
        <v>3</v>
      </c>
      <c r="K1090" s="1">
        <v>-3</v>
      </c>
    </row>
    <row r="1091" spans="3:11" x14ac:dyDescent="0.25">
      <c r="C1091" s="1" t="s">
        <v>6977</v>
      </c>
      <c r="D1091" s="1" t="s">
        <v>6978</v>
      </c>
      <c r="E1091" s="1" t="s">
        <v>6977</v>
      </c>
      <c r="F1091" s="1">
        <v>-3</v>
      </c>
      <c r="G1091" s="1">
        <v>-3</v>
      </c>
      <c r="H1091" s="1">
        <v>0</v>
      </c>
      <c r="I1091" s="1">
        <v>0</v>
      </c>
      <c r="J1091" s="1">
        <v>3</v>
      </c>
      <c r="K1091" s="1">
        <v>-3</v>
      </c>
    </row>
    <row r="1092" spans="3:11" x14ac:dyDescent="0.25">
      <c r="C1092" s="1" t="s">
        <v>6979</v>
      </c>
      <c r="D1092" s="1" t="s">
        <v>6980</v>
      </c>
      <c r="E1092" s="1" t="s">
        <v>6979</v>
      </c>
      <c r="F1092" s="1">
        <v>-3</v>
      </c>
      <c r="G1092" s="1">
        <v>-3</v>
      </c>
      <c r="H1092" s="1">
        <v>0</v>
      </c>
      <c r="I1092" s="1">
        <v>0</v>
      </c>
      <c r="J1092" s="1">
        <v>3</v>
      </c>
      <c r="K1092" s="1">
        <v>-3</v>
      </c>
    </row>
    <row r="1093" spans="3:11" x14ac:dyDescent="0.25">
      <c r="C1093" s="1" t="s">
        <v>6981</v>
      </c>
      <c r="D1093" s="1" t="s">
        <v>6982</v>
      </c>
      <c r="E1093" s="1" t="s">
        <v>6983</v>
      </c>
      <c r="F1093" s="1">
        <v>-3</v>
      </c>
      <c r="G1093" s="1">
        <v>-3</v>
      </c>
      <c r="H1093" s="1">
        <v>0</v>
      </c>
      <c r="I1093" s="1">
        <v>0</v>
      </c>
      <c r="J1093" s="1">
        <v>3</v>
      </c>
      <c r="K1093" s="1">
        <v>-3</v>
      </c>
    </row>
    <row r="1094" spans="3:11" x14ac:dyDescent="0.25">
      <c r="C1094" s="1" t="s">
        <v>6984</v>
      </c>
      <c r="D1094" s="1" t="s">
        <v>6985</v>
      </c>
      <c r="E1094" s="1" t="s">
        <v>6984</v>
      </c>
      <c r="F1094" s="1">
        <v>-3</v>
      </c>
      <c r="G1094" s="1">
        <v>-3</v>
      </c>
      <c r="H1094" s="1">
        <v>0</v>
      </c>
      <c r="I1094" s="1">
        <v>0</v>
      </c>
      <c r="J1094" s="1">
        <v>3</v>
      </c>
      <c r="K1094" s="1">
        <v>-3</v>
      </c>
    </row>
    <row r="1095" spans="3:11" x14ac:dyDescent="0.25">
      <c r="C1095" s="1" t="s">
        <v>6986</v>
      </c>
      <c r="D1095" s="1" t="s">
        <v>6987</v>
      </c>
      <c r="E1095" s="1" t="s">
        <v>6986</v>
      </c>
      <c r="F1095" s="1">
        <v>-3</v>
      </c>
      <c r="G1095" s="1">
        <v>-3</v>
      </c>
      <c r="H1095" s="1">
        <v>0</v>
      </c>
      <c r="I1095" s="1">
        <v>0</v>
      </c>
      <c r="J1095" s="1">
        <v>3</v>
      </c>
      <c r="K1095" s="1">
        <v>-3</v>
      </c>
    </row>
    <row r="1096" spans="3:11" x14ac:dyDescent="0.25">
      <c r="D1096" s="1" t="s">
        <v>6988</v>
      </c>
      <c r="E1096" s="1" t="s">
        <v>6989</v>
      </c>
      <c r="F1096" s="1">
        <v>-3</v>
      </c>
      <c r="G1096" s="1">
        <v>-3</v>
      </c>
      <c r="H1096" s="1">
        <v>0</v>
      </c>
      <c r="I1096" s="1">
        <v>0</v>
      </c>
      <c r="J1096" s="1">
        <v>3</v>
      </c>
      <c r="K1096" s="1">
        <v>-3</v>
      </c>
    </row>
    <row r="1097" spans="3:11" x14ac:dyDescent="0.25">
      <c r="C1097" s="1" t="s">
        <v>6990</v>
      </c>
      <c r="D1097" s="1" t="s">
        <v>6991</v>
      </c>
      <c r="E1097" s="1" t="s">
        <v>6990</v>
      </c>
      <c r="F1097" s="1">
        <v>-3</v>
      </c>
      <c r="G1097" s="1">
        <v>-3</v>
      </c>
      <c r="H1097" s="1">
        <v>0</v>
      </c>
      <c r="I1097" s="1">
        <v>0</v>
      </c>
      <c r="J1097" s="1">
        <v>3</v>
      </c>
      <c r="K1097" s="1">
        <v>-3</v>
      </c>
    </row>
    <row r="1098" spans="3:11" x14ac:dyDescent="0.25">
      <c r="D1098" s="1" t="s">
        <v>6992</v>
      </c>
      <c r="E1098" s="1" t="s">
        <v>6993</v>
      </c>
      <c r="F1098" s="1">
        <v>-3</v>
      </c>
      <c r="G1098" s="1">
        <v>-3</v>
      </c>
      <c r="H1098" s="1">
        <v>0</v>
      </c>
      <c r="I1098" s="1">
        <v>0</v>
      </c>
      <c r="J1098" s="1">
        <v>3</v>
      </c>
      <c r="K1098" s="1">
        <v>-3</v>
      </c>
    </row>
    <row r="1099" spans="3:11" x14ac:dyDescent="0.25">
      <c r="D1099" s="1" t="s">
        <v>6994</v>
      </c>
      <c r="E1099" s="1" t="s">
        <v>6995</v>
      </c>
      <c r="F1099" s="1">
        <v>-3</v>
      </c>
      <c r="G1099" s="1">
        <v>-3</v>
      </c>
      <c r="H1099" s="1">
        <v>0</v>
      </c>
      <c r="I1099" s="1">
        <v>0</v>
      </c>
      <c r="J1099" s="1">
        <v>3</v>
      </c>
      <c r="K1099" s="1">
        <v>-3</v>
      </c>
    </row>
    <row r="1100" spans="3:11" x14ac:dyDescent="0.25">
      <c r="D1100" s="1" t="s">
        <v>6996</v>
      </c>
      <c r="E1100" s="1" t="s">
        <v>6997</v>
      </c>
      <c r="F1100" s="1">
        <v>-3</v>
      </c>
      <c r="G1100" s="1">
        <v>-3</v>
      </c>
      <c r="H1100" s="1">
        <v>0</v>
      </c>
      <c r="I1100" s="1">
        <v>0</v>
      </c>
      <c r="J1100" s="1">
        <v>3</v>
      </c>
      <c r="K1100" s="1">
        <v>-3</v>
      </c>
    </row>
    <row r="1101" spans="3:11" x14ac:dyDescent="0.25">
      <c r="C1101" s="1" t="s">
        <v>6998</v>
      </c>
      <c r="D1101" s="1" t="s">
        <v>6999</v>
      </c>
      <c r="E1101" s="1" t="s">
        <v>6998</v>
      </c>
      <c r="F1101" s="1">
        <v>-3</v>
      </c>
      <c r="G1101" s="1">
        <v>-3</v>
      </c>
      <c r="H1101" s="1">
        <v>0</v>
      </c>
      <c r="I1101" s="1">
        <v>0</v>
      </c>
      <c r="J1101" s="1">
        <v>3</v>
      </c>
      <c r="K1101" s="1">
        <v>-3</v>
      </c>
    </row>
    <row r="1102" spans="3:11" x14ac:dyDescent="0.25">
      <c r="C1102" s="1" t="s">
        <v>7000</v>
      </c>
      <c r="D1102" s="1" t="s">
        <v>7001</v>
      </c>
      <c r="E1102" s="1" t="s">
        <v>7000</v>
      </c>
      <c r="F1102" s="1">
        <v>-3</v>
      </c>
      <c r="G1102" s="1">
        <v>-3</v>
      </c>
      <c r="H1102" s="1">
        <v>0</v>
      </c>
      <c r="I1102" s="1">
        <v>0</v>
      </c>
      <c r="J1102" s="1">
        <v>3</v>
      </c>
      <c r="K1102" s="1">
        <v>-3</v>
      </c>
    </row>
    <row r="1103" spans="3:11" x14ac:dyDescent="0.25">
      <c r="C1103" s="1" t="s">
        <v>7002</v>
      </c>
      <c r="D1103" s="1" t="s">
        <v>7003</v>
      </c>
      <c r="E1103" s="1" t="s">
        <v>7002</v>
      </c>
      <c r="F1103" s="1">
        <v>-3</v>
      </c>
      <c r="G1103" s="1">
        <v>-3</v>
      </c>
      <c r="H1103" s="1">
        <v>0</v>
      </c>
      <c r="I1103" s="1">
        <v>0</v>
      </c>
      <c r="J1103" s="1">
        <v>3</v>
      </c>
      <c r="K1103" s="1">
        <v>-3</v>
      </c>
    </row>
    <row r="1104" spans="3:11" x14ac:dyDescent="0.25">
      <c r="C1104" s="1" t="s">
        <v>7004</v>
      </c>
      <c r="D1104" s="1" t="s">
        <v>7005</v>
      </c>
      <c r="E1104" s="1" t="s">
        <v>7006</v>
      </c>
      <c r="F1104" s="1">
        <v>-3</v>
      </c>
      <c r="G1104" s="1">
        <v>-3</v>
      </c>
      <c r="H1104" s="1">
        <v>0</v>
      </c>
      <c r="I1104" s="1">
        <v>0</v>
      </c>
      <c r="J1104" s="1">
        <v>3</v>
      </c>
      <c r="K1104" s="1">
        <v>-3</v>
      </c>
    </row>
    <row r="1105" spans="3:11" x14ac:dyDescent="0.25">
      <c r="C1105" s="1" t="s">
        <v>7007</v>
      </c>
      <c r="D1105" s="1" t="s">
        <v>7008</v>
      </c>
      <c r="E1105" s="1" t="s">
        <v>7007</v>
      </c>
      <c r="F1105" s="1">
        <v>-3</v>
      </c>
      <c r="G1105" s="1">
        <v>-3</v>
      </c>
      <c r="H1105" s="1">
        <v>0</v>
      </c>
      <c r="I1105" s="1">
        <v>0</v>
      </c>
      <c r="J1105" s="1">
        <v>3</v>
      </c>
      <c r="K1105" s="1">
        <v>-3</v>
      </c>
    </row>
    <row r="1106" spans="3:11" x14ac:dyDescent="0.25">
      <c r="C1106" s="1" t="s">
        <v>7009</v>
      </c>
      <c r="D1106" s="1" t="s">
        <v>7010</v>
      </c>
      <c r="E1106" s="1" t="s">
        <v>7011</v>
      </c>
      <c r="F1106" s="1">
        <v>-3</v>
      </c>
      <c r="G1106" s="1">
        <v>-3</v>
      </c>
      <c r="H1106" s="1">
        <v>0</v>
      </c>
      <c r="I1106" s="1">
        <v>0</v>
      </c>
      <c r="J1106" s="1">
        <v>3</v>
      </c>
      <c r="K1106" s="1">
        <v>-3</v>
      </c>
    </row>
    <row r="1107" spans="3:11" x14ac:dyDescent="0.25">
      <c r="C1107" s="1" t="s">
        <v>7012</v>
      </c>
      <c r="D1107" s="1" t="s">
        <v>7013</v>
      </c>
      <c r="E1107" s="1" t="s">
        <v>7014</v>
      </c>
      <c r="F1107" s="1">
        <v>-3</v>
      </c>
      <c r="G1107" s="1">
        <v>-3</v>
      </c>
      <c r="H1107" s="1">
        <v>0</v>
      </c>
      <c r="I1107" s="1">
        <v>0</v>
      </c>
      <c r="J1107" s="1">
        <v>3</v>
      </c>
      <c r="K1107" s="1">
        <v>-3</v>
      </c>
    </row>
    <row r="1108" spans="3:11" x14ac:dyDescent="0.25">
      <c r="C1108" s="1" t="s">
        <v>7015</v>
      </c>
      <c r="D1108" s="1" t="s">
        <v>7016</v>
      </c>
      <c r="E1108" s="1" t="s">
        <v>7015</v>
      </c>
      <c r="F1108" s="1">
        <v>-3</v>
      </c>
      <c r="G1108" s="1">
        <v>-3</v>
      </c>
      <c r="H1108" s="1">
        <v>0</v>
      </c>
      <c r="I1108" s="1">
        <v>0</v>
      </c>
      <c r="J1108" s="1">
        <v>3</v>
      </c>
      <c r="K1108" s="1">
        <v>-3</v>
      </c>
    </row>
    <row r="1109" spans="3:11" x14ac:dyDescent="0.25">
      <c r="C1109" s="1" t="s">
        <v>7017</v>
      </c>
      <c r="D1109" s="1" t="s">
        <v>7018</v>
      </c>
      <c r="E1109" s="1" t="s">
        <v>7017</v>
      </c>
      <c r="F1109" s="1">
        <v>-3</v>
      </c>
      <c r="G1109" s="1">
        <v>-3</v>
      </c>
      <c r="H1109" s="1">
        <v>0</v>
      </c>
      <c r="I1109" s="1">
        <v>0</v>
      </c>
      <c r="J1109" s="1">
        <v>3</v>
      </c>
      <c r="K1109" s="1">
        <v>-3</v>
      </c>
    </row>
    <row r="1110" spans="3:11" x14ac:dyDescent="0.25">
      <c r="C1110" s="1" t="s">
        <v>7019</v>
      </c>
      <c r="D1110" s="1" t="s">
        <v>7020</v>
      </c>
      <c r="E1110" s="1" t="s">
        <v>7021</v>
      </c>
      <c r="F1110" s="1">
        <v>-3</v>
      </c>
      <c r="G1110" s="1">
        <v>-3</v>
      </c>
      <c r="H1110" s="1">
        <v>0</v>
      </c>
      <c r="I1110" s="1">
        <v>0</v>
      </c>
      <c r="J1110" s="1">
        <v>3</v>
      </c>
      <c r="K1110" s="1">
        <v>-3</v>
      </c>
    </row>
    <row r="1111" spans="3:11" x14ac:dyDescent="0.25">
      <c r="C1111" s="1" t="s">
        <v>7022</v>
      </c>
      <c r="D1111" s="1" t="s">
        <v>7023</v>
      </c>
      <c r="E1111" s="1" t="s">
        <v>7024</v>
      </c>
      <c r="F1111" s="1">
        <v>-3</v>
      </c>
      <c r="G1111" s="1">
        <v>-3</v>
      </c>
      <c r="H1111" s="1">
        <v>0</v>
      </c>
      <c r="I1111" s="1">
        <v>0</v>
      </c>
      <c r="J1111" s="1">
        <v>3</v>
      </c>
      <c r="K1111" s="1">
        <v>-3</v>
      </c>
    </row>
    <row r="1112" spans="3:11" x14ac:dyDescent="0.25">
      <c r="C1112" s="1" t="s">
        <v>7025</v>
      </c>
      <c r="D1112" s="1" t="s">
        <v>7026</v>
      </c>
      <c r="E1112" s="1" t="s">
        <v>7025</v>
      </c>
      <c r="F1112" s="1">
        <v>-3</v>
      </c>
      <c r="G1112" s="1">
        <v>-3</v>
      </c>
      <c r="H1112" s="1">
        <v>0</v>
      </c>
      <c r="I1112" s="1">
        <v>0</v>
      </c>
      <c r="J1112" s="1">
        <v>3</v>
      </c>
      <c r="K1112" s="1">
        <v>-3</v>
      </c>
    </row>
    <row r="1113" spans="3:11" x14ac:dyDescent="0.25">
      <c r="C1113" s="1" t="s">
        <v>7027</v>
      </c>
      <c r="D1113" s="1" t="s">
        <v>7028</v>
      </c>
      <c r="E1113" s="1" t="s">
        <v>7027</v>
      </c>
      <c r="F1113" s="1">
        <v>-3</v>
      </c>
      <c r="G1113" s="1">
        <v>-3</v>
      </c>
      <c r="H1113" s="1">
        <v>0</v>
      </c>
      <c r="I1113" s="1">
        <v>0</v>
      </c>
      <c r="J1113" s="1">
        <v>3</v>
      </c>
      <c r="K1113" s="1">
        <v>-3</v>
      </c>
    </row>
    <row r="1114" spans="3:11" x14ac:dyDescent="0.25">
      <c r="D1114" s="1" t="s">
        <v>7029</v>
      </c>
      <c r="E1114" s="1" t="s">
        <v>7030</v>
      </c>
      <c r="F1114" s="1">
        <v>-3</v>
      </c>
      <c r="G1114" s="1">
        <v>-3</v>
      </c>
      <c r="H1114" s="1">
        <v>0</v>
      </c>
      <c r="I1114" s="1">
        <v>0</v>
      </c>
      <c r="J1114" s="1">
        <v>3</v>
      </c>
      <c r="K1114" s="1">
        <v>-3</v>
      </c>
    </row>
    <row r="1115" spans="3:11" x14ac:dyDescent="0.25">
      <c r="C1115" s="1" t="s">
        <v>7031</v>
      </c>
      <c r="D1115" s="1" t="s">
        <v>7032</v>
      </c>
      <c r="E1115" s="1" t="s">
        <v>7031</v>
      </c>
      <c r="F1115" s="1">
        <v>-3</v>
      </c>
      <c r="G1115" s="1">
        <v>-3</v>
      </c>
      <c r="H1115" s="1">
        <v>0</v>
      </c>
      <c r="I1115" s="1">
        <v>0</v>
      </c>
      <c r="J1115" s="1">
        <v>3</v>
      </c>
      <c r="K1115" s="1">
        <v>-3</v>
      </c>
    </row>
    <row r="1116" spans="3:11" x14ac:dyDescent="0.25">
      <c r="C1116" s="1" t="s">
        <v>7033</v>
      </c>
      <c r="D1116" s="1" t="s">
        <v>7034</v>
      </c>
      <c r="E1116" s="1" t="s">
        <v>7035</v>
      </c>
      <c r="F1116" s="1">
        <v>-3</v>
      </c>
      <c r="G1116" s="1">
        <v>-3</v>
      </c>
      <c r="H1116" s="1">
        <v>0</v>
      </c>
      <c r="I1116" s="1">
        <v>0</v>
      </c>
      <c r="J1116" s="1">
        <v>3</v>
      </c>
      <c r="K1116" s="1">
        <v>-3</v>
      </c>
    </row>
    <row r="1117" spans="3:11" x14ac:dyDescent="0.25">
      <c r="C1117" s="1" t="s">
        <v>7036</v>
      </c>
      <c r="D1117" s="1" t="s">
        <v>7037</v>
      </c>
      <c r="E1117" s="1" t="s">
        <v>7038</v>
      </c>
      <c r="F1117" s="1">
        <v>-3</v>
      </c>
      <c r="G1117" s="1">
        <v>-3</v>
      </c>
      <c r="H1117" s="1">
        <v>0</v>
      </c>
      <c r="I1117" s="1">
        <v>0</v>
      </c>
      <c r="J1117" s="1">
        <v>3</v>
      </c>
      <c r="K1117" s="1">
        <v>-3</v>
      </c>
    </row>
    <row r="1118" spans="3:11" x14ac:dyDescent="0.25">
      <c r="C1118" s="1" t="s">
        <v>7039</v>
      </c>
      <c r="D1118" s="1" t="s">
        <v>7040</v>
      </c>
      <c r="E1118" s="1" t="s">
        <v>7039</v>
      </c>
      <c r="F1118" s="1">
        <v>-3</v>
      </c>
      <c r="G1118" s="1">
        <v>-3</v>
      </c>
      <c r="H1118" s="1">
        <v>0</v>
      </c>
      <c r="I1118" s="1">
        <v>0</v>
      </c>
      <c r="J1118" s="1">
        <v>3</v>
      </c>
      <c r="K1118" s="1">
        <v>-3</v>
      </c>
    </row>
    <row r="1119" spans="3:11" x14ac:dyDescent="0.25">
      <c r="C1119" s="1" t="s">
        <v>7041</v>
      </c>
      <c r="D1119" s="1" t="s">
        <v>7042</v>
      </c>
      <c r="E1119" s="1" t="s">
        <v>7043</v>
      </c>
      <c r="F1119" s="1">
        <v>-3</v>
      </c>
      <c r="G1119" s="1">
        <v>-3</v>
      </c>
      <c r="H1119" s="1">
        <v>0</v>
      </c>
      <c r="I1119" s="1">
        <v>0</v>
      </c>
      <c r="J1119" s="1">
        <v>3</v>
      </c>
      <c r="K1119" s="1">
        <v>-3</v>
      </c>
    </row>
    <row r="1120" spans="3:11" x14ac:dyDescent="0.25">
      <c r="D1120" s="1" t="s">
        <v>7044</v>
      </c>
      <c r="E1120" s="1" t="s">
        <v>7045</v>
      </c>
      <c r="F1120" s="1">
        <v>-3</v>
      </c>
      <c r="G1120" s="1">
        <v>-3</v>
      </c>
      <c r="H1120" s="1">
        <v>0</v>
      </c>
      <c r="I1120" s="1">
        <v>0</v>
      </c>
      <c r="J1120" s="1">
        <v>3</v>
      </c>
      <c r="K1120" s="1">
        <v>-3</v>
      </c>
    </row>
    <row r="1121" spans="3:11" x14ac:dyDescent="0.25">
      <c r="D1121" s="1" t="s">
        <v>7046</v>
      </c>
      <c r="E1121" s="1" t="s">
        <v>7047</v>
      </c>
      <c r="F1121" s="1">
        <v>-3</v>
      </c>
      <c r="G1121" s="1">
        <v>-3</v>
      </c>
      <c r="H1121" s="1">
        <v>0</v>
      </c>
      <c r="I1121" s="1">
        <v>0</v>
      </c>
      <c r="J1121" s="1">
        <v>3</v>
      </c>
      <c r="K1121" s="1">
        <v>-3</v>
      </c>
    </row>
    <row r="1122" spans="3:11" x14ac:dyDescent="0.25">
      <c r="C1122" s="1" t="s">
        <v>7048</v>
      </c>
      <c r="D1122" s="1" t="s">
        <v>7049</v>
      </c>
      <c r="E1122" s="1" t="s">
        <v>7048</v>
      </c>
      <c r="F1122" s="1">
        <v>-3</v>
      </c>
      <c r="G1122" s="1">
        <v>-3</v>
      </c>
      <c r="H1122" s="1">
        <v>0</v>
      </c>
      <c r="I1122" s="1">
        <v>0</v>
      </c>
      <c r="J1122" s="1">
        <v>3</v>
      </c>
      <c r="K1122" s="1">
        <v>-3</v>
      </c>
    </row>
    <row r="1123" spans="3:11" x14ac:dyDescent="0.25">
      <c r="C1123" s="1" t="s">
        <v>7050</v>
      </c>
      <c r="D1123" s="1" t="s">
        <v>7051</v>
      </c>
      <c r="E1123" s="1" t="s">
        <v>7052</v>
      </c>
      <c r="F1123" s="1">
        <v>-3</v>
      </c>
      <c r="G1123" s="1">
        <v>-3</v>
      </c>
      <c r="H1123" s="1">
        <v>0</v>
      </c>
      <c r="I1123" s="1">
        <v>0</v>
      </c>
      <c r="J1123" s="1">
        <v>3</v>
      </c>
      <c r="K1123" s="1">
        <v>-3</v>
      </c>
    </row>
    <row r="1124" spans="3:11" x14ac:dyDescent="0.25">
      <c r="D1124" s="1" t="s">
        <v>7053</v>
      </c>
      <c r="E1124" s="1" t="s">
        <v>7054</v>
      </c>
      <c r="F1124" s="1">
        <v>-3</v>
      </c>
      <c r="G1124" s="1">
        <v>-3</v>
      </c>
      <c r="H1124" s="1">
        <v>0</v>
      </c>
      <c r="I1124" s="1">
        <v>0</v>
      </c>
      <c r="J1124" s="1">
        <v>3</v>
      </c>
      <c r="K1124" s="1">
        <v>-3</v>
      </c>
    </row>
    <row r="1125" spans="3:11" x14ac:dyDescent="0.25">
      <c r="C1125" s="1" t="s">
        <v>7055</v>
      </c>
      <c r="D1125" s="1" t="s">
        <v>7056</v>
      </c>
      <c r="E1125" s="1" t="s">
        <v>7055</v>
      </c>
      <c r="F1125" s="1">
        <v>-3</v>
      </c>
      <c r="G1125" s="1">
        <v>-3</v>
      </c>
      <c r="H1125" s="1">
        <v>0</v>
      </c>
      <c r="I1125" s="1">
        <v>0</v>
      </c>
      <c r="J1125" s="1">
        <v>3</v>
      </c>
      <c r="K1125" s="1">
        <v>-3</v>
      </c>
    </row>
    <row r="1126" spans="3:11" x14ac:dyDescent="0.25">
      <c r="D1126" s="1" t="s">
        <v>7057</v>
      </c>
      <c r="E1126" s="1" t="s">
        <v>7058</v>
      </c>
      <c r="F1126" s="1">
        <v>-3</v>
      </c>
      <c r="G1126" s="1">
        <v>-3</v>
      </c>
      <c r="H1126" s="1">
        <v>0</v>
      </c>
      <c r="I1126" s="1">
        <v>0</v>
      </c>
      <c r="J1126" s="1">
        <v>3</v>
      </c>
      <c r="K1126" s="1">
        <v>-3</v>
      </c>
    </row>
    <row r="1127" spans="3:11" x14ac:dyDescent="0.25">
      <c r="C1127" s="1" t="s">
        <v>7059</v>
      </c>
      <c r="D1127" s="1" t="s">
        <v>7060</v>
      </c>
      <c r="E1127" s="1" t="s">
        <v>7059</v>
      </c>
      <c r="F1127" s="1">
        <v>-3</v>
      </c>
      <c r="G1127" s="1">
        <v>-3</v>
      </c>
      <c r="H1127" s="1">
        <v>0</v>
      </c>
      <c r="I1127" s="1">
        <v>0</v>
      </c>
      <c r="J1127" s="1">
        <v>3</v>
      </c>
      <c r="K1127" s="1">
        <v>-3</v>
      </c>
    </row>
    <row r="1128" spans="3:11" x14ac:dyDescent="0.25">
      <c r="C1128" s="1" t="s">
        <v>7061</v>
      </c>
      <c r="D1128" s="1" t="s">
        <v>7062</v>
      </c>
      <c r="E1128" s="1" t="s">
        <v>7063</v>
      </c>
      <c r="F1128" s="1">
        <v>-3</v>
      </c>
      <c r="G1128" s="1">
        <v>-3</v>
      </c>
      <c r="H1128" s="1">
        <v>0</v>
      </c>
      <c r="I1128" s="1">
        <v>0</v>
      </c>
      <c r="J1128" s="1">
        <v>3</v>
      </c>
      <c r="K1128" s="1">
        <v>-3</v>
      </c>
    </row>
    <row r="1129" spans="3:11" x14ac:dyDescent="0.25">
      <c r="C1129" s="1" t="s">
        <v>7064</v>
      </c>
      <c r="D1129" s="1" t="s">
        <v>7065</v>
      </c>
      <c r="E1129" s="1" t="s">
        <v>7066</v>
      </c>
      <c r="F1129" s="1">
        <v>-3</v>
      </c>
      <c r="G1129" s="1">
        <v>-3</v>
      </c>
      <c r="H1129" s="1">
        <v>0</v>
      </c>
      <c r="I1129" s="1">
        <v>0</v>
      </c>
      <c r="J1129" s="1">
        <v>3</v>
      </c>
      <c r="K1129" s="1">
        <v>-3</v>
      </c>
    </row>
    <row r="1130" spans="3:11" x14ac:dyDescent="0.25">
      <c r="C1130" s="1" t="s">
        <v>7067</v>
      </c>
      <c r="D1130" s="1" t="s">
        <v>7068</v>
      </c>
      <c r="E1130" s="1" t="s">
        <v>7067</v>
      </c>
      <c r="F1130" s="1">
        <v>-3</v>
      </c>
      <c r="G1130" s="1">
        <v>-3</v>
      </c>
      <c r="H1130" s="1">
        <v>0</v>
      </c>
      <c r="I1130" s="1">
        <v>0</v>
      </c>
      <c r="J1130" s="1">
        <v>3</v>
      </c>
      <c r="K1130" s="1">
        <v>-3</v>
      </c>
    </row>
    <row r="1131" spans="3:11" x14ac:dyDescent="0.25">
      <c r="C1131" s="1" t="s">
        <v>7069</v>
      </c>
      <c r="D1131" s="1" t="s">
        <v>7070</v>
      </c>
      <c r="E1131" s="1" t="s">
        <v>7071</v>
      </c>
      <c r="F1131" s="1">
        <v>-3</v>
      </c>
      <c r="G1131" s="1">
        <v>-3</v>
      </c>
      <c r="H1131" s="1">
        <v>0</v>
      </c>
      <c r="I1131" s="1">
        <v>0</v>
      </c>
      <c r="J1131" s="1">
        <v>3</v>
      </c>
      <c r="K1131" s="1">
        <v>-3</v>
      </c>
    </row>
    <row r="1132" spans="3:11" x14ac:dyDescent="0.25">
      <c r="C1132" s="1" t="s">
        <v>7072</v>
      </c>
      <c r="D1132" s="1" t="s">
        <v>7073</v>
      </c>
      <c r="E1132" s="1" t="s">
        <v>7074</v>
      </c>
      <c r="F1132" s="1">
        <v>-3</v>
      </c>
      <c r="G1132" s="1">
        <v>-3</v>
      </c>
      <c r="H1132" s="1">
        <v>0</v>
      </c>
      <c r="I1132" s="1">
        <v>0</v>
      </c>
      <c r="J1132" s="1">
        <v>3</v>
      </c>
      <c r="K1132" s="1">
        <v>-3</v>
      </c>
    </row>
    <row r="1133" spans="3:11" x14ac:dyDescent="0.25">
      <c r="C1133" s="1" t="s">
        <v>7075</v>
      </c>
      <c r="D1133" s="1" t="s">
        <v>7076</v>
      </c>
      <c r="E1133" s="1" t="s">
        <v>7077</v>
      </c>
      <c r="F1133" s="1">
        <v>-3</v>
      </c>
      <c r="G1133" s="1">
        <v>-3</v>
      </c>
      <c r="H1133" s="1">
        <v>0</v>
      </c>
      <c r="I1133" s="1">
        <v>0</v>
      </c>
      <c r="J1133" s="1">
        <v>3</v>
      </c>
      <c r="K1133" s="1">
        <v>-3</v>
      </c>
    </row>
    <row r="1134" spans="3:11" x14ac:dyDescent="0.25">
      <c r="C1134" s="1" t="s">
        <v>7078</v>
      </c>
      <c r="D1134" s="1" t="s">
        <v>7079</v>
      </c>
      <c r="E1134" s="1" t="s">
        <v>7078</v>
      </c>
      <c r="F1134" s="1">
        <v>-3</v>
      </c>
      <c r="G1134" s="1">
        <v>-3</v>
      </c>
      <c r="H1134" s="1">
        <v>0</v>
      </c>
      <c r="I1134" s="1">
        <v>0</v>
      </c>
      <c r="J1134" s="1">
        <v>3</v>
      </c>
      <c r="K1134" s="1">
        <v>-3</v>
      </c>
    </row>
    <row r="1135" spans="3:11" x14ac:dyDescent="0.25">
      <c r="C1135" s="1" t="s">
        <v>7080</v>
      </c>
      <c r="D1135" s="1" t="s">
        <v>7081</v>
      </c>
      <c r="E1135" s="1" t="s">
        <v>7080</v>
      </c>
      <c r="F1135" s="1">
        <v>-3</v>
      </c>
      <c r="G1135" s="1">
        <v>-3</v>
      </c>
      <c r="H1135" s="1">
        <v>0</v>
      </c>
      <c r="I1135" s="1">
        <v>0</v>
      </c>
      <c r="J1135" s="1">
        <v>3</v>
      </c>
      <c r="K1135" s="1">
        <v>-3</v>
      </c>
    </row>
    <row r="1136" spans="3:11" x14ac:dyDescent="0.25">
      <c r="C1136" s="1" t="s">
        <v>7082</v>
      </c>
      <c r="D1136" s="1" t="s">
        <v>7083</v>
      </c>
      <c r="E1136" s="1" t="s">
        <v>7082</v>
      </c>
      <c r="F1136" s="1">
        <v>-3</v>
      </c>
      <c r="G1136" s="1">
        <v>-3</v>
      </c>
      <c r="H1136" s="1">
        <v>0</v>
      </c>
      <c r="I1136" s="1">
        <v>0</v>
      </c>
      <c r="J1136" s="1">
        <v>3</v>
      </c>
      <c r="K1136" s="1">
        <v>-3</v>
      </c>
    </row>
    <row r="1137" spans="3:11" x14ac:dyDescent="0.25">
      <c r="C1137" s="1" t="s">
        <v>7084</v>
      </c>
      <c r="D1137" s="1" t="s">
        <v>7085</v>
      </c>
      <c r="E1137" s="1" t="s">
        <v>7086</v>
      </c>
      <c r="F1137" s="1">
        <v>-3</v>
      </c>
      <c r="G1137" s="1">
        <v>-3</v>
      </c>
      <c r="H1137" s="1">
        <v>0</v>
      </c>
      <c r="I1137" s="1">
        <v>0</v>
      </c>
      <c r="J1137" s="1">
        <v>3</v>
      </c>
      <c r="K1137" s="1">
        <v>-3</v>
      </c>
    </row>
    <row r="1138" spans="3:11" x14ac:dyDescent="0.25">
      <c r="C1138" s="1" t="s">
        <v>7087</v>
      </c>
      <c r="D1138" s="1" t="s">
        <v>7088</v>
      </c>
      <c r="E1138" s="1" t="s">
        <v>7089</v>
      </c>
      <c r="F1138" s="1">
        <v>-3</v>
      </c>
      <c r="G1138" s="1">
        <v>-3</v>
      </c>
      <c r="H1138" s="1">
        <v>0</v>
      </c>
      <c r="I1138" s="1">
        <v>0</v>
      </c>
      <c r="J1138" s="1">
        <v>3</v>
      </c>
      <c r="K1138" s="1">
        <v>-3</v>
      </c>
    </row>
    <row r="1139" spans="3:11" x14ac:dyDescent="0.25">
      <c r="C1139" s="1" t="s">
        <v>7090</v>
      </c>
      <c r="D1139" s="1" t="s">
        <v>7091</v>
      </c>
      <c r="E1139" s="1" t="s">
        <v>7092</v>
      </c>
      <c r="F1139" s="1">
        <v>-3</v>
      </c>
      <c r="G1139" s="1">
        <v>-3</v>
      </c>
      <c r="H1139" s="1">
        <v>0</v>
      </c>
      <c r="I1139" s="1">
        <v>0</v>
      </c>
      <c r="J1139" s="1">
        <v>3</v>
      </c>
      <c r="K1139" s="1">
        <v>-3</v>
      </c>
    </row>
    <row r="1140" spans="3:11" x14ac:dyDescent="0.25">
      <c r="C1140" s="1" t="s">
        <v>7093</v>
      </c>
      <c r="D1140" s="1" t="s">
        <v>7094</v>
      </c>
      <c r="E1140" s="1" t="s">
        <v>7095</v>
      </c>
      <c r="F1140" s="1">
        <v>-3</v>
      </c>
      <c r="G1140" s="1">
        <v>-3</v>
      </c>
      <c r="H1140" s="1">
        <v>0</v>
      </c>
      <c r="I1140" s="1">
        <v>0</v>
      </c>
      <c r="J1140" s="1">
        <v>3</v>
      </c>
      <c r="K1140" s="1">
        <v>-3</v>
      </c>
    </row>
    <row r="1141" spans="3:11" x14ac:dyDescent="0.25">
      <c r="D1141" s="1" t="s">
        <v>7096</v>
      </c>
      <c r="E1141" s="1" t="s">
        <v>7097</v>
      </c>
      <c r="F1141" s="1">
        <v>-3</v>
      </c>
      <c r="G1141" s="1">
        <v>-3</v>
      </c>
      <c r="H1141" s="1">
        <v>0</v>
      </c>
      <c r="I1141" s="1">
        <v>0</v>
      </c>
      <c r="J1141" s="1">
        <v>3</v>
      </c>
      <c r="K1141" s="1">
        <v>-3</v>
      </c>
    </row>
    <row r="1142" spans="3:11" x14ac:dyDescent="0.25">
      <c r="D1142" s="1" t="s">
        <v>7098</v>
      </c>
      <c r="E1142" s="1" t="s">
        <v>7099</v>
      </c>
      <c r="F1142" s="1">
        <v>-3</v>
      </c>
      <c r="G1142" s="1">
        <v>-3</v>
      </c>
      <c r="H1142" s="1">
        <v>0</v>
      </c>
      <c r="I1142" s="1">
        <v>0</v>
      </c>
      <c r="J1142" s="1">
        <v>3</v>
      </c>
      <c r="K1142" s="1">
        <v>-3</v>
      </c>
    </row>
    <row r="1143" spans="3:11" x14ac:dyDescent="0.25">
      <c r="C1143" s="1" t="s">
        <v>7100</v>
      </c>
      <c r="D1143" s="1" t="s">
        <v>7101</v>
      </c>
      <c r="E1143" s="1" t="s">
        <v>7102</v>
      </c>
      <c r="F1143" s="1">
        <v>-3</v>
      </c>
      <c r="G1143" s="1">
        <v>-3</v>
      </c>
      <c r="H1143" s="1">
        <v>0</v>
      </c>
      <c r="I1143" s="1">
        <v>0</v>
      </c>
      <c r="J1143" s="1">
        <v>3</v>
      </c>
      <c r="K1143" s="1">
        <v>-3</v>
      </c>
    </row>
    <row r="1144" spans="3:11" x14ac:dyDescent="0.25">
      <c r="C1144" s="1" t="s">
        <v>7103</v>
      </c>
      <c r="D1144" s="1" t="s">
        <v>7104</v>
      </c>
      <c r="E1144" s="1" t="s">
        <v>7105</v>
      </c>
      <c r="F1144" s="1">
        <v>-3</v>
      </c>
      <c r="G1144" s="1">
        <v>-3</v>
      </c>
      <c r="H1144" s="1">
        <v>0</v>
      </c>
      <c r="I1144" s="1">
        <v>0</v>
      </c>
      <c r="J1144" s="1">
        <v>3</v>
      </c>
      <c r="K1144" s="1">
        <v>-3</v>
      </c>
    </row>
    <row r="1145" spans="3:11" x14ac:dyDescent="0.25">
      <c r="C1145" s="1" t="s">
        <v>7106</v>
      </c>
      <c r="D1145" s="1" t="s">
        <v>7107</v>
      </c>
      <c r="E1145" s="1" t="s">
        <v>7106</v>
      </c>
      <c r="F1145" s="1">
        <v>-3</v>
      </c>
      <c r="G1145" s="1">
        <v>-3</v>
      </c>
      <c r="H1145" s="1">
        <v>0</v>
      </c>
      <c r="I1145" s="1">
        <v>0</v>
      </c>
      <c r="J1145" s="1">
        <v>3</v>
      </c>
      <c r="K1145" s="1">
        <v>-3</v>
      </c>
    </row>
    <row r="1146" spans="3:11" x14ac:dyDescent="0.25">
      <c r="D1146" s="1" t="s">
        <v>7108</v>
      </c>
      <c r="E1146" s="1" t="s">
        <v>7109</v>
      </c>
      <c r="F1146" s="1">
        <v>-3</v>
      </c>
      <c r="G1146" s="1">
        <v>-3</v>
      </c>
      <c r="H1146" s="1">
        <v>0</v>
      </c>
      <c r="I1146" s="1">
        <v>0</v>
      </c>
      <c r="J1146" s="1">
        <v>3</v>
      </c>
      <c r="K1146" s="1">
        <v>-3</v>
      </c>
    </row>
    <row r="1147" spans="3:11" x14ac:dyDescent="0.25">
      <c r="D1147" s="1" t="s">
        <v>7110</v>
      </c>
      <c r="E1147" s="1" t="s">
        <v>7111</v>
      </c>
      <c r="F1147" s="1">
        <v>-3</v>
      </c>
      <c r="G1147" s="1">
        <v>-3</v>
      </c>
      <c r="H1147" s="1">
        <v>0</v>
      </c>
      <c r="I1147" s="1">
        <v>0</v>
      </c>
      <c r="J1147" s="1">
        <v>3</v>
      </c>
      <c r="K1147" s="1">
        <v>-3</v>
      </c>
    </row>
    <row r="1148" spans="3:11" x14ac:dyDescent="0.25">
      <c r="D1148" s="1" t="s">
        <v>7112</v>
      </c>
      <c r="E1148" s="1" t="s">
        <v>7113</v>
      </c>
      <c r="F1148" s="1">
        <v>-3</v>
      </c>
      <c r="G1148" s="1">
        <v>-3</v>
      </c>
      <c r="H1148" s="1">
        <v>0</v>
      </c>
      <c r="I1148" s="1">
        <v>0</v>
      </c>
      <c r="J1148" s="1">
        <v>3</v>
      </c>
      <c r="K1148" s="1">
        <v>-3</v>
      </c>
    </row>
    <row r="1149" spans="3:11" x14ac:dyDescent="0.25">
      <c r="D1149" s="1" t="s">
        <v>7114</v>
      </c>
      <c r="E1149" s="1" t="s">
        <v>7115</v>
      </c>
      <c r="F1149" s="1">
        <v>-3</v>
      </c>
      <c r="G1149" s="1">
        <v>-3</v>
      </c>
      <c r="H1149" s="1">
        <v>0</v>
      </c>
      <c r="I1149" s="1">
        <v>0</v>
      </c>
      <c r="J1149" s="1">
        <v>3</v>
      </c>
      <c r="K1149" s="1">
        <v>-3</v>
      </c>
    </row>
    <row r="1150" spans="3:11" x14ac:dyDescent="0.25">
      <c r="D1150" s="1" t="s">
        <v>7116</v>
      </c>
      <c r="E1150" s="1" t="s">
        <v>7117</v>
      </c>
      <c r="F1150" s="1">
        <v>-3</v>
      </c>
      <c r="G1150" s="1">
        <v>-3</v>
      </c>
      <c r="H1150" s="1">
        <v>0</v>
      </c>
      <c r="I1150" s="1">
        <v>0</v>
      </c>
      <c r="J1150" s="1">
        <v>3</v>
      </c>
      <c r="K1150" s="1">
        <v>-3</v>
      </c>
    </row>
    <row r="1151" spans="3:11" x14ac:dyDescent="0.25">
      <c r="D1151" s="1" t="s">
        <v>7118</v>
      </c>
      <c r="E1151" s="1" t="s">
        <v>7119</v>
      </c>
      <c r="F1151" s="1">
        <v>-3</v>
      </c>
      <c r="G1151" s="1">
        <v>-3</v>
      </c>
      <c r="H1151" s="1">
        <v>0</v>
      </c>
      <c r="I1151" s="1">
        <v>0</v>
      </c>
      <c r="J1151" s="1">
        <v>3</v>
      </c>
      <c r="K1151" s="1">
        <v>-3</v>
      </c>
    </row>
    <row r="1152" spans="3:11" x14ac:dyDescent="0.25">
      <c r="C1152" s="1" t="s">
        <v>7120</v>
      </c>
      <c r="D1152" s="1" t="s">
        <v>7121</v>
      </c>
      <c r="E1152" s="1" t="s">
        <v>7122</v>
      </c>
      <c r="F1152" s="1">
        <v>-3</v>
      </c>
      <c r="G1152" s="1">
        <v>-3</v>
      </c>
      <c r="H1152" s="1">
        <v>0</v>
      </c>
      <c r="I1152" s="1">
        <v>0</v>
      </c>
      <c r="J1152" s="1">
        <v>3</v>
      </c>
      <c r="K1152" s="1">
        <v>-3</v>
      </c>
    </row>
    <row r="1153" spans="3:11" x14ac:dyDescent="0.25">
      <c r="D1153" s="1" t="s">
        <v>7123</v>
      </c>
      <c r="E1153" s="1" t="s">
        <v>7124</v>
      </c>
      <c r="F1153" s="1">
        <v>-3</v>
      </c>
      <c r="G1153" s="1">
        <v>-3</v>
      </c>
      <c r="H1153" s="1">
        <v>0</v>
      </c>
      <c r="I1153" s="1">
        <v>0</v>
      </c>
      <c r="J1153" s="1">
        <v>3</v>
      </c>
      <c r="K1153" s="1">
        <v>-3</v>
      </c>
    </row>
    <row r="1154" spans="3:11" x14ac:dyDescent="0.25">
      <c r="D1154" s="1" t="s">
        <v>7125</v>
      </c>
      <c r="E1154" s="1" t="s">
        <v>7126</v>
      </c>
      <c r="F1154" s="1">
        <v>-3</v>
      </c>
      <c r="G1154" s="1">
        <v>-3</v>
      </c>
      <c r="H1154" s="1">
        <v>0</v>
      </c>
      <c r="I1154" s="1">
        <v>0</v>
      </c>
      <c r="J1154" s="1">
        <v>3</v>
      </c>
      <c r="K1154" s="1">
        <v>-3</v>
      </c>
    </row>
    <row r="1155" spans="3:11" x14ac:dyDescent="0.25">
      <c r="C1155" s="1" t="s">
        <v>7127</v>
      </c>
      <c r="D1155" s="1" t="s">
        <v>7128</v>
      </c>
      <c r="E1155" s="1" t="s">
        <v>7129</v>
      </c>
      <c r="F1155" s="1">
        <v>-3</v>
      </c>
      <c r="G1155" s="1">
        <v>-3</v>
      </c>
      <c r="H1155" s="1">
        <v>0</v>
      </c>
      <c r="I1155" s="1">
        <v>0</v>
      </c>
      <c r="J1155" s="1">
        <v>3</v>
      </c>
      <c r="K1155" s="1">
        <v>-3</v>
      </c>
    </row>
    <row r="1156" spans="3:11" x14ac:dyDescent="0.25">
      <c r="C1156" s="1" t="s">
        <v>7130</v>
      </c>
      <c r="D1156" s="1" t="s">
        <v>7131</v>
      </c>
      <c r="E1156" s="1" t="s">
        <v>7130</v>
      </c>
      <c r="F1156" s="1">
        <v>-3</v>
      </c>
      <c r="G1156" s="1">
        <v>-3</v>
      </c>
      <c r="H1156" s="1">
        <v>0</v>
      </c>
      <c r="I1156" s="1">
        <v>0</v>
      </c>
      <c r="J1156" s="1">
        <v>3</v>
      </c>
      <c r="K1156" s="1">
        <v>-3</v>
      </c>
    </row>
    <row r="1157" spans="3:11" x14ac:dyDescent="0.25">
      <c r="D1157" s="1" t="s">
        <v>7132</v>
      </c>
      <c r="E1157" s="1" t="s">
        <v>7133</v>
      </c>
      <c r="F1157" s="1">
        <v>-3</v>
      </c>
      <c r="G1157" s="1">
        <v>-3</v>
      </c>
      <c r="H1157" s="1">
        <v>0</v>
      </c>
      <c r="I1157" s="1">
        <v>0</v>
      </c>
      <c r="J1157" s="1">
        <v>3</v>
      </c>
      <c r="K1157" s="1">
        <v>-3</v>
      </c>
    </row>
    <row r="1158" spans="3:11" x14ac:dyDescent="0.25">
      <c r="D1158" s="1" t="s">
        <v>7134</v>
      </c>
      <c r="E1158" s="1" t="s">
        <v>7135</v>
      </c>
      <c r="F1158" s="1">
        <v>-3</v>
      </c>
      <c r="G1158" s="1">
        <v>-3</v>
      </c>
      <c r="H1158" s="1">
        <v>0</v>
      </c>
      <c r="I1158" s="1">
        <v>0</v>
      </c>
      <c r="J1158" s="1">
        <v>3</v>
      </c>
      <c r="K1158" s="1">
        <v>-3</v>
      </c>
    </row>
    <row r="1159" spans="3:11" x14ac:dyDescent="0.25">
      <c r="D1159" s="1" t="s">
        <v>7136</v>
      </c>
      <c r="E1159" s="1" t="s">
        <v>7137</v>
      </c>
      <c r="F1159" s="1">
        <v>-3</v>
      </c>
      <c r="G1159" s="1">
        <v>-3</v>
      </c>
      <c r="H1159" s="1">
        <v>0</v>
      </c>
      <c r="I1159" s="1">
        <v>0</v>
      </c>
      <c r="J1159" s="1">
        <v>3</v>
      </c>
      <c r="K1159" s="1">
        <v>-3</v>
      </c>
    </row>
    <row r="1160" spans="3:11" x14ac:dyDescent="0.25">
      <c r="D1160" s="1" t="s">
        <v>7138</v>
      </c>
      <c r="E1160" s="1" t="s">
        <v>7139</v>
      </c>
      <c r="F1160" s="1">
        <v>-3</v>
      </c>
      <c r="G1160" s="1">
        <v>-3</v>
      </c>
      <c r="H1160" s="1">
        <v>0</v>
      </c>
      <c r="I1160" s="1">
        <v>0</v>
      </c>
      <c r="J1160" s="1">
        <v>3</v>
      </c>
      <c r="K1160" s="1">
        <v>-3</v>
      </c>
    </row>
    <row r="1161" spans="3:11" x14ac:dyDescent="0.25">
      <c r="D1161" s="1" t="s">
        <v>7140</v>
      </c>
      <c r="E1161" s="1" t="s">
        <v>7141</v>
      </c>
      <c r="F1161" s="1">
        <v>-3</v>
      </c>
      <c r="G1161" s="1">
        <v>-3</v>
      </c>
      <c r="H1161" s="1">
        <v>0</v>
      </c>
      <c r="I1161" s="1">
        <v>0</v>
      </c>
      <c r="J1161" s="1">
        <v>3</v>
      </c>
      <c r="K1161" s="1">
        <v>-3</v>
      </c>
    </row>
    <row r="1162" spans="3:11" x14ac:dyDescent="0.25">
      <c r="D1162" s="1" t="s">
        <v>7142</v>
      </c>
      <c r="E1162" s="1" t="s">
        <v>7143</v>
      </c>
      <c r="F1162" s="1">
        <v>-3</v>
      </c>
      <c r="G1162" s="1">
        <v>-3</v>
      </c>
      <c r="H1162" s="1">
        <v>0</v>
      </c>
      <c r="I1162" s="1">
        <v>0</v>
      </c>
      <c r="J1162" s="1">
        <v>3</v>
      </c>
      <c r="K1162" s="1">
        <v>-3</v>
      </c>
    </row>
    <row r="1163" spans="3:11" x14ac:dyDescent="0.25">
      <c r="D1163" s="1" t="s">
        <v>7144</v>
      </c>
      <c r="E1163" s="1" t="s">
        <v>7145</v>
      </c>
      <c r="F1163" s="1">
        <v>-3</v>
      </c>
      <c r="G1163" s="1">
        <v>-3</v>
      </c>
      <c r="H1163" s="1">
        <v>0</v>
      </c>
      <c r="I1163" s="1">
        <v>0</v>
      </c>
      <c r="J1163" s="1">
        <v>3</v>
      </c>
      <c r="K1163" s="1">
        <v>-3</v>
      </c>
    </row>
    <row r="1164" spans="3:11" x14ac:dyDescent="0.25">
      <c r="D1164" s="1" t="s">
        <v>7146</v>
      </c>
      <c r="E1164" s="1" t="s">
        <v>7147</v>
      </c>
      <c r="F1164" s="1">
        <v>-3</v>
      </c>
      <c r="G1164" s="1">
        <v>-3</v>
      </c>
      <c r="H1164" s="1">
        <v>0</v>
      </c>
      <c r="I1164" s="1">
        <v>0</v>
      </c>
      <c r="J1164" s="1">
        <v>3</v>
      </c>
      <c r="K1164" s="1">
        <v>-3</v>
      </c>
    </row>
    <row r="1165" spans="3:11" x14ac:dyDescent="0.25">
      <c r="D1165" s="1" t="s">
        <v>7148</v>
      </c>
      <c r="E1165" s="1" t="s">
        <v>7149</v>
      </c>
      <c r="F1165" s="1">
        <v>-3</v>
      </c>
      <c r="G1165" s="1">
        <v>-3</v>
      </c>
      <c r="H1165" s="1">
        <v>0</v>
      </c>
      <c r="I1165" s="1">
        <v>0</v>
      </c>
      <c r="J1165" s="1">
        <v>3</v>
      </c>
      <c r="K1165" s="1">
        <v>-3</v>
      </c>
    </row>
    <row r="1166" spans="3:11" x14ac:dyDescent="0.25">
      <c r="D1166" s="1" t="s">
        <v>7150</v>
      </c>
      <c r="E1166" s="1" t="s">
        <v>7151</v>
      </c>
      <c r="F1166" s="1">
        <v>-3</v>
      </c>
      <c r="G1166" s="1">
        <v>-3</v>
      </c>
      <c r="H1166" s="1">
        <v>0</v>
      </c>
      <c r="I1166" s="1">
        <v>0</v>
      </c>
      <c r="J1166" s="1">
        <v>3</v>
      </c>
      <c r="K1166" s="1">
        <v>-3</v>
      </c>
    </row>
    <row r="1167" spans="3:11" x14ac:dyDescent="0.25">
      <c r="D1167" s="1" t="s">
        <v>7152</v>
      </c>
      <c r="E1167" s="1" t="s">
        <v>7153</v>
      </c>
      <c r="F1167" s="1">
        <v>-3</v>
      </c>
      <c r="G1167" s="1">
        <v>-3</v>
      </c>
      <c r="H1167" s="1">
        <v>0</v>
      </c>
      <c r="I1167" s="1">
        <v>0</v>
      </c>
      <c r="J1167" s="1">
        <v>3</v>
      </c>
      <c r="K1167" s="1">
        <v>-3</v>
      </c>
    </row>
    <row r="1168" spans="3:11" x14ac:dyDescent="0.25">
      <c r="D1168" s="1" t="s">
        <v>7154</v>
      </c>
      <c r="E1168" s="1" t="s">
        <v>7155</v>
      </c>
      <c r="F1168" s="1">
        <v>-3</v>
      </c>
      <c r="G1168" s="1">
        <v>-3</v>
      </c>
      <c r="H1168" s="1">
        <v>0</v>
      </c>
      <c r="I1168" s="1">
        <v>0</v>
      </c>
      <c r="J1168" s="1">
        <v>3</v>
      </c>
      <c r="K1168" s="1">
        <v>-3</v>
      </c>
    </row>
    <row r="1169" spans="3:11" x14ac:dyDescent="0.25">
      <c r="D1169" s="1" t="s">
        <v>7156</v>
      </c>
      <c r="E1169" s="1" t="s">
        <v>7157</v>
      </c>
      <c r="F1169" s="1">
        <v>-3</v>
      </c>
      <c r="G1169" s="1">
        <v>-3</v>
      </c>
      <c r="H1169" s="1">
        <v>0</v>
      </c>
      <c r="I1169" s="1">
        <v>0</v>
      </c>
      <c r="J1169" s="1">
        <v>3</v>
      </c>
      <c r="K1169" s="1">
        <v>-3</v>
      </c>
    </row>
    <row r="1170" spans="3:11" x14ac:dyDescent="0.25">
      <c r="D1170" s="1" t="s">
        <v>7158</v>
      </c>
      <c r="E1170" s="1" t="s">
        <v>7159</v>
      </c>
      <c r="F1170" s="1">
        <v>-3</v>
      </c>
      <c r="G1170" s="1">
        <v>-3</v>
      </c>
      <c r="H1170" s="1">
        <v>0</v>
      </c>
      <c r="I1170" s="1">
        <v>0</v>
      </c>
      <c r="J1170" s="1">
        <v>3</v>
      </c>
      <c r="K1170" s="1">
        <v>-3</v>
      </c>
    </row>
    <row r="1171" spans="3:11" x14ac:dyDescent="0.25">
      <c r="D1171" s="1" t="s">
        <v>7160</v>
      </c>
      <c r="E1171" s="1" t="s">
        <v>7161</v>
      </c>
      <c r="F1171" s="1">
        <v>-3</v>
      </c>
      <c r="G1171" s="1">
        <v>-3</v>
      </c>
      <c r="H1171" s="1">
        <v>0</v>
      </c>
      <c r="I1171" s="1">
        <v>0</v>
      </c>
      <c r="J1171" s="1">
        <v>3</v>
      </c>
      <c r="K1171" s="1">
        <v>-3</v>
      </c>
    </row>
    <row r="1172" spans="3:11" x14ac:dyDescent="0.25">
      <c r="D1172" s="1" t="s">
        <v>7162</v>
      </c>
      <c r="E1172" s="1" t="s">
        <v>7163</v>
      </c>
      <c r="F1172" s="1">
        <v>-3</v>
      </c>
      <c r="G1172" s="1">
        <v>-3</v>
      </c>
      <c r="H1172" s="1">
        <v>0</v>
      </c>
      <c r="I1172" s="1">
        <v>0</v>
      </c>
      <c r="J1172" s="1">
        <v>3</v>
      </c>
      <c r="K1172" s="1">
        <v>-3</v>
      </c>
    </row>
    <row r="1173" spans="3:11" x14ac:dyDescent="0.25">
      <c r="D1173" s="1" t="s">
        <v>7164</v>
      </c>
      <c r="E1173" s="1" t="s">
        <v>7165</v>
      </c>
      <c r="F1173" s="1">
        <v>-3</v>
      </c>
      <c r="G1173" s="1">
        <v>-3</v>
      </c>
      <c r="H1173" s="1">
        <v>0</v>
      </c>
      <c r="I1173" s="1">
        <v>0</v>
      </c>
      <c r="J1173" s="1">
        <v>3</v>
      </c>
      <c r="K1173" s="1">
        <v>-3</v>
      </c>
    </row>
    <row r="1174" spans="3:11" x14ac:dyDescent="0.25">
      <c r="D1174" s="1" t="s">
        <v>7166</v>
      </c>
      <c r="E1174" s="1" t="s">
        <v>7167</v>
      </c>
      <c r="F1174" s="1">
        <v>-3</v>
      </c>
      <c r="G1174" s="1">
        <v>-3</v>
      </c>
      <c r="H1174" s="1">
        <v>0</v>
      </c>
      <c r="I1174" s="1">
        <v>0</v>
      </c>
      <c r="J1174" s="1">
        <v>3</v>
      </c>
      <c r="K1174" s="1">
        <v>-3</v>
      </c>
    </row>
    <row r="1175" spans="3:11" x14ac:dyDescent="0.25">
      <c r="D1175" s="1" t="s">
        <v>7168</v>
      </c>
      <c r="E1175" s="1" t="s">
        <v>7169</v>
      </c>
      <c r="F1175" s="1">
        <v>-3</v>
      </c>
      <c r="G1175" s="1">
        <v>-3</v>
      </c>
      <c r="H1175" s="1">
        <v>0</v>
      </c>
      <c r="I1175" s="1">
        <v>0</v>
      </c>
      <c r="J1175" s="1">
        <v>3</v>
      </c>
      <c r="K1175" s="1">
        <v>-3</v>
      </c>
    </row>
    <row r="1176" spans="3:11" x14ac:dyDescent="0.25">
      <c r="C1176" s="1" t="s">
        <v>7170</v>
      </c>
      <c r="D1176" s="1" t="s">
        <v>7171</v>
      </c>
      <c r="E1176" s="1" t="s">
        <v>7170</v>
      </c>
      <c r="F1176" s="1">
        <v>-3</v>
      </c>
      <c r="G1176" s="1">
        <v>-3</v>
      </c>
      <c r="H1176" s="1">
        <v>0</v>
      </c>
      <c r="I1176" s="1">
        <v>0</v>
      </c>
      <c r="J1176" s="1">
        <v>3</v>
      </c>
      <c r="K1176" s="1">
        <v>-3</v>
      </c>
    </row>
    <row r="1177" spans="3:11" x14ac:dyDescent="0.25">
      <c r="C1177" s="1" t="s">
        <v>7172</v>
      </c>
      <c r="D1177" s="1" t="s">
        <v>7173</v>
      </c>
      <c r="E1177" s="1" t="s">
        <v>7172</v>
      </c>
      <c r="F1177" s="1">
        <v>-3</v>
      </c>
      <c r="G1177" s="1">
        <v>-3</v>
      </c>
      <c r="H1177" s="1">
        <v>0</v>
      </c>
      <c r="I1177" s="1">
        <v>0</v>
      </c>
      <c r="J1177" s="1">
        <v>3</v>
      </c>
      <c r="K1177" s="1">
        <v>-3</v>
      </c>
    </row>
    <row r="1178" spans="3:11" x14ac:dyDescent="0.25">
      <c r="D1178" s="1" t="s">
        <v>7174</v>
      </c>
      <c r="E1178" s="1" t="s">
        <v>7175</v>
      </c>
      <c r="F1178" s="1">
        <v>-3</v>
      </c>
      <c r="G1178" s="1">
        <v>-3</v>
      </c>
      <c r="H1178" s="1">
        <v>0</v>
      </c>
      <c r="I1178" s="1">
        <v>0</v>
      </c>
      <c r="J1178" s="1">
        <v>3</v>
      </c>
      <c r="K1178" s="1">
        <v>-3</v>
      </c>
    </row>
    <row r="1179" spans="3:11" x14ac:dyDescent="0.25">
      <c r="D1179" s="1" t="s">
        <v>7176</v>
      </c>
      <c r="E1179" s="1" t="s">
        <v>7177</v>
      </c>
      <c r="F1179" s="1">
        <v>-3</v>
      </c>
      <c r="G1179" s="1">
        <v>-3</v>
      </c>
      <c r="H1179" s="1">
        <v>0</v>
      </c>
      <c r="I1179" s="1">
        <v>0</v>
      </c>
      <c r="J1179" s="1">
        <v>3</v>
      </c>
      <c r="K1179" s="1">
        <v>-3</v>
      </c>
    </row>
    <row r="1180" spans="3:11" x14ac:dyDescent="0.25">
      <c r="D1180" s="1" t="s">
        <v>7178</v>
      </c>
      <c r="E1180" s="1" t="s">
        <v>7179</v>
      </c>
      <c r="F1180" s="1">
        <v>-3</v>
      </c>
      <c r="G1180" s="1">
        <v>-3</v>
      </c>
      <c r="H1180" s="1">
        <v>0</v>
      </c>
      <c r="I1180" s="1">
        <v>0</v>
      </c>
      <c r="J1180" s="1">
        <v>3</v>
      </c>
      <c r="K1180" s="1">
        <v>-3</v>
      </c>
    </row>
    <row r="1181" spans="3:11" x14ac:dyDescent="0.25">
      <c r="C1181" s="1" t="s">
        <v>7180</v>
      </c>
      <c r="D1181" s="1" t="s">
        <v>7181</v>
      </c>
      <c r="E1181" s="1" t="s">
        <v>7180</v>
      </c>
      <c r="F1181" s="1">
        <v>-3</v>
      </c>
      <c r="G1181" s="1">
        <v>-3</v>
      </c>
      <c r="H1181" s="1">
        <v>0</v>
      </c>
      <c r="I1181" s="1">
        <v>0</v>
      </c>
      <c r="J1181" s="1">
        <v>3</v>
      </c>
      <c r="K1181" s="1">
        <v>-3</v>
      </c>
    </row>
    <row r="1182" spans="3:11" x14ac:dyDescent="0.25">
      <c r="D1182" s="1" t="s">
        <v>7182</v>
      </c>
      <c r="E1182" s="1" t="s">
        <v>7183</v>
      </c>
      <c r="F1182" s="1">
        <v>-3</v>
      </c>
      <c r="G1182" s="1">
        <v>-3</v>
      </c>
      <c r="H1182" s="1">
        <v>0</v>
      </c>
      <c r="I1182" s="1">
        <v>0</v>
      </c>
      <c r="J1182" s="1">
        <v>3</v>
      </c>
      <c r="K1182" s="1">
        <v>-3</v>
      </c>
    </row>
    <row r="1183" spans="3:11" x14ac:dyDescent="0.25">
      <c r="C1183" s="1" t="s">
        <v>7184</v>
      </c>
      <c r="D1183" s="1" t="s">
        <v>7185</v>
      </c>
      <c r="E1183" s="1" t="s">
        <v>7184</v>
      </c>
      <c r="F1183" s="1">
        <v>-3</v>
      </c>
      <c r="G1183" s="1">
        <v>-3</v>
      </c>
      <c r="H1183" s="1">
        <v>0</v>
      </c>
      <c r="I1183" s="1">
        <v>0</v>
      </c>
      <c r="J1183" s="1">
        <v>3</v>
      </c>
      <c r="K1183" s="1">
        <v>-3</v>
      </c>
    </row>
    <row r="1184" spans="3:11" x14ac:dyDescent="0.25">
      <c r="C1184" s="1" t="s">
        <v>7186</v>
      </c>
      <c r="D1184" s="1" t="s">
        <v>7187</v>
      </c>
      <c r="E1184" s="1" t="s">
        <v>7186</v>
      </c>
      <c r="F1184" s="1">
        <v>-3</v>
      </c>
      <c r="G1184" s="1">
        <v>-3</v>
      </c>
      <c r="H1184" s="1">
        <v>0</v>
      </c>
      <c r="I1184" s="1">
        <v>0</v>
      </c>
      <c r="J1184" s="1">
        <v>3</v>
      </c>
      <c r="K1184" s="1">
        <v>-3</v>
      </c>
    </row>
    <row r="1185" spans="3:11" x14ac:dyDescent="0.25">
      <c r="C1185" s="1" t="s">
        <v>7188</v>
      </c>
      <c r="D1185" s="1" t="s">
        <v>7189</v>
      </c>
      <c r="E1185" s="1" t="s">
        <v>7188</v>
      </c>
      <c r="F1185" s="1">
        <v>-3</v>
      </c>
      <c r="G1185" s="1">
        <v>-3</v>
      </c>
      <c r="H1185" s="1">
        <v>0</v>
      </c>
      <c r="I1185" s="1">
        <v>0</v>
      </c>
      <c r="J1185" s="1">
        <v>3</v>
      </c>
      <c r="K1185" s="1">
        <v>-3</v>
      </c>
    </row>
    <row r="1186" spans="3:11" x14ac:dyDescent="0.25">
      <c r="C1186" s="1" t="s">
        <v>7190</v>
      </c>
      <c r="D1186" s="1" t="s">
        <v>7191</v>
      </c>
      <c r="E1186" s="1" t="s">
        <v>7190</v>
      </c>
      <c r="F1186" s="1">
        <v>-3</v>
      </c>
      <c r="G1186" s="1">
        <v>-3</v>
      </c>
      <c r="H1186" s="1">
        <v>0</v>
      </c>
      <c r="I1186" s="1">
        <v>0</v>
      </c>
      <c r="J1186" s="1">
        <v>3</v>
      </c>
      <c r="K1186" s="1">
        <v>-3</v>
      </c>
    </row>
    <row r="1187" spans="3:11" x14ac:dyDescent="0.25">
      <c r="D1187" s="1" t="s">
        <v>7192</v>
      </c>
      <c r="E1187" s="1" t="s">
        <v>7193</v>
      </c>
      <c r="F1187" s="1">
        <v>-3</v>
      </c>
      <c r="G1187" s="1">
        <v>-3</v>
      </c>
      <c r="H1187" s="1">
        <v>0</v>
      </c>
      <c r="I1187" s="1">
        <v>0</v>
      </c>
      <c r="J1187" s="1">
        <v>3</v>
      </c>
      <c r="K1187" s="1">
        <v>-3</v>
      </c>
    </row>
    <row r="1188" spans="3:11" x14ac:dyDescent="0.25">
      <c r="C1188" s="1" t="s">
        <v>7194</v>
      </c>
      <c r="D1188" s="1" t="s">
        <v>7195</v>
      </c>
      <c r="E1188" s="1" t="s">
        <v>7194</v>
      </c>
      <c r="F1188" s="1">
        <v>-3</v>
      </c>
      <c r="G1188" s="1">
        <v>-3</v>
      </c>
      <c r="H1188" s="1">
        <v>0</v>
      </c>
      <c r="I1188" s="1">
        <v>0</v>
      </c>
      <c r="J1188" s="1">
        <v>3</v>
      </c>
      <c r="K1188" s="1">
        <v>-3</v>
      </c>
    </row>
    <row r="1189" spans="3:11" x14ac:dyDescent="0.25">
      <c r="C1189" s="1" t="s">
        <v>7196</v>
      </c>
      <c r="D1189" s="1" t="s">
        <v>7197</v>
      </c>
      <c r="E1189" s="1" t="s">
        <v>7196</v>
      </c>
      <c r="F1189" s="1">
        <v>-3</v>
      </c>
      <c r="G1189" s="1">
        <v>-3</v>
      </c>
      <c r="H1189" s="1">
        <v>0</v>
      </c>
      <c r="I1189" s="1">
        <v>0</v>
      </c>
      <c r="J1189" s="1">
        <v>3</v>
      </c>
      <c r="K1189" s="1">
        <v>-3</v>
      </c>
    </row>
    <row r="1190" spans="3:11" x14ac:dyDescent="0.25">
      <c r="C1190" s="1" t="s">
        <v>7198</v>
      </c>
      <c r="D1190" s="1" t="s">
        <v>7199</v>
      </c>
      <c r="E1190" s="1" t="s">
        <v>7198</v>
      </c>
      <c r="F1190" s="1">
        <v>-3</v>
      </c>
      <c r="G1190" s="1">
        <v>-3</v>
      </c>
      <c r="H1190" s="1">
        <v>0</v>
      </c>
      <c r="I1190" s="1">
        <v>0</v>
      </c>
      <c r="J1190" s="1">
        <v>3</v>
      </c>
      <c r="K1190" s="1">
        <v>-3</v>
      </c>
    </row>
    <row r="1191" spans="3:11" x14ac:dyDescent="0.25">
      <c r="D1191" s="1" t="s">
        <v>7200</v>
      </c>
      <c r="E1191" s="1" t="s">
        <v>7201</v>
      </c>
      <c r="F1191" s="1">
        <v>-3</v>
      </c>
      <c r="G1191" s="1">
        <v>-3</v>
      </c>
      <c r="H1191" s="1">
        <v>0</v>
      </c>
      <c r="I1191" s="1">
        <v>0</v>
      </c>
      <c r="J1191" s="1">
        <v>3</v>
      </c>
      <c r="K1191" s="1">
        <v>-3</v>
      </c>
    </row>
    <row r="1192" spans="3:11" x14ac:dyDescent="0.25">
      <c r="D1192" s="1" t="s">
        <v>7202</v>
      </c>
      <c r="E1192" s="1" t="s">
        <v>7203</v>
      </c>
      <c r="F1192" s="1">
        <v>-3</v>
      </c>
      <c r="G1192" s="1">
        <v>-3</v>
      </c>
      <c r="H1192" s="1">
        <v>0</v>
      </c>
      <c r="I1192" s="1">
        <v>0</v>
      </c>
      <c r="J1192" s="1">
        <v>3</v>
      </c>
      <c r="K1192" s="1">
        <v>-3</v>
      </c>
    </row>
    <row r="1193" spans="3:11" x14ac:dyDescent="0.25">
      <c r="D1193" s="1" t="s">
        <v>7204</v>
      </c>
      <c r="E1193" s="1" t="s">
        <v>7205</v>
      </c>
      <c r="F1193" s="1">
        <v>-3</v>
      </c>
      <c r="G1193" s="1">
        <v>-3</v>
      </c>
      <c r="H1193" s="1">
        <v>0</v>
      </c>
      <c r="I1193" s="1">
        <v>0</v>
      </c>
      <c r="J1193" s="1">
        <v>3</v>
      </c>
      <c r="K1193" s="1">
        <v>-3</v>
      </c>
    </row>
    <row r="1194" spans="3:11" x14ac:dyDescent="0.25">
      <c r="C1194" s="1" t="s">
        <v>7206</v>
      </c>
      <c r="D1194" s="1" t="s">
        <v>7207</v>
      </c>
      <c r="E1194" s="1" t="s">
        <v>7208</v>
      </c>
      <c r="F1194" s="1">
        <v>-3</v>
      </c>
      <c r="G1194" s="1">
        <v>-3</v>
      </c>
      <c r="H1194" s="1">
        <v>0</v>
      </c>
      <c r="I1194" s="1">
        <v>0</v>
      </c>
      <c r="J1194" s="1">
        <v>3</v>
      </c>
      <c r="K1194" s="1">
        <v>-3</v>
      </c>
    </row>
    <row r="1195" spans="3:11" x14ac:dyDescent="0.25">
      <c r="C1195" s="1" t="s">
        <v>7209</v>
      </c>
      <c r="D1195" s="1" t="s">
        <v>7210</v>
      </c>
      <c r="E1195" s="1" t="s">
        <v>7209</v>
      </c>
      <c r="F1195" s="1">
        <v>-3</v>
      </c>
      <c r="G1195" s="1">
        <v>-3</v>
      </c>
      <c r="H1195" s="1">
        <v>0</v>
      </c>
      <c r="I1195" s="1">
        <v>0</v>
      </c>
      <c r="J1195" s="1">
        <v>3</v>
      </c>
      <c r="K1195" s="1">
        <v>-3</v>
      </c>
    </row>
    <row r="1196" spans="3:11" x14ac:dyDescent="0.25">
      <c r="D1196" s="1" t="s">
        <v>7211</v>
      </c>
      <c r="E1196" s="1" t="s">
        <v>7212</v>
      </c>
      <c r="F1196" s="1">
        <v>-3</v>
      </c>
      <c r="G1196" s="1">
        <v>-3</v>
      </c>
      <c r="H1196" s="1">
        <v>0</v>
      </c>
      <c r="I1196" s="1">
        <v>0</v>
      </c>
      <c r="J1196" s="1">
        <v>3</v>
      </c>
      <c r="K1196" s="1">
        <v>-3</v>
      </c>
    </row>
    <row r="1197" spans="3:11" x14ac:dyDescent="0.25">
      <c r="C1197" s="1" t="s">
        <v>7213</v>
      </c>
      <c r="D1197" s="1" t="s">
        <v>7214</v>
      </c>
      <c r="E1197" s="1" t="s">
        <v>7213</v>
      </c>
      <c r="F1197" s="1">
        <v>-3</v>
      </c>
      <c r="G1197" s="1">
        <v>-3</v>
      </c>
      <c r="H1197" s="1">
        <v>0</v>
      </c>
      <c r="I1197" s="1">
        <v>0</v>
      </c>
      <c r="J1197" s="1">
        <v>3</v>
      </c>
      <c r="K1197" s="1">
        <v>-3</v>
      </c>
    </row>
    <row r="1198" spans="3:11" x14ac:dyDescent="0.25">
      <c r="C1198" s="1" t="s">
        <v>7215</v>
      </c>
      <c r="D1198" s="1" t="s">
        <v>7216</v>
      </c>
      <c r="E1198" s="1" t="s">
        <v>7215</v>
      </c>
      <c r="F1198" s="1">
        <v>-3</v>
      </c>
      <c r="G1198" s="1">
        <v>-3</v>
      </c>
      <c r="H1198" s="1">
        <v>0</v>
      </c>
      <c r="I1198" s="1">
        <v>0</v>
      </c>
      <c r="J1198" s="1">
        <v>3</v>
      </c>
      <c r="K1198" s="1">
        <v>-3</v>
      </c>
    </row>
    <row r="1199" spans="3:11" x14ac:dyDescent="0.25">
      <c r="C1199" s="1" t="s">
        <v>7217</v>
      </c>
      <c r="D1199" s="1" t="s">
        <v>7218</v>
      </c>
      <c r="E1199" s="1" t="s">
        <v>7217</v>
      </c>
      <c r="F1199" s="1">
        <v>-3</v>
      </c>
      <c r="G1199" s="1">
        <v>-3</v>
      </c>
      <c r="H1199" s="1">
        <v>0</v>
      </c>
      <c r="I1199" s="1">
        <v>0</v>
      </c>
      <c r="J1199" s="1">
        <v>3</v>
      </c>
      <c r="K1199" s="1">
        <v>-3</v>
      </c>
    </row>
    <row r="1200" spans="3:11" x14ac:dyDescent="0.25">
      <c r="C1200" s="1" t="s">
        <v>7219</v>
      </c>
      <c r="D1200" s="1" t="s">
        <v>7220</v>
      </c>
      <c r="E1200" s="1" t="s">
        <v>7219</v>
      </c>
      <c r="F1200" s="1">
        <v>-3</v>
      </c>
      <c r="G1200" s="1">
        <v>-3</v>
      </c>
      <c r="H1200" s="1">
        <v>0</v>
      </c>
      <c r="I1200" s="1">
        <v>0</v>
      </c>
      <c r="J1200" s="1">
        <v>3</v>
      </c>
      <c r="K1200" s="1">
        <v>-3</v>
      </c>
    </row>
    <row r="1201" spans="3:11" x14ac:dyDescent="0.25">
      <c r="C1201" s="1" t="s">
        <v>7221</v>
      </c>
      <c r="D1201" s="1" t="s">
        <v>7222</v>
      </c>
      <c r="E1201" s="1" t="s">
        <v>7221</v>
      </c>
      <c r="F1201" s="1">
        <v>-3</v>
      </c>
      <c r="G1201" s="1">
        <v>-3</v>
      </c>
      <c r="H1201" s="1">
        <v>0</v>
      </c>
      <c r="I1201" s="1">
        <v>0</v>
      </c>
      <c r="J1201" s="1">
        <v>3</v>
      </c>
      <c r="K1201" s="1">
        <v>-3</v>
      </c>
    </row>
    <row r="1202" spans="3:11" x14ac:dyDescent="0.25">
      <c r="C1202" s="1" t="s">
        <v>7223</v>
      </c>
      <c r="D1202" s="1" t="s">
        <v>7224</v>
      </c>
      <c r="E1202" s="1" t="s">
        <v>7223</v>
      </c>
      <c r="F1202" s="1">
        <v>-3</v>
      </c>
      <c r="G1202" s="1">
        <v>-3</v>
      </c>
      <c r="H1202" s="1">
        <v>0</v>
      </c>
      <c r="I1202" s="1">
        <v>0</v>
      </c>
      <c r="J1202" s="1">
        <v>3</v>
      </c>
      <c r="K1202" s="1">
        <v>-3</v>
      </c>
    </row>
    <row r="1203" spans="3:11" x14ac:dyDescent="0.25">
      <c r="C1203" s="1" t="s">
        <v>7225</v>
      </c>
      <c r="D1203" s="1" t="s">
        <v>7226</v>
      </c>
      <c r="E1203" s="1" t="s">
        <v>7227</v>
      </c>
      <c r="F1203" s="1">
        <v>-3</v>
      </c>
      <c r="G1203" s="1">
        <v>-3</v>
      </c>
      <c r="H1203" s="1">
        <v>0</v>
      </c>
      <c r="I1203" s="1">
        <v>0</v>
      </c>
      <c r="J1203" s="1">
        <v>3</v>
      </c>
      <c r="K1203" s="1">
        <v>-3</v>
      </c>
    </row>
    <row r="1204" spans="3:11" x14ac:dyDescent="0.25">
      <c r="C1204" s="1" t="s">
        <v>7228</v>
      </c>
      <c r="D1204" s="1" t="s">
        <v>7229</v>
      </c>
      <c r="E1204" s="1" t="s">
        <v>7228</v>
      </c>
      <c r="F1204" s="1">
        <v>-3</v>
      </c>
      <c r="G1204" s="1">
        <v>-3</v>
      </c>
      <c r="H1204" s="1">
        <v>0</v>
      </c>
      <c r="I1204" s="1">
        <v>0</v>
      </c>
      <c r="J1204" s="1">
        <v>3</v>
      </c>
      <c r="K1204" s="1">
        <v>-3</v>
      </c>
    </row>
    <row r="1205" spans="3:11" x14ac:dyDescent="0.25">
      <c r="C1205" s="1" t="s">
        <v>7230</v>
      </c>
      <c r="D1205" s="1" t="s">
        <v>7231</v>
      </c>
      <c r="E1205" s="1" t="s">
        <v>7230</v>
      </c>
      <c r="F1205" s="1">
        <v>-3</v>
      </c>
      <c r="G1205" s="1">
        <v>-3</v>
      </c>
      <c r="H1205" s="1">
        <v>0</v>
      </c>
      <c r="I1205" s="1">
        <v>0</v>
      </c>
      <c r="J1205" s="1">
        <v>3</v>
      </c>
      <c r="K1205" s="1">
        <v>-3</v>
      </c>
    </row>
    <row r="1206" spans="3:11" x14ac:dyDescent="0.25">
      <c r="C1206" s="1" t="s">
        <v>7232</v>
      </c>
      <c r="D1206" s="1" t="s">
        <v>7233</v>
      </c>
      <c r="E1206" s="1" t="s">
        <v>7232</v>
      </c>
      <c r="F1206" s="1">
        <v>-3</v>
      </c>
      <c r="G1206" s="1">
        <v>-3</v>
      </c>
      <c r="H1206" s="1">
        <v>0</v>
      </c>
      <c r="I1206" s="1">
        <v>0</v>
      </c>
      <c r="J1206" s="1">
        <v>3</v>
      </c>
      <c r="K1206" s="1">
        <v>-3</v>
      </c>
    </row>
    <row r="1207" spans="3:11" x14ac:dyDescent="0.25">
      <c r="C1207" s="1" t="s">
        <v>7234</v>
      </c>
      <c r="D1207" s="1" t="s">
        <v>7235</v>
      </c>
      <c r="E1207" s="1" t="s">
        <v>7236</v>
      </c>
      <c r="F1207" s="1">
        <v>-3</v>
      </c>
      <c r="G1207" s="1">
        <v>-3</v>
      </c>
      <c r="H1207" s="1">
        <v>0</v>
      </c>
      <c r="I1207" s="1">
        <v>0</v>
      </c>
      <c r="J1207" s="1">
        <v>3</v>
      </c>
      <c r="K1207" s="1">
        <v>-3</v>
      </c>
    </row>
    <row r="1208" spans="3:11" x14ac:dyDescent="0.25">
      <c r="C1208" s="1" t="s">
        <v>7237</v>
      </c>
      <c r="D1208" s="1" t="s">
        <v>7238</v>
      </c>
      <c r="E1208" s="1" t="s">
        <v>7239</v>
      </c>
      <c r="F1208" s="1">
        <v>-3</v>
      </c>
      <c r="G1208" s="1">
        <v>-3</v>
      </c>
      <c r="H1208" s="1">
        <v>0</v>
      </c>
      <c r="I1208" s="1">
        <v>0</v>
      </c>
      <c r="J1208" s="1">
        <v>3</v>
      </c>
      <c r="K1208" s="1">
        <v>-3</v>
      </c>
    </row>
    <row r="1209" spans="3:11" x14ac:dyDescent="0.25">
      <c r="C1209" s="1" t="s">
        <v>7240</v>
      </c>
      <c r="D1209" s="1" t="s">
        <v>7241</v>
      </c>
      <c r="E1209" s="1" t="s">
        <v>7242</v>
      </c>
      <c r="F1209" s="1">
        <v>-3</v>
      </c>
      <c r="G1209" s="1">
        <v>-3</v>
      </c>
      <c r="H1209" s="1">
        <v>0</v>
      </c>
      <c r="I1209" s="1">
        <v>0</v>
      </c>
      <c r="J1209" s="1">
        <v>3</v>
      </c>
      <c r="K1209" s="1">
        <v>-3</v>
      </c>
    </row>
    <row r="1210" spans="3:11" x14ac:dyDescent="0.25">
      <c r="C1210" s="1" t="s">
        <v>7243</v>
      </c>
      <c r="D1210" s="1" t="s">
        <v>7244</v>
      </c>
      <c r="E1210" s="1" t="s">
        <v>7245</v>
      </c>
      <c r="F1210" s="1">
        <v>-3</v>
      </c>
      <c r="G1210" s="1">
        <v>-3</v>
      </c>
      <c r="H1210" s="1">
        <v>0</v>
      </c>
      <c r="I1210" s="1">
        <v>0</v>
      </c>
      <c r="J1210" s="1">
        <v>3</v>
      </c>
      <c r="K1210" s="1">
        <v>-3</v>
      </c>
    </row>
    <row r="1211" spans="3:11" x14ac:dyDescent="0.25">
      <c r="C1211" s="1" t="s">
        <v>7246</v>
      </c>
      <c r="D1211" s="1" t="s">
        <v>7247</v>
      </c>
      <c r="E1211" s="1" t="s">
        <v>7246</v>
      </c>
      <c r="F1211" s="1">
        <v>-3</v>
      </c>
      <c r="G1211" s="1">
        <v>-3</v>
      </c>
      <c r="H1211" s="1">
        <v>0</v>
      </c>
      <c r="I1211" s="1">
        <v>0</v>
      </c>
      <c r="J1211" s="1">
        <v>3</v>
      </c>
      <c r="K1211" s="1">
        <v>-3</v>
      </c>
    </row>
    <row r="1212" spans="3:11" x14ac:dyDescent="0.25">
      <c r="C1212" s="1" t="s">
        <v>7248</v>
      </c>
      <c r="D1212" s="1" t="s">
        <v>7249</v>
      </c>
      <c r="E1212" s="1" t="s">
        <v>7250</v>
      </c>
      <c r="F1212" s="1">
        <v>-3</v>
      </c>
      <c r="G1212" s="1">
        <v>-3</v>
      </c>
      <c r="H1212" s="1">
        <v>0</v>
      </c>
      <c r="I1212" s="1">
        <v>0</v>
      </c>
      <c r="J1212" s="1">
        <v>3</v>
      </c>
      <c r="K1212" s="1">
        <v>-3</v>
      </c>
    </row>
    <row r="1213" spans="3:11" x14ac:dyDescent="0.25">
      <c r="C1213" s="1" t="s">
        <v>7251</v>
      </c>
      <c r="D1213" s="1" t="s">
        <v>7252</v>
      </c>
      <c r="E1213" s="1" t="s">
        <v>7253</v>
      </c>
      <c r="F1213" s="1">
        <v>-3</v>
      </c>
      <c r="G1213" s="1">
        <v>-3</v>
      </c>
      <c r="H1213" s="1">
        <v>0</v>
      </c>
      <c r="I1213" s="1">
        <v>0</v>
      </c>
      <c r="J1213" s="1">
        <v>3</v>
      </c>
      <c r="K1213" s="1">
        <v>-3</v>
      </c>
    </row>
    <row r="1214" spans="3:11" x14ac:dyDescent="0.25">
      <c r="C1214" s="1" t="s">
        <v>7254</v>
      </c>
      <c r="D1214" s="1" t="s">
        <v>7255</v>
      </c>
      <c r="E1214" s="1" t="s">
        <v>7256</v>
      </c>
      <c r="F1214" s="1">
        <v>-3</v>
      </c>
      <c r="G1214" s="1">
        <v>-3</v>
      </c>
      <c r="H1214" s="1">
        <v>0</v>
      </c>
      <c r="I1214" s="1">
        <v>0</v>
      </c>
      <c r="J1214" s="1">
        <v>3</v>
      </c>
      <c r="K1214" s="1">
        <v>-3</v>
      </c>
    </row>
    <row r="1215" spans="3:11" x14ac:dyDescent="0.25">
      <c r="D1215" s="1" t="s">
        <v>7257</v>
      </c>
      <c r="E1215" s="1" t="s">
        <v>7258</v>
      </c>
      <c r="F1215" s="1">
        <v>-3</v>
      </c>
      <c r="G1215" s="1">
        <v>-3</v>
      </c>
      <c r="H1215" s="1">
        <v>0</v>
      </c>
      <c r="I1215" s="1">
        <v>0</v>
      </c>
      <c r="J1215" s="1">
        <v>3</v>
      </c>
      <c r="K1215" s="1">
        <v>-3</v>
      </c>
    </row>
    <row r="1216" spans="3:11" x14ac:dyDescent="0.25">
      <c r="D1216" s="1" t="s">
        <v>7259</v>
      </c>
      <c r="E1216" s="1" t="s">
        <v>7260</v>
      </c>
      <c r="F1216" s="1">
        <v>-3</v>
      </c>
      <c r="G1216" s="1">
        <v>-3</v>
      </c>
      <c r="H1216" s="1">
        <v>0</v>
      </c>
      <c r="I1216" s="1">
        <v>0</v>
      </c>
      <c r="J1216" s="1">
        <v>3</v>
      </c>
      <c r="K1216" s="1">
        <v>-3</v>
      </c>
    </row>
    <row r="1217" spans="3:11" x14ac:dyDescent="0.25">
      <c r="C1217" s="1" t="s">
        <v>7261</v>
      </c>
      <c r="D1217" s="1" t="s">
        <v>7262</v>
      </c>
      <c r="E1217" s="1" t="s">
        <v>7263</v>
      </c>
      <c r="F1217" s="1">
        <v>-3</v>
      </c>
      <c r="G1217" s="1">
        <v>-3</v>
      </c>
      <c r="H1217" s="1">
        <v>0</v>
      </c>
      <c r="I1217" s="1">
        <v>0</v>
      </c>
      <c r="J1217" s="1">
        <v>3</v>
      </c>
      <c r="K1217" s="1">
        <v>-3</v>
      </c>
    </row>
    <row r="1218" spans="3:11" x14ac:dyDescent="0.25">
      <c r="D1218" s="1" t="s">
        <v>7264</v>
      </c>
      <c r="E1218" s="1" t="s">
        <v>7265</v>
      </c>
      <c r="F1218" s="1">
        <v>-3</v>
      </c>
      <c r="G1218" s="1">
        <v>-3</v>
      </c>
      <c r="H1218" s="1">
        <v>0</v>
      </c>
      <c r="I1218" s="1">
        <v>0</v>
      </c>
      <c r="J1218" s="1">
        <v>3</v>
      </c>
      <c r="K1218" s="1">
        <v>-3</v>
      </c>
    </row>
    <row r="1219" spans="3:11" x14ac:dyDescent="0.25">
      <c r="D1219" s="1" t="s">
        <v>7266</v>
      </c>
      <c r="E1219" s="1" t="s">
        <v>7267</v>
      </c>
      <c r="F1219" s="1">
        <v>-3</v>
      </c>
      <c r="G1219" s="1">
        <v>-3</v>
      </c>
      <c r="H1219" s="1">
        <v>0</v>
      </c>
      <c r="I1219" s="1">
        <v>0</v>
      </c>
      <c r="J1219" s="1">
        <v>3</v>
      </c>
      <c r="K1219" s="1">
        <v>-3</v>
      </c>
    </row>
    <row r="1220" spans="3:11" x14ac:dyDescent="0.25">
      <c r="D1220" s="1" t="s">
        <v>7268</v>
      </c>
      <c r="E1220" s="1" t="s">
        <v>7269</v>
      </c>
      <c r="F1220" s="1">
        <v>-3</v>
      </c>
      <c r="G1220" s="1">
        <v>-3</v>
      </c>
      <c r="H1220" s="1">
        <v>0</v>
      </c>
      <c r="I1220" s="1">
        <v>0</v>
      </c>
      <c r="J1220" s="1">
        <v>3</v>
      </c>
      <c r="K1220" s="1">
        <v>-3</v>
      </c>
    </row>
    <row r="1221" spans="3:11" x14ac:dyDescent="0.25">
      <c r="C1221" s="1" t="s">
        <v>7270</v>
      </c>
      <c r="D1221" s="1" t="s">
        <v>7271</v>
      </c>
      <c r="E1221" s="1" t="s">
        <v>7272</v>
      </c>
      <c r="F1221" s="1">
        <v>-3</v>
      </c>
      <c r="G1221" s="1">
        <v>-3</v>
      </c>
      <c r="H1221" s="1">
        <v>0</v>
      </c>
      <c r="I1221" s="1">
        <v>0</v>
      </c>
      <c r="J1221" s="1">
        <v>3</v>
      </c>
      <c r="K1221" s="1">
        <v>-3</v>
      </c>
    </row>
    <row r="1222" spans="3:11" x14ac:dyDescent="0.25">
      <c r="D1222" s="1" t="s">
        <v>7273</v>
      </c>
      <c r="E1222" s="1" t="s">
        <v>7274</v>
      </c>
      <c r="F1222" s="1">
        <v>-3</v>
      </c>
      <c r="G1222" s="1">
        <v>-3</v>
      </c>
      <c r="H1222" s="1">
        <v>0</v>
      </c>
      <c r="I1222" s="1">
        <v>0</v>
      </c>
      <c r="J1222" s="1">
        <v>3</v>
      </c>
      <c r="K1222" s="1">
        <v>-3</v>
      </c>
    </row>
    <row r="1223" spans="3:11" x14ac:dyDescent="0.25">
      <c r="D1223" s="1" t="s">
        <v>7275</v>
      </c>
      <c r="E1223" s="1" t="s">
        <v>7276</v>
      </c>
      <c r="F1223" s="1">
        <v>-3</v>
      </c>
      <c r="G1223" s="1">
        <v>-3</v>
      </c>
      <c r="H1223" s="1">
        <v>0</v>
      </c>
      <c r="I1223" s="1">
        <v>0</v>
      </c>
      <c r="J1223" s="1">
        <v>3</v>
      </c>
      <c r="K1223" s="1">
        <v>-3</v>
      </c>
    </row>
    <row r="1224" spans="3:11" x14ac:dyDescent="0.25">
      <c r="C1224" s="1" t="s">
        <v>7277</v>
      </c>
      <c r="D1224" s="1" t="s">
        <v>7278</v>
      </c>
      <c r="E1224" s="1" t="s">
        <v>7279</v>
      </c>
      <c r="F1224" s="1">
        <v>-3</v>
      </c>
      <c r="G1224" s="1">
        <v>-3</v>
      </c>
      <c r="H1224" s="1">
        <v>0</v>
      </c>
      <c r="I1224" s="1">
        <v>0</v>
      </c>
      <c r="J1224" s="1">
        <v>3</v>
      </c>
      <c r="K1224" s="1">
        <v>-3</v>
      </c>
    </row>
    <row r="1225" spans="3:11" x14ac:dyDescent="0.25">
      <c r="D1225" s="1" t="s">
        <v>7280</v>
      </c>
      <c r="E1225" s="1" t="s">
        <v>7281</v>
      </c>
      <c r="F1225" s="1">
        <v>-3</v>
      </c>
      <c r="G1225" s="1">
        <v>-3</v>
      </c>
      <c r="H1225" s="1">
        <v>0</v>
      </c>
      <c r="I1225" s="1">
        <v>0</v>
      </c>
      <c r="J1225" s="1">
        <v>3</v>
      </c>
      <c r="K1225" s="1">
        <v>-3</v>
      </c>
    </row>
    <row r="1226" spans="3:11" x14ac:dyDescent="0.25">
      <c r="C1226" s="1" t="s">
        <v>7282</v>
      </c>
      <c r="D1226" s="1" t="s">
        <v>7283</v>
      </c>
      <c r="E1226" s="1" t="s">
        <v>7284</v>
      </c>
      <c r="F1226" s="1">
        <v>-3</v>
      </c>
      <c r="G1226" s="1">
        <v>-3</v>
      </c>
      <c r="H1226" s="1">
        <v>0</v>
      </c>
      <c r="I1226" s="1">
        <v>0</v>
      </c>
      <c r="J1226" s="1">
        <v>3</v>
      </c>
      <c r="K1226" s="1">
        <v>-3</v>
      </c>
    </row>
    <row r="1227" spans="3:11" x14ac:dyDescent="0.25">
      <c r="D1227" s="1" t="s">
        <v>7285</v>
      </c>
      <c r="E1227" s="1" t="s">
        <v>7286</v>
      </c>
      <c r="F1227" s="1">
        <v>-3</v>
      </c>
      <c r="G1227" s="1">
        <v>-3</v>
      </c>
      <c r="H1227" s="1">
        <v>0</v>
      </c>
      <c r="I1227" s="1">
        <v>0</v>
      </c>
      <c r="J1227" s="1">
        <v>3</v>
      </c>
      <c r="K1227" s="1">
        <v>-3</v>
      </c>
    </row>
    <row r="1228" spans="3:11" x14ac:dyDescent="0.25">
      <c r="C1228" s="1" t="s">
        <v>7287</v>
      </c>
      <c r="D1228" s="1" t="s">
        <v>7288</v>
      </c>
      <c r="E1228" s="1" t="s">
        <v>7289</v>
      </c>
      <c r="F1228" s="1">
        <v>-3</v>
      </c>
      <c r="G1228" s="1">
        <v>-3</v>
      </c>
      <c r="H1228" s="1">
        <v>0</v>
      </c>
      <c r="I1228" s="1">
        <v>0</v>
      </c>
      <c r="J1228" s="1">
        <v>3</v>
      </c>
      <c r="K1228" s="1">
        <v>-3</v>
      </c>
    </row>
    <row r="1229" spans="3:11" x14ac:dyDescent="0.25">
      <c r="D1229" s="1" t="s">
        <v>7290</v>
      </c>
      <c r="E1229" s="1" t="s">
        <v>7291</v>
      </c>
      <c r="F1229" s="1">
        <v>-3</v>
      </c>
      <c r="G1229" s="1">
        <v>-3</v>
      </c>
      <c r="H1229" s="1">
        <v>0</v>
      </c>
      <c r="I1229" s="1">
        <v>0</v>
      </c>
      <c r="J1229" s="1">
        <v>3</v>
      </c>
      <c r="K1229" s="1">
        <v>-3</v>
      </c>
    </row>
    <row r="1230" spans="3:11" x14ac:dyDescent="0.25">
      <c r="D1230" s="1" t="s">
        <v>7292</v>
      </c>
      <c r="E1230" s="1" t="s">
        <v>7293</v>
      </c>
      <c r="F1230" s="1">
        <v>-3</v>
      </c>
      <c r="G1230" s="1">
        <v>-3</v>
      </c>
      <c r="H1230" s="1">
        <v>0</v>
      </c>
      <c r="I1230" s="1">
        <v>0</v>
      </c>
      <c r="J1230" s="1">
        <v>3</v>
      </c>
      <c r="K1230" s="1">
        <v>-3</v>
      </c>
    </row>
    <row r="1231" spans="3:11" x14ac:dyDescent="0.25">
      <c r="C1231" s="1" t="s">
        <v>7294</v>
      </c>
      <c r="D1231" s="1" t="s">
        <v>7295</v>
      </c>
      <c r="E1231" s="1" t="s">
        <v>7296</v>
      </c>
      <c r="F1231" s="1">
        <v>-3</v>
      </c>
      <c r="G1231" s="1">
        <v>-3</v>
      </c>
      <c r="H1231" s="1">
        <v>0</v>
      </c>
      <c r="I1231" s="1">
        <v>0</v>
      </c>
      <c r="J1231" s="1">
        <v>3</v>
      </c>
      <c r="K1231" s="1">
        <v>-3</v>
      </c>
    </row>
    <row r="1232" spans="3:11" x14ac:dyDescent="0.25">
      <c r="C1232" s="1" t="s">
        <v>7297</v>
      </c>
      <c r="D1232" s="1" t="s">
        <v>7298</v>
      </c>
      <c r="E1232" s="1" t="s">
        <v>7299</v>
      </c>
      <c r="F1232" s="1">
        <v>-3</v>
      </c>
      <c r="G1232" s="1">
        <v>-3</v>
      </c>
      <c r="H1232" s="1">
        <v>0</v>
      </c>
      <c r="I1232" s="1">
        <v>0</v>
      </c>
      <c r="J1232" s="1">
        <v>3</v>
      </c>
      <c r="K1232" s="1">
        <v>-3</v>
      </c>
    </row>
    <row r="1233" spans="3:11" x14ac:dyDescent="0.25">
      <c r="C1233" s="1" t="s">
        <v>7300</v>
      </c>
      <c r="D1233" s="1" t="s">
        <v>7301</v>
      </c>
      <c r="E1233" s="1" t="s">
        <v>7302</v>
      </c>
      <c r="F1233" s="1">
        <v>-3</v>
      </c>
      <c r="G1233" s="1">
        <v>-3</v>
      </c>
      <c r="H1233" s="1">
        <v>0</v>
      </c>
      <c r="I1233" s="1">
        <v>0</v>
      </c>
      <c r="J1233" s="1">
        <v>3</v>
      </c>
      <c r="K1233" s="1">
        <v>-3</v>
      </c>
    </row>
    <row r="1234" spans="3:11" x14ac:dyDescent="0.25">
      <c r="D1234" s="1" t="s">
        <v>7303</v>
      </c>
      <c r="E1234" s="1" t="s">
        <v>7304</v>
      </c>
      <c r="F1234" s="1">
        <v>-3</v>
      </c>
      <c r="G1234" s="1">
        <v>-3</v>
      </c>
      <c r="H1234" s="1">
        <v>0</v>
      </c>
      <c r="I1234" s="1">
        <v>0</v>
      </c>
      <c r="J1234" s="1">
        <v>3</v>
      </c>
      <c r="K1234" s="1">
        <v>-3</v>
      </c>
    </row>
    <row r="1235" spans="3:11" x14ac:dyDescent="0.25">
      <c r="D1235" s="1" t="s">
        <v>7305</v>
      </c>
      <c r="E1235" s="1" t="s">
        <v>7306</v>
      </c>
      <c r="F1235" s="1">
        <v>-3</v>
      </c>
      <c r="G1235" s="1">
        <v>-3</v>
      </c>
      <c r="H1235" s="1">
        <v>0</v>
      </c>
      <c r="I1235" s="1">
        <v>0</v>
      </c>
      <c r="J1235" s="1">
        <v>3</v>
      </c>
      <c r="K1235" s="1">
        <v>-3</v>
      </c>
    </row>
    <row r="1236" spans="3:11" x14ac:dyDescent="0.25">
      <c r="D1236" s="1" t="s">
        <v>7307</v>
      </c>
      <c r="E1236" s="1" t="s">
        <v>7308</v>
      </c>
      <c r="F1236" s="1">
        <v>-3</v>
      </c>
      <c r="G1236" s="1">
        <v>-3</v>
      </c>
      <c r="H1236" s="1">
        <v>0</v>
      </c>
      <c r="I1236" s="1">
        <v>0</v>
      </c>
      <c r="J1236" s="1">
        <v>3</v>
      </c>
      <c r="K1236" s="1">
        <v>-3</v>
      </c>
    </row>
    <row r="1237" spans="3:11" x14ac:dyDescent="0.25">
      <c r="C1237" s="1" t="s">
        <v>7309</v>
      </c>
      <c r="D1237" s="1" t="s">
        <v>7310</v>
      </c>
      <c r="E1237" s="1" t="s">
        <v>7311</v>
      </c>
      <c r="F1237" s="1">
        <v>-3</v>
      </c>
      <c r="G1237" s="1">
        <v>-3</v>
      </c>
      <c r="H1237" s="1">
        <v>0</v>
      </c>
      <c r="I1237" s="1">
        <v>0</v>
      </c>
      <c r="J1237" s="1">
        <v>3</v>
      </c>
      <c r="K1237" s="1">
        <v>-3</v>
      </c>
    </row>
    <row r="1238" spans="3:11" x14ac:dyDescent="0.25">
      <c r="C1238" s="1" t="s">
        <v>7312</v>
      </c>
      <c r="D1238" s="1" t="s">
        <v>7313</v>
      </c>
      <c r="E1238" s="1" t="s">
        <v>7314</v>
      </c>
      <c r="F1238" s="1">
        <v>-3</v>
      </c>
      <c r="G1238" s="1">
        <v>-3</v>
      </c>
      <c r="H1238" s="1">
        <v>0</v>
      </c>
      <c r="I1238" s="1">
        <v>0</v>
      </c>
      <c r="J1238" s="1">
        <v>3</v>
      </c>
      <c r="K1238" s="1">
        <v>-3</v>
      </c>
    </row>
    <row r="1239" spans="3:11" x14ac:dyDescent="0.25">
      <c r="C1239" s="1" t="s">
        <v>7315</v>
      </c>
      <c r="D1239" s="1" t="s">
        <v>7316</v>
      </c>
      <c r="E1239" s="1" t="s">
        <v>7317</v>
      </c>
      <c r="F1239" s="1">
        <v>-3</v>
      </c>
      <c r="G1239" s="1">
        <v>-3</v>
      </c>
      <c r="H1239" s="1">
        <v>0</v>
      </c>
      <c r="I1239" s="1">
        <v>0</v>
      </c>
      <c r="J1239" s="1">
        <v>3</v>
      </c>
      <c r="K1239" s="1">
        <v>-3</v>
      </c>
    </row>
    <row r="1240" spans="3:11" x14ac:dyDescent="0.25">
      <c r="C1240" s="1" t="s">
        <v>7318</v>
      </c>
      <c r="D1240" s="1" t="s">
        <v>7319</v>
      </c>
      <c r="E1240" s="1" t="s">
        <v>7320</v>
      </c>
      <c r="F1240" s="1">
        <v>-3</v>
      </c>
      <c r="G1240" s="1">
        <v>-3</v>
      </c>
      <c r="H1240" s="1">
        <v>0</v>
      </c>
      <c r="I1240" s="1">
        <v>0</v>
      </c>
      <c r="J1240" s="1">
        <v>3</v>
      </c>
      <c r="K1240" s="1">
        <v>-3</v>
      </c>
    </row>
    <row r="1241" spans="3:11" x14ac:dyDescent="0.25">
      <c r="C1241" s="1" t="s">
        <v>7321</v>
      </c>
      <c r="D1241" s="1" t="s">
        <v>7322</v>
      </c>
      <c r="E1241" s="1" t="s">
        <v>7323</v>
      </c>
      <c r="F1241" s="1">
        <v>-3</v>
      </c>
      <c r="G1241" s="1">
        <v>-3</v>
      </c>
      <c r="H1241" s="1">
        <v>0</v>
      </c>
      <c r="I1241" s="1">
        <v>0</v>
      </c>
      <c r="J1241" s="1">
        <v>3</v>
      </c>
      <c r="K1241" s="1">
        <v>-3</v>
      </c>
    </row>
    <row r="1242" spans="3:11" x14ac:dyDescent="0.25">
      <c r="D1242" s="1" t="s">
        <v>7324</v>
      </c>
      <c r="E1242" s="1" t="s">
        <v>7325</v>
      </c>
      <c r="F1242" s="1">
        <v>-3</v>
      </c>
      <c r="G1242" s="1">
        <v>-3</v>
      </c>
      <c r="H1242" s="1">
        <v>0</v>
      </c>
      <c r="I1242" s="1">
        <v>0</v>
      </c>
      <c r="J1242" s="1">
        <v>3</v>
      </c>
      <c r="K1242" s="1">
        <v>-3</v>
      </c>
    </row>
    <row r="1243" spans="3:11" x14ac:dyDescent="0.25">
      <c r="C1243" s="1" t="s">
        <v>7326</v>
      </c>
      <c r="D1243" s="1" t="s">
        <v>7327</v>
      </c>
      <c r="E1243" s="1" t="s">
        <v>7328</v>
      </c>
      <c r="F1243" s="1">
        <v>-3</v>
      </c>
      <c r="G1243" s="1">
        <v>-3</v>
      </c>
      <c r="H1243" s="1">
        <v>0</v>
      </c>
      <c r="I1243" s="1">
        <v>0</v>
      </c>
      <c r="J1243" s="1">
        <v>3</v>
      </c>
      <c r="K1243" s="1">
        <v>-3</v>
      </c>
    </row>
    <row r="1244" spans="3:11" x14ac:dyDescent="0.25">
      <c r="C1244" s="1" t="s">
        <v>7329</v>
      </c>
      <c r="D1244" s="1" t="s">
        <v>7330</v>
      </c>
      <c r="E1244" s="1" t="s">
        <v>7331</v>
      </c>
      <c r="F1244" s="1">
        <v>-3</v>
      </c>
      <c r="G1244" s="1">
        <v>-3</v>
      </c>
      <c r="H1244" s="1">
        <v>0</v>
      </c>
      <c r="I1244" s="1">
        <v>0</v>
      </c>
      <c r="J1244" s="1">
        <v>3</v>
      </c>
      <c r="K1244" s="1">
        <v>-3</v>
      </c>
    </row>
    <row r="1245" spans="3:11" x14ac:dyDescent="0.25">
      <c r="D1245" s="1" t="s">
        <v>7332</v>
      </c>
      <c r="E1245" s="1" t="s">
        <v>7333</v>
      </c>
      <c r="F1245" s="1">
        <v>-3</v>
      </c>
      <c r="G1245" s="1">
        <v>-3</v>
      </c>
      <c r="H1245" s="1">
        <v>0</v>
      </c>
      <c r="I1245" s="1">
        <v>0</v>
      </c>
      <c r="J1245" s="1">
        <v>3</v>
      </c>
      <c r="K1245" s="1">
        <v>-3</v>
      </c>
    </row>
    <row r="1246" spans="3:11" x14ac:dyDescent="0.25">
      <c r="D1246" s="1" t="s">
        <v>7334</v>
      </c>
      <c r="E1246" s="1" t="s">
        <v>7335</v>
      </c>
      <c r="F1246" s="1">
        <v>-3</v>
      </c>
      <c r="G1246" s="1">
        <v>-3</v>
      </c>
      <c r="H1246" s="1">
        <v>0</v>
      </c>
      <c r="I1246" s="1">
        <v>0</v>
      </c>
      <c r="J1246" s="1">
        <v>3</v>
      </c>
      <c r="K1246" s="1">
        <v>-3</v>
      </c>
    </row>
    <row r="1247" spans="3:11" x14ac:dyDescent="0.25">
      <c r="D1247" s="1" t="s">
        <v>7336</v>
      </c>
      <c r="E1247" s="1" t="s">
        <v>7337</v>
      </c>
      <c r="F1247" s="1">
        <v>-3</v>
      </c>
      <c r="G1247" s="1">
        <v>-3</v>
      </c>
      <c r="H1247" s="1">
        <v>0</v>
      </c>
      <c r="I1247" s="1">
        <v>0</v>
      </c>
      <c r="J1247" s="1">
        <v>3</v>
      </c>
      <c r="K1247" s="1">
        <v>-3</v>
      </c>
    </row>
    <row r="1248" spans="3:11" x14ac:dyDescent="0.25">
      <c r="C1248" s="1" t="s">
        <v>7338</v>
      </c>
      <c r="D1248" s="1" t="s">
        <v>7339</v>
      </c>
      <c r="E1248" s="1" t="s">
        <v>7340</v>
      </c>
      <c r="F1248" s="1">
        <v>-3</v>
      </c>
      <c r="G1248" s="1">
        <v>-3</v>
      </c>
      <c r="H1248" s="1">
        <v>0</v>
      </c>
      <c r="I1248" s="1">
        <v>0</v>
      </c>
      <c r="J1248" s="1">
        <v>3</v>
      </c>
      <c r="K1248" s="1">
        <v>-3</v>
      </c>
    </row>
    <row r="1249" spans="3:11" x14ac:dyDescent="0.25">
      <c r="D1249" s="1" t="s">
        <v>7341</v>
      </c>
      <c r="E1249" s="1" t="s">
        <v>7342</v>
      </c>
      <c r="F1249" s="1">
        <v>-3</v>
      </c>
      <c r="G1249" s="1">
        <v>-3</v>
      </c>
      <c r="H1249" s="1">
        <v>0</v>
      </c>
      <c r="I1249" s="1">
        <v>0</v>
      </c>
      <c r="J1249" s="1">
        <v>3</v>
      </c>
      <c r="K1249" s="1">
        <v>-3</v>
      </c>
    </row>
    <row r="1250" spans="3:11" x14ac:dyDescent="0.25">
      <c r="C1250" s="1" t="s">
        <v>7343</v>
      </c>
      <c r="D1250" s="1" t="s">
        <v>7344</v>
      </c>
      <c r="E1250" s="1" t="s">
        <v>7343</v>
      </c>
      <c r="F1250" s="1">
        <v>-3</v>
      </c>
      <c r="G1250" s="1">
        <v>-3</v>
      </c>
      <c r="H1250" s="1">
        <v>0</v>
      </c>
      <c r="I1250" s="1">
        <v>0</v>
      </c>
      <c r="J1250" s="1">
        <v>3</v>
      </c>
      <c r="K1250" s="1">
        <v>-3</v>
      </c>
    </row>
    <row r="1251" spans="3:11" x14ac:dyDescent="0.25">
      <c r="D1251" s="1" t="s">
        <v>7345</v>
      </c>
      <c r="E1251" s="1" t="s">
        <v>7346</v>
      </c>
      <c r="F1251" s="1">
        <v>-3</v>
      </c>
      <c r="G1251" s="1">
        <v>-3</v>
      </c>
      <c r="H1251" s="1">
        <v>0</v>
      </c>
      <c r="I1251" s="1">
        <v>0</v>
      </c>
      <c r="J1251" s="1">
        <v>3</v>
      </c>
      <c r="K1251" s="1">
        <v>-3</v>
      </c>
    </row>
    <row r="1252" spans="3:11" x14ac:dyDescent="0.25">
      <c r="D1252" s="1" t="s">
        <v>7347</v>
      </c>
      <c r="E1252" s="1" t="s">
        <v>7348</v>
      </c>
      <c r="F1252" s="1">
        <v>-3</v>
      </c>
      <c r="G1252" s="1">
        <v>-3</v>
      </c>
      <c r="H1252" s="1">
        <v>0</v>
      </c>
      <c r="I1252" s="1">
        <v>0</v>
      </c>
      <c r="J1252" s="1">
        <v>3</v>
      </c>
      <c r="K1252" s="1">
        <v>-3</v>
      </c>
    </row>
    <row r="1253" spans="3:11" x14ac:dyDescent="0.25">
      <c r="C1253" s="1" t="s">
        <v>7349</v>
      </c>
      <c r="D1253" s="1" t="s">
        <v>7350</v>
      </c>
      <c r="E1253" s="1" t="s">
        <v>7351</v>
      </c>
      <c r="F1253" s="1">
        <v>-3</v>
      </c>
      <c r="G1253" s="1">
        <v>-3</v>
      </c>
      <c r="H1253" s="1">
        <v>0</v>
      </c>
      <c r="I1253" s="1">
        <v>0</v>
      </c>
      <c r="J1253" s="1">
        <v>3</v>
      </c>
      <c r="K1253" s="1">
        <v>-3</v>
      </c>
    </row>
    <row r="1254" spans="3:11" x14ac:dyDescent="0.25">
      <c r="D1254" s="1" t="s">
        <v>7352</v>
      </c>
      <c r="E1254" s="1" t="s">
        <v>7353</v>
      </c>
      <c r="F1254" s="1">
        <v>-3</v>
      </c>
      <c r="G1254" s="1">
        <v>-3</v>
      </c>
      <c r="H1254" s="1">
        <v>0</v>
      </c>
      <c r="I1254" s="1">
        <v>0</v>
      </c>
      <c r="J1254" s="1">
        <v>3</v>
      </c>
      <c r="K1254" s="1">
        <v>-3</v>
      </c>
    </row>
    <row r="1255" spans="3:11" x14ac:dyDescent="0.25">
      <c r="D1255" s="1" t="s">
        <v>7354</v>
      </c>
      <c r="E1255" s="1" t="s">
        <v>7355</v>
      </c>
      <c r="F1255" s="1">
        <v>-3</v>
      </c>
      <c r="G1255" s="1">
        <v>-3</v>
      </c>
      <c r="H1255" s="1">
        <v>0</v>
      </c>
      <c r="I1255" s="1">
        <v>0</v>
      </c>
      <c r="J1255" s="1">
        <v>3</v>
      </c>
      <c r="K1255" s="1">
        <v>-3</v>
      </c>
    </row>
    <row r="1256" spans="3:11" x14ac:dyDescent="0.25">
      <c r="D1256" s="1" t="s">
        <v>7356</v>
      </c>
      <c r="E1256" s="1" t="s">
        <v>7357</v>
      </c>
      <c r="F1256" s="1">
        <v>-3</v>
      </c>
      <c r="G1256" s="1">
        <v>-3</v>
      </c>
      <c r="H1256" s="1">
        <v>0</v>
      </c>
      <c r="I1256" s="1">
        <v>0</v>
      </c>
      <c r="J1256" s="1">
        <v>3</v>
      </c>
      <c r="K1256" s="1">
        <v>-3</v>
      </c>
    </row>
    <row r="1257" spans="3:11" x14ac:dyDescent="0.25">
      <c r="D1257" s="1" t="s">
        <v>7358</v>
      </c>
      <c r="E1257" s="1" t="s">
        <v>7359</v>
      </c>
      <c r="F1257" s="1">
        <v>-3</v>
      </c>
      <c r="G1257" s="1">
        <v>-3</v>
      </c>
      <c r="H1257" s="1">
        <v>0</v>
      </c>
      <c r="I1257" s="1">
        <v>0</v>
      </c>
      <c r="J1257" s="1">
        <v>3</v>
      </c>
      <c r="K1257" s="1">
        <v>-3</v>
      </c>
    </row>
    <row r="1258" spans="3:11" x14ac:dyDescent="0.25">
      <c r="D1258" s="1" t="s">
        <v>7360</v>
      </c>
      <c r="E1258" s="1" t="s">
        <v>7361</v>
      </c>
      <c r="F1258" s="1">
        <v>-3</v>
      </c>
      <c r="G1258" s="1">
        <v>-3</v>
      </c>
      <c r="H1258" s="1">
        <v>0</v>
      </c>
      <c r="I1258" s="1">
        <v>0</v>
      </c>
      <c r="J1258" s="1">
        <v>3</v>
      </c>
      <c r="K1258" s="1">
        <v>-3</v>
      </c>
    </row>
    <row r="1259" spans="3:11" x14ac:dyDescent="0.25">
      <c r="D1259" s="1" t="s">
        <v>7362</v>
      </c>
      <c r="E1259" s="1" t="s">
        <v>7363</v>
      </c>
      <c r="F1259" s="1">
        <v>-3</v>
      </c>
      <c r="G1259" s="1">
        <v>-3</v>
      </c>
      <c r="H1259" s="1">
        <v>0</v>
      </c>
      <c r="I1259" s="1">
        <v>0</v>
      </c>
      <c r="J1259" s="1">
        <v>3</v>
      </c>
      <c r="K1259" s="1">
        <v>-3</v>
      </c>
    </row>
    <row r="1260" spans="3:11" x14ac:dyDescent="0.25">
      <c r="D1260" s="1" t="s">
        <v>7364</v>
      </c>
      <c r="E1260" s="1" t="s">
        <v>7365</v>
      </c>
      <c r="F1260" s="1">
        <v>-3</v>
      </c>
      <c r="G1260" s="1">
        <v>-3</v>
      </c>
      <c r="H1260" s="1">
        <v>0</v>
      </c>
      <c r="I1260" s="1">
        <v>0</v>
      </c>
      <c r="J1260" s="1">
        <v>3</v>
      </c>
      <c r="K1260" s="1">
        <v>-3</v>
      </c>
    </row>
    <row r="1261" spans="3:11" x14ac:dyDescent="0.25">
      <c r="D1261" s="1" t="s">
        <v>7366</v>
      </c>
      <c r="E1261" s="1" t="s">
        <v>7367</v>
      </c>
      <c r="F1261" s="1">
        <v>-3</v>
      </c>
      <c r="G1261" s="1">
        <v>-3</v>
      </c>
      <c r="H1261" s="1">
        <v>0</v>
      </c>
      <c r="I1261" s="1">
        <v>0</v>
      </c>
      <c r="J1261" s="1">
        <v>3</v>
      </c>
      <c r="K1261" s="1">
        <v>-3</v>
      </c>
    </row>
    <row r="1262" spans="3:11" x14ac:dyDescent="0.25">
      <c r="C1262" s="1" t="s">
        <v>4207</v>
      </c>
      <c r="D1262" s="1" t="s">
        <v>4208</v>
      </c>
      <c r="E1262" s="1" t="s">
        <v>4209</v>
      </c>
      <c r="F1262" s="1">
        <v>-3</v>
      </c>
      <c r="G1262" s="1">
        <v>-3</v>
      </c>
      <c r="H1262" s="1">
        <v>0</v>
      </c>
      <c r="I1262" s="1">
        <v>0</v>
      </c>
      <c r="J1262" s="1">
        <v>3</v>
      </c>
      <c r="K1262" s="1">
        <v>-3</v>
      </c>
    </row>
    <row r="1263" spans="3:11" x14ac:dyDescent="0.25">
      <c r="C1263" s="1" t="s">
        <v>7368</v>
      </c>
      <c r="D1263" s="1" t="s">
        <v>7369</v>
      </c>
      <c r="E1263" s="1" t="s">
        <v>7368</v>
      </c>
      <c r="F1263" s="1">
        <v>-3</v>
      </c>
      <c r="G1263" s="1">
        <v>-3</v>
      </c>
      <c r="H1263" s="1">
        <v>0</v>
      </c>
      <c r="I1263" s="1">
        <v>0</v>
      </c>
      <c r="J1263" s="1">
        <v>3</v>
      </c>
      <c r="K1263" s="1">
        <v>-3</v>
      </c>
    </row>
    <row r="1264" spans="3:11" x14ac:dyDescent="0.25">
      <c r="C1264" s="1" t="s">
        <v>7370</v>
      </c>
      <c r="D1264" s="1" t="s">
        <v>7371</v>
      </c>
      <c r="E1264" s="1" t="s">
        <v>7370</v>
      </c>
      <c r="F1264" s="1">
        <v>-3</v>
      </c>
      <c r="G1264" s="1">
        <v>-3</v>
      </c>
      <c r="H1264" s="1">
        <v>0</v>
      </c>
      <c r="I1264" s="1">
        <v>0</v>
      </c>
      <c r="J1264" s="1">
        <v>3</v>
      </c>
      <c r="K1264" s="1">
        <v>-3</v>
      </c>
    </row>
    <row r="1265" spans="3:11" x14ac:dyDescent="0.25">
      <c r="D1265" s="1" t="s">
        <v>7372</v>
      </c>
      <c r="E1265" s="1" t="s">
        <v>7373</v>
      </c>
      <c r="F1265" s="1">
        <v>-3</v>
      </c>
      <c r="G1265" s="1">
        <v>-3</v>
      </c>
      <c r="H1265" s="1">
        <v>0</v>
      </c>
      <c r="I1265" s="1">
        <v>0</v>
      </c>
      <c r="J1265" s="1">
        <v>3</v>
      </c>
      <c r="K1265" s="1">
        <v>-3</v>
      </c>
    </row>
    <row r="1266" spans="3:11" x14ac:dyDescent="0.25">
      <c r="C1266" s="1" t="s">
        <v>2027</v>
      </c>
      <c r="D1266" s="1" t="s">
        <v>2028</v>
      </c>
      <c r="E1266" s="1" t="s">
        <v>2029</v>
      </c>
      <c r="F1266" s="1">
        <v>-3</v>
      </c>
      <c r="G1266" s="1">
        <v>-3</v>
      </c>
      <c r="H1266" s="1">
        <v>0</v>
      </c>
      <c r="I1266" s="1">
        <v>0</v>
      </c>
      <c r="J1266" s="1">
        <v>3</v>
      </c>
      <c r="K1266" s="1">
        <v>-3</v>
      </c>
    </row>
    <row r="1267" spans="3:11" x14ac:dyDescent="0.25">
      <c r="C1267" s="1" t="s">
        <v>4236</v>
      </c>
      <c r="D1267" s="1" t="s">
        <v>4237</v>
      </c>
      <c r="E1267" s="1" t="s">
        <v>4238</v>
      </c>
      <c r="F1267" s="1">
        <v>-3</v>
      </c>
      <c r="G1267" s="1">
        <v>-3</v>
      </c>
      <c r="H1267" s="1">
        <v>0</v>
      </c>
      <c r="I1267" s="1">
        <v>0</v>
      </c>
      <c r="J1267" s="1">
        <v>3</v>
      </c>
      <c r="K1267" s="1">
        <v>-3</v>
      </c>
    </row>
    <row r="1268" spans="3:11" x14ac:dyDescent="0.25">
      <c r="C1268" s="1" t="s">
        <v>4391</v>
      </c>
      <c r="D1268" s="1" t="s">
        <v>4392</v>
      </c>
      <c r="E1268" s="1" t="s">
        <v>4393</v>
      </c>
      <c r="F1268" s="1">
        <v>-3</v>
      </c>
      <c r="G1268" s="1">
        <v>-3</v>
      </c>
      <c r="H1268" s="1">
        <v>0</v>
      </c>
      <c r="I1268" s="1">
        <v>0</v>
      </c>
      <c r="J1268" s="1">
        <v>3</v>
      </c>
      <c r="K1268" s="1">
        <v>-3</v>
      </c>
    </row>
    <row r="1269" spans="3:11" x14ac:dyDescent="0.25">
      <c r="C1269" s="1" t="s">
        <v>7374</v>
      </c>
      <c r="D1269" s="1" t="s">
        <v>7375</v>
      </c>
      <c r="E1269" s="1" t="s">
        <v>7376</v>
      </c>
      <c r="F1269" s="1">
        <v>-3</v>
      </c>
      <c r="G1269" s="1">
        <v>-3</v>
      </c>
      <c r="H1269" s="1">
        <v>0</v>
      </c>
      <c r="I1269" s="1">
        <v>0</v>
      </c>
      <c r="J1269" s="1">
        <v>3</v>
      </c>
      <c r="K1269" s="1">
        <v>-3</v>
      </c>
    </row>
    <row r="1270" spans="3:11" x14ac:dyDescent="0.25">
      <c r="C1270" s="1" t="s">
        <v>2350</v>
      </c>
      <c r="D1270" s="1" t="s">
        <v>3</v>
      </c>
      <c r="E1270" s="1" t="s">
        <v>2351</v>
      </c>
      <c r="F1270" s="1">
        <v>-2</v>
      </c>
      <c r="G1270" s="1">
        <v>-2</v>
      </c>
      <c r="H1270" s="1">
        <v>0</v>
      </c>
      <c r="I1270" s="1">
        <v>14093</v>
      </c>
      <c r="J1270" s="1">
        <v>14095</v>
      </c>
      <c r="K1270" s="1">
        <v>-2</v>
      </c>
    </row>
    <row r="1271" spans="3:11" x14ac:dyDescent="0.25">
      <c r="C1271" s="1" t="s">
        <v>7377</v>
      </c>
      <c r="D1271" s="1" t="s">
        <v>7378</v>
      </c>
      <c r="E1271" s="1" t="s">
        <v>7379</v>
      </c>
      <c r="F1271" s="1">
        <v>-2</v>
      </c>
      <c r="G1271" s="1">
        <v>-2</v>
      </c>
      <c r="H1271" s="1">
        <v>0</v>
      </c>
      <c r="I1271" s="1">
        <v>9334</v>
      </c>
      <c r="J1271" s="1">
        <v>9336</v>
      </c>
      <c r="K1271" s="1">
        <v>-2</v>
      </c>
    </row>
    <row r="1272" spans="3:11" x14ac:dyDescent="0.25">
      <c r="C1272" s="1" t="s">
        <v>2404</v>
      </c>
      <c r="D1272" s="1" t="s">
        <v>2405</v>
      </c>
      <c r="E1272" s="1" t="s">
        <v>2406</v>
      </c>
      <c r="F1272" s="1">
        <v>-2</v>
      </c>
      <c r="G1272" s="1">
        <v>-2</v>
      </c>
      <c r="H1272" s="1">
        <v>0</v>
      </c>
      <c r="I1272" s="1">
        <v>4039</v>
      </c>
      <c r="J1272" s="1">
        <v>4041</v>
      </c>
      <c r="K1272" s="1">
        <v>-2</v>
      </c>
    </row>
    <row r="1273" spans="3:11" x14ac:dyDescent="0.25">
      <c r="C1273" s="1" t="s">
        <v>7380</v>
      </c>
      <c r="D1273" s="1" t="s">
        <v>7381</v>
      </c>
      <c r="E1273" s="1" t="s">
        <v>7382</v>
      </c>
      <c r="F1273" s="1">
        <v>-2</v>
      </c>
      <c r="G1273" s="1">
        <v>-2</v>
      </c>
      <c r="H1273" s="1">
        <v>0</v>
      </c>
      <c r="I1273" s="1">
        <v>3436</v>
      </c>
      <c r="J1273" s="1">
        <v>3438</v>
      </c>
      <c r="K1273" s="1">
        <v>-2</v>
      </c>
    </row>
    <row r="1274" spans="3:11" x14ac:dyDescent="0.25">
      <c r="C1274" s="1" t="s">
        <v>7383</v>
      </c>
      <c r="D1274" s="1" t="s">
        <v>7384</v>
      </c>
      <c r="E1274" s="1" t="s">
        <v>7385</v>
      </c>
      <c r="F1274" s="1">
        <v>-2</v>
      </c>
      <c r="G1274" s="1">
        <v>-2</v>
      </c>
      <c r="H1274" s="1">
        <v>0</v>
      </c>
      <c r="I1274" s="1">
        <v>1269</v>
      </c>
      <c r="J1274" s="1">
        <v>1271</v>
      </c>
      <c r="K1274" s="1">
        <v>-2</v>
      </c>
    </row>
    <row r="1275" spans="3:11" x14ac:dyDescent="0.25">
      <c r="C1275" s="1" t="s">
        <v>7386</v>
      </c>
      <c r="D1275" s="1" t="s">
        <v>7387</v>
      </c>
      <c r="E1275" s="1" t="s">
        <v>7388</v>
      </c>
      <c r="F1275" s="1">
        <v>-2</v>
      </c>
      <c r="G1275" s="1">
        <v>-2</v>
      </c>
      <c r="H1275" s="1">
        <v>0</v>
      </c>
      <c r="I1275" s="1">
        <v>1105</v>
      </c>
      <c r="J1275" s="1">
        <v>1107</v>
      </c>
      <c r="K1275" s="1">
        <v>-2</v>
      </c>
    </row>
    <row r="1276" spans="3:11" x14ac:dyDescent="0.25">
      <c r="C1276" s="1" t="s">
        <v>2661</v>
      </c>
      <c r="D1276" s="1" t="s">
        <v>2662</v>
      </c>
      <c r="E1276" s="1" t="s">
        <v>2663</v>
      </c>
      <c r="F1276" s="1">
        <v>-2</v>
      </c>
      <c r="G1276" s="1">
        <v>-2</v>
      </c>
      <c r="H1276" s="1">
        <v>0</v>
      </c>
      <c r="I1276" s="1">
        <v>935</v>
      </c>
      <c r="J1276" s="1">
        <v>937</v>
      </c>
      <c r="K1276" s="1">
        <v>-2</v>
      </c>
    </row>
    <row r="1277" spans="3:11" x14ac:dyDescent="0.25">
      <c r="C1277" s="1" t="s">
        <v>1208</v>
      </c>
      <c r="D1277" s="1" t="s">
        <v>1209</v>
      </c>
      <c r="E1277" s="1" t="s">
        <v>1210</v>
      </c>
      <c r="F1277" s="1">
        <v>-2</v>
      </c>
      <c r="G1277" s="1">
        <v>-2</v>
      </c>
      <c r="H1277" s="1">
        <v>0</v>
      </c>
      <c r="I1277" s="1">
        <v>658</v>
      </c>
      <c r="J1277" s="1">
        <v>660</v>
      </c>
      <c r="K1277" s="1">
        <v>-2</v>
      </c>
    </row>
    <row r="1278" spans="3:11" x14ac:dyDescent="0.25">
      <c r="C1278" s="1" t="s">
        <v>7389</v>
      </c>
      <c r="D1278" s="1" t="s">
        <v>7390</v>
      </c>
      <c r="E1278" s="1" t="s">
        <v>7391</v>
      </c>
      <c r="F1278" s="1">
        <v>-2</v>
      </c>
      <c r="G1278" s="1">
        <v>-2</v>
      </c>
      <c r="H1278" s="1">
        <v>0</v>
      </c>
      <c r="I1278" s="1">
        <v>429</v>
      </c>
      <c r="J1278" s="1">
        <v>431</v>
      </c>
      <c r="K1278" s="1">
        <v>-2</v>
      </c>
    </row>
    <row r="1279" spans="3:11" x14ac:dyDescent="0.25">
      <c r="C1279" s="1" t="s">
        <v>1368</v>
      </c>
      <c r="D1279" s="1" t="s">
        <v>1369</v>
      </c>
      <c r="E1279" s="1" t="s">
        <v>1368</v>
      </c>
      <c r="F1279" s="1">
        <v>-2</v>
      </c>
      <c r="G1279" s="1">
        <v>-2</v>
      </c>
      <c r="H1279" s="1">
        <v>0</v>
      </c>
      <c r="I1279" s="1">
        <v>382</v>
      </c>
      <c r="J1279" s="1">
        <v>384</v>
      </c>
      <c r="K1279" s="1">
        <v>-2</v>
      </c>
    </row>
    <row r="1280" spans="3:11" x14ac:dyDescent="0.25">
      <c r="C1280" s="1" t="s">
        <v>1387</v>
      </c>
      <c r="D1280" s="1" t="s">
        <v>1388</v>
      </c>
      <c r="E1280" s="1" t="s">
        <v>1389</v>
      </c>
      <c r="F1280" s="1">
        <v>-2</v>
      </c>
      <c r="G1280" s="1">
        <v>-2</v>
      </c>
      <c r="H1280" s="1">
        <v>0</v>
      </c>
      <c r="I1280" s="1">
        <v>365</v>
      </c>
      <c r="J1280" s="1">
        <v>367</v>
      </c>
      <c r="K1280" s="1">
        <v>-2</v>
      </c>
    </row>
    <row r="1281" spans="3:11" x14ac:dyDescent="0.25">
      <c r="C1281" s="1" t="s">
        <v>7392</v>
      </c>
      <c r="D1281" s="1" t="s">
        <v>7393</v>
      </c>
      <c r="E1281" s="1" t="s">
        <v>7394</v>
      </c>
      <c r="F1281" s="1">
        <v>-2</v>
      </c>
      <c r="G1281" s="1">
        <v>-2</v>
      </c>
      <c r="H1281" s="1">
        <v>0</v>
      </c>
      <c r="I1281" s="1">
        <v>360</v>
      </c>
      <c r="J1281" s="1">
        <v>362</v>
      </c>
      <c r="K1281" s="1">
        <v>-2</v>
      </c>
    </row>
    <row r="1282" spans="3:11" x14ac:dyDescent="0.25">
      <c r="C1282" s="1" t="s">
        <v>1608</v>
      </c>
      <c r="D1282" s="1" t="s">
        <v>1609</v>
      </c>
      <c r="E1282" s="1" t="s">
        <v>1610</v>
      </c>
      <c r="F1282" s="1">
        <v>-2</v>
      </c>
      <c r="G1282" s="1">
        <v>-2</v>
      </c>
      <c r="H1282" s="1">
        <v>0</v>
      </c>
      <c r="I1282" s="1">
        <v>359</v>
      </c>
      <c r="J1282" s="1">
        <v>361</v>
      </c>
      <c r="K1282" s="1">
        <v>-2</v>
      </c>
    </row>
    <row r="1283" spans="3:11" x14ac:dyDescent="0.25">
      <c r="C1283" s="1" t="s">
        <v>1416</v>
      </c>
      <c r="D1283" s="1" t="s">
        <v>1417</v>
      </c>
      <c r="E1283" s="1" t="s">
        <v>1416</v>
      </c>
      <c r="F1283" s="1">
        <v>-2</v>
      </c>
      <c r="G1283" s="1">
        <v>-2</v>
      </c>
      <c r="H1283" s="1">
        <v>0</v>
      </c>
      <c r="I1283" s="1">
        <v>322</v>
      </c>
      <c r="J1283" s="1">
        <v>324</v>
      </c>
      <c r="K1283" s="1">
        <v>-2</v>
      </c>
    </row>
    <row r="1284" spans="3:11" x14ac:dyDescent="0.25">
      <c r="C1284" s="1" t="s">
        <v>1530</v>
      </c>
      <c r="D1284" s="1" t="s">
        <v>1531</v>
      </c>
      <c r="E1284" s="1" t="s">
        <v>1532</v>
      </c>
      <c r="F1284" s="1">
        <v>-2</v>
      </c>
      <c r="G1284" s="1">
        <v>-2</v>
      </c>
      <c r="H1284" s="1">
        <v>0</v>
      </c>
      <c r="I1284" s="1">
        <v>232</v>
      </c>
      <c r="J1284" s="1">
        <v>234</v>
      </c>
      <c r="K1284" s="1">
        <v>-2</v>
      </c>
    </row>
    <row r="1285" spans="3:11" x14ac:dyDescent="0.25">
      <c r="C1285" s="1" t="s">
        <v>3139</v>
      </c>
      <c r="D1285" s="1" t="s">
        <v>3140</v>
      </c>
      <c r="E1285" s="1" t="s">
        <v>3141</v>
      </c>
      <c r="F1285" s="1">
        <v>-2</v>
      </c>
      <c r="G1285" s="1">
        <v>-2</v>
      </c>
      <c r="H1285" s="1">
        <v>0</v>
      </c>
      <c r="I1285" s="1">
        <v>223</v>
      </c>
      <c r="J1285" s="1">
        <v>225</v>
      </c>
      <c r="K1285" s="1">
        <v>-2</v>
      </c>
    </row>
    <row r="1286" spans="3:11" x14ac:dyDescent="0.25">
      <c r="C1286" s="1" t="s">
        <v>7395</v>
      </c>
      <c r="D1286" s="1" t="s">
        <v>7396</v>
      </c>
      <c r="E1286" s="1" t="s">
        <v>7397</v>
      </c>
      <c r="F1286" s="1">
        <v>-2</v>
      </c>
      <c r="G1286" s="1">
        <v>-2</v>
      </c>
      <c r="H1286" s="1">
        <v>0</v>
      </c>
      <c r="I1286" s="1">
        <v>214</v>
      </c>
      <c r="J1286" s="1">
        <v>216</v>
      </c>
      <c r="K1286" s="1">
        <v>-2</v>
      </c>
    </row>
    <row r="1287" spans="3:11" x14ac:dyDescent="0.25">
      <c r="C1287" s="1" t="s">
        <v>3160</v>
      </c>
      <c r="D1287" s="1" t="s">
        <v>3161</v>
      </c>
      <c r="E1287" s="1" t="s">
        <v>3162</v>
      </c>
      <c r="F1287" s="1">
        <v>-2</v>
      </c>
      <c r="G1287" s="1">
        <v>-2</v>
      </c>
      <c r="H1287" s="1">
        <v>0</v>
      </c>
      <c r="I1287" s="1">
        <v>211</v>
      </c>
      <c r="J1287" s="1">
        <v>213</v>
      </c>
      <c r="K1287" s="1">
        <v>-2</v>
      </c>
    </row>
    <row r="1288" spans="3:11" x14ac:dyDescent="0.25">
      <c r="C1288" s="1" t="s">
        <v>1600</v>
      </c>
      <c r="D1288" s="1" t="s">
        <v>1601</v>
      </c>
      <c r="E1288" s="1" t="s">
        <v>1602</v>
      </c>
      <c r="F1288" s="1">
        <v>-2</v>
      </c>
      <c r="G1288" s="1">
        <v>-2</v>
      </c>
      <c r="H1288" s="1">
        <v>0</v>
      </c>
      <c r="I1288" s="1">
        <v>173</v>
      </c>
      <c r="J1288" s="1">
        <v>175</v>
      </c>
      <c r="K1288" s="1">
        <v>-2</v>
      </c>
    </row>
    <row r="1289" spans="3:11" x14ac:dyDescent="0.25">
      <c r="C1289" s="1" t="s">
        <v>3236</v>
      </c>
      <c r="D1289" s="1" t="s">
        <v>3237</v>
      </c>
      <c r="E1289" s="1" t="s">
        <v>3238</v>
      </c>
      <c r="F1289" s="1">
        <v>-2</v>
      </c>
      <c r="G1289" s="1">
        <v>-2</v>
      </c>
      <c r="H1289" s="1">
        <v>0</v>
      </c>
      <c r="I1289" s="1">
        <v>155</v>
      </c>
      <c r="J1289" s="1">
        <v>157</v>
      </c>
      <c r="K1289" s="1">
        <v>-2</v>
      </c>
    </row>
    <row r="1290" spans="3:11" x14ac:dyDescent="0.25">
      <c r="C1290" s="1" t="s">
        <v>7398</v>
      </c>
      <c r="D1290" s="1" t="s">
        <v>7399</v>
      </c>
      <c r="E1290" s="1" t="s">
        <v>7398</v>
      </c>
      <c r="F1290" s="1">
        <v>-2</v>
      </c>
      <c r="G1290" s="1">
        <v>-2</v>
      </c>
      <c r="H1290" s="1">
        <v>0</v>
      </c>
      <c r="I1290" s="1">
        <v>149</v>
      </c>
      <c r="J1290" s="1">
        <v>151</v>
      </c>
      <c r="K1290" s="1">
        <v>-2</v>
      </c>
    </row>
    <row r="1291" spans="3:11" x14ac:dyDescent="0.25">
      <c r="C1291" s="1" t="s">
        <v>1649</v>
      </c>
      <c r="D1291" s="1" t="s">
        <v>1650</v>
      </c>
      <c r="E1291" s="1" t="s">
        <v>1649</v>
      </c>
      <c r="F1291" s="1">
        <v>-2</v>
      </c>
      <c r="G1291" s="1">
        <v>-2</v>
      </c>
      <c r="H1291" s="1">
        <v>0</v>
      </c>
      <c r="I1291" s="1">
        <v>128</v>
      </c>
      <c r="J1291" s="1">
        <v>130</v>
      </c>
      <c r="K1291" s="1">
        <v>-2</v>
      </c>
    </row>
    <row r="1292" spans="3:11" x14ac:dyDescent="0.25">
      <c r="C1292" s="1" t="s">
        <v>7400</v>
      </c>
      <c r="D1292" s="1" t="s">
        <v>7401</v>
      </c>
      <c r="E1292" s="1" t="s">
        <v>7402</v>
      </c>
      <c r="F1292" s="1">
        <v>-2</v>
      </c>
      <c r="G1292" s="1">
        <v>-2</v>
      </c>
      <c r="H1292" s="1">
        <v>0</v>
      </c>
      <c r="I1292" s="1">
        <v>108</v>
      </c>
      <c r="J1292" s="1">
        <v>110</v>
      </c>
      <c r="K1292" s="1">
        <v>-2</v>
      </c>
    </row>
    <row r="1293" spans="3:11" x14ac:dyDescent="0.25">
      <c r="C1293" s="1" t="s">
        <v>3374</v>
      </c>
      <c r="D1293" s="1" t="s">
        <v>3375</v>
      </c>
      <c r="E1293" s="1" t="s">
        <v>3376</v>
      </c>
      <c r="F1293" s="1">
        <v>-2</v>
      </c>
      <c r="G1293" s="1">
        <v>-2</v>
      </c>
      <c r="H1293" s="1">
        <v>0</v>
      </c>
      <c r="I1293" s="1">
        <v>101</v>
      </c>
      <c r="J1293" s="1">
        <v>103</v>
      </c>
      <c r="K1293" s="1">
        <v>-2</v>
      </c>
    </row>
    <row r="1294" spans="3:11" x14ac:dyDescent="0.25">
      <c r="C1294" s="1" t="s">
        <v>3458</v>
      </c>
      <c r="D1294" s="1" t="s">
        <v>3459</v>
      </c>
      <c r="E1294" s="1" t="s">
        <v>3460</v>
      </c>
      <c r="F1294" s="1">
        <v>-2</v>
      </c>
      <c r="G1294" s="1">
        <v>-2</v>
      </c>
      <c r="H1294" s="1">
        <v>0</v>
      </c>
      <c r="I1294" s="1">
        <v>83</v>
      </c>
      <c r="J1294" s="1">
        <v>85</v>
      </c>
      <c r="K1294" s="1">
        <v>-2</v>
      </c>
    </row>
    <row r="1295" spans="3:11" x14ac:dyDescent="0.25">
      <c r="C1295" s="1" t="s">
        <v>1822</v>
      </c>
      <c r="D1295" s="1" t="s">
        <v>1823</v>
      </c>
      <c r="E1295" s="1" t="s">
        <v>1824</v>
      </c>
      <c r="F1295" s="1">
        <v>-2</v>
      </c>
      <c r="G1295" s="1">
        <v>-2</v>
      </c>
      <c r="H1295" s="1">
        <v>0</v>
      </c>
      <c r="I1295" s="1">
        <v>82</v>
      </c>
      <c r="J1295" s="1">
        <v>84</v>
      </c>
      <c r="K1295" s="1">
        <v>-2</v>
      </c>
    </row>
    <row r="1296" spans="3:11" x14ac:dyDescent="0.25">
      <c r="C1296" s="1" t="s">
        <v>7403</v>
      </c>
      <c r="D1296" s="1" t="s">
        <v>7404</v>
      </c>
      <c r="E1296" s="1" t="s">
        <v>7405</v>
      </c>
      <c r="F1296" s="1">
        <v>-2</v>
      </c>
      <c r="G1296" s="1">
        <v>-2</v>
      </c>
      <c r="H1296" s="1">
        <v>0</v>
      </c>
      <c r="I1296" s="1">
        <v>78</v>
      </c>
      <c r="J1296" s="1">
        <v>80</v>
      </c>
      <c r="K1296" s="1">
        <v>-2</v>
      </c>
    </row>
    <row r="1297" spans="3:11" x14ac:dyDescent="0.25">
      <c r="C1297" s="1" t="s">
        <v>1842</v>
      </c>
      <c r="D1297" s="1" t="s">
        <v>1843</v>
      </c>
      <c r="E1297" s="1" t="s">
        <v>1844</v>
      </c>
      <c r="F1297" s="1">
        <v>-2</v>
      </c>
      <c r="G1297" s="1">
        <v>-2</v>
      </c>
      <c r="H1297" s="1">
        <v>0</v>
      </c>
      <c r="I1297" s="1">
        <v>78</v>
      </c>
      <c r="J1297" s="1">
        <v>80</v>
      </c>
      <c r="K1297" s="1">
        <v>-2</v>
      </c>
    </row>
    <row r="1298" spans="3:11" x14ac:dyDescent="0.25">
      <c r="C1298" s="1" t="s">
        <v>7406</v>
      </c>
      <c r="D1298" s="1" t="s">
        <v>7407</v>
      </c>
      <c r="E1298" s="1" t="s">
        <v>7406</v>
      </c>
      <c r="F1298" s="1">
        <v>-2</v>
      </c>
      <c r="G1298" s="1">
        <v>-2</v>
      </c>
      <c r="H1298" s="1">
        <v>0</v>
      </c>
      <c r="I1298" s="1">
        <v>68</v>
      </c>
      <c r="J1298" s="1">
        <v>70</v>
      </c>
      <c r="K1298" s="1">
        <v>-2</v>
      </c>
    </row>
    <row r="1299" spans="3:11" x14ac:dyDescent="0.25">
      <c r="C1299" s="1" t="s">
        <v>3546</v>
      </c>
      <c r="D1299" s="1" t="s">
        <v>3547</v>
      </c>
      <c r="E1299" s="1" t="s">
        <v>3548</v>
      </c>
      <c r="F1299" s="1">
        <v>-2</v>
      </c>
      <c r="G1299" s="1">
        <v>-2</v>
      </c>
      <c r="H1299" s="1">
        <v>0</v>
      </c>
      <c r="I1299" s="1">
        <v>65</v>
      </c>
      <c r="J1299" s="1">
        <v>67</v>
      </c>
      <c r="K1299" s="1">
        <v>-2</v>
      </c>
    </row>
    <row r="1300" spans="3:11" x14ac:dyDescent="0.25">
      <c r="C1300" s="1" t="s">
        <v>7408</v>
      </c>
      <c r="D1300" s="1" t="s">
        <v>7409</v>
      </c>
      <c r="E1300" s="1" t="s">
        <v>7408</v>
      </c>
      <c r="F1300" s="1">
        <v>-2</v>
      </c>
      <c r="G1300" s="1">
        <v>-2</v>
      </c>
      <c r="H1300" s="1">
        <v>0</v>
      </c>
      <c r="I1300" s="1">
        <v>54</v>
      </c>
      <c r="J1300" s="1">
        <v>56</v>
      </c>
      <c r="K1300" s="1">
        <v>-2</v>
      </c>
    </row>
    <row r="1301" spans="3:11" x14ac:dyDescent="0.25">
      <c r="C1301" s="1" t="s">
        <v>1854</v>
      </c>
      <c r="D1301" s="1" t="s">
        <v>1855</v>
      </c>
      <c r="E1301" s="1" t="s">
        <v>1856</v>
      </c>
      <c r="F1301" s="1">
        <v>-2</v>
      </c>
      <c r="G1301" s="1">
        <v>-2</v>
      </c>
      <c r="H1301" s="1">
        <v>0</v>
      </c>
      <c r="I1301" s="1">
        <v>49</v>
      </c>
      <c r="J1301" s="1">
        <v>51</v>
      </c>
      <c r="K1301" s="1">
        <v>-2</v>
      </c>
    </row>
    <row r="1302" spans="3:11" x14ac:dyDescent="0.25">
      <c r="C1302" s="1" t="s">
        <v>2056</v>
      </c>
      <c r="D1302" s="1" t="s">
        <v>2057</v>
      </c>
      <c r="E1302" s="1" t="s">
        <v>2058</v>
      </c>
      <c r="F1302" s="1">
        <v>-2</v>
      </c>
      <c r="G1302" s="1">
        <v>-2</v>
      </c>
      <c r="H1302" s="1">
        <v>0</v>
      </c>
      <c r="I1302" s="1">
        <v>35</v>
      </c>
      <c r="J1302" s="1">
        <v>37</v>
      </c>
      <c r="K1302" s="1">
        <v>-2</v>
      </c>
    </row>
    <row r="1303" spans="3:11" x14ac:dyDescent="0.25">
      <c r="C1303" s="1" t="s">
        <v>3866</v>
      </c>
      <c r="D1303" s="1" t="s">
        <v>3867</v>
      </c>
      <c r="E1303" s="1" t="s">
        <v>3868</v>
      </c>
      <c r="F1303" s="1">
        <v>-2</v>
      </c>
      <c r="G1303" s="1">
        <v>-2</v>
      </c>
      <c r="H1303" s="1">
        <v>0</v>
      </c>
      <c r="I1303" s="1">
        <v>30</v>
      </c>
      <c r="J1303" s="1">
        <v>32</v>
      </c>
      <c r="K1303" s="1">
        <v>-2</v>
      </c>
    </row>
    <row r="1304" spans="3:11" x14ac:dyDescent="0.25">
      <c r="D1304" s="1" t="s">
        <v>7410</v>
      </c>
      <c r="E1304" s="1" t="s">
        <v>7411</v>
      </c>
      <c r="F1304" s="1">
        <v>-2</v>
      </c>
      <c r="G1304" s="1">
        <v>-2</v>
      </c>
      <c r="H1304" s="1">
        <v>0</v>
      </c>
      <c r="I1304" s="1">
        <v>28</v>
      </c>
      <c r="J1304" s="1">
        <v>30</v>
      </c>
      <c r="K1304" s="1">
        <v>-2</v>
      </c>
    </row>
    <row r="1305" spans="3:11" x14ac:dyDescent="0.25">
      <c r="C1305" s="1" t="s">
        <v>3941</v>
      </c>
      <c r="D1305" s="1" t="s">
        <v>3942</v>
      </c>
      <c r="E1305" s="1" t="s">
        <v>3943</v>
      </c>
      <c r="F1305" s="1">
        <v>-2</v>
      </c>
      <c r="G1305" s="1">
        <v>-2</v>
      </c>
      <c r="H1305" s="1">
        <v>0</v>
      </c>
      <c r="I1305" s="1">
        <v>23</v>
      </c>
      <c r="J1305" s="1">
        <v>25</v>
      </c>
      <c r="K1305" s="1">
        <v>-2</v>
      </c>
    </row>
    <row r="1306" spans="3:11" x14ac:dyDescent="0.25">
      <c r="C1306" s="1" t="s">
        <v>7412</v>
      </c>
      <c r="D1306" s="1" t="s">
        <v>7413</v>
      </c>
      <c r="E1306" s="1" t="s">
        <v>7412</v>
      </c>
      <c r="F1306" s="1">
        <v>-2</v>
      </c>
      <c r="G1306" s="1">
        <v>-2</v>
      </c>
      <c r="H1306" s="1">
        <v>0</v>
      </c>
      <c r="I1306" s="1">
        <v>22</v>
      </c>
      <c r="J1306" s="1">
        <v>24</v>
      </c>
      <c r="K1306" s="1">
        <v>-2</v>
      </c>
    </row>
    <row r="1307" spans="3:11" x14ac:dyDescent="0.25">
      <c r="C1307" s="1" t="s">
        <v>7414</v>
      </c>
      <c r="D1307" s="1" t="s">
        <v>7415</v>
      </c>
      <c r="E1307" s="1" t="s">
        <v>7416</v>
      </c>
      <c r="F1307" s="1">
        <v>-2</v>
      </c>
      <c r="G1307" s="1">
        <v>-2</v>
      </c>
      <c r="H1307" s="1">
        <v>0</v>
      </c>
      <c r="I1307" s="1">
        <v>20</v>
      </c>
      <c r="J1307" s="1">
        <v>22</v>
      </c>
      <c r="K1307" s="1">
        <v>-2</v>
      </c>
    </row>
    <row r="1308" spans="3:11" x14ac:dyDescent="0.25">
      <c r="C1308" s="1" t="s">
        <v>7417</v>
      </c>
      <c r="D1308" s="1" t="s">
        <v>7418</v>
      </c>
      <c r="E1308" s="1" t="s">
        <v>7419</v>
      </c>
      <c r="F1308" s="1">
        <v>-2</v>
      </c>
      <c r="G1308" s="1">
        <v>-2</v>
      </c>
      <c r="H1308" s="1">
        <v>0</v>
      </c>
      <c r="I1308" s="1">
        <v>17</v>
      </c>
      <c r="J1308" s="1">
        <v>19</v>
      </c>
      <c r="K1308" s="1">
        <v>-2</v>
      </c>
    </row>
    <row r="1309" spans="3:11" x14ac:dyDescent="0.25">
      <c r="C1309" s="1" t="s">
        <v>7420</v>
      </c>
      <c r="D1309" s="1" t="s">
        <v>7421</v>
      </c>
      <c r="E1309" s="1" t="s">
        <v>7422</v>
      </c>
      <c r="F1309" s="1">
        <v>-2</v>
      </c>
      <c r="G1309" s="1">
        <v>-2</v>
      </c>
      <c r="H1309" s="1">
        <v>0</v>
      </c>
      <c r="I1309" s="1">
        <v>16</v>
      </c>
      <c r="J1309" s="1">
        <v>18</v>
      </c>
      <c r="K1309" s="1">
        <v>-2</v>
      </c>
    </row>
    <row r="1310" spans="3:11" x14ac:dyDescent="0.25">
      <c r="C1310" s="1" t="s">
        <v>2188</v>
      </c>
      <c r="D1310" s="1" t="s">
        <v>2189</v>
      </c>
      <c r="E1310" s="1" t="s">
        <v>2190</v>
      </c>
      <c r="F1310" s="1">
        <v>-2</v>
      </c>
      <c r="G1310" s="1">
        <v>-2</v>
      </c>
      <c r="H1310" s="1">
        <v>0</v>
      </c>
      <c r="I1310" s="1">
        <v>12</v>
      </c>
      <c r="J1310" s="1">
        <v>14</v>
      </c>
      <c r="K1310" s="1">
        <v>-2</v>
      </c>
    </row>
    <row r="1311" spans="3:11" x14ac:dyDescent="0.25">
      <c r="C1311" s="1" t="s">
        <v>1977</v>
      </c>
      <c r="D1311" s="1" t="s">
        <v>1978</v>
      </c>
      <c r="E1311" s="1" t="s">
        <v>1979</v>
      </c>
      <c r="F1311" s="1">
        <v>-2</v>
      </c>
      <c r="G1311" s="1">
        <v>-2</v>
      </c>
      <c r="H1311" s="1">
        <v>0</v>
      </c>
      <c r="I1311" s="1">
        <v>11</v>
      </c>
      <c r="J1311" s="1">
        <v>13</v>
      </c>
      <c r="K1311" s="1">
        <v>-2</v>
      </c>
    </row>
    <row r="1312" spans="3:11" x14ac:dyDescent="0.25">
      <c r="C1312" s="1" t="s">
        <v>7423</v>
      </c>
      <c r="D1312" s="1" t="s">
        <v>7424</v>
      </c>
      <c r="E1312" s="1" t="s">
        <v>7425</v>
      </c>
      <c r="F1312" s="1">
        <v>-2</v>
      </c>
      <c r="G1312" s="1">
        <v>-2</v>
      </c>
      <c r="H1312" s="1">
        <v>0</v>
      </c>
      <c r="I1312" s="1">
        <v>10</v>
      </c>
      <c r="J1312" s="1">
        <v>12</v>
      </c>
      <c r="K1312" s="1">
        <v>-2</v>
      </c>
    </row>
    <row r="1313" spans="3:11" x14ac:dyDescent="0.25">
      <c r="C1313" s="1" t="s">
        <v>4394</v>
      </c>
      <c r="D1313" s="1" t="s">
        <v>4395</v>
      </c>
      <c r="E1313" s="1" t="s">
        <v>4396</v>
      </c>
      <c r="F1313" s="1">
        <v>-2</v>
      </c>
      <c r="G1313" s="1">
        <v>-2</v>
      </c>
      <c r="H1313" s="1">
        <v>0</v>
      </c>
      <c r="I1313" s="1">
        <v>10</v>
      </c>
      <c r="J1313" s="1">
        <v>12</v>
      </c>
      <c r="K1313" s="1">
        <v>-2</v>
      </c>
    </row>
    <row r="1314" spans="3:11" x14ac:dyDescent="0.25">
      <c r="C1314" s="1" t="s">
        <v>7426</v>
      </c>
      <c r="D1314" s="1" t="s">
        <v>7427</v>
      </c>
      <c r="E1314" s="1" t="s">
        <v>7428</v>
      </c>
      <c r="F1314" s="1">
        <v>-2</v>
      </c>
      <c r="G1314" s="1">
        <v>-2</v>
      </c>
      <c r="H1314" s="1">
        <v>0</v>
      </c>
      <c r="I1314" s="1">
        <v>7</v>
      </c>
      <c r="J1314" s="1">
        <v>9</v>
      </c>
      <c r="K1314" s="1">
        <v>-2</v>
      </c>
    </row>
    <row r="1315" spans="3:11" x14ac:dyDescent="0.25">
      <c r="C1315" s="1" t="s">
        <v>7429</v>
      </c>
      <c r="D1315" s="1" t="s">
        <v>7430</v>
      </c>
      <c r="E1315" s="1" t="s">
        <v>7431</v>
      </c>
      <c r="F1315" s="1">
        <v>-2</v>
      </c>
      <c r="G1315" s="1">
        <v>-2</v>
      </c>
      <c r="H1315" s="1">
        <v>0</v>
      </c>
      <c r="I1315" s="1">
        <v>7</v>
      </c>
      <c r="J1315" s="1">
        <v>9</v>
      </c>
      <c r="K1315" s="1">
        <v>-2</v>
      </c>
    </row>
    <row r="1316" spans="3:11" x14ac:dyDescent="0.25">
      <c r="C1316" s="1" t="s">
        <v>7432</v>
      </c>
      <c r="D1316" s="1" t="s">
        <v>7433</v>
      </c>
      <c r="E1316" s="1" t="s">
        <v>7434</v>
      </c>
      <c r="F1316" s="1">
        <v>-2</v>
      </c>
      <c r="G1316" s="1">
        <v>-2</v>
      </c>
      <c r="H1316" s="1">
        <v>0</v>
      </c>
      <c r="I1316" s="1">
        <v>6</v>
      </c>
      <c r="J1316" s="1">
        <v>8</v>
      </c>
      <c r="K1316" s="1">
        <v>-2</v>
      </c>
    </row>
    <row r="1317" spans="3:11" x14ac:dyDescent="0.25">
      <c r="C1317" s="1" t="s">
        <v>4189</v>
      </c>
      <c r="D1317" s="1" t="s">
        <v>4190</v>
      </c>
      <c r="E1317" s="1" t="s">
        <v>4191</v>
      </c>
      <c r="F1317" s="1">
        <v>-2</v>
      </c>
      <c r="G1317" s="1">
        <v>-2</v>
      </c>
      <c r="H1317" s="1">
        <v>0</v>
      </c>
      <c r="I1317" s="1">
        <v>6</v>
      </c>
      <c r="J1317" s="1">
        <v>8</v>
      </c>
      <c r="K1317" s="1">
        <v>-2</v>
      </c>
    </row>
    <row r="1318" spans="3:11" x14ac:dyDescent="0.25">
      <c r="C1318" s="1" t="s">
        <v>7435</v>
      </c>
      <c r="D1318" s="1" t="s">
        <v>7436</v>
      </c>
      <c r="E1318" s="1" t="s">
        <v>7435</v>
      </c>
      <c r="F1318" s="1">
        <v>-2</v>
      </c>
      <c r="G1318" s="1">
        <v>-2</v>
      </c>
      <c r="H1318" s="1">
        <v>0</v>
      </c>
      <c r="I1318" s="1">
        <v>4</v>
      </c>
      <c r="J1318" s="1">
        <v>6</v>
      </c>
      <c r="K1318" s="1">
        <v>-2</v>
      </c>
    </row>
    <row r="1319" spans="3:11" x14ac:dyDescent="0.25">
      <c r="D1319" s="1" t="s">
        <v>7437</v>
      </c>
      <c r="E1319" s="1" t="s">
        <v>7438</v>
      </c>
      <c r="F1319" s="1">
        <v>-2</v>
      </c>
      <c r="G1319" s="1">
        <v>-2</v>
      </c>
      <c r="H1319" s="1">
        <v>0</v>
      </c>
      <c r="I1319" s="1">
        <v>4</v>
      </c>
      <c r="J1319" s="1">
        <v>6</v>
      </c>
      <c r="K1319" s="1">
        <v>-2</v>
      </c>
    </row>
    <row r="1320" spans="3:11" x14ac:dyDescent="0.25">
      <c r="C1320" s="1" t="s">
        <v>2325</v>
      </c>
      <c r="D1320" s="1" t="s">
        <v>2326</v>
      </c>
      <c r="E1320" s="1" t="s">
        <v>2327</v>
      </c>
      <c r="F1320" s="1">
        <v>-2</v>
      </c>
      <c r="G1320" s="1">
        <v>-2</v>
      </c>
      <c r="H1320" s="1">
        <v>0</v>
      </c>
      <c r="I1320" s="1">
        <v>4</v>
      </c>
      <c r="J1320" s="1">
        <v>6</v>
      </c>
      <c r="K1320" s="1">
        <v>-2</v>
      </c>
    </row>
    <row r="1321" spans="3:11" x14ac:dyDescent="0.25">
      <c r="C1321" s="1" t="s">
        <v>7439</v>
      </c>
      <c r="D1321" s="1" t="s">
        <v>7440</v>
      </c>
      <c r="E1321" s="1" t="s">
        <v>7439</v>
      </c>
      <c r="F1321" s="1">
        <v>-2</v>
      </c>
      <c r="G1321" s="1">
        <v>-2</v>
      </c>
      <c r="H1321" s="1">
        <v>0</v>
      </c>
      <c r="I1321" s="1">
        <v>3</v>
      </c>
      <c r="J1321" s="1">
        <v>5</v>
      </c>
      <c r="K1321" s="1">
        <v>-2</v>
      </c>
    </row>
    <row r="1322" spans="3:11" x14ac:dyDescent="0.25">
      <c r="C1322" s="1" t="s">
        <v>7441</v>
      </c>
      <c r="D1322" s="1" t="s">
        <v>7442</v>
      </c>
      <c r="E1322" s="1" t="s">
        <v>7441</v>
      </c>
      <c r="F1322" s="1">
        <v>-2</v>
      </c>
      <c r="G1322" s="1">
        <v>-2</v>
      </c>
      <c r="H1322" s="1">
        <v>0</v>
      </c>
      <c r="I1322" s="1">
        <v>3</v>
      </c>
      <c r="J1322" s="1">
        <v>5</v>
      </c>
      <c r="K1322" s="1">
        <v>-2</v>
      </c>
    </row>
    <row r="1323" spans="3:11" x14ac:dyDescent="0.25">
      <c r="C1323" s="1" t="s">
        <v>7443</v>
      </c>
      <c r="D1323" s="1" t="s">
        <v>7444</v>
      </c>
      <c r="E1323" s="1" t="s">
        <v>7445</v>
      </c>
      <c r="F1323" s="1">
        <v>-2</v>
      </c>
      <c r="G1323" s="1">
        <v>-2</v>
      </c>
      <c r="H1323" s="1">
        <v>0</v>
      </c>
      <c r="I1323" s="1">
        <v>2</v>
      </c>
      <c r="J1323" s="1">
        <v>4</v>
      </c>
      <c r="K1323" s="1">
        <v>-2</v>
      </c>
    </row>
    <row r="1324" spans="3:11" x14ac:dyDescent="0.25">
      <c r="C1324" s="1" t="s">
        <v>7446</v>
      </c>
      <c r="D1324" s="1" t="s">
        <v>7447</v>
      </c>
      <c r="E1324" s="1" t="s">
        <v>7448</v>
      </c>
      <c r="F1324" s="1">
        <v>-2</v>
      </c>
      <c r="G1324" s="1">
        <v>-2</v>
      </c>
      <c r="H1324" s="1">
        <v>0</v>
      </c>
      <c r="I1324" s="1">
        <v>2</v>
      </c>
      <c r="J1324" s="1">
        <v>4</v>
      </c>
      <c r="K1324" s="1">
        <v>-2</v>
      </c>
    </row>
    <row r="1325" spans="3:11" x14ac:dyDescent="0.25">
      <c r="D1325" s="1" t="s">
        <v>7449</v>
      </c>
      <c r="E1325" s="1" t="s">
        <v>7450</v>
      </c>
      <c r="F1325" s="1">
        <v>-2</v>
      </c>
      <c r="G1325" s="1">
        <v>-2</v>
      </c>
      <c r="H1325" s="1">
        <v>0</v>
      </c>
      <c r="I1325" s="1">
        <v>1</v>
      </c>
      <c r="J1325" s="1">
        <v>3</v>
      </c>
      <c r="K1325" s="1">
        <v>-2</v>
      </c>
    </row>
    <row r="1326" spans="3:11" x14ac:dyDescent="0.25">
      <c r="D1326" s="1" t="s">
        <v>7451</v>
      </c>
      <c r="E1326" s="1" t="s">
        <v>7452</v>
      </c>
      <c r="F1326" s="1">
        <v>-2</v>
      </c>
      <c r="G1326" s="1">
        <v>-2</v>
      </c>
      <c r="H1326" s="1">
        <v>0</v>
      </c>
      <c r="I1326" s="1">
        <v>1</v>
      </c>
      <c r="J1326" s="1">
        <v>3</v>
      </c>
      <c r="K1326" s="1">
        <v>-2</v>
      </c>
    </row>
    <row r="1327" spans="3:11" x14ac:dyDescent="0.25">
      <c r="C1327" s="1" t="s">
        <v>7453</v>
      </c>
      <c r="D1327" s="1" t="s">
        <v>7454</v>
      </c>
      <c r="E1327" s="1" t="s">
        <v>7455</v>
      </c>
      <c r="F1327" s="1">
        <v>-2</v>
      </c>
      <c r="G1327" s="1">
        <v>-2</v>
      </c>
      <c r="H1327" s="1">
        <v>0</v>
      </c>
      <c r="I1327" s="1">
        <v>0</v>
      </c>
      <c r="J1327" s="1">
        <v>2</v>
      </c>
      <c r="K1327" s="1">
        <v>-2</v>
      </c>
    </row>
    <row r="1328" spans="3:11" x14ac:dyDescent="0.25">
      <c r="C1328" s="1" t="s">
        <v>7456</v>
      </c>
      <c r="D1328" s="1" t="s">
        <v>7457</v>
      </c>
      <c r="E1328" s="1" t="s">
        <v>7458</v>
      </c>
      <c r="F1328" s="1">
        <v>-2</v>
      </c>
      <c r="G1328" s="1">
        <v>-2</v>
      </c>
      <c r="H1328" s="1">
        <v>0</v>
      </c>
      <c r="I1328" s="1">
        <v>0</v>
      </c>
      <c r="J1328" s="1">
        <v>2</v>
      </c>
      <c r="K1328" s="1">
        <v>-2</v>
      </c>
    </row>
    <row r="1329" spans="3:11" x14ac:dyDescent="0.25">
      <c r="C1329" s="1" t="s">
        <v>7459</v>
      </c>
      <c r="D1329" s="1" t="s">
        <v>7460</v>
      </c>
      <c r="E1329" s="1" t="s">
        <v>7461</v>
      </c>
      <c r="F1329" s="1">
        <v>-2</v>
      </c>
      <c r="G1329" s="1">
        <v>-2</v>
      </c>
      <c r="H1329" s="1">
        <v>0</v>
      </c>
      <c r="I1329" s="1">
        <v>0</v>
      </c>
      <c r="J1329" s="1">
        <v>2</v>
      </c>
      <c r="K1329" s="1">
        <v>-2</v>
      </c>
    </row>
    <row r="1330" spans="3:11" x14ac:dyDescent="0.25">
      <c r="C1330" s="1" t="s">
        <v>7462</v>
      </c>
      <c r="D1330" s="1" t="s">
        <v>7463</v>
      </c>
      <c r="E1330" s="1" t="s">
        <v>7464</v>
      </c>
      <c r="F1330" s="1">
        <v>-2</v>
      </c>
      <c r="G1330" s="1">
        <v>-2</v>
      </c>
      <c r="H1330" s="1">
        <v>0</v>
      </c>
      <c r="I1330" s="1">
        <v>0</v>
      </c>
      <c r="J1330" s="1">
        <v>2</v>
      </c>
      <c r="K1330" s="1">
        <v>-2</v>
      </c>
    </row>
    <row r="1331" spans="3:11" x14ac:dyDescent="0.25">
      <c r="C1331" s="1" t="s">
        <v>7465</v>
      </c>
      <c r="D1331" s="1" t="s">
        <v>7466</v>
      </c>
      <c r="E1331" s="1" t="s">
        <v>7467</v>
      </c>
      <c r="F1331" s="1">
        <v>-2</v>
      </c>
      <c r="G1331" s="1">
        <v>-2</v>
      </c>
      <c r="H1331" s="1">
        <v>0</v>
      </c>
      <c r="I1331" s="1">
        <v>0</v>
      </c>
      <c r="J1331" s="1">
        <v>2</v>
      </c>
      <c r="K1331" s="1">
        <v>-2</v>
      </c>
    </row>
    <row r="1332" spans="3:11" x14ac:dyDescent="0.25">
      <c r="C1332" s="1" t="s">
        <v>7468</v>
      </c>
      <c r="D1332" s="1" t="s">
        <v>7469</v>
      </c>
      <c r="E1332" s="1" t="s">
        <v>7470</v>
      </c>
      <c r="F1332" s="1">
        <v>-2</v>
      </c>
      <c r="G1332" s="1">
        <v>-2</v>
      </c>
      <c r="H1332" s="1">
        <v>0</v>
      </c>
      <c r="I1332" s="1">
        <v>0</v>
      </c>
      <c r="J1332" s="1">
        <v>2</v>
      </c>
      <c r="K1332" s="1">
        <v>-2</v>
      </c>
    </row>
    <row r="1333" spans="3:11" x14ac:dyDescent="0.25">
      <c r="C1333" s="1" t="s">
        <v>7471</v>
      </c>
      <c r="D1333" s="1" t="s">
        <v>7472</v>
      </c>
      <c r="E1333" s="1" t="s">
        <v>7471</v>
      </c>
      <c r="F1333" s="1">
        <v>-2</v>
      </c>
      <c r="G1333" s="1">
        <v>-2</v>
      </c>
      <c r="H1333" s="1">
        <v>0</v>
      </c>
      <c r="I1333" s="1">
        <v>0</v>
      </c>
      <c r="J1333" s="1">
        <v>2</v>
      </c>
      <c r="K1333" s="1">
        <v>-2</v>
      </c>
    </row>
    <row r="1334" spans="3:11" x14ac:dyDescent="0.25">
      <c r="C1334" s="1" t="s">
        <v>7473</v>
      </c>
      <c r="D1334" s="1" t="s">
        <v>7474</v>
      </c>
      <c r="E1334" s="1" t="s">
        <v>7473</v>
      </c>
      <c r="F1334" s="1">
        <v>-2</v>
      </c>
      <c r="G1334" s="1">
        <v>-2</v>
      </c>
      <c r="H1334" s="1">
        <v>0</v>
      </c>
      <c r="I1334" s="1">
        <v>0</v>
      </c>
      <c r="J1334" s="1">
        <v>2</v>
      </c>
      <c r="K1334" s="1">
        <v>-2</v>
      </c>
    </row>
    <row r="1335" spans="3:11" x14ac:dyDescent="0.25">
      <c r="C1335" s="1" t="s">
        <v>7475</v>
      </c>
      <c r="D1335" s="1" t="s">
        <v>7476</v>
      </c>
      <c r="E1335" s="1" t="s">
        <v>7475</v>
      </c>
      <c r="F1335" s="1">
        <v>-2</v>
      </c>
      <c r="G1335" s="1">
        <v>-2</v>
      </c>
      <c r="H1335" s="1">
        <v>0</v>
      </c>
      <c r="I1335" s="1">
        <v>0</v>
      </c>
      <c r="J1335" s="1">
        <v>2</v>
      </c>
      <c r="K1335" s="1">
        <v>-2</v>
      </c>
    </row>
    <row r="1336" spans="3:11" x14ac:dyDescent="0.25">
      <c r="C1336" s="1" t="s">
        <v>7477</v>
      </c>
      <c r="D1336" s="1" t="s">
        <v>7478</v>
      </c>
      <c r="E1336" s="1" t="s">
        <v>7477</v>
      </c>
      <c r="F1336" s="1">
        <v>-2</v>
      </c>
      <c r="G1336" s="1">
        <v>-2</v>
      </c>
      <c r="H1336" s="1">
        <v>0</v>
      </c>
      <c r="I1336" s="1">
        <v>0</v>
      </c>
      <c r="J1336" s="1">
        <v>2</v>
      </c>
      <c r="K1336" s="1">
        <v>-2</v>
      </c>
    </row>
    <row r="1337" spans="3:11" x14ac:dyDescent="0.25">
      <c r="D1337" s="1" t="s">
        <v>7479</v>
      </c>
      <c r="E1337" s="1" t="s">
        <v>7480</v>
      </c>
      <c r="F1337" s="1">
        <v>-2</v>
      </c>
      <c r="G1337" s="1">
        <v>-2</v>
      </c>
      <c r="H1337" s="1">
        <v>0</v>
      </c>
      <c r="I1337" s="1">
        <v>0</v>
      </c>
      <c r="J1337" s="1">
        <v>2</v>
      </c>
      <c r="K1337" s="1">
        <v>-2</v>
      </c>
    </row>
    <row r="1338" spans="3:11" x14ac:dyDescent="0.25">
      <c r="C1338" s="1" t="s">
        <v>7481</v>
      </c>
      <c r="D1338" s="1" t="s">
        <v>7482</v>
      </c>
      <c r="E1338" s="1" t="s">
        <v>7483</v>
      </c>
      <c r="F1338" s="1">
        <v>-2</v>
      </c>
      <c r="G1338" s="1">
        <v>-2</v>
      </c>
      <c r="H1338" s="1">
        <v>0</v>
      </c>
      <c r="I1338" s="1">
        <v>0</v>
      </c>
      <c r="J1338" s="1">
        <v>2</v>
      </c>
      <c r="K1338" s="1">
        <v>-2</v>
      </c>
    </row>
    <row r="1339" spans="3:11" x14ac:dyDescent="0.25">
      <c r="C1339" s="1" t="s">
        <v>7484</v>
      </c>
      <c r="D1339" s="1" t="s">
        <v>7485</v>
      </c>
      <c r="E1339" s="1" t="s">
        <v>7486</v>
      </c>
      <c r="F1339" s="1">
        <v>-2</v>
      </c>
      <c r="G1339" s="1">
        <v>-2</v>
      </c>
      <c r="H1339" s="1">
        <v>0</v>
      </c>
      <c r="I1339" s="1">
        <v>0</v>
      </c>
      <c r="J1339" s="1">
        <v>2</v>
      </c>
      <c r="K1339" s="1">
        <v>-2</v>
      </c>
    </row>
    <row r="1340" spans="3:11" x14ac:dyDescent="0.25">
      <c r="C1340" s="1" t="s">
        <v>7487</v>
      </c>
      <c r="D1340" s="1" t="s">
        <v>7488</v>
      </c>
      <c r="E1340" s="1" t="s">
        <v>7489</v>
      </c>
      <c r="F1340" s="1">
        <v>-2</v>
      </c>
      <c r="G1340" s="1">
        <v>-2</v>
      </c>
      <c r="H1340" s="1">
        <v>0</v>
      </c>
      <c r="I1340" s="1">
        <v>0</v>
      </c>
      <c r="J1340" s="1">
        <v>2</v>
      </c>
      <c r="K1340" s="1">
        <v>-2</v>
      </c>
    </row>
    <row r="1341" spans="3:11" x14ac:dyDescent="0.25">
      <c r="C1341" s="1" t="s">
        <v>7490</v>
      </c>
      <c r="D1341" s="1" t="s">
        <v>7491</v>
      </c>
      <c r="E1341" s="1" t="s">
        <v>7490</v>
      </c>
      <c r="F1341" s="1">
        <v>-2</v>
      </c>
      <c r="G1341" s="1">
        <v>-2</v>
      </c>
      <c r="H1341" s="1">
        <v>0</v>
      </c>
      <c r="I1341" s="1">
        <v>0</v>
      </c>
      <c r="J1341" s="1">
        <v>2</v>
      </c>
      <c r="K1341" s="1">
        <v>-2</v>
      </c>
    </row>
    <row r="1342" spans="3:11" x14ac:dyDescent="0.25">
      <c r="C1342" s="1" t="s">
        <v>7492</v>
      </c>
      <c r="D1342" s="1" t="s">
        <v>7493</v>
      </c>
      <c r="E1342" s="1" t="s">
        <v>7492</v>
      </c>
      <c r="F1342" s="1">
        <v>-2</v>
      </c>
      <c r="G1342" s="1">
        <v>-2</v>
      </c>
      <c r="H1342" s="1">
        <v>0</v>
      </c>
      <c r="I1342" s="1">
        <v>0</v>
      </c>
      <c r="J1342" s="1">
        <v>2</v>
      </c>
      <c r="K1342" s="1">
        <v>-2</v>
      </c>
    </row>
    <row r="1343" spans="3:11" x14ac:dyDescent="0.25">
      <c r="C1343" s="1" t="s">
        <v>7494</v>
      </c>
      <c r="D1343" s="1" t="s">
        <v>7495</v>
      </c>
      <c r="E1343" s="1" t="s">
        <v>7494</v>
      </c>
      <c r="F1343" s="1">
        <v>-2</v>
      </c>
      <c r="G1343" s="1">
        <v>-2</v>
      </c>
      <c r="H1343" s="1">
        <v>0</v>
      </c>
      <c r="I1343" s="1">
        <v>0</v>
      </c>
      <c r="J1343" s="1">
        <v>2</v>
      </c>
      <c r="K1343" s="1">
        <v>-2</v>
      </c>
    </row>
    <row r="1344" spans="3:11" x14ac:dyDescent="0.25">
      <c r="D1344" s="1" t="s">
        <v>7496</v>
      </c>
      <c r="E1344" s="1" t="s">
        <v>7497</v>
      </c>
      <c r="F1344" s="1">
        <v>-2</v>
      </c>
      <c r="G1344" s="1">
        <v>-2</v>
      </c>
      <c r="H1344" s="1">
        <v>0</v>
      </c>
      <c r="I1344" s="1">
        <v>0</v>
      </c>
      <c r="J1344" s="1">
        <v>2</v>
      </c>
      <c r="K1344" s="1">
        <v>-2</v>
      </c>
    </row>
    <row r="1345" spans="3:11" x14ac:dyDescent="0.25">
      <c r="D1345" s="1" t="s">
        <v>7498</v>
      </c>
      <c r="E1345" s="1" t="s">
        <v>7499</v>
      </c>
      <c r="F1345" s="1">
        <v>-2</v>
      </c>
      <c r="G1345" s="1">
        <v>-2</v>
      </c>
      <c r="H1345" s="1">
        <v>0</v>
      </c>
      <c r="I1345" s="1">
        <v>0</v>
      </c>
      <c r="J1345" s="1">
        <v>2</v>
      </c>
      <c r="K1345" s="1">
        <v>-2</v>
      </c>
    </row>
    <row r="1346" spans="3:11" x14ac:dyDescent="0.25">
      <c r="D1346" s="1" t="s">
        <v>7500</v>
      </c>
      <c r="E1346" s="1" t="s">
        <v>7501</v>
      </c>
      <c r="F1346" s="1">
        <v>-2</v>
      </c>
      <c r="G1346" s="1">
        <v>-2</v>
      </c>
      <c r="H1346" s="1">
        <v>0</v>
      </c>
      <c r="I1346" s="1">
        <v>0</v>
      </c>
      <c r="J1346" s="1">
        <v>2</v>
      </c>
      <c r="K1346" s="1">
        <v>-2</v>
      </c>
    </row>
    <row r="1347" spans="3:11" x14ac:dyDescent="0.25">
      <c r="C1347" s="1" t="s">
        <v>7502</v>
      </c>
      <c r="D1347" s="1" t="s">
        <v>7503</v>
      </c>
      <c r="E1347" s="1" t="s">
        <v>7502</v>
      </c>
      <c r="F1347" s="1">
        <v>-2</v>
      </c>
      <c r="G1347" s="1">
        <v>-2</v>
      </c>
      <c r="H1347" s="1">
        <v>0</v>
      </c>
      <c r="I1347" s="1">
        <v>0</v>
      </c>
      <c r="J1347" s="1">
        <v>2</v>
      </c>
      <c r="K1347" s="1">
        <v>-2</v>
      </c>
    </row>
    <row r="1348" spans="3:11" x14ac:dyDescent="0.25">
      <c r="D1348" s="1" t="s">
        <v>7504</v>
      </c>
      <c r="E1348" s="1" t="s">
        <v>7505</v>
      </c>
      <c r="F1348" s="1">
        <v>-2</v>
      </c>
      <c r="G1348" s="1">
        <v>-2</v>
      </c>
      <c r="H1348" s="1">
        <v>0</v>
      </c>
      <c r="I1348" s="1">
        <v>0</v>
      </c>
      <c r="J1348" s="1">
        <v>2</v>
      </c>
      <c r="K1348" s="1">
        <v>-2</v>
      </c>
    </row>
    <row r="1349" spans="3:11" x14ac:dyDescent="0.25">
      <c r="C1349" s="1" t="s">
        <v>7506</v>
      </c>
      <c r="D1349" s="1" t="s">
        <v>7507</v>
      </c>
      <c r="E1349" s="1" t="s">
        <v>7506</v>
      </c>
      <c r="F1349" s="1">
        <v>-2</v>
      </c>
      <c r="G1349" s="1">
        <v>-2</v>
      </c>
      <c r="H1349" s="1">
        <v>0</v>
      </c>
      <c r="I1349" s="1">
        <v>0</v>
      </c>
      <c r="J1349" s="1">
        <v>2</v>
      </c>
      <c r="K1349" s="1">
        <v>-2</v>
      </c>
    </row>
    <row r="1350" spans="3:11" x14ac:dyDescent="0.25">
      <c r="C1350" s="1" t="s">
        <v>7508</v>
      </c>
      <c r="D1350" s="1" t="s">
        <v>7509</v>
      </c>
      <c r="E1350" s="1" t="s">
        <v>7508</v>
      </c>
      <c r="F1350" s="1">
        <v>-2</v>
      </c>
      <c r="G1350" s="1">
        <v>-2</v>
      </c>
      <c r="H1350" s="1">
        <v>0</v>
      </c>
      <c r="I1350" s="1">
        <v>0</v>
      </c>
      <c r="J1350" s="1">
        <v>2</v>
      </c>
      <c r="K1350" s="1">
        <v>-2</v>
      </c>
    </row>
    <row r="1351" spans="3:11" x14ac:dyDescent="0.25">
      <c r="C1351" s="1" t="s">
        <v>7510</v>
      </c>
      <c r="D1351" s="1" t="s">
        <v>7511</v>
      </c>
      <c r="E1351" s="1" t="s">
        <v>7510</v>
      </c>
      <c r="F1351" s="1">
        <v>-2</v>
      </c>
      <c r="G1351" s="1">
        <v>-2</v>
      </c>
      <c r="H1351" s="1">
        <v>0</v>
      </c>
      <c r="I1351" s="1">
        <v>0</v>
      </c>
      <c r="J1351" s="1">
        <v>2</v>
      </c>
      <c r="K1351" s="1">
        <v>-2</v>
      </c>
    </row>
    <row r="1352" spans="3:11" x14ac:dyDescent="0.25">
      <c r="C1352" s="1" t="s">
        <v>7512</v>
      </c>
      <c r="D1352" s="1" t="s">
        <v>7513</v>
      </c>
      <c r="E1352" s="1" t="s">
        <v>7512</v>
      </c>
      <c r="F1352" s="1">
        <v>-2</v>
      </c>
      <c r="G1352" s="1">
        <v>-2</v>
      </c>
      <c r="H1352" s="1">
        <v>0</v>
      </c>
      <c r="I1352" s="1">
        <v>0</v>
      </c>
      <c r="J1352" s="1">
        <v>2</v>
      </c>
      <c r="K1352" s="1">
        <v>-2</v>
      </c>
    </row>
    <row r="1353" spans="3:11" x14ac:dyDescent="0.25">
      <c r="C1353" s="1" t="s">
        <v>7514</v>
      </c>
      <c r="D1353" s="1" t="s">
        <v>7515</v>
      </c>
      <c r="E1353" s="1" t="s">
        <v>7514</v>
      </c>
      <c r="F1353" s="1">
        <v>-2</v>
      </c>
      <c r="G1353" s="1">
        <v>-2</v>
      </c>
      <c r="H1353" s="1">
        <v>0</v>
      </c>
      <c r="I1353" s="1">
        <v>0</v>
      </c>
      <c r="J1353" s="1">
        <v>2</v>
      </c>
      <c r="K1353" s="1">
        <v>-2</v>
      </c>
    </row>
    <row r="1354" spans="3:11" x14ac:dyDescent="0.25">
      <c r="C1354" s="1" t="s">
        <v>7516</v>
      </c>
      <c r="D1354" s="1" t="s">
        <v>7517</v>
      </c>
      <c r="E1354" s="1" t="s">
        <v>7516</v>
      </c>
      <c r="F1354" s="1">
        <v>-2</v>
      </c>
      <c r="G1354" s="1">
        <v>-2</v>
      </c>
      <c r="H1354" s="1">
        <v>0</v>
      </c>
      <c r="I1354" s="1">
        <v>0</v>
      </c>
      <c r="J1354" s="1">
        <v>2</v>
      </c>
      <c r="K1354" s="1">
        <v>-2</v>
      </c>
    </row>
    <row r="1355" spans="3:11" x14ac:dyDescent="0.25">
      <c r="C1355" s="1" t="s">
        <v>7518</v>
      </c>
      <c r="D1355" s="1" t="s">
        <v>7519</v>
      </c>
      <c r="E1355" s="1" t="s">
        <v>7518</v>
      </c>
      <c r="F1355" s="1">
        <v>-2</v>
      </c>
      <c r="G1355" s="1">
        <v>-2</v>
      </c>
      <c r="H1355" s="1">
        <v>0</v>
      </c>
      <c r="I1355" s="1">
        <v>0</v>
      </c>
      <c r="J1355" s="1">
        <v>2</v>
      </c>
      <c r="K1355" s="1">
        <v>-2</v>
      </c>
    </row>
    <row r="1356" spans="3:11" x14ac:dyDescent="0.25">
      <c r="C1356" s="1" t="s">
        <v>7520</v>
      </c>
      <c r="D1356" s="1" t="s">
        <v>7521</v>
      </c>
      <c r="E1356" s="1" t="s">
        <v>7520</v>
      </c>
      <c r="F1356" s="1">
        <v>-2</v>
      </c>
      <c r="G1356" s="1">
        <v>-2</v>
      </c>
      <c r="H1356" s="1">
        <v>0</v>
      </c>
      <c r="I1356" s="1">
        <v>0</v>
      </c>
      <c r="J1356" s="1">
        <v>2</v>
      </c>
      <c r="K1356" s="1">
        <v>-2</v>
      </c>
    </row>
    <row r="1357" spans="3:11" x14ac:dyDescent="0.25">
      <c r="C1357" s="1" t="s">
        <v>7522</v>
      </c>
      <c r="D1357" s="1" t="s">
        <v>7523</v>
      </c>
      <c r="E1357" s="1" t="s">
        <v>7522</v>
      </c>
      <c r="F1357" s="1">
        <v>-2</v>
      </c>
      <c r="G1357" s="1">
        <v>-2</v>
      </c>
      <c r="H1357" s="1">
        <v>0</v>
      </c>
      <c r="I1357" s="1">
        <v>0</v>
      </c>
      <c r="J1357" s="1">
        <v>2</v>
      </c>
      <c r="K1357" s="1">
        <v>-2</v>
      </c>
    </row>
    <row r="1358" spans="3:11" x14ac:dyDescent="0.25">
      <c r="C1358" s="1" t="s">
        <v>7524</v>
      </c>
      <c r="D1358" s="1" t="s">
        <v>7525</v>
      </c>
      <c r="E1358" s="1" t="s">
        <v>7524</v>
      </c>
      <c r="F1358" s="1">
        <v>-2</v>
      </c>
      <c r="G1358" s="1">
        <v>-2</v>
      </c>
      <c r="H1358" s="1">
        <v>0</v>
      </c>
      <c r="I1358" s="1">
        <v>0</v>
      </c>
      <c r="J1358" s="1">
        <v>2</v>
      </c>
      <c r="K1358" s="1">
        <v>-2</v>
      </c>
    </row>
    <row r="1359" spans="3:11" x14ac:dyDescent="0.25">
      <c r="C1359" s="1" t="s">
        <v>7526</v>
      </c>
      <c r="D1359" s="1" t="s">
        <v>7527</v>
      </c>
      <c r="E1359" s="1" t="s">
        <v>7526</v>
      </c>
      <c r="F1359" s="1">
        <v>-2</v>
      </c>
      <c r="G1359" s="1">
        <v>-2</v>
      </c>
      <c r="H1359" s="1">
        <v>0</v>
      </c>
      <c r="I1359" s="1">
        <v>0</v>
      </c>
      <c r="J1359" s="1">
        <v>2</v>
      </c>
      <c r="K1359" s="1">
        <v>-2</v>
      </c>
    </row>
    <row r="1360" spans="3:11" x14ac:dyDescent="0.25">
      <c r="C1360" s="1" t="s">
        <v>7528</v>
      </c>
      <c r="D1360" s="1" t="s">
        <v>7529</v>
      </c>
      <c r="E1360" s="1" t="s">
        <v>7528</v>
      </c>
      <c r="F1360" s="1">
        <v>-2</v>
      </c>
      <c r="G1360" s="1">
        <v>-2</v>
      </c>
      <c r="H1360" s="1">
        <v>0</v>
      </c>
      <c r="I1360" s="1">
        <v>0</v>
      </c>
      <c r="J1360" s="1">
        <v>2</v>
      </c>
      <c r="K1360" s="1">
        <v>-2</v>
      </c>
    </row>
    <row r="1361" spans="3:11" x14ac:dyDescent="0.25">
      <c r="C1361" s="1" t="s">
        <v>7530</v>
      </c>
      <c r="D1361" s="1" t="s">
        <v>7531</v>
      </c>
      <c r="E1361" s="1" t="s">
        <v>7530</v>
      </c>
      <c r="F1361" s="1">
        <v>-2</v>
      </c>
      <c r="G1361" s="1">
        <v>-2</v>
      </c>
      <c r="H1361" s="1">
        <v>0</v>
      </c>
      <c r="I1361" s="1">
        <v>0</v>
      </c>
      <c r="J1361" s="1">
        <v>2</v>
      </c>
      <c r="K1361" s="1">
        <v>-2</v>
      </c>
    </row>
    <row r="1362" spans="3:11" x14ac:dyDescent="0.25">
      <c r="D1362" s="1" t="s">
        <v>7532</v>
      </c>
      <c r="E1362" s="1" t="s">
        <v>7533</v>
      </c>
      <c r="F1362" s="1">
        <v>-2</v>
      </c>
      <c r="G1362" s="1">
        <v>-2</v>
      </c>
      <c r="H1362" s="1">
        <v>0</v>
      </c>
      <c r="I1362" s="1">
        <v>0</v>
      </c>
      <c r="J1362" s="1">
        <v>2</v>
      </c>
      <c r="K1362" s="1">
        <v>-2</v>
      </c>
    </row>
    <row r="1363" spans="3:11" x14ac:dyDescent="0.25">
      <c r="D1363" s="1" t="s">
        <v>7534</v>
      </c>
      <c r="E1363" s="1" t="s">
        <v>7535</v>
      </c>
      <c r="F1363" s="1">
        <v>-2</v>
      </c>
      <c r="G1363" s="1">
        <v>-2</v>
      </c>
      <c r="H1363" s="1">
        <v>0</v>
      </c>
      <c r="I1363" s="1">
        <v>0</v>
      </c>
      <c r="J1363" s="1">
        <v>2</v>
      </c>
      <c r="K1363" s="1">
        <v>-2</v>
      </c>
    </row>
    <row r="1364" spans="3:11" x14ac:dyDescent="0.25">
      <c r="C1364" s="1" t="s">
        <v>7536</v>
      </c>
      <c r="D1364" s="1" t="s">
        <v>7537</v>
      </c>
      <c r="E1364" s="1" t="s">
        <v>7538</v>
      </c>
      <c r="F1364" s="1">
        <v>-2</v>
      </c>
      <c r="G1364" s="1">
        <v>-2</v>
      </c>
      <c r="H1364" s="1">
        <v>0</v>
      </c>
      <c r="I1364" s="1">
        <v>0</v>
      </c>
      <c r="J1364" s="1">
        <v>2</v>
      </c>
      <c r="K1364" s="1">
        <v>-2</v>
      </c>
    </row>
    <row r="1365" spans="3:11" x14ac:dyDescent="0.25">
      <c r="C1365" s="1" t="s">
        <v>7539</v>
      </c>
      <c r="D1365" s="1" t="s">
        <v>7540</v>
      </c>
      <c r="E1365" s="1" t="s">
        <v>7539</v>
      </c>
      <c r="F1365" s="1">
        <v>-2</v>
      </c>
      <c r="G1365" s="1">
        <v>-2</v>
      </c>
      <c r="H1365" s="1">
        <v>0</v>
      </c>
      <c r="I1365" s="1">
        <v>0</v>
      </c>
      <c r="J1365" s="1">
        <v>2</v>
      </c>
      <c r="K1365" s="1">
        <v>-2</v>
      </c>
    </row>
    <row r="1366" spans="3:11" x14ac:dyDescent="0.25">
      <c r="C1366" s="1" t="s">
        <v>7541</v>
      </c>
      <c r="D1366" s="1" t="s">
        <v>7542</v>
      </c>
      <c r="E1366" s="1" t="s">
        <v>7541</v>
      </c>
      <c r="F1366" s="1">
        <v>-2</v>
      </c>
      <c r="G1366" s="1">
        <v>-2</v>
      </c>
      <c r="H1366" s="1">
        <v>0</v>
      </c>
      <c r="I1366" s="1">
        <v>0</v>
      </c>
      <c r="J1366" s="1">
        <v>2</v>
      </c>
      <c r="K1366" s="1">
        <v>-2</v>
      </c>
    </row>
    <row r="1367" spans="3:11" x14ac:dyDescent="0.25">
      <c r="C1367" s="1" t="s">
        <v>7543</v>
      </c>
      <c r="D1367" s="1" t="s">
        <v>7544</v>
      </c>
      <c r="E1367" s="1" t="s">
        <v>7543</v>
      </c>
      <c r="F1367" s="1">
        <v>-2</v>
      </c>
      <c r="G1367" s="1">
        <v>-2</v>
      </c>
      <c r="H1367" s="1">
        <v>0</v>
      </c>
      <c r="I1367" s="1">
        <v>0</v>
      </c>
      <c r="J1367" s="1">
        <v>2</v>
      </c>
      <c r="K1367" s="1">
        <v>-2</v>
      </c>
    </row>
    <row r="1368" spans="3:11" x14ac:dyDescent="0.25">
      <c r="C1368" s="1" t="s">
        <v>7545</v>
      </c>
      <c r="D1368" s="1" t="s">
        <v>7546</v>
      </c>
      <c r="E1368" s="1" t="s">
        <v>7545</v>
      </c>
      <c r="F1368" s="1">
        <v>-2</v>
      </c>
      <c r="G1368" s="1">
        <v>-2</v>
      </c>
      <c r="H1368" s="1">
        <v>0</v>
      </c>
      <c r="I1368" s="1">
        <v>0</v>
      </c>
      <c r="J1368" s="1">
        <v>2</v>
      </c>
      <c r="K1368" s="1">
        <v>-2</v>
      </c>
    </row>
    <row r="1369" spans="3:11" x14ac:dyDescent="0.25">
      <c r="C1369" s="1" t="s">
        <v>7547</v>
      </c>
      <c r="D1369" s="1" t="s">
        <v>7548</v>
      </c>
      <c r="E1369" s="1" t="s">
        <v>7547</v>
      </c>
      <c r="F1369" s="1">
        <v>-2</v>
      </c>
      <c r="G1369" s="1">
        <v>-2</v>
      </c>
      <c r="H1369" s="1">
        <v>0</v>
      </c>
      <c r="I1369" s="1">
        <v>0</v>
      </c>
      <c r="J1369" s="1">
        <v>2</v>
      </c>
      <c r="K1369" s="1">
        <v>-2</v>
      </c>
    </row>
    <row r="1370" spans="3:11" x14ac:dyDescent="0.25">
      <c r="C1370" s="1" t="s">
        <v>7549</v>
      </c>
      <c r="D1370" s="1" t="s">
        <v>7550</v>
      </c>
      <c r="E1370" s="1" t="s">
        <v>7549</v>
      </c>
      <c r="F1370" s="1">
        <v>-2</v>
      </c>
      <c r="G1370" s="1">
        <v>-2</v>
      </c>
      <c r="H1370" s="1">
        <v>0</v>
      </c>
      <c r="I1370" s="1">
        <v>0</v>
      </c>
      <c r="J1370" s="1">
        <v>2</v>
      </c>
      <c r="K1370" s="1">
        <v>-2</v>
      </c>
    </row>
    <row r="1371" spans="3:11" x14ac:dyDescent="0.25">
      <c r="C1371" s="1" t="s">
        <v>7551</v>
      </c>
      <c r="D1371" s="1" t="s">
        <v>7552</v>
      </c>
      <c r="E1371" s="1" t="s">
        <v>7551</v>
      </c>
      <c r="F1371" s="1">
        <v>-2</v>
      </c>
      <c r="G1371" s="1">
        <v>-2</v>
      </c>
      <c r="H1371" s="1">
        <v>0</v>
      </c>
      <c r="I1371" s="1">
        <v>0</v>
      </c>
      <c r="J1371" s="1">
        <v>2</v>
      </c>
      <c r="K1371" s="1">
        <v>-2</v>
      </c>
    </row>
    <row r="1372" spans="3:11" x14ac:dyDescent="0.25">
      <c r="C1372" s="1" t="s">
        <v>7553</v>
      </c>
      <c r="D1372" s="1" t="s">
        <v>7554</v>
      </c>
      <c r="E1372" s="1" t="s">
        <v>7553</v>
      </c>
      <c r="F1372" s="1">
        <v>-2</v>
      </c>
      <c r="G1372" s="1">
        <v>-2</v>
      </c>
      <c r="H1372" s="1">
        <v>0</v>
      </c>
      <c r="I1372" s="1">
        <v>0</v>
      </c>
      <c r="J1372" s="1">
        <v>2</v>
      </c>
      <c r="K1372" s="1">
        <v>-2</v>
      </c>
    </row>
    <row r="1373" spans="3:11" x14ac:dyDescent="0.25">
      <c r="C1373" s="1" t="s">
        <v>7555</v>
      </c>
      <c r="D1373" s="1" t="s">
        <v>7556</v>
      </c>
      <c r="E1373" s="1" t="s">
        <v>7555</v>
      </c>
      <c r="F1373" s="1">
        <v>-2</v>
      </c>
      <c r="G1373" s="1">
        <v>-2</v>
      </c>
      <c r="H1373" s="1">
        <v>0</v>
      </c>
      <c r="I1373" s="1">
        <v>0</v>
      </c>
      <c r="J1373" s="1">
        <v>2</v>
      </c>
      <c r="K1373" s="1">
        <v>-2</v>
      </c>
    </row>
    <row r="1374" spans="3:11" x14ac:dyDescent="0.25">
      <c r="C1374" s="1" t="s">
        <v>7557</v>
      </c>
      <c r="D1374" s="1" t="s">
        <v>7558</v>
      </c>
      <c r="E1374" s="1" t="s">
        <v>7557</v>
      </c>
      <c r="F1374" s="1">
        <v>-2</v>
      </c>
      <c r="G1374" s="1">
        <v>-2</v>
      </c>
      <c r="H1374" s="1">
        <v>0</v>
      </c>
      <c r="I1374" s="1">
        <v>0</v>
      </c>
      <c r="J1374" s="1">
        <v>2</v>
      </c>
      <c r="K1374" s="1">
        <v>-2</v>
      </c>
    </row>
    <row r="1375" spans="3:11" x14ac:dyDescent="0.25">
      <c r="C1375" s="1" t="s">
        <v>7559</v>
      </c>
      <c r="D1375" s="1" t="s">
        <v>7560</v>
      </c>
      <c r="E1375" s="1" t="s">
        <v>7559</v>
      </c>
      <c r="F1375" s="1">
        <v>-2</v>
      </c>
      <c r="G1375" s="1">
        <v>-2</v>
      </c>
      <c r="H1375" s="1">
        <v>0</v>
      </c>
      <c r="I1375" s="1">
        <v>0</v>
      </c>
      <c r="J1375" s="1">
        <v>2</v>
      </c>
      <c r="K1375" s="1">
        <v>-2</v>
      </c>
    </row>
    <row r="1376" spans="3:11" x14ac:dyDescent="0.25">
      <c r="C1376" s="1" t="s">
        <v>7561</v>
      </c>
      <c r="D1376" s="1" t="s">
        <v>7562</v>
      </c>
      <c r="E1376" s="1" t="s">
        <v>7561</v>
      </c>
      <c r="F1376" s="1">
        <v>-2</v>
      </c>
      <c r="G1376" s="1">
        <v>-2</v>
      </c>
      <c r="H1376" s="1">
        <v>0</v>
      </c>
      <c r="I1376" s="1">
        <v>0</v>
      </c>
      <c r="J1376" s="1">
        <v>2</v>
      </c>
      <c r="K1376" s="1">
        <v>-2</v>
      </c>
    </row>
    <row r="1377" spans="3:11" x14ac:dyDescent="0.25">
      <c r="C1377" s="1" t="s">
        <v>7563</v>
      </c>
      <c r="D1377" s="1" t="s">
        <v>7564</v>
      </c>
      <c r="E1377" s="1" t="s">
        <v>7563</v>
      </c>
      <c r="F1377" s="1">
        <v>-2</v>
      </c>
      <c r="G1377" s="1">
        <v>-2</v>
      </c>
      <c r="H1377" s="1">
        <v>0</v>
      </c>
      <c r="I1377" s="1">
        <v>0</v>
      </c>
      <c r="J1377" s="1">
        <v>2</v>
      </c>
      <c r="K1377" s="1">
        <v>-2</v>
      </c>
    </row>
    <row r="1378" spans="3:11" x14ac:dyDescent="0.25">
      <c r="C1378" s="1" t="s">
        <v>7565</v>
      </c>
      <c r="D1378" s="1" t="s">
        <v>7566</v>
      </c>
      <c r="E1378" s="1" t="s">
        <v>7567</v>
      </c>
      <c r="F1378" s="1">
        <v>-2</v>
      </c>
      <c r="G1378" s="1">
        <v>-2</v>
      </c>
      <c r="H1378" s="1">
        <v>0</v>
      </c>
      <c r="I1378" s="1">
        <v>0</v>
      </c>
      <c r="J1378" s="1">
        <v>2</v>
      </c>
      <c r="K1378" s="1">
        <v>-2</v>
      </c>
    </row>
    <row r="1379" spans="3:11" x14ac:dyDescent="0.25">
      <c r="C1379" s="1" t="s">
        <v>7568</v>
      </c>
      <c r="D1379" s="1" t="s">
        <v>7569</v>
      </c>
      <c r="E1379" s="1" t="s">
        <v>7568</v>
      </c>
      <c r="F1379" s="1">
        <v>-2</v>
      </c>
      <c r="G1379" s="1">
        <v>-2</v>
      </c>
      <c r="H1379" s="1">
        <v>0</v>
      </c>
      <c r="I1379" s="1">
        <v>0</v>
      </c>
      <c r="J1379" s="1">
        <v>2</v>
      </c>
      <c r="K1379" s="1">
        <v>-2</v>
      </c>
    </row>
    <row r="1380" spans="3:11" x14ac:dyDescent="0.25">
      <c r="D1380" s="1" t="s">
        <v>7570</v>
      </c>
      <c r="E1380" s="1" t="s">
        <v>7571</v>
      </c>
      <c r="F1380" s="1">
        <v>-2</v>
      </c>
      <c r="G1380" s="1">
        <v>-2</v>
      </c>
      <c r="H1380" s="1">
        <v>0</v>
      </c>
      <c r="I1380" s="1">
        <v>0</v>
      </c>
      <c r="J1380" s="1">
        <v>2</v>
      </c>
      <c r="K1380" s="1">
        <v>-2</v>
      </c>
    </row>
    <row r="1381" spans="3:11" x14ac:dyDescent="0.25">
      <c r="C1381" s="1" t="s">
        <v>7572</v>
      </c>
      <c r="D1381" s="1" t="s">
        <v>7573</v>
      </c>
      <c r="E1381" s="1" t="s">
        <v>7572</v>
      </c>
      <c r="F1381" s="1">
        <v>-2</v>
      </c>
      <c r="G1381" s="1">
        <v>-2</v>
      </c>
      <c r="H1381" s="1">
        <v>0</v>
      </c>
      <c r="I1381" s="1">
        <v>0</v>
      </c>
      <c r="J1381" s="1">
        <v>2</v>
      </c>
      <c r="K1381" s="1">
        <v>-2</v>
      </c>
    </row>
    <row r="1382" spans="3:11" x14ac:dyDescent="0.25">
      <c r="D1382" s="1" t="s">
        <v>7574</v>
      </c>
      <c r="E1382" s="1" t="s">
        <v>7575</v>
      </c>
      <c r="F1382" s="1">
        <v>-2</v>
      </c>
      <c r="G1382" s="1">
        <v>-2</v>
      </c>
      <c r="H1382" s="1">
        <v>0</v>
      </c>
      <c r="I1382" s="1">
        <v>0</v>
      </c>
      <c r="J1382" s="1">
        <v>2</v>
      </c>
      <c r="K1382" s="1">
        <v>-2</v>
      </c>
    </row>
    <row r="1383" spans="3:11" x14ac:dyDescent="0.25">
      <c r="C1383" s="1" t="s">
        <v>7576</v>
      </c>
      <c r="D1383" s="1" t="s">
        <v>7577</v>
      </c>
      <c r="E1383" s="1" t="s">
        <v>7578</v>
      </c>
      <c r="F1383" s="1">
        <v>-2</v>
      </c>
      <c r="G1383" s="1">
        <v>-2</v>
      </c>
      <c r="H1383" s="1">
        <v>0</v>
      </c>
      <c r="I1383" s="1">
        <v>0</v>
      </c>
      <c r="J1383" s="1">
        <v>2</v>
      </c>
      <c r="K1383" s="1">
        <v>-2</v>
      </c>
    </row>
    <row r="1384" spans="3:11" x14ac:dyDescent="0.25">
      <c r="C1384" s="1" t="s">
        <v>7579</v>
      </c>
      <c r="D1384" s="1" t="s">
        <v>7580</v>
      </c>
      <c r="E1384" s="1" t="s">
        <v>7579</v>
      </c>
      <c r="F1384" s="1">
        <v>-2</v>
      </c>
      <c r="G1384" s="1">
        <v>-2</v>
      </c>
      <c r="H1384" s="1">
        <v>0</v>
      </c>
      <c r="I1384" s="1">
        <v>0</v>
      </c>
      <c r="J1384" s="1">
        <v>2</v>
      </c>
      <c r="K1384" s="1">
        <v>-2</v>
      </c>
    </row>
    <row r="1385" spans="3:11" x14ac:dyDescent="0.25">
      <c r="C1385" s="1" t="s">
        <v>7581</v>
      </c>
      <c r="D1385" s="1" t="s">
        <v>7582</v>
      </c>
      <c r="E1385" s="1" t="s">
        <v>7583</v>
      </c>
      <c r="F1385" s="1">
        <v>-2</v>
      </c>
      <c r="G1385" s="1">
        <v>-2</v>
      </c>
      <c r="H1385" s="1">
        <v>0</v>
      </c>
      <c r="I1385" s="1">
        <v>0</v>
      </c>
      <c r="J1385" s="1">
        <v>2</v>
      </c>
      <c r="K1385" s="1">
        <v>-2</v>
      </c>
    </row>
    <row r="1386" spans="3:11" x14ac:dyDescent="0.25">
      <c r="C1386" s="1" t="s">
        <v>7584</v>
      </c>
      <c r="D1386" s="1" t="s">
        <v>7585</v>
      </c>
      <c r="E1386" s="1" t="s">
        <v>7584</v>
      </c>
      <c r="F1386" s="1">
        <v>-2</v>
      </c>
      <c r="G1386" s="1">
        <v>-2</v>
      </c>
      <c r="H1386" s="1">
        <v>0</v>
      </c>
      <c r="I1386" s="1">
        <v>0</v>
      </c>
      <c r="J1386" s="1">
        <v>2</v>
      </c>
      <c r="K1386" s="1">
        <v>-2</v>
      </c>
    </row>
    <row r="1387" spans="3:11" x14ac:dyDescent="0.25">
      <c r="C1387" s="1" t="s">
        <v>7586</v>
      </c>
      <c r="D1387" s="1" t="s">
        <v>7587</v>
      </c>
      <c r="E1387" s="1" t="s">
        <v>7588</v>
      </c>
      <c r="F1387" s="1">
        <v>-2</v>
      </c>
      <c r="G1387" s="1">
        <v>-2</v>
      </c>
      <c r="H1387" s="1">
        <v>0</v>
      </c>
      <c r="I1387" s="1">
        <v>0</v>
      </c>
      <c r="J1387" s="1">
        <v>2</v>
      </c>
      <c r="K1387" s="1">
        <v>-2</v>
      </c>
    </row>
    <row r="1388" spans="3:11" x14ac:dyDescent="0.25">
      <c r="D1388" s="1" t="s">
        <v>7589</v>
      </c>
      <c r="E1388" s="1" t="s">
        <v>7590</v>
      </c>
      <c r="F1388" s="1">
        <v>-2</v>
      </c>
      <c r="G1388" s="1">
        <v>-2</v>
      </c>
      <c r="H1388" s="1">
        <v>0</v>
      </c>
      <c r="I1388" s="1">
        <v>0</v>
      </c>
      <c r="J1388" s="1">
        <v>2</v>
      </c>
      <c r="K1388" s="1">
        <v>-2</v>
      </c>
    </row>
    <row r="1389" spans="3:11" x14ac:dyDescent="0.25">
      <c r="D1389" s="1" t="s">
        <v>7591</v>
      </c>
      <c r="E1389" s="1" t="s">
        <v>7592</v>
      </c>
      <c r="F1389" s="1">
        <v>-2</v>
      </c>
      <c r="G1389" s="1">
        <v>-2</v>
      </c>
      <c r="H1389" s="1">
        <v>0</v>
      </c>
      <c r="I1389" s="1">
        <v>0</v>
      </c>
      <c r="J1389" s="1">
        <v>2</v>
      </c>
      <c r="K1389" s="1">
        <v>-2</v>
      </c>
    </row>
    <row r="1390" spans="3:11" x14ac:dyDescent="0.25">
      <c r="C1390" s="1" t="s">
        <v>7593</v>
      </c>
      <c r="D1390" s="1" t="s">
        <v>7594</v>
      </c>
      <c r="E1390" s="1" t="s">
        <v>7595</v>
      </c>
      <c r="F1390" s="1">
        <v>-2</v>
      </c>
      <c r="G1390" s="1">
        <v>-2</v>
      </c>
      <c r="H1390" s="1">
        <v>0</v>
      </c>
      <c r="I1390" s="1">
        <v>0</v>
      </c>
      <c r="J1390" s="1">
        <v>2</v>
      </c>
      <c r="K1390" s="1">
        <v>-2</v>
      </c>
    </row>
    <row r="1391" spans="3:11" x14ac:dyDescent="0.25">
      <c r="D1391" s="1" t="s">
        <v>7596</v>
      </c>
      <c r="E1391" s="1" t="s">
        <v>7597</v>
      </c>
      <c r="F1391" s="1">
        <v>-2</v>
      </c>
      <c r="G1391" s="1">
        <v>-2</v>
      </c>
      <c r="H1391" s="1">
        <v>0</v>
      </c>
      <c r="I1391" s="1">
        <v>0</v>
      </c>
      <c r="J1391" s="1">
        <v>2</v>
      </c>
      <c r="K1391" s="1">
        <v>-2</v>
      </c>
    </row>
    <row r="1392" spans="3:11" x14ac:dyDescent="0.25">
      <c r="D1392" s="1" t="s">
        <v>7598</v>
      </c>
      <c r="E1392" s="1" t="s">
        <v>7599</v>
      </c>
      <c r="F1392" s="1">
        <v>-2</v>
      </c>
      <c r="G1392" s="1">
        <v>-2</v>
      </c>
      <c r="H1392" s="1">
        <v>0</v>
      </c>
      <c r="I1392" s="1">
        <v>0</v>
      </c>
      <c r="J1392" s="1">
        <v>2</v>
      </c>
      <c r="K1392" s="1">
        <v>-2</v>
      </c>
    </row>
    <row r="1393" spans="3:11" x14ac:dyDescent="0.25">
      <c r="D1393" s="1" t="s">
        <v>7600</v>
      </c>
      <c r="E1393" s="1" t="s">
        <v>7601</v>
      </c>
      <c r="F1393" s="1">
        <v>-2</v>
      </c>
      <c r="G1393" s="1">
        <v>-2</v>
      </c>
      <c r="H1393" s="1">
        <v>0</v>
      </c>
      <c r="I1393" s="1">
        <v>0</v>
      </c>
      <c r="J1393" s="1">
        <v>2</v>
      </c>
      <c r="K1393" s="1">
        <v>-2</v>
      </c>
    </row>
    <row r="1394" spans="3:11" x14ac:dyDescent="0.25">
      <c r="C1394" s="1" t="s">
        <v>7602</v>
      </c>
      <c r="D1394" s="1" t="s">
        <v>7603</v>
      </c>
      <c r="E1394" s="1" t="s">
        <v>7602</v>
      </c>
      <c r="F1394" s="1">
        <v>-2</v>
      </c>
      <c r="G1394" s="1">
        <v>-2</v>
      </c>
      <c r="H1394" s="1">
        <v>0</v>
      </c>
      <c r="I1394" s="1">
        <v>0</v>
      </c>
      <c r="J1394" s="1">
        <v>2</v>
      </c>
      <c r="K1394" s="1">
        <v>-2</v>
      </c>
    </row>
    <row r="1395" spans="3:11" x14ac:dyDescent="0.25">
      <c r="C1395" s="1" t="s">
        <v>7604</v>
      </c>
      <c r="D1395" s="1" t="s">
        <v>7605</v>
      </c>
      <c r="E1395" s="1" t="s">
        <v>7604</v>
      </c>
      <c r="F1395" s="1">
        <v>-2</v>
      </c>
      <c r="G1395" s="1">
        <v>-2</v>
      </c>
      <c r="H1395" s="1">
        <v>0</v>
      </c>
      <c r="I1395" s="1">
        <v>0</v>
      </c>
      <c r="J1395" s="1">
        <v>2</v>
      </c>
      <c r="K1395" s="1">
        <v>-2</v>
      </c>
    </row>
    <row r="1396" spans="3:11" x14ac:dyDescent="0.25">
      <c r="C1396" s="1" t="s">
        <v>7606</v>
      </c>
      <c r="D1396" s="1" t="s">
        <v>7607</v>
      </c>
      <c r="E1396" s="1" t="s">
        <v>7608</v>
      </c>
      <c r="F1396" s="1">
        <v>-2</v>
      </c>
      <c r="G1396" s="1">
        <v>-2</v>
      </c>
      <c r="H1396" s="1">
        <v>0</v>
      </c>
      <c r="I1396" s="1">
        <v>0</v>
      </c>
      <c r="J1396" s="1">
        <v>2</v>
      </c>
      <c r="K1396" s="1">
        <v>-2</v>
      </c>
    </row>
    <row r="1397" spans="3:11" x14ac:dyDescent="0.25">
      <c r="D1397" s="1" t="s">
        <v>7609</v>
      </c>
      <c r="E1397" s="1" t="s">
        <v>7610</v>
      </c>
      <c r="F1397" s="1">
        <v>-2</v>
      </c>
      <c r="G1397" s="1">
        <v>-2</v>
      </c>
      <c r="H1397" s="1">
        <v>0</v>
      </c>
      <c r="I1397" s="1">
        <v>0</v>
      </c>
      <c r="J1397" s="1">
        <v>2</v>
      </c>
      <c r="K1397" s="1">
        <v>-2</v>
      </c>
    </row>
    <row r="1398" spans="3:11" x14ac:dyDescent="0.25">
      <c r="C1398" s="1" t="s">
        <v>7611</v>
      </c>
      <c r="D1398" s="1" t="s">
        <v>7612</v>
      </c>
      <c r="E1398" s="1" t="s">
        <v>7613</v>
      </c>
      <c r="F1398" s="1">
        <v>-2</v>
      </c>
      <c r="G1398" s="1">
        <v>-2</v>
      </c>
      <c r="H1398" s="1">
        <v>0</v>
      </c>
      <c r="I1398" s="1">
        <v>0</v>
      </c>
      <c r="J1398" s="1">
        <v>2</v>
      </c>
      <c r="K1398" s="1">
        <v>-2</v>
      </c>
    </row>
    <row r="1399" spans="3:11" x14ac:dyDescent="0.25">
      <c r="C1399" s="1" t="s">
        <v>7614</v>
      </c>
      <c r="D1399" s="1" t="s">
        <v>7615</v>
      </c>
      <c r="E1399" s="1" t="s">
        <v>7614</v>
      </c>
      <c r="F1399" s="1">
        <v>-2</v>
      </c>
      <c r="G1399" s="1">
        <v>-2</v>
      </c>
      <c r="H1399" s="1">
        <v>0</v>
      </c>
      <c r="I1399" s="1">
        <v>0</v>
      </c>
      <c r="J1399" s="1">
        <v>2</v>
      </c>
      <c r="K1399" s="1">
        <v>-2</v>
      </c>
    </row>
    <row r="1400" spans="3:11" x14ac:dyDescent="0.25">
      <c r="C1400" s="1" t="s">
        <v>7616</v>
      </c>
      <c r="D1400" s="1" t="s">
        <v>7617</v>
      </c>
      <c r="E1400" s="1" t="s">
        <v>7618</v>
      </c>
      <c r="F1400" s="1">
        <v>-2</v>
      </c>
      <c r="G1400" s="1">
        <v>-2</v>
      </c>
      <c r="H1400" s="1">
        <v>0</v>
      </c>
      <c r="I1400" s="1">
        <v>0</v>
      </c>
      <c r="J1400" s="1">
        <v>2</v>
      </c>
      <c r="K1400" s="1">
        <v>-2</v>
      </c>
    </row>
    <row r="1401" spans="3:11" x14ac:dyDescent="0.25">
      <c r="C1401" s="1" t="s">
        <v>7619</v>
      </c>
      <c r="D1401" s="1" t="s">
        <v>7620</v>
      </c>
      <c r="E1401" s="1" t="s">
        <v>7619</v>
      </c>
      <c r="F1401" s="1">
        <v>-2</v>
      </c>
      <c r="G1401" s="1">
        <v>-2</v>
      </c>
      <c r="H1401" s="1">
        <v>0</v>
      </c>
      <c r="I1401" s="1">
        <v>0</v>
      </c>
      <c r="J1401" s="1">
        <v>2</v>
      </c>
      <c r="K1401" s="1">
        <v>-2</v>
      </c>
    </row>
    <row r="1402" spans="3:11" x14ac:dyDescent="0.25">
      <c r="C1402" s="1" t="s">
        <v>7621</v>
      </c>
      <c r="D1402" s="1" t="s">
        <v>7622</v>
      </c>
      <c r="E1402" s="1" t="s">
        <v>7621</v>
      </c>
      <c r="F1402" s="1">
        <v>-2</v>
      </c>
      <c r="G1402" s="1">
        <v>-2</v>
      </c>
      <c r="H1402" s="1">
        <v>0</v>
      </c>
      <c r="I1402" s="1">
        <v>0</v>
      </c>
      <c r="J1402" s="1">
        <v>2</v>
      </c>
      <c r="K1402" s="1">
        <v>-2</v>
      </c>
    </row>
    <row r="1403" spans="3:11" x14ac:dyDescent="0.25">
      <c r="D1403" s="1" t="s">
        <v>7623</v>
      </c>
      <c r="E1403" s="1" t="s">
        <v>7624</v>
      </c>
      <c r="F1403" s="1">
        <v>-2</v>
      </c>
      <c r="G1403" s="1">
        <v>-2</v>
      </c>
      <c r="H1403" s="1">
        <v>0</v>
      </c>
      <c r="I1403" s="1">
        <v>0</v>
      </c>
      <c r="J1403" s="1">
        <v>2</v>
      </c>
      <c r="K1403" s="1">
        <v>-2</v>
      </c>
    </row>
    <row r="1404" spans="3:11" x14ac:dyDescent="0.25">
      <c r="D1404" s="1" t="s">
        <v>7625</v>
      </c>
      <c r="E1404" s="1" t="s">
        <v>7626</v>
      </c>
      <c r="F1404" s="1">
        <v>-2</v>
      </c>
      <c r="G1404" s="1">
        <v>-2</v>
      </c>
      <c r="H1404" s="1">
        <v>0</v>
      </c>
      <c r="I1404" s="1">
        <v>0</v>
      </c>
      <c r="J1404" s="1">
        <v>2</v>
      </c>
      <c r="K1404" s="1">
        <v>-2</v>
      </c>
    </row>
    <row r="1405" spans="3:11" x14ac:dyDescent="0.25">
      <c r="C1405" s="1" t="s">
        <v>7627</v>
      </c>
      <c r="D1405" s="1" t="s">
        <v>7628</v>
      </c>
      <c r="E1405" s="1" t="s">
        <v>7627</v>
      </c>
      <c r="F1405" s="1">
        <v>-2</v>
      </c>
      <c r="G1405" s="1">
        <v>-2</v>
      </c>
      <c r="H1405" s="1">
        <v>0</v>
      </c>
      <c r="I1405" s="1">
        <v>0</v>
      </c>
      <c r="J1405" s="1">
        <v>2</v>
      </c>
      <c r="K1405" s="1">
        <v>-2</v>
      </c>
    </row>
    <row r="1406" spans="3:11" x14ac:dyDescent="0.25">
      <c r="C1406" s="1" t="s">
        <v>7629</v>
      </c>
      <c r="D1406" s="1" t="s">
        <v>7630</v>
      </c>
      <c r="E1406" s="1" t="s">
        <v>7629</v>
      </c>
      <c r="F1406" s="1">
        <v>-2</v>
      </c>
      <c r="G1406" s="1">
        <v>-2</v>
      </c>
      <c r="H1406" s="1">
        <v>0</v>
      </c>
      <c r="I1406" s="1">
        <v>0</v>
      </c>
      <c r="J1406" s="1">
        <v>2</v>
      </c>
      <c r="K1406" s="1">
        <v>-2</v>
      </c>
    </row>
    <row r="1407" spans="3:11" x14ac:dyDescent="0.25">
      <c r="C1407" s="1" t="s">
        <v>7631</v>
      </c>
      <c r="D1407" s="1" t="s">
        <v>7632</v>
      </c>
      <c r="E1407" s="1" t="s">
        <v>7633</v>
      </c>
      <c r="F1407" s="1">
        <v>-2</v>
      </c>
      <c r="G1407" s="1">
        <v>-2</v>
      </c>
      <c r="H1407" s="1">
        <v>0</v>
      </c>
      <c r="I1407" s="1">
        <v>0</v>
      </c>
      <c r="J1407" s="1">
        <v>2</v>
      </c>
      <c r="K1407" s="1">
        <v>-2</v>
      </c>
    </row>
    <row r="1408" spans="3:11" x14ac:dyDescent="0.25">
      <c r="D1408" s="1" t="s">
        <v>7634</v>
      </c>
      <c r="E1408" s="1" t="s">
        <v>7635</v>
      </c>
      <c r="F1408" s="1">
        <v>-2</v>
      </c>
      <c r="G1408" s="1">
        <v>-2</v>
      </c>
      <c r="H1408" s="1">
        <v>0</v>
      </c>
      <c r="I1408" s="1">
        <v>0</v>
      </c>
      <c r="J1408" s="1">
        <v>2</v>
      </c>
      <c r="K1408" s="1">
        <v>-2</v>
      </c>
    </row>
    <row r="1409" spans="3:11" x14ac:dyDescent="0.25">
      <c r="C1409" s="1" t="s">
        <v>7636</v>
      </c>
      <c r="D1409" s="1" t="s">
        <v>7637</v>
      </c>
      <c r="E1409" s="1" t="s">
        <v>7636</v>
      </c>
      <c r="F1409" s="1">
        <v>-2</v>
      </c>
      <c r="G1409" s="1">
        <v>-2</v>
      </c>
      <c r="H1409" s="1">
        <v>0</v>
      </c>
      <c r="I1409" s="1">
        <v>0</v>
      </c>
      <c r="J1409" s="1">
        <v>2</v>
      </c>
      <c r="K1409" s="1">
        <v>-2</v>
      </c>
    </row>
    <row r="1410" spans="3:11" x14ac:dyDescent="0.25">
      <c r="C1410" s="1" t="s">
        <v>7638</v>
      </c>
      <c r="D1410" s="1" t="s">
        <v>7639</v>
      </c>
      <c r="E1410" s="1" t="s">
        <v>7638</v>
      </c>
      <c r="F1410" s="1">
        <v>-2</v>
      </c>
      <c r="G1410" s="1">
        <v>-2</v>
      </c>
      <c r="H1410" s="1">
        <v>0</v>
      </c>
      <c r="I1410" s="1">
        <v>0</v>
      </c>
      <c r="J1410" s="1">
        <v>2</v>
      </c>
      <c r="K1410" s="1">
        <v>-2</v>
      </c>
    </row>
    <row r="1411" spans="3:11" x14ac:dyDescent="0.25">
      <c r="C1411" s="1" t="s">
        <v>7640</v>
      </c>
      <c r="D1411" s="1" t="s">
        <v>7641</v>
      </c>
      <c r="E1411" s="1" t="s">
        <v>7642</v>
      </c>
      <c r="F1411" s="1">
        <v>-2</v>
      </c>
      <c r="G1411" s="1">
        <v>-2</v>
      </c>
      <c r="H1411" s="1">
        <v>0</v>
      </c>
      <c r="I1411" s="1">
        <v>0</v>
      </c>
      <c r="J1411" s="1">
        <v>2</v>
      </c>
      <c r="K1411" s="1">
        <v>-2</v>
      </c>
    </row>
    <row r="1412" spans="3:11" x14ac:dyDescent="0.25">
      <c r="D1412" s="1" t="s">
        <v>7643</v>
      </c>
      <c r="E1412" s="1" t="s">
        <v>7644</v>
      </c>
      <c r="F1412" s="1">
        <v>-2</v>
      </c>
      <c r="G1412" s="1">
        <v>-2</v>
      </c>
      <c r="H1412" s="1">
        <v>0</v>
      </c>
      <c r="I1412" s="1">
        <v>0</v>
      </c>
      <c r="J1412" s="1">
        <v>2</v>
      </c>
      <c r="K1412" s="1">
        <v>-2</v>
      </c>
    </row>
    <row r="1413" spans="3:11" x14ac:dyDescent="0.25">
      <c r="D1413" s="1" t="s">
        <v>7645</v>
      </c>
      <c r="E1413" s="1" t="s">
        <v>7646</v>
      </c>
      <c r="F1413" s="1">
        <v>-2</v>
      </c>
      <c r="G1413" s="1">
        <v>-2</v>
      </c>
      <c r="H1413" s="1">
        <v>0</v>
      </c>
      <c r="I1413" s="1">
        <v>0</v>
      </c>
      <c r="J1413" s="1">
        <v>2</v>
      </c>
      <c r="K1413" s="1">
        <v>-2</v>
      </c>
    </row>
    <row r="1414" spans="3:11" x14ac:dyDescent="0.25">
      <c r="D1414" s="1" t="s">
        <v>7647</v>
      </c>
      <c r="E1414" s="1" t="s">
        <v>7648</v>
      </c>
      <c r="F1414" s="1">
        <v>-2</v>
      </c>
      <c r="G1414" s="1">
        <v>-2</v>
      </c>
      <c r="H1414" s="1">
        <v>0</v>
      </c>
      <c r="I1414" s="1">
        <v>0</v>
      </c>
      <c r="J1414" s="1">
        <v>2</v>
      </c>
      <c r="K1414" s="1">
        <v>-2</v>
      </c>
    </row>
    <row r="1415" spans="3:11" x14ac:dyDescent="0.25">
      <c r="C1415" s="1" t="s">
        <v>7649</v>
      </c>
      <c r="D1415" s="1" t="s">
        <v>7650</v>
      </c>
      <c r="E1415" s="1" t="s">
        <v>7649</v>
      </c>
      <c r="F1415" s="1">
        <v>-2</v>
      </c>
      <c r="G1415" s="1">
        <v>-2</v>
      </c>
      <c r="H1415" s="1">
        <v>0</v>
      </c>
      <c r="I1415" s="1">
        <v>0</v>
      </c>
      <c r="J1415" s="1">
        <v>2</v>
      </c>
      <c r="K1415" s="1">
        <v>-2</v>
      </c>
    </row>
    <row r="1416" spans="3:11" x14ac:dyDescent="0.25">
      <c r="C1416" s="1" t="s">
        <v>7651</v>
      </c>
      <c r="D1416" s="1" t="s">
        <v>7652</v>
      </c>
      <c r="E1416" s="1" t="s">
        <v>7653</v>
      </c>
      <c r="F1416" s="1">
        <v>-2</v>
      </c>
      <c r="G1416" s="1">
        <v>-2</v>
      </c>
      <c r="H1416" s="1">
        <v>0</v>
      </c>
      <c r="I1416" s="1">
        <v>0</v>
      </c>
      <c r="J1416" s="1">
        <v>2</v>
      </c>
      <c r="K1416" s="1">
        <v>-2</v>
      </c>
    </row>
    <row r="1417" spans="3:11" x14ac:dyDescent="0.25">
      <c r="C1417" s="1" t="s">
        <v>7654</v>
      </c>
      <c r="D1417" s="1" t="s">
        <v>7655</v>
      </c>
      <c r="E1417" s="1" t="s">
        <v>7654</v>
      </c>
      <c r="F1417" s="1">
        <v>-2</v>
      </c>
      <c r="G1417" s="1">
        <v>-2</v>
      </c>
      <c r="H1417" s="1">
        <v>0</v>
      </c>
      <c r="I1417" s="1">
        <v>0</v>
      </c>
      <c r="J1417" s="1">
        <v>2</v>
      </c>
      <c r="K1417" s="1">
        <v>-2</v>
      </c>
    </row>
    <row r="1418" spans="3:11" x14ac:dyDescent="0.25">
      <c r="C1418" s="1" t="s">
        <v>7656</v>
      </c>
      <c r="D1418" s="1" t="s">
        <v>7657</v>
      </c>
      <c r="E1418" s="1" t="s">
        <v>7656</v>
      </c>
      <c r="F1418" s="1">
        <v>-2</v>
      </c>
      <c r="G1418" s="1">
        <v>-2</v>
      </c>
      <c r="H1418" s="1">
        <v>0</v>
      </c>
      <c r="I1418" s="1">
        <v>0</v>
      </c>
      <c r="J1418" s="1">
        <v>2</v>
      </c>
      <c r="K1418" s="1">
        <v>-2</v>
      </c>
    </row>
    <row r="1419" spans="3:11" x14ac:dyDescent="0.25">
      <c r="C1419" s="1" t="s">
        <v>7658</v>
      </c>
      <c r="D1419" s="1" t="s">
        <v>7659</v>
      </c>
      <c r="E1419" s="1" t="s">
        <v>7658</v>
      </c>
      <c r="F1419" s="1">
        <v>-2</v>
      </c>
      <c r="G1419" s="1">
        <v>-2</v>
      </c>
      <c r="H1419" s="1">
        <v>0</v>
      </c>
      <c r="I1419" s="1">
        <v>0</v>
      </c>
      <c r="J1419" s="1">
        <v>2</v>
      </c>
      <c r="K1419" s="1">
        <v>-2</v>
      </c>
    </row>
    <row r="1420" spans="3:11" x14ac:dyDescent="0.25">
      <c r="C1420" s="1" t="s">
        <v>7660</v>
      </c>
      <c r="D1420" s="1" t="s">
        <v>7661</v>
      </c>
      <c r="E1420" s="1" t="s">
        <v>7660</v>
      </c>
      <c r="F1420" s="1">
        <v>-2</v>
      </c>
      <c r="G1420" s="1">
        <v>-2</v>
      </c>
      <c r="H1420" s="1">
        <v>0</v>
      </c>
      <c r="I1420" s="1">
        <v>0</v>
      </c>
      <c r="J1420" s="1">
        <v>2</v>
      </c>
      <c r="K1420" s="1">
        <v>-2</v>
      </c>
    </row>
    <row r="1421" spans="3:11" x14ac:dyDescent="0.25">
      <c r="D1421" s="1" t="s">
        <v>7662</v>
      </c>
      <c r="E1421" s="1" t="s">
        <v>7663</v>
      </c>
      <c r="F1421" s="1">
        <v>-2</v>
      </c>
      <c r="G1421" s="1">
        <v>-2</v>
      </c>
      <c r="H1421" s="1">
        <v>0</v>
      </c>
      <c r="I1421" s="1">
        <v>0</v>
      </c>
      <c r="J1421" s="1">
        <v>2</v>
      </c>
      <c r="K1421" s="1">
        <v>-2</v>
      </c>
    </row>
    <row r="1422" spans="3:11" x14ac:dyDescent="0.25">
      <c r="C1422" s="1" t="s">
        <v>7664</v>
      </c>
      <c r="D1422" s="1" t="s">
        <v>7665</v>
      </c>
      <c r="E1422" s="1" t="s">
        <v>7664</v>
      </c>
      <c r="F1422" s="1">
        <v>-2</v>
      </c>
      <c r="G1422" s="1">
        <v>-2</v>
      </c>
      <c r="H1422" s="1">
        <v>0</v>
      </c>
      <c r="I1422" s="1">
        <v>0</v>
      </c>
      <c r="J1422" s="1">
        <v>2</v>
      </c>
      <c r="K1422" s="1">
        <v>-2</v>
      </c>
    </row>
    <row r="1423" spans="3:11" x14ac:dyDescent="0.25">
      <c r="D1423" s="1" t="s">
        <v>7666</v>
      </c>
      <c r="E1423" s="1" t="s">
        <v>7667</v>
      </c>
      <c r="F1423" s="1">
        <v>-2</v>
      </c>
      <c r="G1423" s="1">
        <v>-2</v>
      </c>
      <c r="H1423" s="1">
        <v>0</v>
      </c>
      <c r="I1423" s="1">
        <v>0</v>
      </c>
      <c r="J1423" s="1">
        <v>2</v>
      </c>
      <c r="K1423" s="1">
        <v>-2</v>
      </c>
    </row>
    <row r="1424" spans="3:11" x14ac:dyDescent="0.25">
      <c r="C1424" s="1" t="s">
        <v>7668</v>
      </c>
      <c r="D1424" s="1" t="s">
        <v>7669</v>
      </c>
      <c r="E1424" s="1" t="s">
        <v>7668</v>
      </c>
      <c r="F1424" s="1">
        <v>-2</v>
      </c>
      <c r="G1424" s="1">
        <v>-2</v>
      </c>
      <c r="H1424" s="1">
        <v>0</v>
      </c>
      <c r="I1424" s="1">
        <v>0</v>
      </c>
      <c r="J1424" s="1">
        <v>2</v>
      </c>
      <c r="K1424" s="1">
        <v>-2</v>
      </c>
    </row>
    <row r="1425" spans="3:11" x14ac:dyDescent="0.25">
      <c r="D1425" s="1" t="s">
        <v>7670</v>
      </c>
      <c r="E1425" s="1" t="s">
        <v>7671</v>
      </c>
      <c r="F1425" s="1">
        <v>-2</v>
      </c>
      <c r="G1425" s="1">
        <v>-2</v>
      </c>
      <c r="H1425" s="1">
        <v>0</v>
      </c>
      <c r="I1425" s="1">
        <v>0</v>
      </c>
      <c r="J1425" s="1">
        <v>2</v>
      </c>
      <c r="K1425" s="1">
        <v>-2</v>
      </c>
    </row>
    <row r="1426" spans="3:11" x14ac:dyDescent="0.25">
      <c r="C1426" s="1" t="s">
        <v>7672</v>
      </c>
      <c r="D1426" s="1" t="s">
        <v>7673</v>
      </c>
      <c r="E1426" s="1" t="s">
        <v>7672</v>
      </c>
      <c r="F1426" s="1">
        <v>-2</v>
      </c>
      <c r="G1426" s="1">
        <v>-2</v>
      </c>
      <c r="H1426" s="1">
        <v>0</v>
      </c>
      <c r="I1426" s="1">
        <v>0</v>
      </c>
      <c r="J1426" s="1">
        <v>2</v>
      </c>
      <c r="K1426" s="1">
        <v>-2</v>
      </c>
    </row>
    <row r="1427" spans="3:11" x14ac:dyDescent="0.25">
      <c r="C1427" s="1" t="s">
        <v>7674</v>
      </c>
      <c r="D1427" s="1" t="s">
        <v>7675</v>
      </c>
      <c r="E1427" s="1" t="s">
        <v>7674</v>
      </c>
      <c r="F1427" s="1">
        <v>-2</v>
      </c>
      <c r="G1427" s="1">
        <v>-2</v>
      </c>
      <c r="H1427" s="1">
        <v>0</v>
      </c>
      <c r="I1427" s="1">
        <v>0</v>
      </c>
      <c r="J1427" s="1">
        <v>2</v>
      </c>
      <c r="K1427" s="1">
        <v>-2</v>
      </c>
    </row>
    <row r="1428" spans="3:11" x14ac:dyDescent="0.25">
      <c r="C1428" s="1" t="s">
        <v>7676</v>
      </c>
      <c r="D1428" s="1" t="s">
        <v>7677</v>
      </c>
      <c r="E1428" s="1" t="s">
        <v>7676</v>
      </c>
      <c r="F1428" s="1">
        <v>-2</v>
      </c>
      <c r="G1428" s="1">
        <v>-2</v>
      </c>
      <c r="H1428" s="1">
        <v>0</v>
      </c>
      <c r="I1428" s="1">
        <v>0</v>
      </c>
      <c r="J1428" s="1">
        <v>2</v>
      </c>
      <c r="K1428" s="1">
        <v>-2</v>
      </c>
    </row>
    <row r="1429" spans="3:11" x14ac:dyDescent="0.25">
      <c r="C1429" s="1" t="s">
        <v>7678</v>
      </c>
      <c r="D1429" s="1" t="s">
        <v>7679</v>
      </c>
      <c r="E1429" s="1" t="s">
        <v>7680</v>
      </c>
      <c r="F1429" s="1">
        <v>-2</v>
      </c>
      <c r="G1429" s="1">
        <v>-2</v>
      </c>
      <c r="H1429" s="1">
        <v>0</v>
      </c>
      <c r="I1429" s="1">
        <v>0</v>
      </c>
      <c r="J1429" s="1">
        <v>2</v>
      </c>
      <c r="K1429" s="1">
        <v>-2</v>
      </c>
    </row>
    <row r="1430" spans="3:11" x14ac:dyDescent="0.25">
      <c r="D1430" s="1" t="s">
        <v>7681</v>
      </c>
      <c r="E1430" s="1" t="s">
        <v>7682</v>
      </c>
      <c r="F1430" s="1">
        <v>-2</v>
      </c>
      <c r="G1430" s="1">
        <v>-2</v>
      </c>
      <c r="H1430" s="1">
        <v>0</v>
      </c>
      <c r="I1430" s="1">
        <v>0</v>
      </c>
      <c r="J1430" s="1">
        <v>2</v>
      </c>
      <c r="K1430" s="1">
        <v>-2</v>
      </c>
    </row>
    <row r="1431" spans="3:11" x14ac:dyDescent="0.25">
      <c r="D1431" s="1" t="s">
        <v>7683</v>
      </c>
      <c r="E1431" s="1" t="s">
        <v>7684</v>
      </c>
      <c r="F1431" s="1">
        <v>-2</v>
      </c>
      <c r="G1431" s="1">
        <v>-2</v>
      </c>
      <c r="H1431" s="1">
        <v>0</v>
      </c>
      <c r="I1431" s="1">
        <v>0</v>
      </c>
      <c r="J1431" s="1">
        <v>2</v>
      </c>
      <c r="K1431" s="1">
        <v>-2</v>
      </c>
    </row>
    <row r="1432" spans="3:11" x14ac:dyDescent="0.25">
      <c r="D1432" s="1" t="s">
        <v>7685</v>
      </c>
      <c r="E1432" s="1" t="s">
        <v>7686</v>
      </c>
      <c r="F1432" s="1">
        <v>-2</v>
      </c>
      <c r="G1432" s="1">
        <v>-2</v>
      </c>
      <c r="H1432" s="1">
        <v>0</v>
      </c>
      <c r="I1432" s="1">
        <v>0</v>
      </c>
      <c r="J1432" s="1">
        <v>2</v>
      </c>
      <c r="K1432" s="1">
        <v>-2</v>
      </c>
    </row>
    <row r="1433" spans="3:11" x14ac:dyDescent="0.25">
      <c r="D1433" s="1" t="s">
        <v>7687</v>
      </c>
      <c r="E1433" s="1" t="s">
        <v>7688</v>
      </c>
      <c r="F1433" s="1">
        <v>-2</v>
      </c>
      <c r="G1433" s="1">
        <v>-2</v>
      </c>
      <c r="H1433" s="1">
        <v>0</v>
      </c>
      <c r="I1433" s="1">
        <v>0</v>
      </c>
      <c r="J1433" s="1">
        <v>2</v>
      </c>
      <c r="K1433" s="1">
        <v>-2</v>
      </c>
    </row>
    <row r="1434" spans="3:11" x14ac:dyDescent="0.25">
      <c r="D1434" s="1" t="s">
        <v>7689</v>
      </c>
      <c r="E1434" s="1" t="s">
        <v>7690</v>
      </c>
      <c r="F1434" s="1">
        <v>-2</v>
      </c>
      <c r="G1434" s="1">
        <v>-2</v>
      </c>
      <c r="H1434" s="1">
        <v>0</v>
      </c>
      <c r="I1434" s="1">
        <v>0</v>
      </c>
      <c r="J1434" s="1">
        <v>2</v>
      </c>
      <c r="K1434" s="1">
        <v>-2</v>
      </c>
    </row>
    <row r="1435" spans="3:11" x14ac:dyDescent="0.25">
      <c r="D1435" s="1" t="s">
        <v>7691</v>
      </c>
      <c r="E1435" s="1" t="s">
        <v>7692</v>
      </c>
      <c r="F1435" s="1">
        <v>-2</v>
      </c>
      <c r="G1435" s="1">
        <v>-2</v>
      </c>
      <c r="H1435" s="1">
        <v>0</v>
      </c>
      <c r="I1435" s="1">
        <v>0</v>
      </c>
      <c r="J1435" s="1">
        <v>2</v>
      </c>
      <c r="K1435" s="1">
        <v>-2</v>
      </c>
    </row>
    <row r="1436" spans="3:11" x14ac:dyDescent="0.25">
      <c r="D1436" s="1" t="s">
        <v>7693</v>
      </c>
      <c r="E1436" s="1" t="s">
        <v>7694</v>
      </c>
      <c r="F1436" s="1">
        <v>-2</v>
      </c>
      <c r="G1436" s="1">
        <v>-2</v>
      </c>
      <c r="H1436" s="1">
        <v>0</v>
      </c>
      <c r="I1436" s="1">
        <v>0</v>
      </c>
      <c r="J1436" s="1">
        <v>2</v>
      </c>
      <c r="K1436" s="1">
        <v>-2</v>
      </c>
    </row>
    <row r="1437" spans="3:11" x14ac:dyDescent="0.25">
      <c r="D1437" s="1" t="s">
        <v>7695</v>
      </c>
      <c r="E1437" s="1" t="s">
        <v>7696</v>
      </c>
      <c r="F1437" s="1">
        <v>-2</v>
      </c>
      <c r="G1437" s="1">
        <v>-2</v>
      </c>
      <c r="H1437" s="1">
        <v>0</v>
      </c>
      <c r="I1437" s="1">
        <v>0</v>
      </c>
      <c r="J1437" s="1">
        <v>2</v>
      </c>
      <c r="K1437" s="1">
        <v>-2</v>
      </c>
    </row>
    <row r="1438" spans="3:11" x14ac:dyDescent="0.25">
      <c r="D1438" s="1" t="s">
        <v>7697</v>
      </c>
      <c r="E1438" s="1" t="s">
        <v>7698</v>
      </c>
      <c r="F1438" s="1">
        <v>-2</v>
      </c>
      <c r="G1438" s="1">
        <v>-2</v>
      </c>
      <c r="H1438" s="1">
        <v>0</v>
      </c>
      <c r="I1438" s="1">
        <v>0</v>
      </c>
      <c r="J1438" s="1">
        <v>2</v>
      </c>
      <c r="K1438" s="1">
        <v>-2</v>
      </c>
    </row>
    <row r="1439" spans="3:11" x14ac:dyDescent="0.25">
      <c r="D1439" s="1" t="s">
        <v>7699</v>
      </c>
      <c r="E1439" s="1" t="s">
        <v>7700</v>
      </c>
      <c r="F1439" s="1">
        <v>-2</v>
      </c>
      <c r="G1439" s="1">
        <v>-2</v>
      </c>
      <c r="H1439" s="1">
        <v>0</v>
      </c>
      <c r="I1439" s="1">
        <v>0</v>
      </c>
      <c r="J1439" s="1">
        <v>2</v>
      </c>
      <c r="K1439" s="1">
        <v>-2</v>
      </c>
    </row>
    <row r="1440" spans="3:11" x14ac:dyDescent="0.25">
      <c r="D1440" s="1" t="s">
        <v>7701</v>
      </c>
      <c r="E1440" s="1" t="s">
        <v>7702</v>
      </c>
      <c r="F1440" s="1">
        <v>-2</v>
      </c>
      <c r="G1440" s="1">
        <v>-2</v>
      </c>
      <c r="H1440" s="1">
        <v>0</v>
      </c>
      <c r="I1440" s="1">
        <v>0</v>
      </c>
      <c r="J1440" s="1">
        <v>2</v>
      </c>
      <c r="K1440" s="1">
        <v>-2</v>
      </c>
    </row>
    <row r="1441" spans="3:11" x14ac:dyDescent="0.25">
      <c r="D1441" s="1" t="s">
        <v>7703</v>
      </c>
      <c r="E1441" s="1" t="s">
        <v>7704</v>
      </c>
      <c r="F1441" s="1">
        <v>-2</v>
      </c>
      <c r="G1441" s="1">
        <v>-2</v>
      </c>
      <c r="H1441" s="1">
        <v>0</v>
      </c>
      <c r="I1441" s="1">
        <v>0</v>
      </c>
      <c r="J1441" s="1">
        <v>2</v>
      </c>
      <c r="K1441" s="1">
        <v>-2</v>
      </c>
    </row>
    <row r="1442" spans="3:11" x14ac:dyDescent="0.25">
      <c r="C1442" s="1" t="s">
        <v>7705</v>
      </c>
      <c r="D1442" s="1" t="s">
        <v>7706</v>
      </c>
      <c r="E1442" s="1" t="s">
        <v>7705</v>
      </c>
      <c r="F1442" s="1">
        <v>-2</v>
      </c>
      <c r="G1442" s="1">
        <v>-2</v>
      </c>
      <c r="H1442" s="1">
        <v>0</v>
      </c>
      <c r="I1442" s="1">
        <v>0</v>
      </c>
      <c r="J1442" s="1">
        <v>2</v>
      </c>
      <c r="K1442" s="1">
        <v>-2</v>
      </c>
    </row>
    <row r="1443" spans="3:11" x14ac:dyDescent="0.25">
      <c r="C1443" s="1" t="s">
        <v>7707</v>
      </c>
      <c r="D1443" s="1" t="s">
        <v>7708</v>
      </c>
      <c r="E1443" s="1" t="s">
        <v>7709</v>
      </c>
      <c r="F1443" s="1">
        <v>-2</v>
      </c>
      <c r="G1443" s="1">
        <v>-2</v>
      </c>
      <c r="H1443" s="1">
        <v>0</v>
      </c>
      <c r="I1443" s="1">
        <v>0</v>
      </c>
      <c r="J1443" s="1">
        <v>2</v>
      </c>
      <c r="K1443" s="1">
        <v>-2</v>
      </c>
    </row>
    <row r="1444" spans="3:11" x14ac:dyDescent="0.25">
      <c r="D1444" s="1" t="s">
        <v>7710</v>
      </c>
      <c r="E1444" s="1" t="s">
        <v>7711</v>
      </c>
      <c r="F1444" s="1">
        <v>-2</v>
      </c>
      <c r="G1444" s="1">
        <v>-2</v>
      </c>
      <c r="H1444" s="1">
        <v>0</v>
      </c>
      <c r="I1444" s="1">
        <v>0</v>
      </c>
      <c r="J1444" s="1">
        <v>2</v>
      </c>
      <c r="K1444" s="1">
        <v>-2</v>
      </c>
    </row>
    <row r="1445" spans="3:11" x14ac:dyDescent="0.25">
      <c r="C1445" s="1" t="s">
        <v>7712</v>
      </c>
      <c r="D1445" s="1" t="s">
        <v>7713</v>
      </c>
      <c r="E1445" s="1" t="s">
        <v>7714</v>
      </c>
      <c r="F1445" s="1">
        <v>-2</v>
      </c>
      <c r="G1445" s="1">
        <v>-2</v>
      </c>
      <c r="H1445" s="1">
        <v>0</v>
      </c>
      <c r="I1445" s="1">
        <v>0</v>
      </c>
      <c r="J1445" s="1">
        <v>2</v>
      </c>
      <c r="K1445" s="1">
        <v>-2</v>
      </c>
    </row>
    <row r="1446" spans="3:11" x14ac:dyDescent="0.25">
      <c r="D1446" s="1" t="s">
        <v>7715</v>
      </c>
      <c r="E1446" s="1" t="s">
        <v>7716</v>
      </c>
      <c r="F1446" s="1">
        <v>-2</v>
      </c>
      <c r="G1446" s="1">
        <v>-2</v>
      </c>
      <c r="H1446" s="1">
        <v>0</v>
      </c>
      <c r="I1446" s="1">
        <v>0</v>
      </c>
      <c r="J1446" s="1">
        <v>2</v>
      </c>
      <c r="K1446" s="1">
        <v>-2</v>
      </c>
    </row>
    <row r="1447" spans="3:11" x14ac:dyDescent="0.25">
      <c r="D1447" s="1" t="s">
        <v>7717</v>
      </c>
      <c r="E1447" s="1" t="s">
        <v>7718</v>
      </c>
      <c r="F1447" s="1">
        <v>-2</v>
      </c>
      <c r="G1447" s="1">
        <v>-2</v>
      </c>
      <c r="H1447" s="1">
        <v>0</v>
      </c>
      <c r="I1447" s="1">
        <v>0</v>
      </c>
      <c r="J1447" s="1">
        <v>2</v>
      </c>
      <c r="K1447" s="1">
        <v>-2</v>
      </c>
    </row>
    <row r="1448" spans="3:11" x14ac:dyDescent="0.25">
      <c r="D1448" s="1" t="s">
        <v>7719</v>
      </c>
      <c r="E1448" s="1" t="s">
        <v>7720</v>
      </c>
      <c r="F1448" s="1">
        <v>-2</v>
      </c>
      <c r="G1448" s="1">
        <v>-2</v>
      </c>
      <c r="H1448" s="1">
        <v>0</v>
      </c>
      <c r="I1448" s="1">
        <v>0</v>
      </c>
      <c r="J1448" s="1">
        <v>2</v>
      </c>
      <c r="K1448" s="1">
        <v>-2</v>
      </c>
    </row>
    <row r="1449" spans="3:11" x14ac:dyDescent="0.25">
      <c r="D1449" s="1" t="s">
        <v>7721</v>
      </c>
      <c r="E1449" s="1" t="s">
        <v>7722</v>
      </c>
      <c r="F1449" s="1">
        <v>-2</v>
      </c>
      <c r="G1449" s="1">
        <v>-2</v>
      </c>
      <c r="H1449" s="1">
        <v>0</v>
      </c>
      <c r="I1449" s="1">
        <v>0</v>
      </c>
      <c r="J1449" s="1">
        <v>2</v>
      </c>
      <c r="K1449" s="1">
        <v>-2</v>
      </c>
    </row>
    <row r="1450" spans="3:11" x14ac:dyDescent="0.25">
      <c r="D1450" s="1" t="s">
        <v>7723</v>
      </c>
      <c r="E1450" s="1" t="s">
        <v>7724</v>
      </c>
      <c r="F1450" s="1">
        <v>-2</v>
      </c>
      <c r="G1450" s="1">
        <v>-2</v>
      </c>
      <c r="H1450" s="1">
        <v>0</v>
      </c>
      <c r="I1450" s="1">
        <v>0</v>
      </c>
      <c r="J1450" s="1">
        <v>2</v>
      </c>
      <c r="K1450" s="1">
        <v>-2</v>
      </c>
    </row>
    <row r="1451" spans="3:11" x14ac:dyDescent="0.25">
      <c r="D1451" s="1" t="s">
        <v>7725</v>
      </c>
      <c r="E1451" s="1" t="s">
        <v>7726</v>
      </c>
      <c r="F1451" s="1">
        <v>-2</v>
      </c>
      <c r="G1451" s="1">
        <v>-2</v>
      </c>
      <c r="H1451" s="1">
        <v>0</v>
      </c>
      <c r="I1451" s="1">
        <v>0</v>
      </c>
      <c r="J1451" s="1">
        <v>2</v>
      </c>
      <c r="K1451" s="1">
        <v>-2</v>
      </c>
    </row>
    <row r="1452" spans="3:11" x14ac:dyDescent="0.25">
      <c r="D1452" s="1" t="s">
        <v>7727</v>
      </c>
      <c r="E1452" s="1" t="s">
        <v>7728</v>
      </c>
      <c r="F1452" s="1">
        <v>-2</v>
      </c>
      <c r="G1452" s="1">
        <v>-2</v>
      </c>
      <c r="H1452" s="1">
        <v>0</v>
      </c>
      <c r="I1452" s="1">
        <v>0</v>
      </c>
      <c r="J1452" s="1">
        <v>2</v>
      </c>
      <c r="K1452" s="1">
        <v>-2</v>
      </c>
    </row>
    <row r="1453" spans="3:11" x14ac:dyDescent="0.25">
      <c r="D1453" s="1" t="s">
        <v>7729</v>
      </c>
      <c r="E1453" s="1" t="s">
        <v>7730</v>
      </c>
      <c r="F1453" s="1">
        <v>-2</v>
      </c>
      <c r="G1453" s="1">
        <v>-2</v>
      </c>
      <c r="H1453" s="1">
        <v>0</v>
      </c>
      <c r="I1453" s="1">
        <v>0</v>
      </c>
      <c r="J1453" s="1">
        <v>2</v>
      </c>
      <c r="K1453" s="1">
        <v>-2</v>
      </c>
    </row>
    <row r="1454" spans="3:11" x14ac:dyDescent="0.25">
      <c r="D1454" s="1" t="s">
        <v>7731</v>
      </c>
      <c r="E1454" s="1" t="s">
        <v>7732</v>
      </c>
      <c r="F1454" s="1">
        <v>-2</v>
      </c>
      <c r="G1454" s="1">
        <v>-2</v>
      </c>
      <c r="H1454" s="1">
        <v>0</v>
      </c>
      <c r="I1454" s="1">
        <v>0</v>
      </c>
      <c r="J1454" s="1">
        <v>2</v>
      </c>
      <c r="K1454" s="1">
        <v>-2</v>
      </c>
    </row>
    <row r="1455" spans="3:11" x14ac:dyDescent="0.25">
      <c r="D1455" s="1" t="s">
        <v>7733</v>
      </c>
      <c r="E1455" s="1" t="s">
        <v>7734</v>
      </c>
      <c r="F1455" s="1">
        <v>-2</v>
      </c>
      <c r="G1455" s="1">
        <v>-2</v>
      </c>
      <c r="H1455" s="1">
        <v>0</v>
      </c>
      <c r="I1455" s="1">
        <v>0</v>
      </c>
      <c r="J1455" s="1">
        <v>2</v>
      </c>
      <c r="K1455" s="1">
        <v>-2</v>
      </c>
    </row>
    <row r="1456" spans="3:11" x14ac:dyDescent="0.25">
      <c r="D1456" s="1" t="s">
        <v>7735</v>
      </c>
      <c r="E1456" s="1" t="s">
        <v>7736</v>
      </c>
      <c r="F1456" s="1">
        <v>-2</v>
      </c>
      <c r="G1456" s="1">
        <v>-2</v>
      </c>
      <c r="H1456" s="1">
        <v>0</v>
      </c>
      <c r="I1456" s="1">
        <v>0</v>
      </c>
      <c r="J1456" s="1">
        <v>2</v>
      </c>
      <c r="K1456" s="1">
        <v>-2</v>
      </c>
    </row>
    <row r="1457" spans="3:11" x14ac:dyDescent="0.25">
      <c r="D1457" s="1" t="s">
        <v>7737</v>
      </c>
      <c r="E1457" s="1" t="s">
        <v>7738</v>
      </c>
      <c r="F1457" s="1">
        <v>-2</v>
      </c>
      <c r="G1457" s="1">
        <v>-2</v>
      </c>
      <c r="H1457" s="1">
        <v>0</v>
      </c>
      <c r="I1457" s="1">
        <v>0</v>
      </c>
      <c r="J1457" s="1">
        <v>2</v>
      </c>
      <c r="K1457" s="1">
        <v>-2</v>
      </c>
    </row>
    <row r="1458" spans="3:11" x14ac:dyDescent="0.25">
      <c r="D1458" s="1" t="s">
        <v>7739</v>
      </c>
      <c r="E1458" s="1" t="s">
        <v>7740</v>
      </c>
      <c r="F1458" s="1">
        <v>-2</v>
      </c>
      <c r="G1458" s="1">
        <v>-2</v>
      </c>
      <c r="H1458" s="1">
        <v>0</v>
      </c>
      <c r="I1458" s="1">
        <v>0</v>
      </c>
      <c r="J1458" s="1">
        <v>2</v>
      </c>
      <c r="K1458" s="1">
        <v>-2</v>
      </c>
    </row>
    <row r="1459" spans="3:11" x14ac:dyDescent="0.25">
      <c r="D1459" s="1" t="s">
        <v>7741</v>
      </c>
      <c r="E1459" s="1" t="s">
        <v>7742</v>
      </c>
      <c r="F1459" s="1">
        <v>-2</v>
      </c>
      <c r="G1459" s="1">
        <v>-2</v>
      </c>
      <c r="H1459" s="1">
        <v>0</v>
      </c>
      <c r="I1459" s="1">
        <v>0</v>
      </c>
      <c r="J1459" s="1">
        <v>2</v>
      </c>
      <c r="K1459" s="1">
        <v>-2</v>
      </c>
    </row>
    <row r="1460" spans="3:11" x14ac:dyDescent="0.25">
      <c r="D1460" s="1" t="s">
        <v>7743</v>
      </c>
      <c r="E1460" s="1" t="s">
        <v>7744</v>
      </c>
      <c r="F1460" s="1">
        <v>-2</v>
      </c>
      <c r="G1460" s="1">
        <v>-2</v>
      </c>
      <c r="H1460" s="1">
        <v>0</v>
      </c>
      <c r="I1460" s="1">
        <v>0</v>
      </c>
      <c r="J1460" s="1">
        <v>2</v>
      </c>
      <c r="K1460" s="1">
        <v>-2</v>
      </c>
    </row>
    <row r="1461" spans="3:11" x14ac:dyDescent="0.25">
      <c r="D1461" s="1" t="s">
        <v>7745</v>
      </c>
      <c r="E1461" s="1" t="s">
        <v>7746</v>
      </c>
      <c r="F1461" s="1">
        <v>-2</v>
      </c>
      <c r="G1461" s="1">
        <v>-2</v>
      </c>
      <c r="H1461" s="1">
        <v>0</v>
      </c>
      <c r="I1461" s="1">
        <v>0</v>
      </c>
      <c r="J1461" s="1">
        <v>2</v>
      </c>
      <c r="K1461" s="1">
        <v>-2</v>
      </c>
    </row>
    <row r="1462" spans="3:11" x14ac:dyDescent="0.25">
      <c r="D1462" s="1" t="s">
        <v>7747</v>
      </c>
      <c r="E1462" s="1" t="s">
        <v>7748</v>
      </c>
      <c r="F1462" s="1">
        <v>-2</v>
      </c>
      <c r="G1462" s="1">
        <v>-2</v>
      </c>
      <c r="H1462" s="1">
        <v>0</v>
      </c>
      <c r="I1462" s="1">
        <v>0</v>
      </c>
      <c r="J1462" s="1">
        <v>2</v>
      </c>
      <c r="K1462" s="1">
        <v>-2</v>
      </c>
    </row>
    <row r="1463" spans="3:11" x14ac:dyDescent="0.25">
      <c r="D1463" s="1" t="s">
        <v>7749</v>
      </c>
      <c r="E1463" s="1" t="s">
        <v>7750</v>
      </c>
      <c r="F1463" s="1">
        <v>-2</v>
      </c>
      <c r="G1463" s="1">
        <v>-2</v>
      </c>
      <c r="H1463" s="1">
        <v>0</v>
      </c>
      <c r="I1463" s="1">
        <v>0</v>
      </c>
      <c r="J1463" s="1">
        <v>2</v>
      </c>
      <c r="K1463" s="1">
        <v>-2</v>
      </c>
    </row>
    <row r="1464" spans="3:11" x14ac:dyDescent="0.25">
      <c r="D1464" s="1" t="s">
        <v>7751</v>
      </c>
      <c r="E1464" s="1" t="s">
        <v>7752</v>
      </c>
      <c r="F1464" s="1">
        <v>-2</v>
      </c>
      <c r="G1464" s="1">
        <v>-2</v>
      </c>
      <c r="H1464" s="1">
        <v>0</v>
      </c>
      <c r="I1464" s="1">
        <v>0</v>
      </c>
      <c r="J1464" s="1">
        <v>2</v>
      </c>
      <c r="K1464" s="1">
        <v>-2</v>
      </c>
    </row>
    <row r="1465" spans="3:11" x14ac:dyDescent="0.25">
      <c r="D1465" s="1" t="s">
        <v>7753</v>
      </c>
      <c r="E1465" s="1" t="s">
        <v>7754</v>
      </c>
      <c r="F1465" s="1">
        <v>-2</v>
      </c>
      <c r="G1465" s="1">
        <v>-2</v>
      </c>
      <c r="H1465" s="1">
        <v>0</v>
      </c>
      <c r="I1465" s="1">
        <v>0</v>
      </c>
      <c r="J1465" s="1">
        <v>2</v>
      </c>
      <c r="K1465" s="1">
        <v>-2</v>
      </c>
    </row>
    <row r="1466" spans="3:11" x14ac:dyDescent="0.25">
      <c r="D1466" s="1" t="s">
        <v>7755</v>
      </c>
      <c r="E1466" s="1" t="s">
        <v>7756</v>
      </c>
      <c r="F1466" s="1">
        <v>-2</v>
      </c>
      <c r="G1466" s="1">
        <v>-2</v>
      </c>
      <c r="H1466" s="1">
        <v>0</v>
      </c>
      <c r="I1466" s="1">
        <v>0</v>
      </c>
      <c r="J1466" s="1">
        <v>2</v>
      </c>
      <c r="K1466" s="1">
        <v>-2</v>
      </c>
    </row>
    <row r="1467" spans="3:11" x14ac:dyDescent="0.25">
      <c r="D1467" s="1" t="s">
        <v>7757</v>
      </c>
      <c r="E1467" s="1" t="s">
        <v>7758</v>
      </c>
      <c r="F1467" s="1">
        <v>-2</v>
      </c>
      <c r="G1467" s="1">
        <v>-2</v>
      </c>
      <c r="H1467" s="1">
        <v>0</v>
      </c>
      <c r="I1467" s="1">
        <v>0</v>
      </c>
      <c r="J1467" s="1">
        <v>2</v>
      </c>
      <c r="K1467" s="1">
        <v>-2</v>
      </c>
    </row>
    <row r="1468" spans="3:11" x14ac:dyDescent="0.25">
      <c r="D1468" s="1" t="s">
        <v>7759</v>
      </c>
      <c r="E1468" s="1" t="s">
        <v>7760</v>
      </c>
      <c r="F1468" s="1">
        <v>-2</v>
      </c>
      <c r="G1468" s="1">
        <v>-2</v>
      </c>
      <c r="H1468" s="1">
        <v>0</v>
      </c>
      <c r="I1468" s="1">
        <v>0</v>
      </c>
      <c r="J1468" s="1">
        <v>2</v>
      </c>
      <c r="K1468" s="1">
        <v>-2</v>
      </c>
    </row>
    <row r="1469" spans="3:11" x14ac:dyDescent="0.25">
      <c r="D1469" s="1" t="s">
        <v>7761</v>
      </c>
      <c r="E1469" s="1" t="s">
        <v>7762</v>
      </c>
      <c r="F1469" s="1">
        <v>-2</v>
      </c>
      <c r="G1469" s="1">
        <v>-2</v>
      </c>
      <c r="H1469" s="1">
        <v>0</v>
      </c>
      <c r="I1469" s="1">
        <v>0</v>
      </c>
      <c r="J1469" s="1">
        <v>2</v>
      </c>
      <c r="K1469" s="1">
        <v>-2</v>
      </c>
    </row>
    <row r="1470" spans="3:11" x14ac:dyDescent="0.25">
      <c r="D1470" s="1" t="s">
        <v>7763</v>
      </c>
      <c r="E1470" s="1" t="s">
        <v>7764</v>
      </c>
      <c r="F1470" s="1">
        <v>-2</v>
      </c>
      <c r="G1470" s="1">
        <v>-2</v>
      </c>
      <c r="H1470" s="1">
        <v>0</v>
      </c>
      <c r="I1470" s="1">
        <v>0</v>
      </c>
      <c r="J1470" s="1">
        <v>2</v>
      </c>
      <c r="K1470" s="1">
        <v>-2</v>
      </c>
    </row>
    <row r="1471" spans="3:11" x14ac:dyDescent="0.25">
      <c r="D1471" s="1" t="s">
        <v>7765</v>
      </c>
      <c r="E1471" s="1" t="s">
        <v>7766</v>
      </c>
      <c r="F1471" s="1">
        <v>-2</v>
      </c>
      <c r="G1471" s="1">
        <v>-2</v>
      </c>
      <c r="H1471" s="1">
        <v>0</v>
      </c>
      <c r="I1471" s="1">
        <v>0</v>
      </c>
      <c r="J1471" s="1">
        <v>2</v>
      </c>
      <c r="K1471" s="1">
        <v>-2</v>
      </c>
    </row>
    <row r="1472" spans="3:11" x14ac:dyDescent="0.25">
      <c r="C1472" s="1" t="s">
        <v>7767</v>
      </c>
      <c r="D1472" s="1" t="s">
        <v>7768</v>
      </c>
      <c r="E1472" s="1" t="s">
        <v>7767</v>
      </c>
      <c r="F1472" s="1">
        <v>-2</v>
      </c>
      <c r="G1472" s="1">
        <v>-2</v>
      </c>
      <c r="H1472" s="1">
        <v>0</v>
      </c>
      <c r="I1472" s="1">
        <v>0</v>
      </c>
      <c r="J1472" s="1">
        <v>2</v>
      </c>
      <c r="K1472" s="1">
        <v>-2</v>
      </c>
    </row>
    <row r="1473" spans="3:11" x14ac:dyDescent="0.25">
      <c r="C1473" s="1" t="s">
        <v>7769</v>
      </c>
      <c r="D1473" s="1" t="s">
        <v>7770</v>
      </c>
      <c r="E1473" s="1" t="s">
        <v>7769</v>
      </c>
      <c r="F1473" s="1">
        <v>-2</v>
      </c>
      <c r="G1473" s="1">
        <v>-2</v>
      </c>
      <c r="H1473" s="1">
        <v>0</v>
      </c>
      <c r="I1473" s="1">
        <v>0</v>
      </c>
      <c r="J1473" s="1">
        <v>2</v>
      </c>
      <c r="K1473" s="1">
        <v>-2</v>
      </c>
    </row>
    <row r="1474" spans="3:11" x14ac:dyDescent="0.25">
      <c r="C1474" s="1" t="s">
        <v>7771</v>
      </c>
      <c r="D1474" s="1" t="s">
        <v>7772</v>
      </c>
      <c r="E1474" s="1" t="s">
        <v>7771</v>
      </c>
      <c r="F1474" s="1">
        <v>-2</v>
      </c>
      <c r="G1474" s="1">
        <v>-2</v>
      </c>
      <c r="H1474" s="1">
        <v>0</v>
      </c>
      <c r="I1474" s="1">
        <v>0</v>
      </c>
      <c r="J1474" s="1">
        <v>2</v>
      </c>
      <c r="K1474" s="1">
        <v>-2</v>
      </c>
    </row>
    <row r="1475" spans="3:11" x14ac:dyDescent="0.25">
      <c r="C1475" s="1" t="s">
        <v>7773</v>
      </c>
      <c r="D1475" s="1" t="s">
        <v>7774</v>
      </c>
      <c r="E1475" s="1" t="s">
        <v>7773</v>
      </c>
      <c r="F1475" s="1">
        <v>-2</v>
      </c>
      <c r="G1475" s="1">
        <v>-2</v>
      </c>
      <c r="H1475" s="1">
        <v>0</v>
      </c>
      <c r="I1475" s="1">
        <v>0</v>
      </c>
      <c r="J1475" s="1">
        <v>2</v>
      </c>
      <c r="K1475" s="1">
        <v>-2</v>
      </c>
    </row>
    <row r="1476" spans="3:11" x14ac:dyDescent="0.25">
      <c r="C1476" s="1" t="s">
        <v>7775</v>
      </c>
      <c r="D1476" s="1" t="s">
        <v>7776</v>
      </c>
      <c r="E1476" s="1" t="s">
        <v>7775</v>
      </c>
      <c r="F1476" s="1">
        <v>-2</v>
      </c>
      <c r="G1476" s="1">
        <v>-2</v>
      </c>
      <c r="H1476" s="1">
        <v>0</v>
      </c>
      <c r="I1476" s="1">
        <v>0</v>
      </c>
      <c r="J1476" s="1">
        <v>2</v>
      </c>
      <c r="K1476" s="1">
        <v>-2</v>
      </c>
    </row>
    <row r="1477" spans="3:11" x14ac:dyDescent="0.25">
      <c r="D1477" s="1" t="s">
        <v>7777</v>
      </c>
      <c r="E1477" s="1" t="s">
        <v>7778</v>
      </c>
      <c r="F1477" s="1">
        <v>-2</v>
      </c>
      <c r="G1477" s="1">
        <v>-2</v>
      </c>
      <c r="H1477" s="1">
        <v>0</v>
      </c>
      <c r="I1477" s="1">
        <v>0</v>
      </c>
      <c r="J1477" s="1">
        <v>2</v>
      </c>
      <c r="K1477" s="1">
        <v>-2</v>
      </c>
    </row>
    <row r="1478" spans="3:11" x14ac:dyDescent="0.25">
      <c r="D1478" s="1" t="s">
        <v>7779</v>
      </c>
      <c r="E1478" s="1" t="s">
        <v>7780</v>
      </c>
      <c r="F1478" s="1">
        <v>-2</v>
      </c>
      <c r="G1478" s="1">
        <v>-2</v>
      </c>
      <c r="H1478" s="1">
        <v>0</v>
      </c>
      <c r="I1478" s="1">
        <v>0</v>
      </c>
      <c r="J1478" s="1">
        <v>2</v>
      </c>
      <c r="K1478" s="1">
        <v>-2</v>
      </c>
    </row>
    <row r="1479" spans="3:11" x14ac:dyDescent="0.25">
      <c r="C1479" s="1" t="s">
        <v>7781</v>
      </c>
      <c r="D1479" s="1" t="s">
        <v>7782</v>
      </c>
      <c r="E1479" s="1" t="s">
        <v>7781</v>
      </c>
      <c r="F1479" s="1">
        <v>-2</v>
      </c>
      <c r="G1479" s="1">
        <v>-2</v>
      </c>
      <c r="H1479" s="1">
        <v>0</v>
      </c>
      <c r="I1479" s="1">
        <v>0</v>
      </c>
      <c r="J1479" s="1">
        <v>2</v>
      </c>
      <c r="K1479" s="1">
        <v>-2</v>
      </c>
    </row>
    <row r="1480" spans="3:11" x14ac:dyDescent="0.25">
      <c r="C1480" s="1" t="s">
        <v>7783</v>
      </c>
      <c r="D1480" s="1" t="s">
        <v>7784</v>
      </c>
      <c r="E1480" s="1" t="s">
        <v>7783</v>
      </c>
      <c r="F1480" s="1">
        <v>-2</v>
      </c>
      <c r="G1480" s="1">
        <v>-2</v>
      </c>
      <c r="H1480" s="1">
        <v>0</v>
      </c>
      <c r="I1480" s="1">
        <v>0</v>
      </c>
      <c r="J1480" s="1">
        <v>2</v>
      </c>
      <c r="K1480" s="1">
        <v>-2</v>
      </c>
    </row>
    <row r="1481" spans="3:11" x14ac:dyDescent="0.25">
      <c r="C1481" s="1" t="s">
        <v>7785</v>
      </c>
      <c r="D1481" s="1" t="s">
        <v>7786</v>
      </c>
      <c r="E1481" s="1" t="s">
        <v>7785</v>
      </c>
      <c r="F1481" s="1">
        <v>-2</v>
      </c>
      <c r="G1481" s="1">
        <v>-2</v>
      </c>
      <c r="H1481" s="1">
        <v>0</v>
      </c>
      <c r="I1481" s="1">
        <v>0</v>
      </c>
      <c r="J1481" s="1">
        <v>2</v>
      </c>
      <c r="K1481" s="1">
        <v>-2</v>
      </c>
    </row>
    <row r="1482" spans="3:11" x14ac:dyDescent="0.25">
      <c r="C1482" s="1" t="s">
        <v>7787</v>
      </c>
      <c r="D1482" s="1" t="s">
        <v>7788</v>
      </c>
      <c r="E1482" s="1" t="s">
        <v>7789</v>
      </c>
      <c r="F1482" s="1">
        <v>-2</v>
      </c>
      <c r="G1482" s="1">
        <v>-2</v>
      </c>
      <c r="H1482" s="1">
        <v>0</v>
      </c>
      <c r="I1482" s="1">
        <v>0</v>
      </c>
      <c r="J1482" s="1">
        <v>2</v>
      </c>
      <c r="K1482" s="1">
        <v>-2</v>
      </c>
    </row>
    <row r="1483" spans="3:11" x14ac:dyDescent="0.25">
      <c r="C1483" s="1" t="s">
        <v>7790</v>
      </c>
      <c r="D1483" s="1" t="s">
        <v>7791</v>
      </c>
      <c r="E1483" s="1" t="s">
        <v>7790</v>
      </c>
      <c r="F1483" s="1">
        <v>-2</v>
      </c>
      <c r="G1483" s="1">
        <v>-2</v>
      </c>
      <c r="H1483" s="1">
        <v>0</v>
      </c>
      <c r="I1483" s="1">
        <v>0</v>
      </c>
      <c r="J1483" s="1">
        <v>2</v>
      </c>
      <c r="K1483" s="1">
        <v>-2</v>
      </c>
    </row>
    <row r="1484" spans="3:11" x14ac:dyDescent="0.25">
      <c r="C1484" s="1" t="s">
        <v>7792</v>
      </c>
      <c r="D1484" s="1" t="s">
        <v>7793</v>
      </c>
      <c r="E1484" s="1" t="s">
        <v>7792</v>
      </c>
      <c r="F1484" s="1">
        <v>-2</v>
      </c>
      <c r="G1484" s="1">
        <v>-2</v>
      </c>
      <c r="H1484" s="1">
        <v>0</v>
      </c>
      <c r="I1484" s="1">
        <v>0</v>
      </c>
      <c r="J1484" s="1">
        <v>2</v>
      </c>
      <c r="K1484" s="1">
        <v>-2</v>
      </c>
    </row>
    <row r="1485" spans="3:11" x14ac:dyDescent="0.25">
      <c r="C1485" s="1" t="s">
        <v>7794</v>
      </c>
      <c r="D1485" s="1" t="s">
        <v>7795</v>
      </c>
      <c r="E1485" s="1" t="s">
        <v>7794</v>
      </c>
      <c r="F1485" s="1">
        <v>-2</v>
      </c>
      <c r="G1485" s="1">
        <v>-2</v>
      </c>
      <c r="H1485" s="1">
        <v>0</v>
      </c>
      <c r="I1485" s="1">
        <v>0</v>
      </c>
      <c r="J1485" s="1">
        <v>2</v>
      </c>
      <c r="K1485" s="1">
        <v>-2</v>
      </c>
    </row>
    <row r="1486" spans="3:11" x14ac:dyDescent="0.25">
      <c r="C1486" s="1" t="s">
        <v>7796</v>
      </c>
      <c r="D1486" s="1" t="s">
        <v>7797</v>
      </c>
      <c r="E1486" s="1" t="s">
        <v>7796</v>
      </c>
      <c r="F1486" s="1">
        <v>-2</v>
      </c>
      <c r="G1486" s="1">
        <v>-2</v>
      </c>
      <c r="H1486" s="1">
        <v>0</v>
      </c>
      <c r="I1486" s="1">
        <v>0</v>
      </c>
      <c r="J1486" s="1">
        <v>2</v>
      </c>
      <c r="K1486" s="1">
        <v>-2</v>
      </c>
    </row>
    <row r="1487" spans="3:11" x14ac:dyDescent="0.25">
      <c r="C1487" s="1" t="s">
        <v>7798</v>
      </c>
      <c r="D1487" s="1" t="s">
        <v>7799</v>
      </c>
      <c r="E1487" s="1" t="s">
        <v>7800</v>
      </c>
      <c r="F1487" s="1">
        <v>-2</v>
      </c>
      <c r="G1487" s="1">
        <v>-2</v>
      </c>
      <c r="H1487" s="1">
        <v>0</v>
      </c>
      <c r="I1487" s="1">
        <v>0</v>
      </c>
      <c r="J1487" s="1">
        <v>2</v>
      </c>
      <c r="K1487" s="1">
        <v>-2</v>
      </c>
    </row>
    <row r="1488" spans="3:11" x14ac:dyDescent="0.25">
      <c r="C1488" s="1" t="s">
        <v>7801</v>
      </c>
      <c r="D1488" s="1" t="s">
        <v>7802</v>
      </c>
      <c r="E1488" s="1" t="s">
        <v>7803</v>
      </c>
      <c r="F1488" s="1">
        <v>-2</v>
      </c>
      <c r="G1488" s="1">
        <v>-2</v>
      </c>
      <c r="H1488" s="1">
        <v>0</v>
      </c>
      <c r="I1488" s="1">
        <v>0</v>
      </c>
      <c r="J1488" s="1">
        <v>2</v>
      </c>
      <c r="K1488" s="1">
        <v>-2</v>
      </c>
    </row>
    <row r="1489" spans="3:11" x14ac:dyDescent="0.25">
      <c r="C1489" s="1" t="s">
        <v>7804</v>
      </c>
      <c r="D1489" s="1" t="s">
        <v>7805</v>
      </c>
      <c r="E1489" s="1" t="s">
        <v>7804</v>
      </c>
      <c r="F1489" s="1">
        <v>-2</v>
      </c>
      <c r="G1489" s="1">
        <v>-2</v>
      </c>
      <c r="H1489" s="1">
        <v>0</v>
      </c>
      <c r="I1489" s="1">
        <v>0</v>
      </c>
      <c r="J1489" s="1">
        <v>2</v>
      </c>
      <c r="K1489" s="1">
        <v>-2</v>
      </c>
    </row>
    <row r="1490" spans="3:11" x14ac:dyDescent="0.25">
      <c r="C1490" s="1" t="s">
        <v>7806</v>
      </c>
      <c r="D1490" s="1" t="s">
        <v>7807</v>
      </c>
      <c r="E1490" s="1" t="s">
        <v>7808</v>
      </c>
      <c r="F1490" s="1">
        <v>-2</v>
      </c>
      <c r="G1490" s="1">
        <v>-2</v>
      </c>
      <c r="H1490" s="1">
        <v>0</v>
      </c>
      <c r="I1490" s="1">
        <v>0</v>
      </c>
      <c r="J1490" s="1">
        <v>2</v>
      </c>
      <c r="K1490" s="1">
        <v>-2</v>
      </c>
    </row>
    <row r="1491" spans="3:11" x14ac:dyDescent="0.25">
      <c r="C1491" s="1" t="s">
        <v>7809</v>
      </c>
      <c r="D1491" s="1" t="s">
        <v>7810</v>
      </c>
      <c r="E1491" s="1" t="s">
        <v>7811</v>
      </c>
      <c r="F1491" s="1">
        <v>-2</v>
      </c>
      <c r="G1491" s="1">
        <v>-2</v>
      </c>
      <c r="H1491" s="1">
        <v>0</v>
      </c>
      <c r="I1491" s="1">
        <v>0</v>
      </c>
      <c r="J1491" s="1">
        <v>2</v>
      </c>
      <c r="K1491" s="1">
        <v>-2</v>
      </c>
    </row>
    <row r="1492" spans="3:11" x14ac:dyDescent="0.25">
      <c r="C1492" s="1" t="s">
        <v>7812</v>
      </c>
      <c r="D1492" s="1" t="s">
        <v>7813</v>
      </c>
      <c r="E1492" s="1" t="s">
        <v>7812</v>
      </c>
      <c r="F1492" s="1">
        <v>-2</v>
      </c>
      <c r="G1492" s="1">
        <v>-2</v>
      </c>
      <c r="H1492" s="1">
        <v>0</v>
      </c>
      <c r="I1492" s="1">
        <v>0</v>
      </c>
      <c r="J1492" s="1">
        <v>2</v>
      </c>
      <c r="K1492" s="1">
        <v>-2</v>
      </c>
    </row>
    <row r="1493" spans="3:11" x14ac:dyDescent="0.25">
      <c r="D1493" s="1" t="s">
        <v>7814</v>
      </c>
      <c r="E1493" s="1" t="s">
        <v>7815</v>
      </c>
      <c r="F1493" s="1">
        <v>-2</v>
      </c>
      <c r="G1493" s="1">
        <v>-2</v>
      </c>
      <c r="H1493" s="1">
        <v>0</v>
      </c>
      <c r="I1493" s="1">
        <v>0</v>
      </c>
      <c r="J1493" s="1">
        <v>2</v>
      </c>
      <c r="K1493" s="1">
        <v>-2</v>
      </c>
    </row>
    <row r="1494" spans="3:11" x14ac:dyDescent="0.25">
      <c r="C1494" s="1" t="s">
        <v>7816</v>
      </c>
      <c r="D1494" s="1" t="s">
        <v>7817</v>
      </c>
      <c r="E1494" s="1" t="s">
        <v>7816</v>
      </c>
      <c r="F1494" s="1">
        <v>-2</v>
      </c>
      <c r="G1494" s="1">
        <v>-2</v>
      </c>
      <c r="H1494" s="1">
        <v>0</v>
      </c>
      <c r="I1494" s="1">
        <v>0</v>
      </c>
      <c r="J1494" s="1">
        <v>2</v>
      </c>
      <c r="K1494" s="1">
        <v>-2</v>
      </c>
    </row>
    <row r="1495" spans="3:11" x14ac:dyDescent="0.25">
      <c r="C1495" s="1" t="s">
        <v>7818</v>
      </c>
      <c r="D1495" s="1" t="s">
        <v>7819</v>
      </c>
      <c r="E1495" s="1" t="s">
        <v>7818</v>
      </c>
      <c r="F1495" s="1">
        <v>-2</v>
      </c>
      <c r="G1495" s="1">
        <v>-2</v>
      </c>
      <c r="H1495" s="1">
        <v>0</v>
      </c>
      <c r="I1495" s="1">
        <v>0</v>
      </c>
      <c r="J1495" s="1">
        <v>2</v>
      </c>
      <c r="K1495" s="1">
        <v>-2</v>
      </c>
    </row>
    <row r="1496" spans="3:11" x14ac:dyDescent="0.25">
      <c r="C1496" s="1" t="s">
        <v>7820</v>
      </c>
      <c r="D1496" s="1" t="s">
        <v>7821</v>
      </c>
      <c r="E1496" s="1" t="s">
        <v>7820</v>
      </c>
      <c r="F1496" s="1">
        <v>-2</v>
      </c>
      <c r="G1496" s="1">
        <v>-2</v>
      </c>
      <c r="H1496" s="1">
        <v>0</v>
      </c>
      <c r="I1496" s="1">
        <v>0</v>
      </c>
      <c r="J1496" s="1">
        <v>2</v>
      </c>
      <c r="K1496" s="1">
        <v>-2</v>
      </c>
    </row>
    <row r="1497" spans="3:11" x14ac:dyDescent="0.25">
      <c r="D1497" s="1" t="s">
        <v>7822</v>
      </c>
      <c r="E1497" s="1" t="s">
        <v>7823</v>
      </c>
      <c r="F1497" s="1">
        <v>-2</v>
      </c>
      <c r="G1497" s="1">
        <v>-2</v>
      </c>
      <c r="H1497" s="1">
        <v>0</v>
      </c>
      <c r="I1497" s="1">
        <v>0</v>
      </c>
      <c r="J1497" s="1">
        <v>2</v>
      </c>
      <c r="K1497" s="1">
        <v>-2</v>
      </c>
    </row>
    <row r="1498" spans="3:11" x14ac:dyDescent="0.25">
      <c r="D1498" s="1" t="s">
        <v>7824</v>
      </c>
      <c r="E1498" s="1" t="s">
        <v>7825</v>
      </c>
      <c r="F1498" s="1">
        <v>-2</v>
      </c>
      <c r="G1498" s="1">
        <v>-2</v>
      </c>
      <c r="H1498" s="1">
        <v>0</v>
      </c>
      <c r="I1498" s="1">
        <v>0</v>
      </c>
      <c r="J1498" s="1">
        <v>2</v>
      </c>
      <c r="K1498" s="1">
        <v>-2</v>
      </c>
    </row>
    <row r="1499" spans="3:11" x14ac:dyDescent="0.25">
      <c r="C1499" s="1" t="s">
        <v>7826</v>
      </c>
      <c r="D1499" s="1" t="s">
        <v>7827</v>
      </c>
      <c r="E1499" s="1" t="s">
        <v>7826</v>
      </c>
      <c r="F1499" s="1">
        <v>-2</v>
      </c>
      <c r="G1499" s="1">
        <v>-2</v>
      </c>
      <c r="H1499" s="1">
        <v>0</v>
      </c>
      <c r="I1499" s="1">
        <v>0</v>
      </c>
      <c r="J1499" s="1">
        <v>2</v>
      </c>
      <c r="K1499" s="1">
        <v>-2</v>
      </c>
    </row>
    <row r="1500" spans="3:11" x14ac:dyDescent="0.25">
      <c r="C1500" s="1" t="s">
        <v>7828</v>
      </c>
      <c r="D1500" s="1" t="s">
        <v>7829</v>
      </c>
      <c r="E1500" s="1" t="s">
        <v>7828</v>
      </c>
      <c r="F1500" s="1">
        <v>-2</v>
      </c>
      <c r="G1500" s="1">
        <v>-2</v>
      </c>
      <c r="H1500" s="1">
        <v>0</v>
      </c>
      <c r="I1500" s="1">
        <v>0</v>
      </c>
      <c r="J1500" s="1">
        <v>2</v>
      </c>
      <c r="K1500" s="1">
        <v>-2</v>
      </c>
    </row>
    <row r="1501" spans="3:11" x14ac:dyDescent="0.25">
      <c r="C1501" s="1" t="s">
        <v>7830</v>
      </c>
      <c r="D1501" s="1" t="s">
        <v>7831</v>
      </c>
      <c r="E1501" s="1" t="s">
        <v>7832</v>
      </c>
      <c r="F1501" s="1">
        <v>-2</v>
      </c>
      <c r="G1501" s="1">
        <v>-2</v>
      </c>
      <c r="H1501" s="1">
        <v>0</v>
      </c>
      <c r="I1501" s="1">
        <v>0</v>
      </c>
      <c r="J1501" s="1">
        <v>2</v>
      </c>
      <c r="K1501" s="1">
        <v>-2</v>
      </c>
    </row>
    <row r="1502" spans="3:11" x14ac:dyDescent="0.25">
      <c r="C1502" s="1" t="s">
        <v>7833</v>
      </c>
      <c r="D1502" s="1" t="s">
        <v>7834</v>
      </c>
      <c r="E1502" s="1" t="s">
        <v>7833</v>
      </c>
      <c r="F1502" s="1">
        <v>-2</v>
      </c>
      <c r="G1502" s="1">
        <v>-2</v>
      </c>
      <c r="H1502" s="1">
        <v>0</v>
      </c>
      <c r="I1502" s="1">
        <v>0</v>
      </c>
      <c r="J1502" s="1">
        <v>2</v>
      </c>
      <c r="K1502" s="1">
        <v>-2</v>
      </c>
    </row>
    <row r="1503" spans="3:11" x14ac:dyDescent="0.25">
      <c r="C1503" s="1" t="s">
        <v>7835</v>
      </c>
      <c r="D1503" s="1" t="s">
        <v>7836</v>
      </c>
      <c r="E1503" s="1" t="s">
        <v>7835</v>
      </c>
      <c r="F1503" s="1">
        <v>-2</v>
      </c>
      <c r="G1503" s="1">
        <v>-2</v>
      </c>
      <c r="H1503" s="1">
        <v>0</v>
      </c>
      <c r="I1503" s="1">
        <v>0</v>
      </c>
      <c r="J1503" s="1">
        <v>2</v>
      </c>
      <c r="K1503" s="1">
        <v>-2</v>
      </c>
    </row>
    <row r="1504" spans="3:11" x14ac:dyDescent="0.25">
      <c r="C1504" s="1" t="s">
        <v>7837</v>
      </c>
      <c r="D1504" s="1" t="s">
        <v>7838</v>
      </c>
      <c r="E1504" s="1" t="s">
        <v>7837</v>
      </c>
      <c r="F1504" s="1">
        <v>-2</v>
      </c>
      <c r="G1504" s="1">
        <v>-2</v>
      </c>
      <c r="H1504" s="1">
        <v>0</v>
      </c>
      <c r="I1504" s="1">
        <v>0</v>
      </c>
      <c r="J1504" s="1">
        <v>2</v>
      </c>
      <c r="K1504" s="1">
        <v>-2</v>
      </c>
    </row>
    <row r="1505" spans="3:11" x14ac:dyDescent="0.25">
      <c r="C1505" s="1" t="s">
        <v>7839</v>
      </c>
      <c r="D1505" s="1" t="s">
        <v>7840</v>
      </c>
      <c r="E1505" s="1" t="s">
        <v>7839</v>
      </c>
      <c r="F1505" s="1">
        <v>-2</v>
      </c>
      <c r="G1505" s="1">
        <v>-2</v>
      </c>
      <c r="H1505" s="1">
        <v>0</v>
      </c>
      <c r="I1505" s="1">
        <v>0</v>
      </c>
      <c r="J1505" s="1">
        <v>2</v>
      </c>
      <c r="K1505" s="1">
        <v>-2</v>
      </c>
    </row>
    <row r="1506" spans="3:11" x14ac:dyDescent="0.25">
      <c r="C1506" s="1" t="s">
        <v>7841</v>
      </c>
      <c r="D1506" s="1" t="s">
        <v>7842</v>
      </c>
      <c r="E1506" s="1" t="s">
        <v>7841</v>
      </c>
      <c r="F1506" s="1">
        <v>-2</v>
      </c>
      <c r="G1506" s="1">
        <v>-2</v>
      </c>
      <c r="H1506" s="1">
        <v>0</v>
      </c>
      <c r="I1506" s="1">
        <v>0</v>
      </c>
      <c r="J1506" s="1">
        <v>2</v>
      </c>
      <c r="K1506" s="1">
        <v>-2</v>
      </c>
    </row>
    <row r="1507" spans="3:11" x14ac:dyDescent="0.25">
      <c r="C1507" s="1" t="s">
        <v>7843</v>
      </c>
      <c r="D1507" s="1" t="s">
        <v>7844</v>
      </c>
      <c r="E1507" s="1" t="s">
        <v>7843</v>
      </c>
      <c r="F1507" s="1">
        <v>-2</v>
      </c>
      <c r="G1507" s="1">
        <v>-2</v>
      </c>
      <c r="H1507" s="1">
        <v>0</v>
      </c>
      <c r="I1507" s="1">
        <v>0</v>
      </c>
      <c r="J1507" s="1">
        <v>2</v>
      </c>
      <c r="K1507" s="1">
        <v>-2</v>
      </c>
    </row>
    <row r="1508" spans="3:11" x14ac:dyDescent="0.25">
      <c r="C1508" s="1" t="s">
        <v>7845</v>
      </c>
      <c r="D1508" s="1" t="s">
        <v>7846</v>
      </c>
      <c r="E1508" s="1" t="s">
        <v>7847</v>
      </c>
      <c r="F1508" s="1">
        <v>-2</v>
      </c>
      <c r="G1508" s="1">
        <v>-2</v>
      </c>
      <c r="H1508" s="1">
        <v>0</v>
      </c>
      <c r="I1508" s="1">
        <v>0</v>
      </c>
      <c r="J1508" s="1">
        <v>2</v>
      </c>
      <c r="K1508" s="1">
        <v>-2</v>
      </c>
    </row>
    <row r="1509" spans="3:11" x14ac:dyDescent="0.25">
      <c r="C1509" s="1" t="s">
        <v>7848</v>
      </c>
      <c r="D1509" s="1" t="s">
        <v>7849</v>
      </c>
      <c r="E1509" s="1" t="s">
        <v>7848</v>
      </c>
      <c r="F1509" s="1">
        <v>-2</v>
      </c>
      <c r="G1509" s="1">
        <v>-2</v>
      </c>
      <c r="H1509" s="1">
        <v>0</v>
      </c>
      <c r="I1509" s="1">
        <v>0</v>
      </c>
      <c r="J1509" s="1">
        <v>2</v>
      </c>
      <c r="K1509" s="1">
        <v>-2</v>
      </c>
    </row>
    <row r="1510" spans="3:11" x14ac:dyDescent="0.25">
      <c r="C1510" s="1" t="s">
        <v>7850</v>
      </c>
      <c r="D1510" s="1" t="s">
        <v>7851</v>
      </c>
      <c r="E1510" s="1" t="s">
        <v>7850</v>
      </c>
      <c r="F1510" s="1">
        <v>-2</v>
      </c>
      <c r="G1510" s="1">
        <v>-2</v>
      </c>
      <c r="H1510" s="1">
        <v>0</v>
      </c>
      <c r="I1510" s="1">
        <v>0</v>
      </c>
      <c r="J1510" s="1">
        <v>2</v>
      </c>
      <c r="K1510" s="1">
        <v>-2</v>
      </c>
    </row>
    <row r="1511" spans="3:11" x14ac:dyDescent="0.25">
      <c r="D1511" s="1" t="s">
        <v>7852</v>
      </c>
      <c r="E1511" s="1" t="s">
        <v>7853</v>
      </c>
      <c r="F1511" s="1">
        <v>-2</v>
      </c>
      <c r="G1511" s="1">
        <v>-2</v>
      </c>
      <c r="H1511" s="1">
        <v>0</v>
      </c>
      <c r="I1511" s="1">
        <v>0</v>
      </c>
      <c r="J1511" s="1">
        <v>2</v>
      </c>
      <c r="K1511" s="1">
        <v>-2</v>
      </c>
    </row>
    <row r="1512" spans="3:11" x14ac:dyDescent="0.25">
      <c r="C1512" s="1" t="s">
        <v>7854</v>
      </c>
      <c r="D1512" s="1" t="s">
        <v>7855</v>
      </c>
      <c r="E1512" s="1" t="s">
        <v>7854</v>
      </c>
      <c r="F1512" s="1">
        <v>-2</v>
      </c>
      <c r="G1512" s="1">
        <v>-2</v>
      </c>
      <c r="H1512" s="1">
        <v>0</v>
      </c>
      <c r="I1512" s="1">
        <v>0</v>
      </c>
      <c r="J1512" s="1">
        <v>2</v>
      </c>
      <c r="K1512" s="1">
        <v>-2</v>
      </c>
    </row>
    <row r="1513" spans="3:11" x14ac:dyDescent="0.25">
      <c r="D1513" s="1" t="s">
        <v>7856</v>
      </c>
      <c r="E1513" s="1" t="s">
        <v>7857</v>
      </c>
      <c r="F1513" s="1">
        <v>-2</v>
      </c>
      <c r="G1513" s="1">
        <v>-2</v>
      </c>
      <c r="H1513" s="1">
        <v>0</v>
      </c>
      <c r="I1513" s="1">
        <v>0</v>
      </c>
      <c r="J1513" s="1">
        <v>2</v>
      </c>
      <c r="K1513" s="1">
        <v>-2</v>
      </c>
    </row>
    <row r="1514" spans="3:11" x14ac:dyDescent="0.25">
      <c r="C1514" s="1" t="s">
        <v>7858</v>
      </c>
      <c r="D1514" s="1" t="s">
        <v>7859</v>
      </c>
      <c r="E1514" s="1" t="s">
        <v>7860</v>
      </c>
      <c r="F1514" s="1">
        <v>-2</v>
      </c>
      <c r="G1514" s="1">
        <v>-2</v>
      </c>
      <c r="H1514" s="1">
        <v>0</v>
      </c>
      <c r="I1514" s="1">
        <v>0</v>
      </c>
      <c r="J1514" s="1">
        <v>2</v>
      </c>
      <c r="K1514" s="1">
        <v>-2</v>
      </c>
    </row>
    <row r="1515" spans="3:11" x14ac:dyDescent="0.25">
      <c r="C1515" s="1" t="s">
        <v>7861</v>
      </c>
      <c r="D1515" s="1" t="s">
        <v>7862</v>
      </c>
      <c r="E1515" s="1" t="s">
        <v>7863</v>
      </c>
      <c r="F1515" s="1">
        <v>-2</v>
      </c>
      <c r="G1515" s="1">
        <v>-2</v>
      </c>
      <c r="H1515" s="1">
        <v>0</v>
      </c>
      <c r="I1515" s="1">
        <v>0</v>
      </c>
      <c r="J1515" s="1">
        <v>2</v>
      </c>
      <c r="K1515" s="1">
        <v>-2</v>
      </c>
    </row>
    <row r="1516" spans="3:11" x14ac:dyDescent="0.25">
      <c r="C1516" s="1" t="s">
        <v>7864</v>
      </c>
      <c r="D1516" s="1" t="s">
        <v>7865</v>
      </c>
      <c r="E1516" s="1" t="s">
        <v>7866</v>
      </c>
      <c r="F1516" s="1">
        <v>-2</v>
      </c>
      <c r="G1516" s="1">
        <v>-2</v>
      </c>
      <c r="H1516" s="1">
        <v>0</v>
      </c>
      <c r="I1516" s="1">
        <v>0</v>
      </c>
      <c r="J1516" s="1">
        <v>2</v>
      </c>
      <c r="K1516" s="1">
        <v>-2</v>
      </c>
    </row>
    <row r="1517" spans="3:11" x14ac:dyDescent="0.25">
      <c r="C1517" s="1" t="s">
        <v>7867</v>
      </c>
      <c r="D1517" s="1" t="s">
        <v>7868</v>
      </c>
      <c r="E1517" s="1" t="s">
        <v>7867</v>
      </c>
      <c r="F1517" s="1">
        <v>-2</v>
      </c>
      <c r="G1517" s="1">
        <v>-2</v>
      </c>
      <c r="H1517" s="1">
        <v>0</v>
      </c>
      <c r="I1517" s="1">
        <v>0</v>
      </c>
      <c r="J1517" s="1">
        <v>2</v>
      </c>
      <c r="K1517" s="1">
        <v>-2</v>
      </c>
    </row>
    <row r="1518" spans="3:11" x14ac:dyDescent="0.25">
      <c r="D1518" s="1" t="s">
        <v>7869</v>
      </c>
      <c r="E1518" s="1" t="s">
        <v>7870</v>
      </c>
      <c r="F1518" s="1">
        <v>-2</v>
      </c>
      <c r="G1518" s="1">
        <v>-2</v>
      </c>
      <c r="H1518" s="1">
        <v>0</v>
      </c>
      <c r="I1518" s="1">
        <v>0</v>
      </c>
      <c r="J1518" s="1">
        <v>2</v>
      </c>
      <c r="K1518" s="1">
        <v>-2</v>
      </c>
    </row>
    <row r="1519" spans="3:11" x14ac:dyDescent="0.25">
      <c r="D1519" s="1" t="s">
        <v>7871</v>
      </c>
      <c r="E1519" s="1" t="s">
        <v>7872</v>
      </c>
      <c r="F1519" s="1">
        <v>-2</v>
      </c>
      <c r="G1519" s="1">
        <v>-2</v>
      </c>
      <c r="H1519" s="1">
        <v>0</v>
      </c>
      <c r="I1519" s="1">
        <v>0</v>
      </c>
      <c r="J1519" s="1">
        <v>2</v>
      </c>
      <c r="K1519" s="1">
        <v>-2</v>
      </c>
    </row>
    <row r="1520" spans="3:11" x14ac:dyDescent="0.25">
      <c r="C1520" s="1" t="s">
        <v>7873</v>
      </c>
      <c r="D1520" s="1" t="s">
        <v>7874</v>
      </c>
      <c r="E1520" s="1" t="s">
        <v>7873</v>
      </c>
      <c r="F1520" s="1">
        <v>-2</v>
      </c>
      <c r="G1520" s="1">
        <v>-2</v>
      </c>
      <c r="H1520" s="1">
        <v>0</v>
      </c>
      <c r="I1520" s="1">
        <v>0</v>
      </c>
      <c r="J1520" s="1">
        <v>2</v>
      </c>
      <c r="K1520" s="1">
        <v>-2</v>
      </c>
    </row>
    <row r="1521" spans="3:11" x14ac:dyDescent="0.25">
      <c r="D1521" s="1" t="s">
        <v>7875</v>
      </c>
      <c r="E1521" s="1" t="s">
        <v>7876</v>
      </c>
      <c r="F1521" s="1">
        <v>-2</v>
      </c>
      <c r="G1521" s="1">
        <v>-2</v>
      </c>
      <c r="H1521" s="1">
        <v>0</v>
      </c>
      <c r="I1521" s="1">
        <v>0</v>
      </c>
      <c r="J1521" s="1">
        <v>2</v>
      </c>
      <c r="K1521" s="1">
        <v>-2</v>
      </c>
    </row>
    <row r="1522" spans="3:11" x14ac:dyDescent="0.25">
      <c r="C1522" s="1" t="s">
        <v>7877</v>
      </c>
      <c r="D1522" s="1" t="s">
        <v>7878</v>
      </c>
      <c r="E1522" s="1" t="s">
        <v>7877</v>
      </c>
      <c r="F1522" s="1">
        <v>-2</v>
      </c>
      <c r="G1522" s="1">
        <v>-2</v>
      </c>
      <c r="H1522" s="1">
        <v>0</v>
      </c>
      <c r="I1522" s="1">
        <v>0</v>
      </c>
      <c r="J1522" s="1">
        <v>2</v>
      </c>
      <c r="K1522" s="1">
        <v>-2</v>
      </c>
    </row>
    <row r="1523" spans="3:11" x14ac:dyDescent="0.25">
      <c r="C1523" s="1" t="s">
        <v>7879</v>
      </c>
      <c r="D1523" s="1" t="s">
        <v>7880</v>
      </c>
      <c r="E1523" s="1" t="s">
        <v>7881</v>
      </c>
      <c r="F1523" s="1">
        <v>-2</v>
      </c>
      <c r="G1523" s="1">
        <v>-2</v>
      </c>
      <c r="H1523" s="1">
        <v>0</v>
      </c>
      <c r="I1523" s="1">
        <v>0</v>
      </c>
      <c r="J1523" s="1">
        <v>2</v>
      </c>
      <c r="K1523" s="1">
        <v>-2</v>
      </c>
    </row>
    <row r="1524" spans="3:11" x14ac:dyDescent="0.25">
      <c r="C1524" s="1" t="s">
        <v>7882</v>
      </c>
      <c r="D1524" s="1" t="s">
        <v>7883</v>
      </c>
      <c r="E1524" s="1" t="s">
        <v>7884</v>
      </c>
      <c r="F1524" s="1">
        <v>-2</v>
      </c>
      <c r="G1524" s="1">
        <v>-2</v>
      </c>
      <c r="H1524" s="1">
        <v>0</v>
      </c>
      <c r="I1524" s="1">
        <v>0</v>
      </c>
      <c r="J1524" s="1">
        <v>2</v>
      </c>
      <c r="K1524" s="1">
        <v>-2</v>
      </c>
    </row>
    <row r="1525" spans="3:11" x14ac:dyDescent="0.25">
      <c r="C1525" s="1" t="s">
        <v>7885</v>
      </c>
      <c r="D1525" s="1" t="s">
        <v>7886</v>
      </c>
      <c r="E1525" s="1" t="s">
        <v>7887</v>
      </c>
      <c r="F1525" s="1">
        <v>-2</v>
      </c>
      <c r="G1525" s="1">
        <v>-2</v>
      </c>
      <c r="H1525" s="1">
        <v>0</v>
      </c>
      <c r="I1525" s="1">
        <v>0</v>
      </c>
      <c r="J1525" s="1">
        <v>2</v>
      </c>
      <c r="K1525" s="1">
        <v>-2</v>
      </c>
    </row>
    <row r="1526" spans="3:11" x14ac:dyDescent="0.25">
      <c r="C1526" s="1" t="s">
        <v>7888</v>
      </c>
      <c r="D1526" s="1" t="s">
        <v>7889</v>
      </c>
      <c r="E1526" s="1" t="s">
        <v>7888</v>
      </c>
      <c r="F1526" s="1">
        <v>-2</v>
      </c>
      <c r="G1526" s="1">
        <v>-2</v>
      </c>
      <c r="H1526" s="1">
        <v>0</v>
      </c>
      <c r="I1526" s="1">
        <v>0</v>
      </c>
      <c r="J1526" s="1">
        <v>2</v>
      </c>
      <c r="K1526" s="1">
        <v>-2</v>
      </c>
    </row>
    <row r="1527" spans="3:11" x14ac:dyDescent="0.25">
      <c r="C1527" s="1" t="s">
        <v>7890</v>
      </c>
      <c r="D1527" s="1" t="s">
        <v>7891</v>
      </c>
      <c r="E1527" s="1" t="s">
        <v>7892</v>
      </c>
      <c r="F1527" s="1">
        <v>-2</v>
      </c>
      <c r="G1527" s="1">
        <v>-2</v>
      </c>
      <c r="H1527" s="1">
        <v>0</v>
      </c>
      <c r="I1527" s="1">
        <v>0</v>
      </c>
      <c r="J1527" s="1">
        <v>2</v>
      </c>
      <c r="K1527" s="1">
        <v>-2</v>
      </c>
    </row>
    <row r="1528" spans="3:11" x14ac:dyDescent="0.25">
      <c r="C1528" s="1" t="s">
        <v>7893</v>
      </c>
      <c r="D1528" s="1" t="s">
        <v>7894</v>
      </c>
      <c r="E1528" s="1" t="s">
        <v>7895</v>
      </c>
      <c r="F1528" s="1">
        <v>-2</v>
      </c>
      <c r="G1528" s="1">
        <v>-2</v>
      </c>
      <c r="H1528" s="1">
        <v>0</v>
      </c>
      <c r="I1528" s="1">
        <v>0</v>
      </c>
      <c r="J1528" s="1">
        <v>2</v>
      </c>
      <c r="K1528" s="1">
        <v>-2</v>
      </c>
    </row>
    <row r="1529" spans="3:11" x14ac:dyDescent="0.25">
      <c r="C1529" s="1" t="s">
        <v>7896</v>
      </c>
      <c r="D1529" s="1" t="s">
        <v>7897</v>
      </c>
      <c r="E1529" s="1" t="s">
        <v>7898</v>
      </c>
      <c r="F1529" s="1">
        <v>-2</v>
      </c>
      <c r="G1529" s="1">
        <v>-2</v>
      </c>
      <c r="H1529" s="1">
        <v>0</v>
      </c>
      <c r="I1529" s="1">
        <v>0</v>
      </c>
      <c r="J1529" s="1">
        <v>2</v>
      </c>
      <c r="K1529" s="1">
        <v>-2</v>
      </c>
    </row>
    <row r="1530" spans="3:11" x14ac:dyDescent="0.25">
      <c r="C1530" s="1" t="s">
        <v>7899</v>
      </c>
      <c r="D1530" s="1" t="s">
        <v>7900</v>
      </c>
      <c r="E1530" s="1" t="s">
        <v>7901</v>
      </c>
      <c r="F1530" s="1">
        <v>-2</v>
      </c>
      <c r="G1530" s="1">
        <v>-2</v>
      </c>
      <c r="H1530" s="1">
        <v>0</v>
      </c>
      <c r="I1530" s="1">
        <v>0</v>
      </c>
      <c r="J1530" s="1">
        <v>2</v>
      </c>
      <c r="K1530" s="1">
        <v>-2</v>
      </c>
    </row>
    <row r="1531" spans="3:11" x14ac:dyDescent="0.25">
      <c r="D1531" s="1" t="s">
        <v>7902</v>
      </c>
      <c r="E1531" s="1" t="s">
        <v>7903</v>
      </c>
      <c r="F1531" s="1">
        <v>-2</v>
      </c>
      <c r="G1531" s="1">
        <v>-2</v>
      </c>
      <c r="H1531" s="1">
        <v>0</v>
      </c>
      <c r="I1531" s="1">
        <v>0</v>
      </c>
      <c r="J1531" s="1">
        <v>2</v>
      </c>
      <c r="K1531" s="1">
        <v>-2</v>
      </c>
    </row>
    <row r="1532" spans="3:11" x14ac:dyDescent="0.25">
      <c r="D1532" s="1" t="s">
        <v>7904</v>
      </c>
      <c r="E1532" s="1" t="s">
        <v>7905</v>
      </c>
      <c r="F1532" s="1">
        <v>-2</v>
      </c>
      <c r="G1532" s="1">
        <v>-2</v>
      </c>
      <c r="H1532" s="1">
        <v>0</v>
      </c>
      <c r="I1532" s="1">
        <v>0</v>
      </c>
      <c r="J1532" s="1">
        <v>2</v>
      </c>
      <c r="K1532" s="1">
        <v>-2</v>
      </c>
    </row>
    <row r="1533" spans="3:11" x14ac:dyDescent="0.25">
      <c r="D1533" s="1" t="s">
        <v>7906</v>
      </c>
      <c r="E1533" s="1" t="s">
        <v>7907</v>
      </c>
      <c r="F1533" s="1">
        <v>-2</v>
      </c>
      <c r="G1533" s="1">
        <v>-2</v>
      </c>
      <c r="H1533" s="1">
        <v>0</v>
      </c>
      <c r="I1533" s="1">
        <v>0</v>
      </c>
      <c r="J1533" s="1">
        <v>2</v>
      </c>
      <c r="K1533" s="1">
        <v>-2</v>
      </c>
    </row>
    <row r="1534" spans="3:11" x14ac:dyDescent="0.25">
      <c r="D1534" s="1" t="s">
        <v>7908</v>
      </c>
      <c r="E1534" s="1" t="s">
        <v>7909</v>
      </c>
      <c r="F1534" s="1">
        <v>-2</v>
      </c>
      <c r="G1534" s="1">
        <v>-2</v>
      </c>
      <c r="H1534" s="1">
        <v>0</v>
      </c>
      <c r="I1534" s="1">
        <v>0</v>
      </c>
      <c r="J1534" s="1">
        <v>2</v>
      </c>
      <c r="K1534" s="1">
        <v>-2</v>
      </c>
    </row>
    <row r="1535" spans="3:11" x14ac:dyDescent="0.25">
      <c r="D1535" s="1" t="s">
        <v>7910</v>
      </c>
      <c r="E1535" s="1" t="s">
        <v>7911</v>
      </c>
      <c r="F1535" s="1">
        <v>-2</v>
      </c>
      <c r="G1535" s="1">
        <v>-2</v>
      </c>
      <c r="H1535" s="1">
        <v>0</v>
      </c>
      <c r="I1535" s="1">
        <v>0</v>
      </c>
      <c r="J1535" s="1">
        <v>2</v>
      </c>
      <c r="K1535" s="1">
        <v>-2</v>
      </c>
    </row>
    <row r="1536" spans="3:11" x14ac:dyDescent="0.25">
      <c r="D1536" s="1" t="s">
        <v>7912</v>
      </c>
      <c r="E1536" s="1" t="s">
        <v>7913</v>
      </c>
      <c r="F1536" s="1">
        <v>-2</v>
      </c>
      <c r="G1536" s="1">
        <v>-2</v>
      </c>
      <c r="H1536" s="1">
        <v>0</v>
      </c>
      <c r="I1536" s="1">
        <v>0</v>
      </c>
      <c r="J1536" s="1">
        <v>2</v>
      </c>
      <c r="K1536" s="1">
        <v>-2</v>
      </c>
    </row>
    <row r="1537" spans="3:11" x14ac:dyDescent="0.25">
      <c r="D1537" s="1" t="s">
        <v>7914</v>
      </c>
      <c r="E1537" s="1" t="s">
        <v>7915</v>
      </c>
      <c r="F1537" s="1">
        <v>-2</v>
      </c>
      <c r="G1537" s="1">
        <v>-2</v>
      </c>
      <c r="H1537" s="1">
        <v>0</v>
      </c>
      <c r="I1537" s="1">
        <v>0</v>
      </c>
      <c r="J1537" s="1">
        <v>2</v>
      </c>
      <c r="K1537" s="1">
        <v>-2</v>
      </c>
    </row>
    <row r="1538" spans="3:11" x14ac:dyDescent="0.25">
      <c r="D1538" s="1" t="s">
        <v>7916</v>
      </c>
      <c r="E1538" s="1" t="s">
        <v>7917</v>
      </c>
      <c r="F1538" s="1">
        <v>-2</v>
      </c>
      <c r="G1538" s="1">
        <v>-2</v>
      </c>
      <c r="H1538" s="1">
        <v>0</v>
      </c>
      <c r="I1538" s="1">
        <v>0</v>
      </c>
      <c r="J1538" s="1">
        <v>2</v>
      </c>
      <c r="K1538" s="1">
        <v>-2</v>
      </c>
    </row>
    <row r="1539" spans="3:11" x14ac:dyDescent="0.25">
      <c r="D1539" s="1" t="s">
        <v>7918</v>
      </c>
      <c r="E1539" s="1" t="s">
        <v>7919</v>
      </c>
      <c r="F1539" s="1">
        <v>-2</v>
      </c>
      <c r="G1539" s="1">
        <v>-2</v>
      </c>
      <c r="H1539" s="1">
        <v>0</v>
      </c>
      <c r="I1539" s="1">
        <v>0</v>
      </c>
      <c r="J1539" s="1">
        <v>2</v>
      </c>
      <c r="K1539" s="1">
        <v>-2</v>
      </c>
    </row>
    <row r="1540" spans="3:11" x14ac:dyDescent="0.25">
      <c r="D1540" s="1" t="s">
        <v>7920</v>
      </c>
      <c r="E1540" s="1" t="s">
        <v>7921</v>
      </c>
      <c r="F1540" s="1">
        <v>-2</v>
      </c>
      <c r="G1540" s="1">
        <v>-2</v>
      </c>
      <c r="H1540" s="1">
        <v>0</v>
      </c>
      <c r="I1540" s="1">
        <v>0</v>
      </c>
      <c r="J1540" s="1">
        <v>2</v>
      </c>
      <c r="K1540" s="1">
        <v>-2</v>
      </c>
    </row>
    <row r="1541" spans="3:11" x14ac:dyDescent="0.25">
      <c r="D1541" s="1" t="s">
        <v>7922</v>
      </c>
      <c r="E1541" s="1" t="s">
        <v>7923</v>
      </c>
      <c r="F1541" s="1">
        <v>-2</v>
      </c>
      <c r="G1541" s="1">
        <v>-2</v>
      </c>
      <c r="H1541" s="1">
        <v>0</v>
      </c>
      <c r="I1541" s="1">
        <v>0</v>
      </c>
      <c r="J1541" s="1">
        <v>2</v>
      </c>
      <c r="K1541" s="1">
        <v>-2</v>
      </c>
    </row>
    <row r="1542" spans="3:11" x14ac:dyDescent="0.25">
      <c r="C1542" s="1" t="s">
        <v>7924</v>
      </c>
      <c r="D1542" s="1" t="s">
        <v>7925</v>
      </c>
      <c r="E1542" s="1" t="s">
        <v>7926</v>
      </c>
      <c r="F1542" s="1">
        <v>-2</v>
      </c>
      <c r="G1542" s="1">
        <v>-2</v>
      </c>
      <c r="H1542" s="1">
        <v>0</v>
      </c>
      <c r="I1542" s="1">
        <v>0</v>
      </c>
      <c r="J1542" s="1">
        <v>2</v>
      </c>
      <c r="K1542" s="1">
        <v>-2</v>
      </c>
    </row>
    <row r="1543" spans="3:11" x14ac:dyDescent="0.25">
      <c r="C1543" s="1" t="s">
        <v>7927</v>
      </c>
      <c r="D1543" s="1" t="s">
        <v>7928</v>
      </c>
      <c r="E1543" s="1" t="s">
        <v>7929</v>
      </c>
      <c r="F1543" s="1">
        <v>-2</v>
      </c>
      <c r="G1543" s="1">
        <v>-2</v>
      </c>
      <c r="H1543" s="1">
        <v>0</v>
      </c>
      <c r="I1543" s="1">
        <v>0</v>
      </c>
      <c r="J1543" s="1">
        <v>2</v>
      </c>
      <c r="K1543" s="1">
        <v>-2</v>
      </c>
    </row>
    <row r="1544" spans="3:11" x14ac:dyDescent="0.25">
      <c r="C1544" s="1" t="s">
        <v>7930</v>
      </c>
      <c r="D1544" s="1" t="s">
        <v>7931</v>
      </c>
      <c r="E1544" s="1" t="s">
        <v>7932</v>
      </c>
      <c r="F1544" s="1">
        <v>-2</v>
      </c>
      <c r="G1544" s="1">
        <v>-2</v>
      </c>
      <c r="H1544" s="1">
        <v>0</v>
      </c>
      <c r="I1544" s="1">
        <v>0</v>
      </c>
      <c r="J1544" s="1">
        <v>2</v>
      </c>
      <c r="K1544" s="1">
        <v>-2</v>
      </c>
    </row>
    <row r="1545" spans="3:11" x14ac:dyDescent="0.25">
      <c r="C1545" s="1" t="s">
        <v>7933</v>
      </c>
      <c r="D1545" s="1" t="s">
        <v>7934</v>
      </c>
      <c r="E1545" s="1" t="s">
        <v>7935</v>
      </c>
      <c r="F1545" s="1">
        <v>-2</v>
      </c>
      <c r="G1545" s="1">
        <v>-2</v>
      </c>
      <c r="H1545" s="1">
        <v>0</v>
      </c>
      <c r="I1545" s="1">
        <v>0</v>
      </c>
      <c r="J1545" s="1">
        <v>2</v>
      </c>
      <c r="K1545" s="1">
        <v>-2</v>
      </c>
    </row>
    <row r="1546" spans="3:11" x14ac:dyDescent="0.25">
      <c r="D1546" s="1" t="s">
        <v>7936</v>
      </c>
      <c r="E1546" s="1" t="s">
        <v>7937</v>
      </c>
      <c r="F1546" s="1">
        <v>-2</v>
      </c>
      <c r="G1546" s="1">
        <v>-2</v>
      </c>
      <c r="H1546" s="1">
        <v>0</v>
      </c>
      <c r="I1546" s="1">
        <v>0</v>
      </c>
      <c r="J1546" s="1">
        <v>2</v>
      </c>
      <c r="K1546" s="1">
        <v>-2</v>
      </c>
    </row>
    <row r="1547" spans="3:11" x14ac:dyDescent="0.25">
      <c r="D1547" s="1" t="s">
        <v>7938</v>
      </c>
      <c r="E1547" s="1" t="s">
        <v>7939</v>
      </c>
      <c r="F1547" s="1">
        <v>-2</v>
      </c>
      <c r="G1547" s="1">
        <v>-2</v>
      </c>
      <c r="H1547" s="1">
        <v>0</v>
      </c>
      <c r="I1547" s="1">
        <v>0</v>
      </c>
      <c r="J1547" s="1">
        <v>2</v>
      </c>
      <c r="K1547" s="1">
        <v>-2</v>
      </c>
    </row>
    <row r="1548" spans="3:11" x14ac:dyDescent="0.25">
      <c r="D1548" s="1" t="s">
        <v>7940</v>
      </c>
      <c r="E1548" s="1" t="s">
        <v>7941</v>
      </c>
      <c r="F1548" s="1">
        <v>-2</v>
      </c>
      <c r="G1548" s="1">
        <v>-2</v>
      </c>
      <c r="H1548" s="1">
        <v>0</v>
      </c>
      <c r="I1548" s="1">
        <v>0</v>
      </c>
      <c r="J1548" s="1">
        <v>2</v>
      </c>
      <c r="K1548" s="1">
        <v>-2</v>
      </c>
    </row>
    <row r="1549" spans="3:11" x14ac:dyDescent="0.25">
      <c r="D1549" s="1" t="s">
        <v>7942</v>
      </c>
      <c r="E1549" s="1" t="s">
        <v>7943</v>
      </c>
      <c r="F1549" s="1">
        <v>-2</v>
      </c>
      <c r="G1549" s="1">
        <v>-2</v>
      </c>
      <c r="H1549" s="1">
        <v>0</v>
      </c>
      <c r="I1549" s="1">
        <v>0</v>
      </c>
      <c r="J1549" s="1">
        <v>2</v>
      </c>
      <c r="K1549" s="1">
        <v>-2</v>
      </c>
    </row>
    <row r="1550" spans="3:11" x14ac:dyDescent="0.25">
      <c r="D1550" s="1" t="s">
        <v>7944</v>
      </c>
      <c r="E1550" s="1" t="s">
        <v>7945</v>
      </c>
      <c r="F1550" s="1">
        <v>-2</v>
      </c>
      <c r="G1550" s="1">
        <v>-2</v>
      </c>
      <c r="H1550" s="1">
        <v>0</v>
      </c>
      <c r="I1550" s="1">
        <v>0</v>
      </c>
      <c r="J1550" s="1">
        <v>2</v>
      </c>
      <c r="K1550" s="1">
        <v>-2</v>
      </c>
    </row>
    <row r="1551" spans="3:11" x14ac:dyDescent="0.25">
      <c r="D1551" s="1" t="s">
        <v>7946</v>
      </c>
      <c r="E1551" s="1" t="s">
        <v>7947</v>
      </c>
      <c r="F1551" s="1">
        <v>-2</v>
      </c>
      <c r="G1551" s="1">
        <v>-2</v>
      </c>
      <c r="H1551" s="1">
        <v>0</v>
      </c>
      <c r="I1551" s="1">
        <v>0</v>
      </c>
      <c r="J1551" s="1">
        <v>2</v>
      </c>
      <c r="K1551" s="1">
        <v>-2</v>
      </c>
    </row>
    <row r="1552" spans="3:11" x14ac:dyDescent="0.25">
      <c r="D1552" s="1" t="s">
        <v>7948</v>
      </c>
      <c r="E1552" s="1" t="s">
        <v>7949</v>
      </c>
      <c r="F1552" s="1">
        <v>-2</v>
      </c>
      <c r="G1552" s="1">
        <v>-2</v>
      </c>
      <c r="H1552" s="1">
        <v>0</v>
      </c>
      <c r="I1552" s="1">
        <v>0</v>
      </c>
      <c r="J1552" s="1">
        <v>2</v>
      </c>
      <c r="K1552" s="1">
        <v>-2</v>
      </c>
    </row>
    <row r="1553" spans="3:11" x14ac:dyDescent="0.25">
      <c r="D1553" s="1" t="s">
        <v>7950</v>
      </c>
      <c r="E1553" s="1" t="s">
        <v>7951</v>
      </c>
      <c r="F1553" s="1">
        <v>-2</v>
      </c>
      <c r="G1553" s="1">
        <v>-2</v>
      </c>
      <c r="H1553" s="1">
        <v>0</v>
      </c>
      <c r="I1553" s="1">
        <v>0</v>
      </c>
      <c r="J1553" s="1">
        <v>2</v>
      </c>
      <c r="K1553" s="1">
        <v>-2</v>
      </c>
    </row>
    <row r="1554" spans="3:11" x14ac:dyDescent="0.25">
      <c r="D1554" s="1" t="s">
        <v>7952</v>
      </c>
      <c r="E1554" s="1" t="s">
        <v>7953</v>
      </c>
      <c r="F1554" s="1">
        <v>-2</v>
      </c>
      <c r="G1554" s="1">
        <v>-2</v>
      </c>
      <c r="H1554" s="1">
        <v>0</v>
      </c>
      <c r="I1554" s="1">
        <v>0</v>
      </c>
      <c r="J1554" s="1">
        <v>2</v>
      </c>
      <c r="K1554" s="1">
        <v>-2</v>
      </c>
    </row>
    <row r="1555" spans="3:11" x14ac:dyDescent="0.25">
      <c r="D1555" s="1" t="s">
        <v>7954</v>
      </c>
      <c r="E1555" s="1" t="s">
        <v>7955</v>
      </c>
      <c r="F1555" s="1">
        <v>-2</v>
      </c>
      <c r="G1555" s="1">
        <v>-2</v>
      </c>
      <c r="H1555" s="1">
        <v>0</v>
      </c>
      <c r="I1555" s="1">
        <v>0</v>
      </c>
      <c r="J1555" s="1">
        <v>2</v>
      </c>
      <c r="K1555" s="1">
        <v>-2</v>
      </c>
    </row>
    <row r="1556" spans="3:11" x14ac:dyDescent="0.25">
      <c r="D1556" s="1" t="s">
        <v>7956</v>
      </c>
      <c r="E1556" s="1" t="s">
        <v>7957</v>
      </c>
      <c r="F1556" s="1">
        <v>-2</v>
      </c>
      <c r="G1556" s="1">
        <v>-2</v>
      </c>
      <c r="H1556" s="1">
        <v>0</v>
      </c>
      <c r="I1556" s="1">
        <v>0</v>
      </c>
      <c r="J1556" s="1">
        <v>2</v>
      </c>
      <c r="K1556" s="1">
        <v>-2</v>
      </c>
    </row>
    <row r="1557" spans="3:11" x14ac:dyDescent="0.25">
      <c r="C1557" s="1" t="s">
        <v>7958</v>
      </c>
      <c r="D1557" s="1" t="s">
        <v>7959</v>
      </c>
      <c r="E1557" s="1" t="s">
        <v>7960</v>
      </c>
      <c r="F1557" s="1">
        <v>-2</v>
      </c>
      <c r="G1557" s="1">
        <v>-2</v>
      </c>
      <c r="H1557" s="1">
        <v>0</v>
      </c>
      <c r="I1557" s="1">
        <v>0</v>
      </c>
      <c r="J1557" s="1">
        <v>2</v>
      </c>
      <c r="K1557" s="1">
        <v>-2</v>
      </c>
    </row>
    <row r="1558" spans="3:11" x14ac:dyDescent="0.25">
      <c r="D1558" s="1" t="s">
        <v>7961</v>
      </c>
      <c r="E1558" s="1" t="s">
        <v>7962</v>
      </c>
      <c r="F1558" s="1">
        <v>-2</v>
      </c>
      <c r="G1558" s="1">
        <v>-2</v>
      </c>
      <c r="H1558" s="1">
        <v>0</v>
      </c>
      <c r="I1558" s="1">
        <v>0</v>
      </c>
      <c r="J1558" s="1">
        <v>2</v>
      </c>
      <c r="K1558" s="1">
        <v>-2</v>
      </c>
    </row>
    <row r="1559" spans="3:11" x14ac:dyDescent="0.25">
      <c r="D1559" s="1" t="s">
        <v>7963</v>
      </c>
      <c r="E1559" s="1" t="s">
        <v>7964</v>
      </c>
      <c r="F1559" s="1">
        <v>-2</v>
      </c>
      <c r="G1559" s="1">
        <v>-2</v>
      </c>
      <c r="H1559" s="1">
        <v>0</v>
      </c>
      <c r="I1559" s="1">
        <v>0</v>
      </c>
      <c r="J1559" s="1">
        <v>2</v>
      </c>
      <c r="K1559" s="1">
        <v>-2</v>
      </c>
    </row>
    <row r="1560" spans="3:11" x14ac:dyDescent="0.25">
      <c r="D1560" s="1" t="s">
        <v>7965</v>
      </c>
      <c r="E1560" s="1" t="s">
        <v>7966</v>
      </c>
      <c r="F1560" s="1">
        <v>-2</v>
      </c>
      <c r="G1560" s="1">
        <v>-2</v>
      </c>
      <c r="H1560" s="1">
        <v>0</v>
      </c>
      <c r="I1560" s="1">
        <v>0</v>
      </c>
      <c r="J1560" s="1">
        <v>2</v>
      </c>
      <c r="K1560" s="1">
        <v>-2</v>
      </c>
    </row>
    <row r="1561" spans="3:11" x14ac:dyDescent="0.25">
      <c r="D1561" s="1" t="s">
        <v>7967</v>
      </c>
      <c r="E1561" s="1" t="s">
        <v>7968</v>
      </c>
      <c r="F1561" s="1">
        <v>-2</v>
      </c>
      <c r="G1561" s="1">
        <v>-2</v>
      </c>
      <c r="H1561" s="1">
        <v>0</v>
      </c>
      <c r="I1561" s="1">
        <v>0</v>
      </c>
      <c r="J1561" s="1">
        <v>2</v>
      </c>
      <c r="K1561" s="1">
        <v>-2</v>
      </c>
    </row>
    <row r="1562" spans="3:11" x14ac:dyDescent="0.25">
      <c r="D1562" s="1" t="s">
        <v>7969</v>
      </c>
      <c r="E1562" s="1" t="s">
        <v>7970</v>
      </c>
      <c r="F1562" s="1">
        <v>-2</v>
      </c>
      <c r="G1562" s="1">
        <v>-2</v>
      </c>
      <c r="H1562" s="1">
        <v>0</v>
      </c>
      <c r="I1562" s="1">
        <v>0</v>
      </c>
      <c r="J1562" s="1">
        <v>2</v>
      </c>
      <c r="K1562" s="1">
        <v>-2</v>
      </c>
    </row>
    <row r="1563" spans="3:11" x14ac:dyDescent="0.25">
      <c r="D1563" s="1" t="s">
        <v>7971</v>
      </c>
      <c r="E1563" s="1" t="s">
        <v>7972</v>
      </c>
      <c r="F1563" s="1">
        <v>-2</v>
      </c>
      <c r="G1563" s="1">
        <v>-2</v>
      </c>
      <c r="H1563" s="1">
        <v>0</v>
      </c>
      <c r="I1563" s="1">
        <v>0</v>
      </c>
      <c r="J1563" s="1">
        <v>2</v>
      </c>
      <c r="K1563" s="1">
        <v>-2</v>
      </c>
    </row>
    <row r="1564" spans="3:11" x14ac:dyDescent="0.25">
      <c r="D1564" s="1" t="s">
        <v>7973</v>
      </c>
      <c r="E1564" s="1" t="s">
        <v>7974</v>
      </c>
      <c r="F1564" s="1">
        <v>-2</v>
      </c>
      <c r="G1564" s="1">
        <v>-2</v>
      </c>
      <c r="H1564" s="1">
        <v>0</v>
      </c>
      <c r="I1564" s="1">
        <v>0</v>
      </c>
      <c r="J1564" s="1">
        <v>2</v>
      </c>
      <c r="K1564" s="1">
        <v>-2</v>
      </c>
    </row>
    <row r="1565" spans="3:11" x14ac:dyDescent="0.25">
      <c r="D1565" s="1" t="s">
        <v>7975</v>
      </c>
      <c r="E1565" s="1" t="s">
        <v>7976</v>
      </c>
      <c r="F1565" s="1">
        <v>-2</v>
      </c>
      <c r="G1565" s="1">
        <v>-2</v>
      </c>
      <c r="H1565" s="1">
        <v>0</v>
      </c>
      <c r="I1565" s="1">
        <v>0</v>
      </c>
      <c r="J1565" s="1">
        <v>2</v>
      </c>
      <c r="K1565" s="1">
        <v>-2</v>
      </c>
    </row>
    <row r="1566" spans="3:11" x14ac:dyDescent="0.25">
      <c r="D1566" s="1" t="s">
        <v>7977</v>
      </c>
      <c r="E1566" s="1" t="s">
        <v>7978</v>
      </c>
      <c r="F1566" s="1">
        <v>-2</v>
      </c>
      <c r="G1566" s="1">
        <v>-2</v>
      </c>
      <c r="H1566" s="1">
        <v>0</v>
      </c>
      <c r="I1566" s="1">
        <v>0</v>
      </c>
      <c r="J1566" s="1">
        <v>2</v>
      </c>
      <c r="K1566" s="1">
        <v>-2</v>
      </c>
    </row>
    <row r="1567" spans="3:11" x14ac:dyDescent="0.25">
      <c r="D1567" s="1" t="s">
        <v>7979</v>
      </c>
      <c r="E1567" s="1" t="s">
        <v>7980</v>
      </c>
      <c r="F1567" s="1">
        <v>-2</v>
      </c>
      <c r="G1567" s="1">
        <v>-2</v>
      </c>
      <c r="H1567" s="1">
        <v>0</v>
      </c>
      <c r="I1567" s="1">
        <v>0</v>
      </c>
      <c r="J1567" s="1">
        <v>2</v>
      </c>
      <c r="K1567" s="1">
        <v>-2</v>
      </c>
    </row>
    <row r="1568" spans="3:11" x14ac:dyDescent="0.25">
      <c r="D1568" s="1" t="s">
        <v>7981</v>
      </c>
      <c r="E1568" s="1" t="s">
        <v>7982</v>
      </c>
      <c r="F1568" s="1">
        <v>-2</v>
      </c>
      <c r="G1568" s="1">
        <v>-2</v>
      </c>
      <c r="H1568" s="1">
        <v>0</v>
      </c>
      <c r="I1568" s="1">
        <v>0</v>
      </c>
      <c r="J1568" s="1">
        <v>2</v>
      </c>
      <c r="K1568" s="1">
        <v>-2</v>
      </c>
    </row>
    <row r="1569" spans="3:11" x14ac:dyDescent="0.25">
      <c r="D1569" s="1" t="s">
        <v>7983</v>
      </c>
      <c r="E1569" s="1" t="s">
        <v>7984</v>
      </c>
      <c r="F1569" s="1">
        <v>-2</v>
      </c>
      <c r="G1569" s="1">
        <v>-2</v>
      </c>
      <c r="H1569" s="1">
        <v>0</v>
      </c>
      <c r="I1569" s="1">
        <v>0</v>
      </c>
      <c r="J1569" s="1">
        <v>2</v>
      </c>
      <c r="K1569" s="1">
        <v>-2</v>
      </c>
    </row>
    <row r="1570" spans="3:11" x14ac:dyDescent="0.25">
      <c r="D1570" s="1" t="s">
        <v>7985</v>
      </c>
      <c r="E1570" s="1" t="s">
        <v>7986</v>
      </c>
      <c r="F1570" s="1">
        <v>-2</v>
      </c>
      <c r="G1570" s="1">
        <v>-2</v>
      </c>
      <c r="H1570" s="1">
        <v>0</v>
      </c>
      <c r="I1570" s="1">
        <v>0</v>
      </c>
      <c r="J1570" s="1">
        <v>2</v>
      </c>
      <c r="K1570" s="1">
        <v>-2</v>
      </c>
    </row>
    <row r="1571" spans="3:11" x14ac:dyDescent="0.25">
      <c r="C1571" s="1" t="s">
        <v>7987</v>
      </c>
      <c r="D1571" s="1" t="s">
        <v>7988</v>
      </c>
      <c r="E1571" s="1" t="s">
        <v>7989</v>
      </c>
      <c r="F1571" s="1">
        <v>-2</v>
      </c>
      <c r="G1571" s="1">
        <v>-2</v>
      </c>
      <c r="H1571" s="1">
        <v>0</v>
      </c>
      <c r="I1571" s="1">
        <v>0</v>
      </c>
      <c r="J1571" s="1">
        <v>2</v>
      </c>
      <c r="K1571" s="1">
        <v>-2</v>
      </c>
    </row>
    <row r="1572" spans="3:11" x14ac:dyDescent="0.25">
      <c r="C1572" s="1" t="s">
        <v>7990</v>
      </c>
      <c r="D1572" s="1" t="s">
        <v>7991</v>
      </c>
      <c r="E1572" s="1" t="s">
        <v>7992</v>
      </c>
      <c r="F1572" s="1">
        <v>-2</v>
      </c>
      <c r="G1572" s="1">
        <v>-2</v>
      </c>
      <c r="H1572" s="1">
        <v>0</v>
      </c>
      <c r="I1572" s="1">
        <v>0</v>
      </c>
      <c r="J1572" s="1">
        <v>2</v>
      </c>
      <c r="K1572" s="1">
        <v>-2</v>
      </c>
    </row>
    <row r="1573" spans="3:11" x14ac:dyDescent="0.25">
      <c r="C1573" s="1" t="s">
        <v>7993</v>
      </c>
      <c r="D1573" s="1" t="s">
        <v>7994</v>
      </c>
      <c r="E1573" s="1" t="s">
        <v>7995</v>
      </c>
      <c r="F1573" s="1">
        <v>-2</v>
      </c>
      <c r="G1573" s="1">
        <v>-2</v>
      </c>
      <c r="H1573" s="1">
        <v>0</v>
      </c>
      <c r="I1573" s="1">
        <v>0</v>
      </c>
      <c r="J1573" s="1">
        <v>2</v>
      </c>
      <c r="K1573" s="1">
        <v>-2</v>
      </c>
    </row>
    <row r="1574" spans="3:11" x14ac:dyDescent="0.25">
      <c r="C1574" s="1" t="s">
        <v>7996</v>
      </c>
      <c r="D1574" s="1" t="s">
        <v>7997</v>
      </c>
      <c r="E1574" s="1" t="s">
        <v>7998</v>
      </c>
      <c r="F1574" s="1">
        <v>-2</v>
      </c>
      <c r="G1574" s="1">
        <v>-2</v>
      </c>
      <c r="H1574" s="1">
        <v>0</v>
      </c>
      <c r="I1574" s="1">
        <v>0</v>
      </c>
      <c r="J1574" s="1">
        <v>2</v>
      </c>
      <c r="K1574" s="1">
        <v>-2</v>
      </c>
    </row>
    <row r="1575" spans="3:11" x14ac:dyDescent="0.25">
      <c r="D1575" s="1" t="s">
        <v>7999</v>
      </c>
      <c r="E1575" s="1" t="s">
        <v>8000</v>
      </c>
      <c r="F1575" s="1">
        <v>-2</v>
      </c>
      <c r="G1575" s="1">
        <v>-2</v>
      </c>
      <c r="H1575" s="1">
        <v>0</v>
      </c>
      <c r="I1575" s="1">
        <v>0</v>
      </c>
      <c r="J1575" s="1">
        <v>2</v>
      </c>
      <c r="K1575" s="1">
        <v>-2</v>
      </c>
    </row>
    <row r="1576" spans="3:11" x14ac:dyDescent="0.25">
      <c r="C1576" s="1" t="s">
        <v>8001</v>
      </c>
      <c r="D1576" s="1" t="s">
        <v>8002</v>
      </c>
      <c r="E1576" s="1" t="s">
        <v>8003</v>
      </c>
      <c r="F1576" s="1">
        <v>-2</v>
      </c>
      <c r="G1576" s="1">
        <v>-2</v>
      </c>
      <c r="H1576" s="1">
        <v>0</v>
      </c>
      <c r="I1576" s="1">
        <v>0</v>
      </c>
      <c r="J1576" s="1">
        <v>2</v>
      </c>
      <c r="K1576" s="1">
        <v>-2</v>
      </c>
    </row>
    <row r="1577" spans="3:11" x14ac:dyDescent="0.25">
      <c r="C1577" s="1" t="s">
        <v>8004</v>
      </c>
      <c r="D1577" s="1" t="s">
        <v>8005</v>
      </c>
      <c r="E1577" s="1" t="s">
        <v>8006</v>
      </c>
      <c r="F1577" s="1">
        <v>-2</v>
      </c>
      <c r="G1577" s="1">
        <v>-2</v>
      </c>
      <c r="H1577" s="1">
        <v>0</v>
      </c>
      <c r="I1577" s="1">
        <v>0</v>
      </c>
      <c r="J1577" s="1">
        <v>2</v>
      </c>
      <c r="K1577" s="1">
        <v>-2</v>
      </c>
    </row>
    <row r="1578" spans="3:11" x14ac:dyDescent="0.25">
      <c r="C1578" s="1" t="s">
        <v>8007</v>
      </c>
      <c r="D1578" s="1" t="s">
        <v>8008</v>
      </c>
      <c r="E1578" s="1" t="s">
        <v>8009</v>
      </c>
      <c r="F1578" s="1">
        <v>-2</v>
      </c>
      <c r="G1578" s="1">
        <v>-2</v>
      </c>
      <c r="H1578" s="1">
        <v>0</v>
      </c>
      <c r="I1578" s="1">
        <v>0</v>
      </c>
      <c r="J1578" s="1">
        <v>2</v>
      </c>
      <c r="K1578" s="1">
        <v>-2</v>
      </c>
    </row>
    <row r="1579" spans="3:11" x14ac:dyDescent="0.25">
      <c r="C1579" s="1" t="s">
        <v>8010</v>
      </c>
      <c r="D1579" s="1" t="s">
        <v>8011</v>
      </c>
      <c r="E1579" s="1" t="s">
        <v>8012</v>
      </c>
      <c r="F1579" s="1">
        <v>-2</v>
      </c>
      <c r="G1579" s="1">
        <v>-2</v>
      </c>
      <c r="H1579" s="1">
        <v>0</v>
      </c>
      <c r="I1579" s="1">
        <v>0</v>
      </c>
      <c r="J1579" s="1">
        <v>2</v>
      </c>
      <c r="K1579" s="1">
        <v>-2</v>
      </c>
    </row>
    <row r="1580" spans="3:11" x14ac:dyDescent="0.25">
      <c r="C1580" s="1" t="s">
        <v>8013</v>
      </c>
      <c r="D1580" s="1" t="s">
        <v>8014</v>
      </c>
      <c r="E1580" s="1" t="s">
        <v>8015</v>
      </c>
      <c r="F1580" s="1">
        <v>-2</v>
      </c>
      <c r="G1580" s="1">
        <v>-2</v>
      </c>
      <c r="H1580" s="1">
        <v>0</v>
      </c>
      <c r="I1580" s="1">
        <v>0</v>
      </c>
      <c r="J1580" s="1">
        <v>2</v>
      </c>
      <c r="K1580" s="1">
        <v>-2</v>
      </c>
    </row>
    <row r="1581" spans="3:11" x14ac:dyDescent="0.25">
      <c r="C1581" s="1" t="s">
        <v>8016</v>
      </c>
      <c r="D1581" s="1" t="s">
        <v>8017</v>
      </c>
      <c r="E1581" s="1" t="s">
        <v>8018</v>
      </c>
      <c r="F1581" s="1">
        <v>-2</v>
      </c>
      <c r="G1581" s="1">
        <v>-2</v>
      </c>
      <c r="H1581" s="1">
        <v>0</v>
      </c>
      <c r="I1581" s="1">
        <v>0</v>
      </c>
      <c r="J1581" s="1">
        <v>2</v>
      </c>
      <c r="K1581" s="1">
        <v>-2</v>
      </c>
    </row>
    <row r="1582" spans="3:11" x14ac:dyDescent="0.25">
      <c r="C1582" s="1" t="s">
        <v>8019</v>
      </c>
      <c r="D1582" s="1" t="s">
        <v>8020</v>
      </c>
      <c r="E1582" s="1" t="s">
        <v>8021</v>
      </c>
      <c r="F1582" s="1">
        <v>-2</v>
      </c>
      <c r="G1582" s="1">
        <v>-2</v>
      </c>
      <c r="H1582" s="1">
        <v>0</v>
      </c>
      <c r="I1582" s="1">
        <v>0</v>
      </c>
      <c r="J1582" s="1">
        <v>2</v>
      </c>
      <c r="K1582" s="1">
        <v>-2</v>
      </c>
    </row>
    <row r="1583" spans="3:11" x14ac:dyDescent="0.25">
      <c r="D1583" s="1" t="s">
        <v>8022</v>
      </c>
      <c r="E1583" s="1" t="s">
        <v>8023</v>
      </c>
      <c r="F1583" s="1">
        <v>-2</v>
      </c>
      <c r="G1583" s="1">
        <v>-2</v>
      </c>
      <c r="H1583" s="1">
        <v>0</v>
      </c>
      <c r="I1583" s="1">
        <v>0</v>
      </c>
      <c r="J1583" s="1">
        <v>2</v>
      </c>
      <c r="K1583" s="1">
        <v>-2</v>
      </c>
    </row>
    <row r="1584" spans="3:11" x14ac:dyDescent="0.25">
      <c r="D1584" s="1" t="s">
        <v>8024</v>
      </c>
      <c r="E1584" s="1" t="s">
        <v>8025</v>
      </c>
      <c r="F1584" s="1">
        <v>-2</v>
      </c>
      <c r="G1584" s="1">
        <v>-2</v>
      </c>
      <c r="H1584" s="1">
        <v>0</v>
      </c>
      <c r="I1584" s="1">
        <v>0</v>
      </c>
      <c r="J1584" s="1">
        <v>2</v>
      </c>
      <c r="K1584" s="1">
        <v>-2</v>
      </c>
    </row>
    <row r="1585" spans="3:11" x14ac:dyDescent="0.25">
      <c r="C1585" s="1" t="s">
        <v>8026</v>
      </c>
      <c r="D1585" s="1" t="s">
        <v>8027</v>
      </c>
      <c r="E1585" s="1" t="s">
        <v>8026</v>
      </c>
      <c r="F1585" s="1">
        <v>-2</v>
      </c>
      <c r="G1585" s="1">
        <v>-2</v>
      </c>
      <c r="H1585" s="1">
        <v>0</v>
      </c>
      <c r="I1585" s="1">
        <v>0</v>
      </c>
      <c r="J1585" s="1">
        <v>2</v>
      </c>
      <c r="K1585" s="1">
        <v>-2</v>
      </c>
    </row>
    <row r="1586" spans="3:11" x14ac:dyDescent="0.25">
      <c r="D1586" s="1" t="s">
        <v>8028</v>
      </c>
      <c r="E1586" s="1" t="s">
        <v>8029</v>
      </c>
      <c r="F1586" s="1">
        <v>-2</v>
      </c>
      <c r="G1586" s="1">
        <v>-2</v>
      </c>
      <c r="H1586" s="1">
        <v>0</v>
      </c>
      <c r="I1586" s="1">
        <v>0</v>
      </c>
      <c r="J1586" s="1">
        <v>2</v>
      </c>
      <c r="K1586" s="1">
        <v>-2</v>
      </c>
    </row>
    <row r="1587" spans="3:11" x14ac:dyDescent="0.25">
      <c r="C1587" s="1" t="s">
        <v>8030</v>
      </c>
      <c r="D1587" s="1" t="s">
        <v>8031</v>
      </c>
      <c r="E1587" s="1" t="s">
        <v>8032</v>
      </c>
      <c r="F1587" s="1">
        <v>-2</v>
      </c>
      <c r="G1587" s="1">
        <v>-2</v>
      </c>
      <c r="H1587" s="1">
        <v>0</v>
      </c>
      <c r="I1587" s="1">
        <v>0</v>
      </c>
      <c r="J1587" s="1">
        <v>2</v>
      </c>
      <c r="K1587" s="1">
        <v>-2</v>
      </c>
    </row>
    <row r="1588" spans="3:11" x14ac:dyDescent="0.25">
      <c r="C1588" s="1" t="s">
        <v>8033</v>
      </c>
      <c r="D1588" s="1" t="s">
        <v>8034</v>
      </c>
      <c r="E1588" s="1" t="s">
        <v>8035</v>
      </c>
      <c r="F1588" s="1">
        <v>-2</v>
      </c>
      <c r="G1588" s="1">
        <v>-2</v>
      </c>
      <c r="H1588" s="1">
        <v>0</v>
      </c>
      <c r="I1588" s="1">
        <v>0</v>
      </c>
      <c r="J1588" s="1">
        <v>2</v>
      </c>
      <c r="K1588" s="1">
        <v>-2</v>
      </c>
    </row>
    <row r="1589" spans="3:11" x14ac:dyDescent="0.25">
      <c r="D1589" s="1" t="s">
        <v>8036</v>
      </c>
      <c r="E1589" s="1" t="s">
        <v>8037</v>
      </c>
      <c r="F1589" s="1">
        <v>-2</v>
      </c>
      <c r="G1589" s="1">
        <v>-2</v>
      </c>
      <c r="H1589" s="1">
        <v>0</v>
      </c>
      <c r="I1589" s="1">
        <v>0</v>
      </c>
      <c r="J1589" s="1">
        <v>2</v>
      </c>
      <c r="K1589" s="1">
        <v>-2</v>
      </c>
    </row>
    <row r="1590" spans="3:11" x14ac:dyDescent="0.25">
      <c r="D1590" s="1" t="s">
        <v>8038</v>
      </c>
      <c r="E1590" s="1" t="s">
        <v>8039</v>
      </c>
      <c r="F1590" s="1">
        <v>-2</v>
      </c>
      <c r="G1590" s="1">
        <v>-2</v>
      </c>
      <c r="H1590" s="1">
        <v>0</v>
      </c>
      <c r="I1590" s="1">
        <v>0</v>
      </c>
      <c r="J1590" s="1">
        <v>2</v>
      </c>
      <c r="K1590" s="1">
        <v>-2</v>
      </c>
    </row>
    <row r="1591" spans="3:11" x14ac:dyDescent="0.25">
      <c r="C1591" s="1" t="s">
        <v>8040</v>
      </c>
      <c r="D1591" s="1" t="s">
        <v>8041</v>
      </c>
      <c r="E1591" s="1" t="s">
        <v>8042</v>
      </c>
      <c r="F1591" s="1">
        <v>-2</v>
      </c>
      <c r="G1591" s="1">
        <v>-2</v>
      </c>
      <c r="H1591" s="1">
        <v>0</v>
      </c>
      <c r="I1591" s="1">
        <v>0</v>
      </c>
      <c r="J1591" s="1">
        <v>2</v>
      </c>
      <c r="K1591" s="1">
        <v>-2</v>
      </c>
    </row>
    <row r="1592" spans="3:11" x14ac:dyDescent="0.25">
      <c r="D1592" s="1" t="s">
        <v>8043</v>
      </c>
      <c r="E1592" s="1" t="s">
        <v>8044</v>
      </c>
      <c r="F1592" s="1">
        <v>-2</v>
      </c>
      <c r="G1592" s="1">
        <v>-2</v>
      </c>
      <c r="H1592" s="1">
        <v>0</v>
      </c>
      <c r="I1592" s="1">
        <v>0</v>
      </c>
      <c r="J1592" s="1">
        <v>2</v>
      </c>
      <c r="K1592" s="1">
        <v>-2</v>
      </c>
    </row>
    <row r="1593" spans="3:11" x14ac:dyDescent="0.25">
      <c r="C1593" s="1" t="s">
        <v>8045</v>
      </c>
      <c r="D1593" s="1" t="s">
        <v>8046</v>
      </c>
      <c r="E1593" s="1" t="s">
        <v>8047</v>
      </c>
      <c r="F1593" s="1">
        <v>-2</v>
      </c>
      <c r="G1593" s="1">
        <v>-2</v>
      </c>
      <c r="H1593" s="1">
        <v>0</v>
      </c>
      <c r="I1593" s="1">
        <v>0</v>
      </c>
      <c r="J1593" s="1">
        <v>2</v>
      </c>
      <c r="K1593" s="1">
        <v>-2</v>
      </c>
    </row>
    <row r="1594" spans="3:11" x14ac:dyDescent="0.25">
      <c r="C1594" s="1" t="s">
        <v>8048</v>
      </c>
      <c r="D1594" s="1" t="s">
        <v>8049</v>
      </c>
      <c r="E1594" s="1" t="s">
        <v>8050</v>
      </c>
      <c r="F1594" s="1">
        <v>-2</v>
      </c>
      <c r="G1594" s="1">
        <v>-2</v>
      </c>
      <c r="H1594" s="1">
        <v>0</v>
      </c>
      <c r="I1594" s="1">
        <v>0</v>
      </c>
      <c r="J1594" s="1">
        <v>2</v>
      </c>
      <c r="K1594" s="1">
        <v>-2</v>
      </c>
    </row>
    <row r="1595" spans="3:11" x14ac:dyDescent="0.25">
      <c r="D1595" s="1" t="s">
        <v>8051</v>
      </c>
      <c r="E1595" s="1" t="s">
        <v>8052</v>
      </c>
      <c r="F1595" s="1">
        <v>-2</v>
      </c>
      <c r="G1595" s="1">
        <v>-2</v>
      </c>
      <c r="H1595" s="1">
        <v>0</v>
      </c>
      <c r="I1595" s="1">
        <v>0</v>
      </c>
      <c r="J1595" s="1">
        <v>2</v>
      </c>
      <c r="K1595" s="1">
        <v>-2</v>
      </c>
    </row>
    <row r="1596" spans="3:11" x14ac:dyDescent="0.25">
      <c r="D1596" s="1" t="s">
        <v>8053</v>
      </c>
      <c r="E1596" s="1" t="s">
        <v>8054</v>
      </c>
      <c r="F1596" s="1">
        <v>-2</v>
      </c>
      <c r="G1596" s="1">
        <v>-2</v>
      </c>
      <c r="H1596" s="1">
        <v>0</v>
      </c>
      <c r="I1596" s="1">
        <v>0</v>
      </c>
      <c r="J1596" s="1">
        <v>2</v>
      </c>
      <c r="K1596" s="1">
        <v>-2</v>
      </c>
    </row>
    <row r="1597" spans="3:11" x14ac:dyDescent="0.25">
      <c r="D1597" s="1" t="s">
        <v>8055</v>
      </c>
      <c r="E1597" s="1" t="s">
        <v>8056</v>
      </c>
      <c r="F1597" s="1">
        <v>-2</v>
      </c>
      <c r="G1597" s="1">
        <v>-2</v>
      </c>
      <c r="H1597" s="1">
        <v>0</v>
      </c>
      <c r="I1597" s="1">
        <v>0</v>
      </c>
      <c r="J1597" s="1">
        <v>2</v>
      </c>
      <c r="K1597" s="1">
        <v>-2</v>
      </c>
    </row>
    <row r="1598" spans="3:11" x14ac:dyDescent="0.25">
      <c r="D1598" s="1" t="s">
        <v>8057</v>
      </c>
      <c r="E1598" s="1" t="s">
        <v>8058</v>
      </c>
      <c r="F1598" s="1">
        <v>-2</v>
      </c>
      <c r="G1598" s="1">
        <v>-2</v>
      </c>
      <c r="H1598" s="1">
        <v>0</v>
      </c>
      <c r="I1598" s="1">
        <v>0</v>
      </c>
      <c r="J1598" s="1">
        <v>2</v>
      </c>
      <c r="K1598" s="1">
        <v>-2</v>
      </c>
    </row>
    <row r="1599" spans="3:11" x14ac:dyDescent="0.25">
      <c r="D1599" s="1" t="s">
        <v>8059</v>
      </c>
      <c r="E1599" s="1" t="s">
        <v>8060</v>
      </c>
      <c r="F1599" s="1">
        <v>-2</v>
      </c>
      <c r="G1599" s="1">
        <v>-2</v>
      </c>
      <c r="H1599" s="1">
        <v>0</v>
      </c>
      <c r="I1599" s="1">
        <v>0</v>
      </c>
      <c r="J1599" s="1">
        <v>2</v>
      </c>
      <c r="K1599" s="1">
        <v>-2</v>
      </c>
    </row>
    <row r="1600" spans="3:11" x14ac:dyDescent="0.25">
      <c r="D1600" s="1" t="s">
        <v>8061</v>
      </c>
      <c r="E1600" s="1" t="s">
        <v>8062</v>
      </c>
      <c r="F1600" s="1">
        <v>-2</v>
      </c>
      <c r="G1600" s="1">
        <v>-2</v>
      </c>
      <c r="H1600" s="1">
        <v>0</v>
      </c>
      <c r="I1600" s="1">
        <v>0</v>
      </c>
      <c r="J1600" s="1">
        <v>2</v>
      </c>
      <c r="K1600" s="1">
        <v>-2</v>
      </c>
    </row>
    <row r="1601" spans="3:11" x14ac:dyDescent="0.25">
      <c r="D1601" s="1" t="s">
        <v>8063</v>
      </c>
      <c r="E1601" s="1" t="s">
        <v>8064</v>
      </c>
      <c r="F1601" s="1">
        <v>-2</v>
      </c>
      <c r="G1601" s="1">
        <v>-2</v>
      </c>
      <c r="H1601" s="1">
        <v>0</v>
      </c>
      <c r="I1601" s="1">
        <v>0</v>
      </c>
      <c r="J1601" s="1">
        <v>2</v>
      </c>
      <c r="K1601" s="1">
        <v>-2</v>
      </c>
    </row>
    <row r="1602" spans="3:11" x14ac:dyDescent="0.25">
      <c r="D1602" s="1" t="s">
        <v>8065</v>
      </c>
      <c r="E1602" s="1" t="s">
        <v>8066</v>
      </c>
      <c r="F1602" s="1">
        <v>-2</v>
      </c>
      <c r="G1602" s="1">
        <v>-2</v>
      </c>
      <c r="H1602" s="1">
        <v>0</v>
      </c>
      <c r="I1602" s="1">
        <v>0</v>
      </c>
      <c r="J1602" s="1">
        <v>2</v>
      </c>
      <c r="K1602" s="1">
        <v>-2</v>
      </c>
    </row>
    <row r="1603" spans="3:11" x14ac:dyDescent="0.25">
      <c r="D1603" s="1" t="s">
        <v>8067</v>
      </c>
      <c r="E1603" s="1" t="s">
        <v>8068</v>
      </c>
      <c r="F1603" s="1">
        <v>-2</v>
      </c>
      <c r="G1603" s="1">
        <v>-2</v>
      </c>
      <c r="H1603" s="1">
        <v>0</v>
      </c>
      <c r="I1603" s="1">
        <v>0</v>
      </c>
      <c r="J1603" s="1">
        <v>2</v>
      </c>
      <c r="K1603" s="1">
        <v>-2</v>
      </c>
    </row>
    <row r="1604" spans="3:11" x14ac:dyDescent="0.25">
      <c r="D1604" s="1" t="s">
        <v>8069</v>
      </c>
      <c r="E1604" s="1" t="s">
        <v>8070</v>
      </c>
      <c r="F1604" s="1">
        <v>-2</v>
      </c>
      <c r="G1604" s="1">
        <v>-2</v>
      </c>
      <c r="H1604" s="1">
        <v>0</v>
      </c>
      <c r="I1604" s="1">
        <v>0</v>
      </c>
      <c r="J1604" s="1">
        <v>2</v>
      </c>
      <c r="K1604" s="1">
        <v>-2</v>
      </c>
    </row>
    <row r="1605" spans="3:11" x14ac:dyDescent="0.25">
      <c r="D1605" s="1" t="s">
        <v>8071</v>
      </c>
      <c r="E1605" s="1" t="s">
        <v>8072</v>
      </c>
      <c r="F1605" s="1">
        <v>-2</v>
      </c>
      <c r="G1605" s="1">
        <v>-2</v>
      </c>
      <c r="H1605" s="1">
        <v>0</v>
      </c>
      <c r="I1605" s="1">
        <v>0</v>
      </c>
      <c r="J1605" s="1">
        <v>2</v>
      </c>
      <c r="K1605" s="1">
        <v>-2</v>
      </c>
    </row>
    <row r="1606" spans="3:11" x14ac:dyDescent="0.25">
      <c r="D1606" s="1" t="s">
        <v>8073</v>
      </c>
      <c r="E1606" s="1" t="s">
        <v>8074</v>
      </c>
      <c r="F1606" s="1">
        <v>-2</v>
      </c>
      <c r="G1606" s="1">
        <v>-2</v>
      </c>
      <c r="H1606" s="1">
        <v>0</v>
      </c>
      <c r="I1606" s="1">
        <v>0</v>
      </c>
      <c r="J1606" s="1">
        <v>2</v>
      </c>
      <c r="K1606" s="1">
        <v>-2</v>
      </c>
    </row>
    <row r="1607" spans="3:11" x14ac:dyDescent="0.25">
      <c r="D1607" s="1" t="s">
        <v>8075</v>
      </c>
      <c r="E1607" s="1" t="s">
        <v>8076</v>
      </c>
      <c r="F1607" s="1">
        <v>-2</v>
      </c>
      <c r="G1607" s="1">
        <v>-2</v>
      </c>
      <c r="H1607" s="1">
        <v>0</v>
      </c>
      <c r="I1607" s="1">
        <v>0</v>
      </c>
      <c r="J1607" s="1">
        <v>2</v>
      </c>
      <c r="K1607" s="1">
        <v>-2</v>
      </c>
    </row>
    <row r="1608" spans="3:11" x14ac:dyDescent="0.25">
      <c r="D1608" s="1" t="s">
        <v>8077</v>
      </c>
      <c r="E1608" s="1" t="s">
        <v>8078</v>
      </c>
      <c r="F1608" s="1">
        <v>-2</v>
      </c>
      <c r="G1608" s="1">
        <v>-2</v>
      </c>
      <c r="H1608" s="1">
        <v>0</v>
      </c>
      <c r="I1608" s="1">
        <v>0</v>
      </c>
      <c r="J1608" s="1">
        <v>2</v>
      </c>
      <c r="K1608" s="1">
        <v>-2</v>
      </c>
    </row>
    <row r="1609" spans="3:11" x14ac:dyDescent="0.25">
      <c r="C1609" s="1" t="s">
        <v>8079</v>
      </c>
      <c r="D1609" s="1" t="s">
        <v>8080</v>
      </c>
      <c r="E1609" s="1" t="s">
        <v>8079</v>
      </c>
      <c r="F1609" s="1">
        <v>-2</v>
      </c>
      <c r="G1609" s="1">
        <v>-2</v>
      </c>
      <c r="H1609" s="1">
        <v>0</v>
      </c>
      <c r="I1609" s="1">
        <v>0</v>
      </c>
      <c r="J1609" s="1">
        <v>2</v>
      </c>
      <c r="K1609" s="1">
        <v>-2</v>
      </c>
    </row>
    <row r="1610" spans="3:11" x14ac:dyDescent="0.25">
      <c r="C1610" s="1" t="s">
        <v>8081</v>
      </c>
      <c r="D1610" s="1" t="s">
        <v>8082</v>
      </c>
      <c r="E1610" s="1" t="s">
        <v>8081</v>
      </c>
      <c r="F1610" s="1">
        <v>-2</v>
      </c>
      <c r="G1610" s="1">
        <v>-2</v>
      </c>
      <c r="H1610" s="1">
        <v>0</v>
      </c>
      <c r="I1610" s="1">
        <v>0</v>
      </c>
      <c r="J1610" s="1">
        <v>2</v>
      </c>
      <c r="K1610" s="1">
        <v>-2</v>
      </c>
    </row>
    <row r="1611" spans="3:11" x14ac:dyDescent="0.25">
      <c r="D1611" s="1" t="s">
        <v>8083</v>
      </c>
      <c r="E1611" s="1" t="s">
        <v>8084</v>
      </c>
      <c r="F1611" s="1">
        <v>-2</v>
      </c>
      <c r="G1611" s="1">
        <v>-2</v>
      </c>
      <c r="H1611" s="1">
        <v>0</v>
      </c>
      <c r="I1611" s="1">
        <v>0</v>
      </c>
      <c r="J1611" s="1">
        <v>2</v>
      </c>
      <c r="K1611" s="1">
        <v>-2</v>
      </c>
    </row>
    <row r="1612" spans="3:11" x14ac:dyDescent="0.25">
      <c r="D1612" s="1" t="s">
        <v>8085</v>
      </c>
      <c r="E1612" s="1" t="s">
        <v>8086</v>
      </c>
      <c r="F1612" s="1">
        <v>-2</v>
      </c>
      <c r="G1612" s="1">
        <v>-2</v>
      </c>
      <c r="H1612" s="1">
        <v>0</v>
      </c>
      <c r="I1612" s="1">
        <v>0</v>
      </c>
      <c r="J1612" s="1">
        <v>2</v>
      </c>
      <c r="K1612" s="1">
        <v>-2</v>
      </c>
    </row>
    <row r="1613" spans="3:11" x14ac:dyDescent="0.25">
      <c r="C1613" s="1" t="s">
        <v>8087</v>
      </c>
      <c r="D1613" s="1" t="s">
        <v>8088</v>
      </c>
      <c r="E1613" s="1" t="s">
        <v>8089</v>
      </c>
      <c r="F1613" s="1">
        <v>-2</v>
      </c>
      <c r="G1613" s="1">
        <v>-2</v>
      </c>
      <c r="H1613" s="1">
        <v>0</v>
      </c>
      <c r="I1613" s="1">
        <v>0</v>
      </c>
      <c r="J1613" s="1">
        <v>2</v>
      </c>
      <c r="K1613" s="1">
        <v>-2</v>
      </c>
    </row>
    <row r="1614" spans="3:11" x14ac:dyDescent="0.25">
      <c r="C1614" s="1" t="s">
        <v>8090</v>
      </c>
      <c r="D1614" s="1" t="s">
        <v>8091</v>
      </c>
      <c r="E1614" s="1" t="s">
        <v>8090</v>
      </c>
      <c r="F1614" s="1">
        <v>-2</v>
      </c>
      <c r="G1614" s="1">
        <v>-2</v>
      </c>
      <c r="H1614" s="1">
        <v>0</v>
      </c>
      <c r="I1614" s="1">
        <v>0</v>
      </c>
      <c r="J1614" s="1">
        <v>2</v>
      </c>
      <c r="K1614" s="1">
        <v>-2</v>
      </c>
    </row>
    <row r="1615" spans="3:11" x14ac:dyDescent="0.25">
      <c r="D1615" s="1" t="s">
        <v>8092</v>
      </c>
      <c r="E1615" s="1" t="s">
        <v>8093</v>
      </c>
      <c r="F1615" s="1">
        <v>-2</v>
      </c>
      <c r="G1615" s="1">
        <v>-2</v>
      </c>
      <c r="H1615" s="1">
        <v>0</v>
      </c>
      <c r="I1615" s="1">
        <v>0</v>
      </c>
      <c r="J1615" s="1">
        <v>2</v>
      </c>
      <c r="K1615" s="1">
        <v>-2</v>
      </c>
    </row>
    <row r="1616" spans="3:11" x14ac:dyDescent="0.25">
      <c r="C1616" s="1" t="s">
        <v>4380</v>
      </c>
      <c r="D1616" s="1" t="s">
        <v>4381</v>
      </c>
      <c r="E1616" s="1" t="s">
        <v>4382</v>
      </c>
      <c r="F1616" s="1">
        <v>-2</v>
      </c>
      <c r="G1616" s="1">
        <v>-2</v>
      </c>
      <c r="H1616" s="1">
        <v>0</v>
      </c>
      <c r="I1616" s="1">
        <v>0</v>
      </c>
      <c r="J1616" s="1">
        <v>2</v>
      </c>
      <c r="K1616" s="1">
        <v>-2</v>
      </c>
    </row>
    <row r="1617" spans="3:11" x14ac:dyDescent="0.25">
      <c r="C1617" s="1" t="s">
        <v>8094</v>
      </c>
      <c r="D1617" s="1" t="s">
        <v>8095</v>
      </c>
      <c r="E1617" s="1" t="s">
        <v>8096</v>
      </c>
      <c r="F1617" s="1">
        <v>-1</v>
      </c>
      <c r="G1617" s="1">
        <v>-1</v>
      </c>
      <c r="H1617" s="1">
        <v>0</v>
      </c>
      <c r="I1617" s="1">
        <v>22506</v>
      </c>
      <c r="J1617" s="1">
        <v>22507</v>
      </c>
      <c r="K1617" s="1">
        <v>-1</v>
      </c>
    </row>
    <row r="1618" spans="3:11" x14ac:dyDescent="0.25">
      <c r="C1618" s="1" t="s">
        <v>8097</v>
      </c>
      <c r="D1618" s="1" t="s">
        <v>8098</v>
      </c>
      <c r="E1618" s="1" t="s">
        <v>8099</v>
      </c>
      <c r="F1618" s="1">
        <v>-1</v>
      </c>
      <c r="G1618" s="1">
        <v>-1</v>
      </c>
      <c r="H1618" s="1">
        <v>0</v>
      </c>
      <c r="I1618" s="1">
        <v>2498</v>
      </c>
      <c r="J1618" s="1">
        <v>2499</v>
      </c>
      <c r="K1618" s="1">
        <v>-1</v>
      </c>
    </row>
    <row r="1619" spans="3:11" x14ac:dyDescent="0.25">
      <c r="C1619" s="1" t="s">
        <v>8100</v>
      </c>
      <c r="D1619" s="1" t="s">
        <v>8101</v>
      </c>
      <c r="E1619" s="1" t="s">
        <v>8102</v>
      </c>
      <c r="F1619" s="1">
        <v>-1</v>
      </c>
      <c r="G1619" s="1">
        <v>-1</v>
      </c>
      <c r="H1619" s="1">
        <v>0</v>
      </c>
      <c r="I1619" s="1">
        <v>2272</v>
      </c>
      <c r="J1619" s="1">
        <v>2273</v>
      </c>
      <c r="K1619" s="1">
        <v>-1</v>
      </c>
    </row>
    <row r="1620" spans="3:11" x14ac:dyDescent="0.25">
      <c r="C1620" s="1" t="s">
        <v>8103</v>
      </c>
      <c r="D1620" s="1" t="s">
        <v>8104</v>
      </c>
      <c r="E1620" s="1" t="s">
        <v>8105</v>
      </c>
      <c r="F1620" s="1">
        <v>-1</v>
      </c>
      <c r="G1620" s="1">
        <v>-1</v>
      </c>
      <c r="H1620" s="1">
        <v>0</v>
      </c>
      <c r="I1620" s="1">
        <v>1134</v>
      </c>
      <c r="J1620" s="1">
        <v>1135</v>
      </c>
      <c r="K1620" s="1">
        <v>-1</v>
      </c>
    </row>
    <row r="1621" spans="3:11" x14ac:dyDescent="0.25">
      <c r="C1621" s="1" t="s">
        <v>8106</v>
      </c>
      <c r="D1621" s="1" t="s">
        <v>8107</v>
      </c>
      <c r="E1621" s="1" t="s">
        <v>8108</v>
      </c>
      <c r="F1621" s="1">
        <v>-1</v>
      </c>
      <c r="G1621" s="1">
        <v>-1</v>
      </c>
      <c r="H1621" s="1">
        <v>0</v>
      </c>
      <c r="I1621" s="1">
        <v>1109</v>
      </c>
      <c r="J1621" s="1">
        <v>1110</v>
      </c>
      <c r="K1621" s="1">
        <v>-1</v>
      </c>
    </row>
    <row r="1622" spans="3:11" x14ac:dyDescent="0.25">
      <c r="C1622" s="1" t="s">
        <v>8109</v>
      </c>
      <c r="D1622" s="1" t="s">
        <v>8110</v>
      </c>
      <c r="E1622" s="1" t="s">
        <v>8111</v>
      </c>
      <c r="F1622" s="1">
        <v>-1</v>
      </c>
      <c r="G1622" s="1">
        <v>-1</v>
      </c>
      <c r="H1622" s="1">
        <v>0</v>
      </c>
      <c r="I1622" s="1">
        <v>975</v>
      </c>
      <c r="J1622" s="1">
        <v>976</v>
      </c>
      <c r="K1622" s="1">
        <v>-1</v>
      </c>
    </row>
    <row r="1623" spans="3:11" x14ac:dyDescent="0.25">
      <c r="C1623" s="1" t="s">
        <v>8112</v>
      </c>
      <c r="D1623" s="1" t="s">
        <v>8113</v>
      </c>
      <c r="E1623" s="1" t="s">
        <v>8114</v>
      </c>
      <c r="F1623" s="1">
        <v>-1</v>
      </c>
      <c r="G1623" s="1">
        <v>-1</v>
      </c>
      <c r="H1623" s="1">
        <v>0</v>
      </c>
      <c r="I1623" s="1">
        <v>788</v>
      </c>
      <c r="J1623" s="1">
        <v>789</v>
      </c>
      <c r="K1623" s="1">
        <v>-1</v>
      </c>
    </row>
    <row r="1624" spans="3:11" x14ac:dyDescent="0.25">
      <c r="C1624" s="1" t="s">
        <v>2715</v>
      </c>
      <c r="D1624" s="1" t="s">
        <v>2716</v>
      </c>
      <c r="E1624" s="1" t="s">
        <v>2717</v>
      </c>
      <c r="F1624" s="1">
        <v>-1</v>
      </c>
      <c r="G1624" s="1">
        <v>-1</v>
      </c>
      <c r="H1624" s="1">
        <v>0</v>
      </c>
      <c r="I1624" s="1">
        <v>782</v>
      </c>
      <c r="J1624" s="1">
        <v>783</v>
      </c>
      <c r="K1624" s="1">
        <v>-1</v>
      </c>
    </row>
    <row r="1625" spans="3:11" x14ac:dyDescent="0.25">
      <c r="C1625" s="1" t="s">
        <v>2760</v>
      </c>
      <c r="D1625" s="1" t="s">
        <v>2761</v>
      </c>
      <c r="E1625" s="1" t="s">
        <v>2762</v>
      </c>
      <c r="F1625" s="1">
        <v>-1</v>
      </c>
      <c r="G1625" s="1">
        <v>-1</v>
      </c>
      <c r="H1625" s="1">
        <v>0</v>
      </c>
      <c r="I1625" s="1">
        <v>714</v>
      </c>
      <c r="J1625" s="1">
        <v>715</v>
      </c>
      <c r="K1625" s="1">
        <v>-1</v>
      </c>
    </row>
    <row r="1626" spans="3:11" x14ac:dyDescent="0.25">
      <c r="C1626" s="1" t="s">
        <v>2850</v>
      </c>
      <c r="D1626" s="1" t="s">
        <v>2851</v>
      </c>
      <c r="E1626" s="1" t="s">
        <v>2852</v>
      </c>
      <c r="F1626" s="1">
        <v>-1</v>
      </c>
      <c r="G1626" s="1">
        <v>-1</v>
      </c>
      <c r="H1626" s="1">
        <v>0</v>
      </c>
      <c r="I1626" s="1">
        <v>566</v>
      </c>
      <c r="J1626" s="1">
        <v>567</v>
      </c>
      <c r="K1626" s="1">
        <v>-1</v>
      </c>
    </row>
    <row r="1627" spans="3:11" x14ac:dyDescent="0.25">
      <c r="C1627" s="1" t="s">
        <v>1314</v>
      </c>
      <c r="D1627" s="1" t="s">
        <v>1315</v>
      </c>
      <c r="E1627" s="1" t="s">
        <v>1316</v>
      </c>
      <c r="F1627" s="1">
        <v>-1</v>
      </c>
      <c r="G1627" s="1">
        <v>-1</v>
      </c>
      <c r="H1627" s="1">
        <v>0</v>
      </c>
      <c r="I1627" s="1">
        <v>453</v>
      </c>
      <c r="J1627" s="1">
        <v>454</v>
      </c>
      <c r="K1627" s="1">
        <v>-1</v>
      </c>
    </row>
    <row r="1628" spans="3:11" x14ac:dyDescent="0.25">
      <c r="C1628" s="1" t="s">
        <v>1318</v>
      </c>
      <c r="D1628" s="1" t="s">
        <v>1319</v>
      </c>
      <c r="E1628" s="1" t="s">
        <v>1320</v>
      </c>
      <c r="F1628" s="1">
        <v>-1</v>
      </c>
      <c r="G1628" s="1">
        <v>-1</v>
      </c>
      <c r="H1628" s="1">
        <v>0</v>
      </c>
      <c r="I1628" s="1">
        <v>441</v>
      </c>
      <c r="J1628" s="1">
        <v>442</v>
      </c>
      <c r="K1628" s="1">
        <v>-1</v>
      </c>
    </row>
    <row r="1629" spans="3:11" x14ac:dyDescent="0.25">
      <c r="C1629" s="1" t="s">
        <v>8115</v>
      </c>
      <c r="D1629" s="1" t="s">
        <v>8116</v>
      </c>
      <c r="E1629" s="1" t="s">
        <v>8115</v>
      </c>
      <c r="F1629" s="1">
        <v>-1</v>
      </c>
      <c r="G1629" s="1">
        <v>-1</v>
      </c>
      <c r="H1629" s="1">
        <v>0</v>
      </c>
      <c r="I1629" s="1">
        <v>369</v>
      </c>
      <c r="J1629" s="1">
        <v>370</v>
      </c>
      <c r="K1629" s="1">
        <v>-1</v>
      </c>
    </row>
    <row r="1630" spans="3:11" x14ac:dyDescent="0.25">
      <c r="C1630" s="1" t="s">
        <v>8117</v>
      </c>
      <c r="D1630" s="1" t="s">
        <v>8118</v>
      </c>
      <c r="E1630" s="1" t="s">
        <v>8119</v>
      </c>
      <c r="F1630" s="1">
        <v>-1</v>
      </c>
      <c r="G1630" s="1">
        <v>-1</v>
      </c>
      <c r="H1630" s="1">
        <v>0</v>
      </c>
      <c r="I1630" s="1">
        <v>159</v>
      </c>
      <c r="J1630" s="1">
        <v>160</v>
      </c>
      <c r="K1630" s="1">
        <v>-1</v>
      </c>
    </row>
    <row r="1631" spans="3:11" x14ac:dyDescent="0.25">
      <c r="C1631" s="1" t="s">
        <v>8120</v>
      </c>
      <c r="D1631" s="1" t="s">
        <v>8121</v>
      </c>
      <c r="E1631" s="1" t="s">
        <v>8120</v>
      </c>
      <c r="F1631" s="1">
        <v>-1</v>
      </c>
      <c r="G1631" s="1">
        <v>-1</v>
      </c>
      <c r="H1631" s="1">
        <v>0</v>
      </c>
      <c r="I1631" s="1">
        <v>158</v>
      </c>
      <c r="J1631" s="1">
        <v>159</v>
      </c>
      <c r="K1631" s="1">
        <v>-1</v>
      </c>
    </row>
    <row r="1632" spans="3:11" x14ac:dyDescent="0.25">
      <c r="C1632" s="1" t="s">
        <v>3253</v>
      </c>
      <c r="D1632" s="1" t="s">
        <v>3254</v>
      </c>
      <c r="E1632" s="1" t="s">
        <v>3255</v>
      </c>
      <c r="F1632" s="1">
        <v>-1</v>
      </c>
      <c r="G1632" s="1">
        <v>-1</v>
      </c>
      <c r="H1632" s="1">
        <v>0</v>
      </c>
      <c r="I1632" s="1">
        <v>146</v>
      </c>
      <c r="J1632" s="1">
        <v>147</v>
      </c>
      <c r="K1632" s="1">
        <v>-1</v>
      </c>
    </row>
    <row r="1633" spans="3:11" x14ac:dyDescent="0.25">
      <c r="C1633" s="1" t="s">
        <v>1693</v>
      </c>
      <c r="D1633" s="1" t="s">
        <v>1694</v>
      </c>
      <c r="E1633" s="1" t="s">
        <v>1695</v>
      </c>
      <c r="F1633" s="1">
        <v>-1</v>
      </c>
      <c r="G1633" s="1">
        <v>-1</v>
      </c>
      <c r="H1633" s="1">
        <v>0</v>
      </c>
      <c r="I1633" s="1">
        <v>138</v>
      </c>
      <c r="J1633" s="1">
        <v>139</v>
      </c>
      <c r="K1633" s="1">
        <v>-1</v>
      </c>
    </row>
    <row r="1634" spans="3:11" x14ac:dyDescent="0.25">
      <c r="C1634" s="1" t="s">
        <v>1656</v>
      </c>
      <c r="D1634" s="1" t="s">
        <v>1657</v>
      </c>
      <c r="E1634" s="1" t="s">
        <v>1658</v>
      </c>
      <c r="F1634" s="1">
        <v>-1</v>
      </c>
      <c r="G1634" s="1">
        <v>-1</v>
      </c>
      <c r="H1634" s="1">
        <v>0</v>
      </c>
      <c r="I1634" s="1">
        <v>125</v>
      </c>
      <c r="J1634" s="1">
        <v>126</v>
      </c>
      <c r="K1634" s="1">
        <v>-1</v>
      </c>
    </row>
    <row r="1635" spans="3:11" x14ac:dyDescent="0.25">
      <c r="C1635" s="1" t="s">
        <v>1891</v>
      </c>
      <c r="D1635" s="1" t="s">
        <v>1892</v>
      </c>
      <c r="E1635" s="1" t="s">
        <v>1893</v>
      </c>
      <c r="F1635" s="1">
        <v>-1</v>
      </c>
      <c r="G1635" s="1">
        <v>-1</v>
      </c>
      <c r="H1635" s="1">
        <v>0</v>
      </c>
      <c r="I1635" s="1">
        <v>121</v>
      </c>
      <c r="J1635" s="1">
        <v>122</v>
      </c>
      <c r="K1635" s="1">
        <v>-1</v>
      </c>
    </row>
    <row r="1636" spans="3:11" x14ac:dyDescent="0.25">
      <c r="C1636" s="1" t="s">
        <v>1678</v>
      </c>
      <c r="D1636" s="1" t="s">
        <v>1679</v>
      </c>
      <c r="E1636" s="1" t="s">
        <v>1680</v>
      </c>
      <c r="F1636" s="1">
        <v>-1</v>
      </c>
      <c r="G1636" s="1">
        <v>-1</v>
      </c>
      <c r="H1636" s="1">
        <v>0</v>
      </c>
      <c r="I1636" s="1">
        <v>119</v>
      </c>
      <c r="J1636" s="1">
        <v>120</v>
      </c>
      <c r="K1636" s="1">
        <v>-1</v>
      </c>
    </row>
    <row r="1637" spans="3:11" x14ac:dyDescent="0.25">
      <c r="C1637" s="1" t="s">
        <v>3402</v>
      </c>
      <c r="D1637" s="1" t="s">
        <v>3403</v>
      </c>
      <c r="E1637" s="1" t="s">
        <v>3404</v>
      </c>
      <c r="F1637" s="1">
        <v>-1</v>
      </c>
      <c r="G1637" s="1">
        <v>-1</v>
      </c>
      <c r="H1637" s="1">
        <v>0</v>
      </c>
      <c r="I1637" s="1">
        <v>96</v>
      </c>
      <c r="J1637" s="1">
        <v>97</v>
      </c>
      <c r="K1637" s="1">
        <v>-1</v>
      </c>
    </row>
    <row r="1638" spans="3:11" x14ac:dyDescent="0.25">
      <c r="C1638" s="1" t="s">
        <v>3445</v>
      </c>
      <c r="D1638" s="1" t="s">
        <v>3446</v>
      </c>
      <c r="E1638" s="1" t="s">
        <v>3445</v>
      </c>
      <c r="F1638" s="1">
        <v>-1</v>
      </c>
      <c r="G1638" s="1">
        <v>-1</v>
      </c>
      <c r="H1638" s="1">
        <v>0</v>
      </c>
      <c r="I1638" s="1">
        <v>88</v>
      </c>
      <c r="J1638" s="1">
        <v>89</v>
      </c>
      <c r="K1638" s="1">
        <v>-1</v>
      </c>
    </row>
    <row r="1639" spans="3:11" x14ac:dyDescent="0.25">
      <c r="C1639" s="1" t="s">
        <v>8122</v>
      </c>
      <c r="D1639" s="1" t="s">
        <v>8123</v>
      </c>
      <c r="E1639" s="1" t="s">
        <v>8124</v>
      </c>
      <c r="F1639" s="1">
        <v>-1</v>
      </c>
      <c r="G1639" s="1">
        <v>-1</v>
      </c>
      <c r="H1639" s="1">
        <v>0</v>
      </c>
      <c r="I1639" s="1">
        <v>84</v>
      </c>
      <c r="J1639" s="1">
        <v>85</v>
      </c>
      <c r="K1639" s="1">
        <v>-1</v>
      </c>
    </row>
    <row r="1640" spans="3:11" x14ac:dyDescent="0.25">
      <c r="C1640" s="1" t="s">
        <v>8125</v>
      </c>
      <c r="D1640" s="1" t="s">
        <v>8126</v>
      </c>
      <c r="E1640" s="1" t="s">
        <v>8127</v>
      </c>
      <c r="F1640" s="1">
        <v>-1</v>
      </c>
      <c r="G1640" s="1">
        <v>-1</v>
      </c>
      <c r="H1640" s="1">
        <v>0</v>
      </c>
      <c r="I1640" s="1">
        <v>80</v>
      </c>
      <c r="J1640" s="1">
        <v>81</v>
      </c>
      <c r="K1640" s="1">
        <v>-1</v>
      </c>
    </row>
    <row r="1641" spans="3:11" x14ac:dyDescent="0.25">
      <c r="C1641" s="1" t="s">
        <v>8128</v>
      </c>
      <c r="D1641" s="1" t="s">
        <v>8129</v>
      </c>
      <c r="E1641" s="1" t="s">
        <v>8130</v>
      </c>
      <c r="F1641" s="1">
        <v>-1</v>
      </c>
      <c r="G1641" s="1">
        <v>-1</v>
      </c>
      <c r="H1641" s="1">
        <v>0</v>
      </c>
      <c r="I1641" s="1">
        <v>74</v>
      </c>
      <c r="J1641" s="1">
        <v>75</v>
      </c>
      <c r="K1641" s="1">
        <v>-1</v>
      </c>
    </row>
    <row r="1642" spans="3:11" x14ac:dyDescent="0.25">
      <c r="C1642" s="1" t="s">
        <v>3510</v>
      </c>
      <c r="D1642" s="1" t="s">
        <v>3511</v>
      </c>
      <c r="E1642" s="1" t="s">
        <v>3512</v>
      </c>
      <c r="F1642" s="1">
        <v>-1</v>
      </c>
      <c r="G1642" s="1">
        <v>-1</v>
      </c>
      <c r="H1642" s="1">
        <v>0</v>
      </c>
      <c r="I1642" s="1">
        <v>73</v>
      </c>
      <c r="J1642" s="1">
        <v>74</v>
      </c>
      <c r="K1642" s="1">
        <v>-1</v>
      </c>
    </row>
    <row r="1643" spans="3:11" x14ac:dyDescent="0.25">
      <c r="C1643" s="1" t="s">
        <v>8131</v>
      </c>
      <c r="D1643" s="1" t="s">
        <v>8132</v>
      </c>
      <c r="E1643" s="1" t="s">
        <v>8133</v>
      </c>
      <c r="F1643" s="1">
        <v>-1</v>
      </c>
      <c r="G1643" s="1">
        <v>-1</v>
      </c>
      <c r="H1643" s="1">
        <v>0</v>
      </c>
      <c r="I1643" s="1">
        <v>63</v>
      </c>
      <c r="J1643" s="1">
        <v>64</v>
      </c>
      <c r="K1643" s="1">
        <v>-1</v>
      </c>
    </row>
    <row r="1644" spans="3:11" x14ac:dyDescent="0.25">
      <c r="C1644" s="1" t="s">
        <v>3655</v>
      </c>
      <c r="D1644" s="1" t="s">
        <v>3656</v>
      </c>
      <c r="E1644" s="1" t="s">
        <v>3657</v>
      </c>
      <c r="F1644" s="1">
        <v>-1</v>
      </c>
      <c r="G1644" s="1">
        <v>-1</v>
      </c>
      <c r="H1644" s="1">
        <v>0</v>
      </c>
      <c r="I1644" s="1">
        <v>57</v>
      </c>
      <c r="J1644" s="1">
        <v>58</v>
      </c>
      <c r="K1644" s="1">
        <v>-1</v>
      </c>
    </row>
    <row r="1645" spans="3:11" x14ac:dyDescent="0.25">
      <c r="C1645" s="1" t="s">
        <v>1838</v>
      </c>
      <c r="D1645" s="1" t="s">
        <v>186</v>
      </c>
      <c r="E1645" s="1" t="s">
        <v>1839</v>
      </c>
      <c r="F1645" s="1">
        <v>-1</v>
      </c>
      <c r="G1645" s="1">
        <v>-1</v>
      </c>
      <c r="H1645" s="1">
        <v>0</v>
      </c>
      <c r="I1645" s="1">
        <v>57</v>
      </c>
      <c r="J1645" s="1">
        <v>58</v>
      </c>
      <c r="K1645" s="1">
        <v>-1</v>
      </c>
    </row>
    <row r="1646" spans="3:11" x14ac:dyDescent="0.25">
      <c r="C1646" s="1" t="s">
        <v>3625</v>
      </c>
      <c r="D1646" s="1" t="s">
        <v>3626</v>
      </c>
      <c r="E1646" s="1" t="s">
        <v>3627</v>
      </c>
      <c r="F1646" s="1">
        <v>-1</v>
      </c>
      <c r="G1646" s="1">
        <v>-1</v>
      </c>
      <c r="H1646" s="1">
        <v>0</v>
      </c>
      <c r="I1646" s="1">
        <v>55</v>
      </c>
      <c r="J1646" s="1">
        <v>56</v>
      </c>
      <c r="K1646" s="1">
        <v>-1</v>
      </c>
    </row>
    <row r="1647" spans="3:11" x14ac:dyDescent="0.25">
      <c r="C1647" s="1" t="s">
        <v>8134</v>
      </c>
      <c r="D1647" s="1" t="s">
        <v>8135</v>
      </c>
      <c r="E1647" s="1" t="s">
        <v>8136</v>
      </c>
      <c r="F1647" s="1">
        <v>-1</v>
      </c>
      <c r="G1647" s="1">
        <v>-1</v>
      </c>
      <c r="H1647" s="1">
        <v>0</v>
      </c>
      <c r="I1647" s="1">
        <v>54</v>
      </c>
      <c r="J1647" s="1">
        <v>55</v>
      </c>
      <c r="K1647" s="1">
        <v>-1</v>
      </c>
    </row>
    <row r="1648" spans="3:11" x14ac:dyDescent="0.25">
      <c r="C1648" s="1" t="s">
        <v>3716</v>
      </c>
      <c r="D1648" s="1" t="s">
        <v>3717</v>
      </c>
      <c r="E1648" s="1" t="s">
        <v>3718</v>
      </c>
      <c r="F1648" s="1">
        <v>-1</v>
      </c>
      <c r="G1648" s="1">
        <v>-1</v>
      </c>
      <c r="H1648" s="1">
        <v>0</v>
      </c>
      <c r="I1648" s="1">
        <v>44</v>
      </c>
      <c r="J1648" s="1">
        <v>45</v>
      </c>
      <c r="K1648" s="1">
        <v>-1</v>
      </c>
    </row>
    <row r="1649" spans="3:11" x14ac:dyDescent="0.25">
      <c r="C1649" s="1" t="s">
        <v>3741</v>
      </c>
      <c r="D1649" s="1" t="s">
        <v>3742</v>
      </c>
      <c r="E1649" s="1" t="s">
        <v>3743</v>
      </c>
      <c r="F1649" s="1">
        <v>-1</v>
      </c>
      <c r="G1649" s="1">
        <v>-1</v>
      </c>
      <c r="H1649" s="1">
        <v>0</v>
      </c>
      <c r="I1649" s="1">
        <v>41</v>
      </c>
      <c r="J1649" s="1">
        <v>42</v>
      </c>
      <c r="K1649" s="1">
        <v>-1</v>
      </c>
    </row>
    <row r="1650" spans="3:11" x14ac:dyDescent="0.25">
      <c r="C1650" s="1" t="s">
        <v>3791</v>
      </c>
      <c r="D1650" s="1" t="s">
        <v>3792</v>
      </c>
      <c r="E1650" s="1" t="s">
        <v>3793</v>
      </c>
      <c r="F1650" s="1">
        <v>-1</v>
      </c>
      <c r="G1650" s="1">
        <v>-1</v>
      </c>
      <c r="H1650" s="1">
        <v>0</v>
      </c>
      <c r="I1650" s="1">
        <v>37</v>
      </c>
      <c r="J1650" s="1">
        <v>38</v>
      </c>
      <c r="K1650" s="1">
        <v>-1</v>
      </c>
    </row>
    <row r="1651" spans="3:11" x14ac:dyDescent="0.25">
      <c r="C1651" s="1" t="s">
        <v>3818</v>
      </c>
      <c r="D1651" s="1" t="s">
        <v>3819</v>
      </c>
      <c r="E1651" s="1" t="s">
        <v>3820</v>
      </c>
      <c r="F1651" s="1">
        <v>-1</v>
      </c>
      <c r="G1651" s="1">
        <v>-1</v>
      </c>
      <c r="H1651" s="1">
        <v>0</v>
      </c>
      <c r="I1651" s="1">
        <v>35</v>
      </c>
      <c r="J1651" s="1">
        <v>36</v>
      </c>
      <c r="K1651" s="1">
        <v>-1</v>
      </c>
    </row>
    <row r="1652" spans="3:11" x14ac:dyDescent="0.25">
      <c r="C1652" s="1" t="s">
        <v>3836</v>
      </c>
      <c r="D1652" s="1" t="s">
        <v>3837</v>
      </c>
      <c r="E1652" s="1" t="s">
        <v>3838</v>
      </c>
      <c r="F1652" s="1">
        <v>-1</v>
      </c>
      <c r="G1652" s="1">
        <v>-1</v>
      </c>
      <c r="H1652" s="1">
        <v>0</v>
      </c>
      <c r="I1652" s="1">
        <v>33</v>
      </c>
      <c r="J1652" s="1">
        <v>34</v>
      </c>
      <c r="K1652" s="1">
        <v>-1</v>
      </c>
    </row>
    <row r="1653" spans="3:11" x14ac:dyDescent="0.25">
      <c r="C1653" s="1" t="s">
        <v>8137</v>
      </c>
      <c r="D1653" s="1" t="s">
        <v>8138</v>
      </c>
      <c r="E1653" s="1" t="s">
        <v>8139</v>
      </c>
      <c r="F1653" s="1">
        <v>-1</v>
      </c>
      <c r="G1653" s="1">
        <v>-1</v>
      </c>
      <c r="H1653" s="1">
        <v>0</v>
      </c>
      <c r="I1653" s="1">
        <v>32</v>
      </c>
      <c r="J1653" s="1">
        <v>33</v>
      </c>
      <c r="K1653" s="1">
        <v>-1</v>
      </c>
    </row>
    <row r="1654" spans="3:11" x14ac:dyDescent="0.25">
      <c r="C1654" s="1" t="s">
        <v>8140</v>
      </c>
      <c r="D1654" s="1" t="s">
        <v>8141</v>
      </c>
      <c r="E1654" s="1" t="s">
        <v>8142</v>
      </c>
      <c r="F1654" s="1">
        <v>-1</v>
      </c>
      <c r="G1654" s="1">
        <v>-1</v>
      </c>
      <c r="H1654" s="1">
        <v>0</v>
      </c>
      <c r="I1654" s="1">
        <v>30</v>
      </c>
      <c r="J1654" s="1">
        <v>31</v>
      </c>
      <c r="K1654" s="1">
        <v>-1</v>
      </c>
    </row>
    <row r="1655" spans="3:11" x14ac:dyDescent="0.25">
      <c r="C1655" s="1" t="s">
        <v>1911</v>
      </c>
      <c r="D1655" s="1" t="s">
        <v>1912</v>
      </c>
      <c r="E1655" s="1" t="s">
        <v>1913</v>
      </c>
      <c r="F1655" s="1">
        <v>-1</v>
      </c>
      <c r="G1655" s="1">
        <v>-1</v>
      </c>
      <c r="H1655" s="1">
        <v>0</v>
      </c>
      <c r="I1655" s="1">
        <v>28</v>
      </c>
      <c r="J1655" s="1">
        <v>29</v>
      </c>
      <c r="K1655" s="1">
        <v>-1</v>
      </c>
    </row>
    <row r="1656" spans="3:11" x14ac:dyDescent="0.25">
      <c r="C1656" s="1" t="s">
        <v>8143</v>
      </c>
      <c r="D1656" s="1" t="s">
        <v>8144</v>
      </c>
      <c r="E1656" s="1" t="s">
        <v>8145</v>
      </c>
      <c r="F1656" s="1">
        <v>-1</v>
      </c>
      <c r="G1656" s="1">
        <v>-1</v>
      </c>
      <c r="H1656" s="1">
        <v>0</v>
      </c>
      <c r="I1656" s="1">
        <v>19</v>
      </c>
      <c r="J1656" s="1">
        <v>20</v>
      </c>
      <c r="K1656" s="1">
        <v>-1</v>
      </c>
    </row>
    <row r="1657" spans="3:11" x14ac:dyDescent="0.25">
      <c r="C1657" s="1" t="s">
        <v>8146</v>
      </c>
      <c r="D1657" s="1" t="s">
        <v>8147</v>
      </c>
      <c r="E1657" s="1" t="s">
        <v>8148</v>
      </c>
      <c r="F1657" s="1">
        <v>-1</v>
      </c>
      <c r="G1657" s="1">
        <v>-1</v>
      </c>
      <c r="H1657" s="1">
        <v>0</v>
      </c>
      <c r="I1657" s="1">
        <v>19</v>
      </c>
      <c r="J1657" s="1">
        <v>20</v>
      </c>
      <c r="K1657" s="1">
        <v>-1</v>
      </c>
    </row>
    <row r="1658" spans="3:11" x14ac:dyDescent="0.25">
      <c r="C1658" s="1" t="s">
        <v>4000</v>
      </c>
      <c r="D1658" s="1" t="s">
        <v>4001</v>
      </c>
      <c r="E1658" s="1" t="s">
        <v>4002</v>
      </c>
      <c r="F1658" s="1">
        <v>-1</v>
      </c>
      <c r="G1658" s="1">
        <v>-1</v>
      </c>
      <c r="H1658" s="1">
        <v>0</v>
      </c>
      <c r="I1658" s="1">
        <v>19</v>
      </c>
      <c r="J1658" s="1">
        <v>20</v>
      </c>
      <c r="K1658" s="1">
        <v>-1</v>
      </c>
    </row>
    <row r="1659" spans="3:11" x14ac:dyDescent="0.25">
      <c r="C1659" s="1" t="s">
        <v>8149</v>
      </c>
      <c r="D1659" s="1" t="s">
        <v>8150</v>
      </c>
      <c r="E1659" s="1" t="s">
        <v>8151</v>
      </c>
      <c r="F1659" s="1">
        <v>-1</v>
      </c>
      <c r="G1659" s="1">
        <v>-1</v>
      </c>
      <c r="H1659" s="1">
        <v>0</v>
      </c>
      <c r="I1659" s="1">
        <v>18</v>
      </c>
      <c r="J1659" s="1">
        <v>19</v>
      </c>
      <c r="K1659" s="1">
        <v>-1</v>
      </c>
    </row>
    <row r="1660" spans="3:11" x14ac:dyDescent="0.25">
      <c r="C1660" s="1" t="s">
        <v>8152</v>
      </c>
      <c r="D1660" s="1" t="s">
        <v>8153</v>
      </c>
      <c r="E1660" s="1" t="s">
        <v>8154</v>
      </c>
      <c r="F1660" s="1">
        <v>-1</v>
      </c>
      <c r="G1660" s="1">
        <v>-1</v>
      </c>
      <c r="H1660" s="1">
        <v>0</v>
      </c>
      <c r="I1660" s="1">
        <v>17</v>
      </c>
      <c r="J1660" s="1">
        <v>18</v>
      </c>
      <c r="K1660" s="1">
        <v>-1</v>
      </c>
    </row>
    <row r="1661" spans="3:11" x14ac:dyDescent="0.25">
      <c r="C1661" s="1" t="s">
        <v>8155</v>
      </c>
      <c r="D1661" s="1" t="s">
        <v>8156</v>
      </c>
      <c r="E1661" s="1" t="s">
        <v>8157</v>
      </c>
      <c r="F1661" s="1">
        <v>-1</v>
      </c>
      <c r="G1661" s="1">
        <v>-1</v>
      </c>
      <c r="H1661" s="1">
        <v>0</v>
      </c>
      <c r="I1661" s="1">
        <v>16</v>
      </c>
      <c r="J1661" s="1">
        <v>17</v>
      </c>
      <c r="K1661" s="1">
        <v>-1</v>
      </c>
    </row>
    <row r="1662" spans="3:11" x14ac:dyDescent="0.25">
      <c r="C1662" s="1" t="s">
        <v>8158</v>
      </c>
      <c r="D1662" s="1" t="s">
        <v>8159</v>
      </c>
      <c r="E1662" s="1" t="s">
        <v>8160</v>
      </c>
      <c r="F1662" s="1">
        <v>-1</v>
      </c>
      <c r="G1662" s="1">
        <v>-1</v>
      </c>
      <c r="H1662" s="1">
        <v>0</v>
      </c>
      <c r="I1662" s="1">
        <v>14</v>
      </c>
      <c r="J1662" s="1">
        <v>15</v>
      </c>
      <c r="K1662" s="1">
        <v>-1</v>
      </c>
    </row>
    <row r="1663" spans="3:11" x14ac:dyDescent="0.25">
      <c r="C1663" s="1" t="s">
        <v>2030</v>
      </c>
      <c r="D1663" s="1" t="s">
        <v>2031</v>
      </c>
      <c r="E1663" s="1" t="s">
        <v>2032</v>
      </c>
      <c r="F1663" s="1">
        <v>-1</v>
      </c>
      <c r="G1663" s="1">
        <v>-1</v>
      </c>
      <c r="H1663" s="1">
        <v>0</v>
      </c>
      <c r="I1663" s="1">
        <v>13</v>
      </c>
      <c r="J1663" s="1">
        <v>14</v>
      </c>
      <c r="K1663" s="1">
        <v>-1</v>
      </c>
    </row>
    <row r="1664" spans="3:11" x14ac:dyDescent="0.25">
      <c r="C1664" s="1" t="s">
        <v>4081</v>
      </c>
      <c r="D1664" s="1" t="s">
        <v>4082</v>
      </c>
      <c r="E1664" s="1" t="s">
        <v>4083</v>
      </c>
      <c r="F1664" s="1">
        <v>-1</v>
      </c>
      <c r="G1664" s="1">
        <v>-1</v>
      </c>
      <c r="H1664" s="1">
        <v>0</v>
      </c>
      <c r="I1664" s="1">
        <v>12</v>
      </c>
      <c r="J1664" s="1">
        <v>13</v>
      </c>
      <c r="K1664" s="1">
        <v>-1</v>
      </c>
    </row>
    <row r="1665" spans="1:11" x14ac:dyDescent="0.25">
      <c r="C1665" s="1" t="s">
        <v>4066</v>
      </c>
      <c r="D1665" s="1" t="s">
        <v>4067</v>
      </c>
      <c r="E1665" s="1" t="s">
        <v>4068</v>
      </c>
      <c r="F1665" s="1">
        <v>-1</v>
      </c>
      <c r="G1665" s="1">
        <v>-1</v>
      </c>
      <c r="H1665" s="1">
        <v>0</v>
      </c>
      <c r="I1665" s="1">
        <v>12</v>
      </c>
      <c r="J1665" s="1">
        <v>13</v>
      </c>
      <c r="K1665" s="1">
        <v>-1</v>
      </c>
    </row>
    <row r="1666" spans="1:11" x14ac:dyDescent="0.25">
      <c r="C1666" s="1" t="s">
        <v>2346</v>
      </c>
      <c r="D1666" s="1" t="s">
        <v>4278</v>
      </c>
      <c r="E1666" s="1" t="s">
        <v>2347</v>
      </c>
      <c r="F1666" s="1">
        <v>-1</v>
      </c>
      <c r="G1666" s="1">
        <v>-1</v>
      </c>
      <c r="H1666" s="1">
        <v>0</v>
      </c>
      <c r="I1666" s="1">
        <v>12</v>
      </c>
      <c r="J1666" s="1">
        <v>13</v>
      </c>
      <c r="K1666" s="1">
        <v>-1</v>
      </c>
    </row>
    <row r="1667" spans="1:11" x14ac:dyDescent="0.25">
      <c r="C1667" s="1" t="s">
        <v>8161</v>
      </c>
      <c r="D1667" s="1" t="s">
        <v>8162</v>
      </c>
      <c r="E1667" s="1" t="s">
        <v>8161</v>
      </c>
      <c r="F1667" s="1">
        <v>-1</v>
      </c>
      <c r="G1667" s="1">
        <v>-1</v>
      </c>
      <c r="H1667" s="1">
        <v>0</v>
      </c>
      <c r="I1667" s="1">
        <v>11</v>
      </c>
      <c r="J1667" s="1">
        <v>12</v>
      </c>
      <c r="K1667" s="1">
        <v>-1</v>
      </c>
    </row>
    <row r="1668" spans="1:11" x14ac:dyDescent="0.25">
      <c r="C1668" s="1" t="s">
        <v>8163</v>
      </c>
      <c r="D1668" s="1" t="s">
        <v>8164</v>
      </c>
      <c r="E1668" s="1" t="s">
        <v>8163</v>
      </c>
      <c r="F1668" s="1">
        <v>-1</v>
      </c>
      <c r="G1668" s="1">
        <v>-1</v>
      </c>
      <c r="H1668" s="1">
        <v>0</v>
      </c>
      <c r="I1668" s="1">
        <v>10</v>
      </c>
      <c r="J1668" s="1">
        <v>11</v>
      </c>
      <c r="K1668" s="1">
        <v>-1</v>
      </c>
    </row>
    <row r="1669" spans="1:11" x14ac:dyDescent="0.25">
      <c r="C1669" s="1" t="s">
        <v>4084</v>
      </c>
      <c r="D1669" s="1" t="s">
        <v>4085</v>
      </c>
      <c r="E1669" s="1" t="s">
        <v>4086</v>
      </c>
      <c r="F1669" s="1">
        <v>-1</v>
      </c>
      <c r="G1669" s="1">
        <v>-1</v>
      </c>
      <c r="H1669" s="1">
        <v>0</v>
      </c>
      <c r="I1669" s="1">
        <v>10</v>
      </c>
      <c r="J1669" s="1">
        <v>11</v>
      </c>
      <c r="K1669" s="1">
        <v>-1</v>
      </c>
    </row>
    <row r="1670" spans="1:11" x14ac:dyDescent="0.25">
      <c r="C1670" s="1" t="s">
        <v>8165</v>
      </c>
      <c r="D1670" s="1" t="s">
        <v>8166</v>
      </c>
      <c r="E1670" s="1" t="s">
        <v>8167</v>
      </c>
      <c r="F1670" s="1">
        <v>-1</v>
      </c>
      <c r="G1670" s="1">
        <v>-1</v>
      </c>
      <c r="H1670" s="1">
        <v>0</v>
      </c>
      <c r="I1670" s="1">
        <v>8</v>
      </c>
      <c r="J1670" s="1">
        <v>9</v>
      </c>
      <c r="K1670" s="1">
        <v>-1</v>
      </c>
    </row>
    <row r="1671" spans="1:11" x14ac:dyDescent="0.25">
      <c r="C1671" s="1" t="s">
        <v>8168</v>
      </c>
      <c r="D1671" s="1" t="s">
        <v>8169</v>
      </c>
      <c r="E1671" s="1" t="s">
        <v>8170</v>
      </c>
      <c r="F1671" s="1">
        <v>-1</v>
      </c>
      <c r="G1671" s="1">
        <v>-1</v>
      </c>
      <c r="H1671" s="1">
        <v>0</v>
      </c>
      <c r="I1671" s="1">
        <v>7</v>
      </c>
      <c r="J1671" s="1">
        <v>8</v>
      </c>
      <c r="K1671" s="1">
        <v>-1</v>
      </c>
    </row>
    <row r="1672" spans="1:11" x14ac:dyDescent="0.25">
      <c r="C1672" s="1" t="s">
        <v>8171</v>
      </c>
      <c r="D1672" s="1" t="s">
        <v>8172</v>
      </c>
      <c r="E1672" s="1" t="s">
        <v>8173</v>
      </c>
      <c r="F1672" s="1">
        <v>-1</v>
      </c>
      <c r="G1672" s="1">
        <v>-1</v>
      </c>
      <c r="H1672" s="1">
        <v>0</v>
      </c>
      <c r="I1672" s="1">
        <v>7</v>
      </c>
      <c r="J1672" s="1">
        <v>8</v>
      </c>
      <c r="K1672" s="1">
        <v>-1</v>
      </c>
    </row>
    <row r="1673" spans="1:11" x14ac:dyDescent="0.25">
      <c r="C1673" s="1" t="s">
        <v>8174</v>
      </c>
      <c r="D1673" s="1" t="s">
        <v>8175</v>
      </c>
      <c r="E1673" s="1" t="s">
        <v>8176</v>
      </c>
      <c r="F1673" s="1">
        <v>-1</v>
      </c>
      <c r="G1673" s="1">
        <v>-1</v>
      </c>
      <c r="H1673" s="1">
        <v>0</v>
      </c>
      <c r="I1673" s="1">
        <v>5</v>
      </c>
      <c r="J1673" s="1">
        <v>6</v>
      </c>
      <c r="K1673" s="1">
        <v>-1</v>
      </c>
    </row>
    <row r="1674" spans="1:11" x14ac:dyDescent="0.25">
      <c r="C1674" s="1" t="s">
        <v>8177</v>
      </c>
      <c r="D1674" s="1" t="s">
        <v>8178</v>
      </c>
      <c r="E1674" s="1" t="s">
        <v>8179</v>
      </c>
      <c r="F1674" s="1">
        <v>-1</v>
      </c>
      <c r="G1674" s="1">
        <v>-1</v>
      </c>
      <c r="H1674" s="1">
        <v>0</v>
      </c>
      <c r="I1674" s="1">
        <v>4</v>
      </c>
      <c r="J1674" s="1">
        <v>5</v>
      </c>
      <c r="K1674" s="1">
        <v>-1</v>
      </c>
    </row>
    <row r="1675" spans="1:11" x14ac:dyDescent="0.25">
      <c r="C1675" s="1" t="s">
        <v>8180</v>
      </c>
      <c r="D1675" s="1" t="s">
        <v>8181</v>
      </c>
      <c r="E1675" s="1" t="s">
        <v>8180</v>
      </c>
      <c r="F1675" s="1">
        <v>-1</v>
      </c>
      <c r="G1675" s="1">
        <v>-1</v>
      </c>
      <c r="H1675" s="1">
        <v>0</v>
      </c>
      <c r="I1675" s="1">
        <v>4</v>
      </c>
      <c r="J1675" s="1">
        <v>5</v>
      </c>
      <c r="K1675" s="1">
        <v>-1</v>
      </c>
    </row>
    <row r="1676" spans="1:11" x14ac:dyDescent="0.25">
      <c r="C1676" s="1" t="s">
        <v>4165</v>
      </c>
      <c r="D1676" s="1" t="s">
        <v>4166</v>
      </c>
      <c r="E1676" s="1" t="s">
        <v>4167</v>
      </c>
      <c r="F1676" s="1">
        <v>-1</v>
      </c>
      <c r="G1676" s="1">
        <v>-1</v>
      </c>
      <c r="H1676" s="1">
        <v>0</v>
      </c>
      <c r="I1676" s="1">
        <v>3</v>
      </c>
      <c r="J1676" s="1">
        <v>4</v>
      </c>
      <c r="K1676" s="1">
        <v>-1</v>
      </c>
    </row>
    <row r="1677" spans="1:11" x14ac:dyDescent="0.25">
      <c r="C1677" s="1" t="s">
        <v>4168</v>
      </c>
      <c r="D1677" s="1" t="s">
        <v>4169</v>
      </c>
      <c r="E1677" s="1" t="s">
        <v>4170</v>
      </c>
      <c r="F1677" s="1">
        <v>-1</v>
      </c>
      <c r="G1677" s="1">
        <v>-1</v>
      </c>
      <c r="H1677" s="1">
        <v>0</v>
      </c>
      <c r="I1677" s="1">
        <v>3</v>
      </c>
      <c r="J1677" s="1">
        <v>4</v>
      </c>
      <c r="K1677" s="1">
        <v>-1</v>
      </c>
    </row>
    <row r="1678" spans="1:11" x14ac:dyDescent="0.25">
      <c r="C1678" s="1" t="s">
        <v>8182</v>
      </c>
      <c r="D1678" s="1" t="s">
        <v>8183</v>
      </c>
      <c r="E1678" s="1" t="s">
        <v>8184</v>
      </c>
      <c r="F1678" s="1">
        <v>-1</v>
      </c>
      <c r="G1678" s="1">
        <v>-1</v>
      </c>
      <c r="H1678" s="1">
        <v>0</v>
      </c>
      <c r="I1678" s="1">
        <v>2</v>
      </c>
      <c r="J1678" s="1">
        <v>3</v>
      </c>
      <c r="K1678" s="1">
        <v>-1</v>
      </c>
    </row>
    <row r="1679" spans="1:11" x14ac:dyDescent="0.25">
      <c r="C1679" s="1" t="s">
        <v>8185</v>
      </c>
      <c r="D1679" s="1" t="s">
        <v>8186</v>
      </c>
      <c r="E1679" s="1" t="s">
        <v>8187</v>
      </c>
      <c r="F1679" s="1">
        <v>-1</v>
      </c>
      <c r="G1679" s="1">
        <v>-1</v>
      </c>
      <c r="H1679" s="1">
        <v>0</v>
      </c>
      <c r="I1679" s="1">
        <v>2</v>
      </c>
      <c r="J1679" s="1">
        <v>3</v>
      </c>
      <c r="K1679" s="1">
        <v>-1</v>
      </c>
    </row>
    <row r="1680" spans="1:11" x14ac:dyDescent="0.25">
      <c r="A1680" s="1" t="s">
        <v>8188</v>
      </c>
      <c r="B1680" s="1" t="s">
        <v>8189</v>
      </c>
      <c r="D1680" s="1" t="s">
        <v>8190</v>
      </c>
      <c r="E1680" s="1" t="s">
        <v>8191</v>
      </c>
      <c r="F1680" s="1">
        <v>-1</v>
      </c>
      <c r="G1680" s="1">
        <v>-1</v>
      </c>
      <c r="H1680" s="1">
        <v>0</v>
      </c>
      <c r="I1680" s="1">
        <v>2</v>
      </c>
      <c r="J1680" s="1">
        <v>3</v>
      </c>
      <c r="K1680" s="1">
        <v>-1</v>
      </c>
    </row>
    <row r="1681" spans="3:11" x14ac:dyDescent="0.25">
      <c r="C1681" s="1" t="s">
        <v>8192</v>
      </c>
      <c r="D1681" s="1" t="s">
        <v>8193</v>
      </c>
      <c r="E1681" s="1" t="s">
        <v>8194</v>
      </c>
      <c r="F1681" s="1">
        <v>-1</v>
      </c>
      <c r="G1681" s="1">
        <v>-1</v>
      </c>
      <c r="H1681" s="1">
        <v>0</v>
      </c>
      <c r="I1681" s="1">
        <v>2</v>
      </c>
      <c r="J1681" s="1">
        <v>3</v>
      </c>
      <c r="K1681" s="1">
        <v>-1</v>
      </c>
    </row>
    <row r="1682" spans="3:11" x14ac:dyDescent="0.25">
      <c r="D1682" s="1" t="s">
        <v>8195</v>
      </c>
      <c r="E1682" s="1" t="s">
        <v>8196</v>
      </c>
      <c r="F1682" s="1">
        <v>-1</v>
      </c>
      <c r="G1682" s="1">
        <v>-1</v>
      </c>
      <c r="H1682" s="1">
        <v>0</v>
      </c>
      <c r="I1682" s="1">
        <v>2</v>
      </c>
      <c r="J1682" s="1">
        <v>3</v>
      </c>
      <c r="K1682" s="1">
        <v>-1</v>
      </c>
    </row>
    <row r="1683" spans="3:11" x14ac:dyDescent="0.25">
      <c r="D1683" s="1" t="s">
        <v>8197</v>
      </c>
      <c r="E1683" s="1" t="s">
        <v>8198</v>
      </c>
      <c r="F1683" s="1">
        <v>-1</v>
      </c>
      <c r="G1683" s="1">
        <v>-1</v>
      </c>
      <c r="H1683" s="1">
        <v>0</v>
      </c>
      <c r="I1683" s="1">
        <v>2</v>
      </c>
      <c r="J1683" s="1">
        <v>3</v>
      </c>
      <c r="K1683" s="1">
        <v>-1</v>
      </c>
    </row>
    <row r="1684" spans="3:11" x14ac:dyDescent="0.25">
      <c r="C1684" s="1" t="s">
        <v>4177</v>
      </c>
      <c r="D1684" s="1" t="s">
        <v>4178</v>
      </c>
      <c r="E1684" s="1" t="s">
        <v>4179</v>
      </c>
      <c r="F1684" s="1">
        <v>-1</v>
      </c>
      <c r="G1684" s="1">
        <v>-1</v>
      </c>
      <c r="H1684" s="1">
        <v>0</v>
      </c>
      <c r="I1684" s="1">
        <v>2</v>
      </c>
      <c r="J1684" s="1">
        <v>3</v>
      </c>
      <c r="K1684" s="1">
        <v>-1</v>
      </c>
    </row>
    <row r="1685" spans="3:11" x14ac:dyDescent="0.25">
      <c r="C1685" s="1" t="s">
        <v>4183</v>
      </c>
      <c r="D1685" s="1" t="s">
        <v>4184</v>
      </c>
      <c r="E1685" s="1" t="s">
        <v>4185</v>
      </c>
      <c r="F1685" s="1">
        <v>-1</v>
      </c>
      <c r="G1685" s="1">
        <v>-1</v>
      </c>
      <c r="H1685" s="1">
        <v>0</v>
      </c>
      <c r="I1685" s="1">
        <v>2</v>
      </c>
      <c r="J1685" s="1">
        <v>3</v>
      </c>
      <c r="K1685" s="1">
        <v>-1</v>
      </c>
    </row>
    <row r="1686" spans="3:11" x14ac:dyDescent="0.25">
      <c r="C1686" s="1" t="s">
        <v>8199</v>
      </c>
      <c r="D1686" s="1" t="s">
        <v>8200</v>
      </c>
      <c r="E1686" s="1" t="s">
        <v>8201</v>
      </c>
      <c r="F1686" s="1">
        <v>-1</v>
      </c>
      <c r="G1686" s="1">
        <v>-1</v>
      </c>
      <c r="H1686" s="1">
        <v>0</v>
      </c>
      <c r="I1686" s="1">
        <v>1</v>
      </c>
      <c r="J1686" s="1">
        <v>2</v>
      </c>
      <c r="K1686" s="1">
        <v>-1</v>
      </c>
    </row>
    <row r="1687" spans="3:11" x14ac:dyDescent="0.25">
      <c r="D1687" s="1" t="s">
        <v>8202</v>
      </c>
      <c r="E1687" s="1" t="s">
        <v>8203</v>
      </c>
      <c r="F1687" s="1">
        <v>-1</v>
      </c>
      <c r="G1687" s="1">
        <v>-1</v>
      </c>
      <c r="H1687" s="1">
        <v>0</v>
      </c>
      <c r="I1687" s="1">
        <v>1</v>
      </c>
      <c r="J1687" s="1">
        <v>2</v>
      </c>
      <c r="K1687" s="1">
        <v>-1</v>
      </c>
    </row>
    <row r="1688" spans="3:11" x14ac:dyDescent="0.25">
      <c r="C1688" s="1" t="s">
        <v>8204</v>
      </c>
      <c r="D1688" s="1" t="s">
        <v>8205</v>
      </c>
      <c r="E1688" s="1" t="s">
        <v>8206</v>
      </c>
      <c r="F1688" s="1">
        <v>-1</v>
      </c>
      <c r="G1688" s="1">
        <v>-1</v>
      </c>
      <c r="H1688" s="1">
        <v>0</v>
      </c>
      <c r="I1688" s="1">
        <v>1</v>
      </c>
      <c r="J1688" s="1">
        <v>2</v>
      </c>
      <c r="K1688" s="1">
        <v>-1</v>
      </c>
    </row>
    <row r="1689" spans="3:11" x14ac:dyDescent="0.25">
      <c r="D1689" s="1" t="s">
        <v>8207</v>
      </c>
      <c r="E1689" s="1" t="s">
        <v>8208</v>
      </c>
      <c r="F1689" s="1">
        <v>-1</v>
      </c>
      <c r="G1689" s="1">
        <v>-1</v>
      </c>
      <c r="H1689" s="1">
        <v>0</v>
      </c>
      <c r="I1689" s="1">
        <v>1</v>
      </c>
      <c r="J1689" s="1">
        <v>2</v>
      </c>
      <c r="K1689" s="1">
        <v>-1</v>
      </c>
    </row>
    <row r="1690" spans="3:11" x14ac:dyDescent="0.25">
      <c r="D1690" s="1" t="s">
        <v>8209</v>
      </c>
      <c r="E1690" s="1" t="s">
        <v>8210</v>
      </c>
      <c r="F1690" s="1">
        <v>-1</v>
      </c>
      <c r="G1690" s="1">
        <v>-1</v>
      </c>
      <c r="H1690" s="1">
        <v>0</v>
      </c>
      <c r="I1690" s="1">
        <v>1</v>
      </c>
      <c r="J1690" s="1">
        <v>2</v>
      </c>
      <c r="K1690" s="1">
        <v>-1</v>
      </c>
    </row>
    <row r="1691" spans="3:11" x14ac:dyDescent="0.25">
      <c r="C1691" s="1" t="s">
        <v>8211</v>
      </c>
      <c r="D1691" s="1" t="s">
        <v>8212</v>
      </c>
      <c r="E1691" s="1" t="s">
        <v>8213</v>
      </c>
      <c r="F1691" s="1">
        <v>-1</v>
      </c>
      <c r="G1691" s="1">
        <v>-1</v>
      </c>
      <c r="H1691" s="1">
        <v>0</v>
      </c>
      <c r="I1691" s="1">
        <v>1</v>
      </c>
      <c r="J1691" s="1">
        <v>2</v>
      </c>
      <c r="K1691" s="1">
        <v>-1</v>
      </c>
    </row>
    <row r="1692" spans="3:11" x14ac:dyDescent="0.25">
      <c r="C1692" s="1" t="s">
        <v>8214</v>
      </c>
      <c r="D1692" s="1" t="s">
        <v>8215</v>
      </c>
      <c r="E1692" s="1" t="s">
        <v>8216</v>
      </c>
      <c r="F1692" s="1">
        <v>-1</v>
      </c>
      <c r="G1692" s="1">
        <v>-1</v>
      </c>
      <c r="H1692" s="1">
        <v>0</v>
      </c>
      <c r="I1692" s="1">
        <v>1</v>
      </c>
      <c r="J1692" s="1">
        <v>2</v>
      </c>
      <c r="K1692" s="1">
        <v>-1</v>
      </c>
    </row>
    <row r="1693" spans="3:11" x14ac:dyDescent="0.25">
      <c r="C1693" s="1" t="s">
        <v>8217</v>
      </c>
      <c r="D1693" s="1" t="s">
        <v>8218</v>
      </c>
      <c r="E1693" s="1" t="s">
        <v>8217</v>
      </c>
      <c r="F1693" s="1">
        <v>-1</v>
      </c>
      <c r="G1693" s="1">
        <v>-1</v>
      </c>
      <c r="H1693" s="1">
        <v>0</v>
      </c>
      <c r="I1693" s="1">
        <v>1</v>
      </c>
      <c r="J1693" s="1">
        <v>2</v>
      </c>
      <c r="K1693" s="1">
        <v>-1</v>
      </c>
    </row>
    <row r="1694" spans="3:11" x14ac:dyDescent="0.25">
      <c r="C1694" s="1" t="s">
        <v>8219</v>
      </c>
      <c r="D1694" s="1" t="s">
        <v>8220</v>
      </c>
      <c r="E1694" s="1" t="s">
        <v>8221</v>
      </c>
      <c r="F1694" s="1">
        <v>-1</v>
      </c>
      <c r="G1694" s="1">
        <v>-1</v>
      </c>
      <c r="H1694" s="1">
        <v>0</v>
      </c>
      <c r="I1694" s="1">
        <v>0</v>
      </c>
      <c r="J1694" s="1">
        <v>1</v>
      </c>
      <c r="K1694" s="1">
        <v>-1</v>
      </c>
    </row>
    <row r="1695" spans="3:11" x14ac:dyDescent="0.25">
      <c r="C1695" s="1" t="s">
        <v>8222</v>
      </c>
      <c r="D1695" s="1" t="s">
        <v>8223</v>
      </c>
      <c r="E1695" s="1" t="s">
        <v>8224</v>
      </c>
      <c r="F1695" s="1">
        <v>-1</v>
      </c>
      <c r="G1695" s="1">
        <v>-1</v>
      </c>
      <c r="H1695" s="1">
        <v>0</v>
      </c>
      <c r="I1695" s="1">
        <v>0</v>
      </c>
      <c r="J1695" s="1">
        <v>1</v>
      </c>
      <c r="K1695" s="1">
        <v>-1</v>
      </c>
    </row>
    <row r="1696" spans="3:11" x14ac:dyDescent="0.25">
      <c r="C1696" s="1" t="s">
        <v>8225</v>
      </c>
      <c r="D1696" s="1" t="s">
        <v>8226</v>
      </c>
      <c r="E1696" s="1" t="s">
        <v>8227</v>
      </c>
      <c r="F1696" s="1">
        <v>-1</v>
      </c>
      <c r="G1696" s="1">
        <v>-1</v>
      </c>
      <c r="H1696" s="1">
        <v>0</v>
      </c>
      <c r="I1696" s="1">
        <v>0</v>
      </c>
      <c r="J1696" s="1">
        <v>1</v>
      </c>
      <c r="K1696" s="1">
        <v>-1</v>
      </c>
    </row>
    <row r="1697" spans="3:11" x14ac:dyDescent="0.25">
      <c r="C1697" s="1" t="s">
        <v>8228</v>
      </c>
      <c r="D1697" s="1" t="s">
        <v>8229</v>
      </c>
      <c r="E1697" s="1" t="s">
        <v>8230</v>
      </c>
      <c r="F1697" s="1">
        <v>-1</v>
      </c>
      <c r="G1697" s="1">
        <v>-1</v>
      </c>
      <c r="H1697" s="1">
        <v>0</v>
      </c>
      <c r="I1697" s="1">
        <v>0</v>
      </c>
      <c r="J1697" s="1">
        <v>1</v>
      </c>
      <c r="K1697" s="1">
        <v>-1</v>
      </c>
    </row>
    <row r="1698" spans="3:11" x14ac:dyDescent="0.25">
      <c r="C1698" s="1" t="s">
        <v>8231</v>
      </c>
      <c r="D1698" s="1" t="s">
        <v>8232</v>
      </c>
      <c r="E1698" s="1" t="s">
        <v>8233</v>
      </c>
      <c r="F1698" s="1">
        <v>-1</v>
      </c>
      <c r="G1698" s="1">
        <v>-1</v>
      </c>
      <c r="H1698" s="1">
        <v>0</v>
      </c>
      <c r="I1698" s="1">
        <v>0</v>
      </c>
      <c r="J1698" s="1">
        <v>1</v>
      </c>
      <c r="K1698" s="1">
        <v>-1</v>
      </c>
    </row>
    <row r="1699" spans="3:11" x14ac:dyDescent="0.25">
      <c r="C1699" s="1" t="s">
        <v>8234</v>
      </c>
      <c r="D1699" s="1" t="s">
        <v>8235</v>
      </c>
      <c r="E1699" s="1" t="s">
        <v>4607</v>
      </c>
      <c r="F1699" s="1">
        <v>-1</v>
      </c>
      <c r="G1699" s="1">
        <v>-1</v>
      </c>
      <c r="H1699" s="1">
        <v>0</v>
      </c>
      <c r="I1699" s="1">
        <v>0</v>
      </c>
      <c r="J1699" s="1">
        <v>1</v>
      </c>
      <c r="K1699" s="1">
        <v>-1</v>
      </c>
    </row>
    <row r="1700" spans="3:11" x14ac:dyDescent="0.25">
      <c r="C1700" s="1" t="s">
        <v>8236</v>
      </c>
      <c r="D1700" s="1" t="s">
        <v>8237</v>
      </c>
      <c r="E1700" s="1" t="s">
        <v>8238</v>
      </c>
      <c r="F1700" s="1">
        <v>-1</v>
      </c>
      <c r="G1700" s="1">
        <v>-1</v>
      </c>
      <c r="H1700" s="1">
        <v>0</v>
      </c>
      <c r="I1700" s="1">
        <v>0</v>
      </c>
      <c r="J1700" s="1">
        <v>1</v>
      </c>
      <c r="K1700" s="1">
        <v>-1</v>
      </c>
    </row>
    <row r="1701" spans="3:11" x14ac:dyDescent="0.25">
      <c r="C1701" s="1" t="s">
        <v>8239</v>
      </c>
      <c r="D1701" s="1" t="s">
        <v>8240</v>
      </c>
      <c r="E1701" s="1" t="s">
        <v>8241</v>
      </c>
      <c r="F1701" s="1">
        <v>-1</v>
      </c>
      <c r="G1701" s="1">
        <v>-1</v>
      </c>
      <c r="H1701" s="1">
        <v>0</v>
      </c>
      <c r="I1701" s="1">
        <v>0</v>
      </c>
      <c r="J1701" s="1">
        <v>1</v>
      </c>
      <c r="K1701" s="1">
        <v>-1</v>
      </c>
    </row>
    <row r="1702" spans="3:11" x14ac:dyDescent="0.25">
      <c r="C1702" s="1" t="s">
        <v>8242</v>
      </c>
      <c r="D1702" s="1" t="s">
        <v>8243</v>
      </c>
      <c r="E1702" s="1" t="s">
        <v>8244</v>
      </c>
      <c r="F1702" s="1">
        <v>-1</v>
      </c>
      <c r="G1702" s="1">
        <v>-1</v>
      </c>
      <c r="H1702" s="1">
        <v>0</v>
      </c>
      <c r="I1702" s="1">
        <v>0</v>
      </c>
      <c r="J1702" s="1">
        <v>1</v>
      </c>
      <c r="K1702" s="1">
        <v>-1</v>
      </c>
    </row>
    <row r="1703" spans="3:11" x14ac:dyDescent="0.25">
      <c r="C1703" s="1" t="s">
        <v>8245</v>
      </c>
      <c r="D1703" s="1" t="s">
        <v>8246</v>
      </c>
      <c r="E1703" s="1" t="s">
        <v>8247</v>
      </c>
      <c r="F1703" s="1">
        <v>-1</v>
      </c>
      <c r="G1703" s="1">
        <v>-1</v>
      </c>
      <c r="H1703" s="1">
        <v>0</v>
      </c>
      <c r="I1703" s="1">
        <v>0</v>
      </c>
      <c r="J1703" s="1">
        <v>1</v>
      </c>
      <c r="K1703" s="1">
        <v>-1</v>
      </c>
    </row>
    <row r="1704" spans="3:11" x14ac:dyDescent="0.25">
      <c r="C1704" s="1" t="s">
        <v>8248</v>
      </c>
      <c r="D1704" s="1" t="s">
        <v>8249</v>
      </c>
      <c r="E1704" s="1" t="s">
        <v>8248</v>
      </c>
      <c r="F1704" s="1">
        <v>-1</v>
      </c>
      <c r="G1704" s="1">
        <v>-1</v>
      </c>
      <c r="H1704" s="1">
        <v>0</v>
      </c>
      <c r="I1704" s="1">
        <v>0</v>
      </c>
      <c r="J1704" s="1">
        <v>1</v>
      </c>
      <c r="K1704" s="1">
        <v>-1</v>
      </c>
    </row>
    <row r="1705" spans="3:11" x14ac:dyDescent="0.25">
      <c r="C1705" s="1" t="s">
        <v>8250</v>
      </c>
      <c r="D1705" s="1" t="s">
        <v>8251</v>
      </c>
      <c r="E1705" s="1" t="s">
        <v>8252</v>
      </c>
      <c r="F1705" s="1">
        <v>-1</v>
      </c>
      <c r="G1705" s="1">
        <v>-1</v>
      </c>
      <c r="H1705" s="1">
        <v>0</v>
      </c>
      <c r="I1705" s="1">
        <v>0</v>
      </c>
      <c r="J1705" s="1">
        <v>1</v>
      </c>
      <c r="K1705" s="1">
        <v>-1</v>
      </c>
    </row>
    <row r="1706" spans="3:11" x14ac:dyDescent="0.25">
      <c r="D1706" s="1" t="s">
        <v>8253</v>
      </c>
      <c r="E1706" s="1" t="s">
        <v>8254</v>
      </c>
      <c r="F1706" s="1">
        <v>-1</v>
      </c>
      <c r="G1706" s="1">
        <v>-1</v>
      </c>
      <c r="H1706" s="1">
        <v>0</v>
      </c>
      <c r="I1706" s="1">
        <v>0</v>
      </c>
      <c r="J1706" s="1">
        <v>1</v>
      </c>
      <c r="K1706" s="1">
        <v>-1</v>
      </c>
    </row>
    <row r="1707" spans="3:11" x14ac:dyDescent="0.25">
      <c r="D1707" s="1" t="s">
        <v>8255</v>
      </c>
      <c r="E1707" s="1" t="s">
        <v>8256</v>
      </c>
      <c r="F1707" s="1">
        <v>-1</v>
      </c>
      <c r="G1707" s="1">
        <v>-1</v>
      </c>
      <c r="H1707" s="1">
        <v>0</v>
      </c>
      <c r="I1707" s="1">
        <v>0</v>
      </c>
      <c r="J1707" s="1">
        <v>1</v>
      </c>
      <c r="K1707" s="1">
        <v>-1</v>
      </c>
    </row>
    <row r="1708" spans="3:11" x14ac:dyDescent="0.25">
      <c r="D1708" s="1" t="s">
        <v>8257</v>
      </c>
      <c r="E1708" s="1" t="s">
        <v>8258</v>
      </c>
      <c r="F1708" s="1">
        <v>-1</v>
      </c>
      <c r="G1708" s="1">
        <v>-1</v>
      </c>
      <c r="H1708" s="1">
        <v>0</v>
      </c>
      <c r="I1708" s="1">
        <v>0</v>
      </c>
      <c r="J1708" s="1">
        <v>1</v>
      </c>
      <c r="K1708" s="1">
        <v>-1</v>
      </c>
    </row>
    <row r="1709" spans="3:11" x14ac:dyDescent="0.25">
      <c r="C1709" s="1" t="s">
        <v>8259</v>
      </c>
      <c r="D1709" s="1" t="s">
        <v>8260</v>
      </c>
      <c r="E1709" s="1" t="s">
        <v>8261</v>
      </c>
      <c r="F1709" s="1">
        <v>-1</v>
      </c>
      <c r="G1709" s="1">
        <v>-1</v>
      </c>
      <c r="H1709" s="1">
        <v>0</v>
      </c>
      <c r="I1709" s="1">
        <v>0</v>
      </c>
      <c r="J1709" s="1">
        <v>1</v>
      </c>
      <c r="K1709" s="1">
        <v>-1</v>
      </c>
    </row>
    <row r="1710" spans="3:11" x14ac:dyDescent="0.25">
      <c r="C1710" s="1" t="s">
        <v>8262</v>
      </c>
      <c r="D1710" s="1" t="s">
        <v>8263</v>
      </c>
      <c r="E1710" s="1" t="s">
        <v>8264</v>
      </c>
      <c r="F1710" s="1">
        <v>-1</v>
      </c>
      <c r="G1710" s="1">
        <v>-1</v>
      </c>
      <c r="H1710" s="1">
        <v>0</v>
      </c>
      <c r="I1710" s="1">
        <v>0</v>
      </c>
      <c r="J1710" s="1">
        <v>1</v>
      </c>
      <c r="K1710" s="1">
        <v>-1</v>
      </c>
    </row>
    <row r="1711" spans="3:11" x14ac:dyDescent="0.25">
      <c r="C1711" s="1" t="s">
        <v>8265</v>
      </c>
      <c r="D1711" s="1" t="s">
        <v>8266</v>
      </c>
      <c r="E1711" s="1" t="s">
        <v>8265</v>
      </c>
      <c r="F1711" s="1">
        <v>-1</v>
      </c>
      <c r="G1711" s="1">
        <v>-1</v>
      </c>
      <c r="H1711" s="1">
        <v>0</v>
      </c>
      <c r="I1711" s="1">
        <v>0</v>
      </c>
      <c r="J1711" s="1">
        <v>1</v>
      </c>
      <c r="K1711" s="1">
        <v>-1</v>
      </c>
    </row>
    <row r="1712" spans="3:11" x14ac:dyDescent="0.25">
      <c r="C1712" s="1" t="s">
        <v>8267</v>
      </c>
      <c r="D1712" s="1" t="s">
        <v>8268</v>
      </c>
      <c r="E1712" s="1" t="s">
        <v>8267</v>
      </c>
      <c r="F1712" s="1">
        <v>-1</v>
      </c>
      <c r="G1712" s="1">
        <v>-1</v>
      </c>
      <c r="H1712" s="1">
        <v>0</v>
      </c>
      <c r="I1712" s="1">
        <v>0</v>
      </c>
      <c r="J1712" s="1">
        <v>1</v>
      </c>
      <c r="K1712" s="1">
        <v>-1</v>
      </c>
    </row>
    <row r="1713" spans="3:11" x14ac:dyDescent="0.25">
      <c r="D1713" s="1" t="s">
        <v>8269</v>
      </c>
      <c r="E1713" s="1" t="s">
        <v>8270</v>
      </c>
      <c r="F1713" s="1">
        <v>-1</v>
      </c>
      <c r="G1713" s="1">
        <v>-1</v>
      </c>
      <c r="H1713" s="1">
        <v>0</v>
      </c>
      <c r="I1713" s="1">
        <v>0</v>
      </c>
      <c r="J1713" s="1">
        <v>1</v>
      </c>
      <c r="K1713" s="1">
        <v>-1</v>
      </c>
    </row>
    <row r="1714" spans="3:11" x14ac:dyDescent="0.25">
      <c r="C1714" s="1" t="s">
        <v>8271</v>
      </c>
      <c r="D1714" s="1" t="s">
        <v>8272</v>
      </c>
      <c r="E1714" s="1" t="s">
        <v>8271</v>
      </c>
      <c r="F1714" s="1">
        <v>-1</v>
      </c>
      <c r="G1714" s="1">
        <v>-1</v>
      </c>
      <c r="H1714" s="1">
        <v>0</v>
      </c>
      <c r="I1714" s="1">
        <v>0</v>
      </c>
      <c r="J1714" s="1">
        <v>1</v>
      </c>
      <c r="K1714" s="1">
        <v>-1</v>
      </c>
    </row>
    <row r="1715" spans="3:11" x14ac:dyDescent="0.25">
      <c r="D1715" s="1" t="s">
        <v>8273</v>
      </c>
      <c r="E1715" s="1" t="s">
        <v>8274</v>
      </c>
      <c r="F1715" s="1">
        <v>-1</v>
      </c>
      <c r="G1715" s="1">
        <v>-1</v>
      </c>
      <c r="H1715" s="1">
        <v>0</v>
      </c>
      <c r="I1715" s="1">
        <v>0</v>
      </c>
      <c r="J1715" s="1">
        <v>1</v>
      </c>
      <c r="K1715" s="1">
        <v>-1</v>
      </c>
    </row>
    <row r="1716" spans="3:11" x14ac:dyDescent="0.25">
      <c r="D1716" s="1" t="s">
        <v>8275</v>
      </c>
      <c r="E1716" s="1" t="s">
        <v>8276</v>
      </c>
      <c r="F1716" s="1">
        <v>-1</v>
      </c>
      <c r="G1716" s="1">
        <v>-1</v>
      </c>
      <c r="H1716" s="1">
        <v>0</v>
      </c>
      <c r="I1716" s="1">
        <v>0</v>
      </c>
      <c r="J1716" s="1">
        <v>1</v>
      </c>
      <c r="K1716" s="1">
        <v>-1</v>
      </c>
    </row>
    <row r="1717" spans="3:11" x14ac:dyDescent="0.25">
      <c r="C1717" s="1" t="s">
        <v>8277</v>
      </c>
      <c r="D1717" s="1" t="s">
        <v>8278</v>
      </c>
      <c r="E1717" s="1" t="s">
        <v>8277</v>
      </c>
      <c r="F1717" s="1">
        <v>-1</v>
      </c>
      <c r="G1717" s="1">
        <v>-1</v>
      </c>
      <c r="H1717" s="1">
        <v>0</v>
      </c>
      <c r="I1717" s="1">
        <v>0</v>
      </c>
      <c r="J1717" s="1">
        <v>1</v>
      </c>
      <c r="K1717" s="1">
        <v>-1</v>
      </c>
    </row>
    <row r="1718" spans="3:11" x14ac:dyDescent="0.25">
      <c r="D1718" s="1" t="s">
        <v>8279</v>
      </c>
      <c r="E1718" s="1" t="s">
        <v>8280</v>
      </c>
      <c r="F1718" s="1">
        <v>-1</v>
      </c>
      <c r="G1718" s="1">
        <v>-1</v>
      </c>
      <c r="H1718" s="1">
        <v>0</v>
      </c>
      <c r="I1718" s="1">
        <v>0</v>
      </c>
      <c r="J1718" s="1">
        <v>1</v>
      </c>
      <c r="K1718" s="1">
        <v>-1</v>
      </c>
    </row>
    <row r="1719" spans="3:11" x14ac:dyDescent="0.25">
      <c r="C1719" s="1" t="s">
        <v>8281</v>
      </c>
      <c r="D1719" s="1" t="s">
        <v>8282</v>
      </c>
      <c r="E1719" s="1" t="s">
        <v>8283</v>
      </c>
      <c r="F1719" s="1">
        <v>-1</v>
      </c>
      <c r="G1719" s="1">
        <v>-1</v>
      </c>
      <c r="H1719" s="1">
        <v>0</v>
      </c>
      <c r="I1719" s="1">
        <v>0</v>
      </c>
      <c r="J1719" s="1">
        <v>1</v>
      </c>
      <c r="K1719" s="1">
        <v>-1</v>
      </c>
    </row>
    <row r="1720" spans="3:11" x14ac:dyDescent="0.25">
      <c r="C1720" s="1" t="s">
        <v>8284</v>
      </c>
      <c r="D1720" s="1" t="s">
        <v>8285</v>
      </c>
      <c r="E1720" s="1" t="s">
        <v>8284</v>
      </c>
      <c r="F1720" s="1">
        <v>-1</v>
      </c>
      <c r="G1720" s="1">
        <v>-1</v>
      </c>
      <c r="H1720" s="1">
        <v>0</v>
      </c>
      <c r="I1720" s="1">
        <v>0</v>
      </c>
      <c r="J1720" s="1">
        <v>1</v>
      </c>
      <c r="K1720" s="1">
        <v>-1</v>
      </c>
    </row>
    <row r="1721" spans="3:11" x14ac:dyDescent="0.25">
      <c r="C1721" s="1" t="s">
        <v>8286</v>
      </c>
      <c r="D1721" s="1" t="s">
        <v>8287</v>
      </c>
      <c r="E1721" s="1" t="s">
        <v>8288</v>
      </c>
      <c r="F1721" s="1">
        <v>-1</v>
      </c>
      <c r="G1721" s="1">
        <v>-1</v>
      </c>
      <c r="H1721" s="1">
        <v>0</v>
      </c>
      <c r="I1721" s="1">
        <v>0</v>
      </c>
      <c r="J1721" s="1">
        <v>1</v>
      </c>
      <c r="K1721" s="1">
        <v>-1</v>
      </c>
    </row>
    <row r="1722" spans="3:11" x14ac:dyDescent="0.25">
      <c r="C1722" s="1" t="s">
        <v>8289</v>
      </c>
      <c r="D1722" s="1" t="s">
        <v>8290</v>
      </c>
      <c r="E1722" s="1" t="s">
        <v>8289</v>
      </c>
      <c r="F1722" s="1">
        <v>-1</v>
      </c>
      <c r="G1722" s="1">
        <v>-1</v>
      </c>
      <c r="H1722" s="1">
        <v>0</v>
      </c>
      <c r="I1722" s="1">
        <v>0</v>
      </c>
      <c r="J1722" s="1">
        <v>1</v>
      </c>
      <c r="K1722" s="1">
        <v>-1</v>
      </c>
    </row>
    <row r="1723" spans="3:11" x14ac:dyDescent="0.25">
      <c r="C1723" s="1" t="s">
        <v>8291</v>
      </c>
      <c r="D1723" s="1" t="s">
        <v>8292</v>
      </c>
      <c r="E1723" s="1" t="s">
        <v>8291</v>
      </c>
      <c r="F1723" s="1">
        <v>-1</v>
      </c>
      <c r="G1723" s="1">
        <v>-1</v>
      </c>
      <c r="H1723" s="1">
        <v>0</v>
      </c>
      <c r="I1723" s="1">
        <v>0</v>
      </c>
      <c r="J1723" s="1">
        <v>1</v>
      </c>
      <c r="K1723" s="1">
        <v>-1</v>
      </c>
    </row>
    <row r="1724" spans="3:11" x14ac:dyDescent="0.25">
      <c r="C1724" s="1" t="s">
        <v>8293</v>
      </c>
      <c r="D1724" s="1" t="s">
        <v>8294</v>
      </c>
      <c r="E1724" s="1" t="s">
        <v>8293</v>
      </c>
      <c r="F1724" s="1">
        <v>-1</v>
      </c>
      <c r="G1724" s="1">
        <v>-1</v>
      </c>
      <c r="H1724" s="1">
        <v>0</v>
      </c>
      <c r="I1724" s="1">
        <v>0</v>
      </c>
      <c r="J1724" s="1">
        <v>1</v>
      </c>
      <c r="K1724" s="1">
        <v>-1</v>
      </c>
    </row>
    <row r="1725" spans="3:11" x14ac:dyDescent="0.25">
      <c r="C1725" s="1" t="s">
        <v>8295</v>
      </c>
      <c r="D1725" s="1" t="s">
        <v>8296</v>
      </c>
      <c r="E1725" s="1" t="s">
        <v>8297</v>
      </c>
      <c r="F1725" s="1">
        <v>-1</v>
      </c>
      <c r="G1725" s="1">
        <v>-1</v>
      </c>
      <c r="H1725" s="1">
        <v>0</v>
      </c>
      <c r="I1725" s="1">
        <v>0</v>
      </c>
      <c r="J1725" s="1">
        <v>1</v>
      </c>
      <c r="K1725" s="1">
        <v>-1</v>
      </c>
    </row>
    <row r="1726" spans="3:11" x14ac:dyDescent="0.25">
      <c r="C1726" s="1" t="s">
        <v>8298</v>
      </c>
      <c r="D1726" s="1" t="s">
        <v>8299</v>
      </c>
      <c r="E1726" s="1" t="s">
        <v>8298</v>
      </c>
      <c r="F1726" s="1">
        <v>-1</v>
      </c>
      <c r="G1726" s="1">
        <v>-1</v>
      </c>
      <c r="H1726" s="1">
        <v>0</v>
      </c>
      <c r="I1726" s="1">
        <v>0</v>
      </c>
      <c r="J1726" s="1">
        <v>1</v>
      </c>
      <c r="K1726" s="1">
        <v>-1</v>
      </c>
    </row>
    <row r="1727" spans="3:11" x14ac:dyDescent="0.25">
      <c r="C1727" s="1" t="s">
        <v>8300</v>
      </c>
      <c r="D1727" s="1" t="s">
        <v>8301</v>
      </c>
      <c r="E1727" s="1" t="s">
        <v>8302</v>
      </c>
      <c r="F1727" s="1">
        <v>-1</v>
      </c>
      <c r="G1727" s="1">
        <v>-1</v>
      </c>
      <c r="H1727" s="1">
        <v>0</v>
      </c>
      <c r="I1727" s="1">
        <v>0</v>
      </c>
      <c r="J1727" s="1">
        <v>1</v>
      </c>
      <c r="K1727" s="1">
        <v>-1</v>
      </c>
    </row>
    <row r="1728" spans="3:11" x14ac:dyDescent="0.25">
      <c r="C1728" s="1" t="s">
        <v>8303</v>
      </c>
      <c r="D1728" s="1" t="s">
        <v>8304</v>
      </c>
      <c r="E1728" s="1" t="s">
        <v>8305</v>
      </c>
      <c r="F1728" s="1">
        <v>-1</v>
      </c>
      <c r="G1728" s="1">
        <v>-1</v>
      </c>
      <c r="H1728" s="1">
        <v>0</v>
      </c>
      <c r="I1728" s="1">
        <v>0</v>
      </c>
      <c r="J1728" s="1">
        <v>1</v>
      </c>
      <c r="K1728" s="1">
        <v>-1</v>
      </c>
    </row>
    <row r="1729" spans="3:11" x14ac:dyDescent="0.25">
      <c r="C1729" s="1" t="s">
        <v>8306</v>
      </c>
      <c r="D1729" s="1" t="s">
        <v>8307</v>
      </c>
      <c r="E1729" s="1" t="s">
        <v>8308</v>
      </c>
      <c r="F1729" s="1">
        <v>-1</v>
      </c>
      <c r="G1729" s="1">
        <v>-1</v>
      </c>
      <c r="H1729" s="1">
        <v>0</v>
      </c>
      <c r="I1729" s="1">
        <v>0</v>
      </c>
      <c r="J1729" s="1">
        <v>1</v>
      </c>
      <c r="K1729" s="1">
        <v>-1</v>
      </c>
    </row>
    <row r="1730" spans="3:11" x14ac:dyDescent="0.25">
      <c r="C1730" s="1" t="s">
        <v>8309</v>
      </c>
      <c r="D1730" s="1" t="s">
        <v>8310</v>
      </c>
      <c r="E1730" s="1" t="s">
        <v>8309</v>
      </c>
      <c r="F1730" s="1">
        <v>-1</v>
      </c>
      <c r="G1730" s="1">
        <v>-1</v>
      </c>
      <c r="H1730" s="1">
        <v>0</v>
      </c>
      <c r="I1730" s="1">
        <v>0</v>
      </c>
      <c r="J1730" s="1">
        <v>1</v>
      </c>
      <c r="K1730" s="1">
        <v>-1</v>
      </c>
    </row>
    <row r="1731" spans="3:11" x14ac:dyDescent="0.25">
      <c r="C1731" s="1" t="s">
        <v>8311</v>
      </c>
      <c r="D1731" s="1" t="s">
        <v>8312</v>
      </c>
      <c r="E1731" s="1" t="s">
        <v>8313</v>
      </c>
      <c r="F1731" s="1">
        <v>-1</v>
      </c>
      <c r="G1731" s="1">
        <v>-1</v>
      </c>
      <c r="H1731" s="1">
        <v>0</v>
      </c>
      <c r="I1731" s="1">
        <v>0</v>
      </c>
      <c r="J1731" s="1">
        <v>1</v>
      </c>
      <c r="K1731" s="1">
        <v>-1</v>
      </c>
    </row>
    <row r="1732" spans="3:11" x14ac:dyDescent="0.25">
      <c r="C1732" s="1" t="s">
        <v>8314</v>
      </c>
      <c r="D1732" s="1" t="s">
        <v>8315</v>
      </c>
      <c r="E1732" s="1" t="s">
        <v>8316</v>
      </c>
      <c r="F1732" s="1">
        <v>-1</v>
      </c>
      <c r="G1732" s="1">
        <v>-1</v>
      </c>
      <c r="H1732" s="1">
        <v>0</v>
      </c>
      <c r="I1732" s="1">
        <v>0</v>
      </c>
      <c r="J1732" s="1">
        <v>1</v>
      </c>
      <c r="K1732" s="1">
        <v>-1</v>
      </c>
    </row>
    <row r="1733" spans="3:11" x14ac:dyDescent="0.25">
      <c r="D1733" s="1" t="s">
        <v>8317</v>
      </c>
      <c r="E1733" s="1" t="s">
        <v>8318</v>
      </c>
      <c r="F1733" s="1">
        <v>-1</v>
      </c>
      <c r="G1733" s="1">
        <v>-1</v>
      </c>
      <c r="H1733" s="1">
        <v>0</v>
      </c>
      <c r="I1733" s="1">
        <v>0</v>
      </c>
      <c r="J1733" s="1">
        <v>1</v>
      </c>
      <c r="K1733" s="1">
        <v>-1</v>
      </c>
    </row>
    <row r="1734" spans="3:11" x14ac:dyDescent="0.25">
      <c r="D1734" s="1" t="s">
        <v>8319</v>
      </c>
      <c r="E1734" s="1" t="s">
        <v>8320</v>
      </c>
      <c r="F1734" s="1">
        <v>-1</v>
      </c>
      <c r="G1734" s="1">
        <v>-1</v>
      </c>
      <c r="H1734" s="1">
        <v>0</v>
      </c>
      <c r="I1734" s="1">
        <v>0</v>
      </c>
      <c r="J1734" s="1">
        <v>1</v>
      </c>
      <c r="K1734" s="1">
        <v>-1</v>
      </c>
    </row>
    <row r="1735" spans="3:11" x14ac:dyDescent="0.25">
      <c r="D1735" s="1" t="s">
        <v>8321</v>
      </c>
      <c r="E1735" s="1" t="s">
        <v>8322</v>
      </c>
      <c r="F1735" s="1">
        <v>-1</v>
      </c>
      <c r="G1735" s="1">
        <v>-1</v>
      </c>
      <c r="H1735" s="1">
        <v>0</v>
      </c>
      <c r="I1735" s="1">
        <v>0</v>
      </c>
      <c r="J1735" s="1">
        <v>1</v>
      </c>
      <c r="K1735" s="1">
        <v>-1</v>
      </c>
    </row>
    <row r="1736" spans="3:11" x14ac:dyDescent="0.25">
      <c r="D1736" s="1" t="s">
        <v>8323</v>
      </c>
      <c r="E1736" s="1" t="s">
        <v>8324</v>
      </c>
      <c r="F1736" s="1">
        <v>-1</v>
      </c>
      <c r="G1736" s="1">
        <v>-1</v>
      </c>
      <c r="H1736" s="1">
        <v>0</v>
      </c>
      <c r="I1736" s="1">
        <v>0</v>
      </c>
      <c r="J1736" s="1">
        <v>1</v>
      </c>
      <c r="K1736" s="1">
        <v>-1</v>
      </c>
    </row>
    <row r="1737" spans="3:11" x14ac:dyDescent="0.25">
      <c r="C1737" s="1" t="s">
        <v>8325</v>
      </c>
      <c r="D1737" s="1" t="s">
        <v>8326</v>
      </c>
      <c r="E1737" s="1" t="s">
        <v>8325</v>
      </c>
      <c r="F1737" s="1">
        <v>-1</v>
      </c>
      <c r="G1737" s="1">
        <v>-1</v>
      </c>
      <c r="H1737" s="1">
        <v>0</v>
      </c>
      <c r="I1737" s="1">
        <v>0</v>
      </c>
      <c r="J1737" s="1">
        <v>1</v>
      </c>
      <c r="K1737" s="1">
        <v>-1</v>
      </c>
    </row>
    <row r="1738" spans="3:11" x14ac:dyDescent="0.25">
      <c r="C1738" s="1" t="s">
        <v>8327</v>
      </c>
      <c r="D1738" s="1" t="s">
        <v>8328</v>
      </c>
      <c r="E1738" s="1" t="s">
        <v>8329</v>
      </c>
      <c r="F1738" s="1">
        <v>-1</v>
      </c>
      <c r="G1738" s="1">
        <v>-1</v>
      </c>
      <c r="H1738" s="1">
        <v>0</v>
      </c>
      <c r="I1738" s="1">
        <v>0</v>
      </c>
      <c r="J1738" s="1">
        <v>1</v>
      </c>
      <c r="K1738" s="1">
        <v>-1</v>
      </c>
    </row>
    <row r="1739" spans="3:11" x14ac:dyDescent="0.25">
      <c r="C1739" s="1" t="s">
        <v>8330</v>
      </c>
      <c r="D1739" s="1" t="s">
        <v>8331</v>
      </c>
      <c r="E1739" s="1" t="s">
        <v>8330</v>
      </c>
      <c r="F1739" s="1">
        <v>-1</v>
      </c>
      <c r="G1739" s="1">
        <v>-1</v>
      </c>
      <c r="H1739" s="1">
        <v>0</v>
      </c>
      <c r="I1739" s="1">
        <v>0</v>
      </c>
      <c r="J1739" s="1">
        <v>1</v>
      </c>
      <c r="K1739" s="1">
        <v>-1</v>
      </c>
    </row>
    <row r="1740" spans="3:11" x14ac:dyDescent="0.25">
      <c r="C1740" s="1" t="s">
        <v>8332</v>
      </c>
      <c r="D1740" s="1" t="s">
        <v>8333</v>
      </c>
      <c r="E1740" s="1" t="s">
        <v>8332</v>
      </c>
      <c r="F1740" s="1">
        <v>-1</v>
      </c>
      <c r="G1740" s="1">
        <v>-1</v>
      </c>
      <c r="H1740" s="1">
        <v>0</v>
      </c>
      <c r="I1740" s="1">
        <v>0</v>
      </c>
      <c r="J1740" s="1">
        <v>1</v>
      </c>
      <c r="K1740" s="1">
        <v>-1</v>
      </c>
    </row>
    <row r="1741" spans="3:11" x14ac:dyDescent="0.25">
      <c r="C1741" s="1" t="s">
        <v>8334</v>
      </c>
      <c r="D1741" s="1" t="s">
        <v>8335</v>
      </c>
      <c r="E1741" s="1" t="s">
        <v>8334</v>
      </c>
      <c r="F1741" s="1">
        <v>-1</v>
      </c>
      <c r="G1741" s="1">
        <v>-1</v>
      </c>
      <c r="H1741" s="1">
        <v>0</v>
      </c>
      <c r="I1741" s="1">
        <v>0</v>
      </c>
      <c r="J1741" s="1">
        <v>1</v>
      </c>
      <c r="K1741" s="1">
        <v>-1</v>
      </c>
    </row>
    <row r="1742" spans="3:11" x14ac:dyDescent="0.25">
      <c r="C1742" s="1" t="s">
        <v>8336</v>
      </c>
      <c r="D1742" s="1" t="s">
        <v>8337</v>
      </c>
      <c r="E1742" s="1" t="s">
        <v>8338</v>
      </c>
      <c r="F1742" s="1">
        <v>-1</v>
      </c>
      <c r="G1742" s="1">
        <v>-1</v>
      </c>
      <c r="H1742" s="1">
        <v>0</v>
      </c>
      <c r="I1742" s="1">
        <v>0</v>
      </c>
      <c r="J1742" s="1">
        <v>1</v>
      </c>
      <c r="K1742" s="1">
        <v>-1</v>
      </c>
    </row>
    <row r="1743" spans="3:11" x14ac:dyDescent="0.25">
      <c r="C1743" s="1" t="s">
        <v>8339</v>
      </c>
      <c r="D1743" s="1" t="s">
        <v>8340</v>
      </c>
      <c r="E1743" s="1" t="s">
        <v>8341</v>
      </c>
      <c r="F1743" s="1">
        <v>-1</v>
      </c>
      <c r="G1743" s="1">
        <v>-1</v>
      </c>
      <c r="H1743" s="1">
        <v>0</v>
      </c>
      <c r="I1743" s="1">
        <v>0</v>
      </c>
      <c r="J1743" s="1">
        <v>1</v>
      </c>
      <c r="K1743" s="1">
        <v>-1</v>
      </c>
    </row>
    <row r="1744" spans="3:11" x14ac:dyDescent="0.25">
      <c r="C1744" s="1" t="s">
        <v>8342</v>
      </c>
      <c r="D1744" s="1" t="s">
        <v>8343</v>
      </c>
      <c r="E1744" s="1" t="s">
        <v>8342</v>
      </c>
      <c r="F1744" s="1">
        <v>-1</v>
      </c>
      <c r="G1744" s="1">
        <v>-1</v>
      </c>
      <c r="H1744" s="1">
        <v>0</v>
      </c>
      <c r="I1744" s="1">
        <v>0</v>
      </c>
      <c r="J1744" s="1">
        <v>1</v>
      </c>
      <c r="K1744" s="1">
        <v>-1</v>
      </c>
    </row>
    <row r="1745" spans="3:11" x14ac:dyDescent="0.25">
      <c r="C1745" s="1" t="s">
        <v>8344</v>
      </c>
      <c r="D1745" s="1" t="s">
        <v>8345</v>
      </c>
      <c r="E1745" s="1" t="s">
        <v>8346</v>
      </c>
      <c r="F1745" s="1">
        <v>-1</v>
      </c>
      <c r="G1745" s="1">
        <v>-1</v>
      </c>
      <c r="H1745" s="1">
        <v>0</v>
      </c>
      <c r="I1745" s="1">
        <v>0</v>
      </c>
      <c r="J1745" s="1">
        <v>1</v>
      </c>
      <c r="K1745" s="1">
        <v>-1</v>
      </c>
    </row>
    <row r="1746" spans="3:11" x14ac:dyDescent="0.25">
      <c r="C1746" s="1" t="s">
        <v>8347</v>
      </c>
      <c r="D1746" s="1" t="s">
        <v>8348</v>
      </c>
      <c r="E1746" s="1" t="s">
        <v>8347</v>
      </c>
      <c r="F1746" s="1">
        <v>-1</v>
      </c>
      <c r="G1746" s="1">
        <v>-1</v>
      </c>
      <c r="H1746" s="1">
        <v>0</v>
      </c>
      <c r="I1746" s="1">
        <v>0</v>
      </c>
      <c r="J1746" s="1">
        <v>1</v>
      </c>
      <c r="K1746" s="1">
        <v>-1</v>
      </c>
    </row>
    <row r="1747" spans="3:11" x14ac:dyDescent="0.25">
      <c r="C1747" s="1" t="s">
        <v>8349</v>
      </c>
      <c r="D1747" s="1" t="s">
        <v>8350</v>
      </c>
      <c r="E1747" s="1" t="s">
        <v>8349</v>
      </c>
      <c r="F1747" s="1">
        <v>-1</v>
      </c>
      <c r="G1747" s="1">
        <v>-1</v>
      </c>
      <c r="H1747" s="1">
        <v>0</v>
      </c>
      <c r="I1747" s="1">
        <v>0</v>
      </c>
      <c r="J1747" s="1">
        <v>1</v>
      </c>
      <c r="K1747" s="1">
        <v>-1</v>
      </c>
    </row>
    <row r="1748" spans="3:11" x14ac:dyDescent="0.25">
      <c r="C1748" s="1" t="s">
        <v>8351</v>
      </c>
      <c r="D1748" s="1" t="s">
        <v>8352</v>
      </c>
      <c r="E1748" s="1" t="s">
        <v>8353</v>
      </c>
      <c r="F1748" s="1">
        <v>-1</v>
      </c>
      <c r="G1748" s="1">
        <v>-1</v>
      </c>
      <c r="H1748" s="1">
        <v>0</v>
      </c>
      <c r="I1748" s="1">
        <v>0</v>
      </c>
      <c r="J1748" s="1">
        <v>1</v>
      </c>
      <c r="K1748" s="1">
        <v>-1</v>
      </c>
    </row>
    <row r="1749" spans="3:11" x14ac:dyDescent="0.25">
      <c r="C1749" s="1" t="s">
        <v>8354</v>
      </c>
      <c r="D1749" s="1" t="s">
        <v>8355</v>
      </c>
      <c r="E1749" s="1" t="s">
        <v>8354</v>
      </c>
      <c r="F1749" s="1">
        <v>-1</v>
      </c>
      <c r="G1749" s="1">
        <v>-1</v>
      </c>
      <c r="H1749" s="1">
        <v>0</v>
      </c>
      <c r="I1749" s="1">
        <v>0</v>
      </c>
      <c r="J1749" s="1">
        <v>1</v>
      </c>
      <c r="K1749" s="1">
        <v>-1</v>
      </c>
    </row>
    <row r="1750" spans="3:11" x14ac:dyDescent="0.25">
      <c r="C1750" s="1" t="s">
        <v>8356</v>
      </c>
      <c r="D1750" s="1" t="s">
        <v>8357</v>
      </c>
      <c r="E1750" s="1" t="s">
        <v>8356</v>
      </c>
      <c r="F1750" s="1">
        <v>-1</v>
      </c>
      <c r="G1750" s="1">
        <v>-1</v>
      </c>
      <c r="H1750" s="1">
        <v>0</v>
      </c>
      <c r="I1750" s="1">
        <v>0</v>
      </c>
      <c r="J1750" s="1">
        <v>1</v>
      </c>
      <c r="K1750" s="1">
        <v>-1</v>
      </c>
    </row>
    <row r="1751" spans="3:11" x14ac:dyDescent="0.25">
      <c r="C1751" s="1" t="s">
        <v>8358</v>
      </c>
      <c r="D1751" s="1" t="s">
        <v>8359</v>
      </c>
      <c r="E1751" s="1" t="s">
        <v>8358</v>
      </c>
      <c r="F1751" s="1">
        <v>-1</v>
      </c>
      <c r="G1751" s="1">
        <v>-1</v>
      </c>
      <c r="H1751" s="1">
        <v>0</v>
      </c>
      <c r="I1751" s="1">
        <v>0</v>
      </c>
      <c r="J1751" s="1">
        <v>1</v>
      </c>
      <c r="K1751" s="1">
        <v>-1</v>
      </c>
    </row>
    <row r="1752" spans="3:11" x14ac:dyDescent="0.25">
      <c r="C1752" s="1" t="s">
        <v>8360</v>
      </c>
      <c r="D1752" s="1" t="s">
        <v>8361</v>
      </c>
      <c r="E1752" s="1" t="s">
        <v>8360</v>
      </c>
      <c r="F1752" s="1">
        <v>-1</v>
      </c>
      <c r="G1752" s="1">
        <v>-1</v>
      </c>
      <c r="H1752" s="1">
        <v>0</v>
      </c>
      <c r="I1752" s="1">
        <v>0</v>
      </c>
      <c r="J1752" s="1">
        <v>1</v>
      </c>
      <c r="K1752" s="1">
        <v>-1</v>
      </c>
    </row>
    <row r="1753" spans="3:11" x14ac:dyDescent="0.25">
      <c r="C1753" s="1" t="s">
        <v>8362</v>
      </c>
      <c r="D1753" s="1" t="s">
        <v>8363</v>
      </c>
      <c r="E1753" s="1" t="s">
        <v>8362</v>
      </c>
      <c r="F1753" s="1">
        <v>-1</v>
      </c>
      <c r="G1753" s="1">
        <v>-1</v>
      </c>
      <c r="H1753" s="1">
        <v>0</v>
      </c>
      <c r="I1753" s="1">
        <v>0</v>
      </c>
      <c r="J1753" s="1">
        <v>1</v>
      </c>
      <c r="K1753" s="1">
        <v>-1</v>
      </c>
    </row>
    <row r="1754" spans="3:11" x14ac:dyDescent="0.25">
      <c r="C1754" s="1" t="s">
        <v>8364</v>
      </c>
      <c r="D1754" s="1" t="s">
        <v>8365</v>
      </c>
      <c r="E1754" s="1" t="s">
        <v>8364</v>
      </c>
      <c r="F1754" s="1">
        <v>-1</v>
      </c>
      <c r="G1754" s="1">
        <v>-1</v>
      </c>
      <c r="H1754" s="1">
        <v>0</v>
      </c>
      <c r="I1754" s="1">
        <v>0</v>
      </c>
      <c r="J1754" s="1">
        <v>1</v>
      </c>
      <c r="K1754" s="1">
        <v>-1</v>
      </c>
    </row>
    <row r="1755" spans="3:11" x14ac:dyDescent="0.25">
      <c r="C1755" s="1" t="s">
        <v>8366</v>
      </c>
      <c r="D1755" s="1" t="s">
        <v>8367</v>
      </c>
      <c r="E1755" s="1" t="s">
        <v>8368</v>
      </c>
      <c r="F1755" s="1">
        <v>-1</v>
      </c>
      <c r="G1755" s="1">
        <v>-1</v>
      </c>
      <c r="H1755" s="1">
        <v>0</v>
      </c>
      <c r="I1755" s="1">
        <v>0</v>
      </c>
      <c r="J1755" s="1">
        <v>1</v>
      </c>
      <c r="K1755" s="1">
        <v>-1</v>
      </c>
    </row>
    <row r="1756" spans="3:11" x14ac:dyDescent="0.25">
      <c r="C1756" s="1" t="s">
        <v>8369</v>
      </c>
      <c r="D1756" s="1" t="s">
        <v>8370</v>
      </c>
      <c r="E1756" s="1" t="s">
        <v>8371</v>
      </c>
      <c r="F1756" s="1">
        <v>-1</v>
      </c>
      <c r="G1756" s="1">
        <v>-1</v>
      </c>
      <c r="H1756" s="1">
        <v>0</v>
      </c>
      <c r="I1756" s="1">
        <v>0</v>
      </c>
      <c r="J1756" s="1">
        <v>1</v>
      </c>
      <c r="K1756" s="1">
        <v>-1</v>
      </c>
    </row>
    <row r="1757" spans="3:11" x14ac:dyDescent="0.25">
      <c r="C1757" s="1" t="s">
        <v>8372</v>
      </c>
      <c r="D1757" s="1" t="s">
        <v>8373</v>
      </c>
      <c r="E1757" s="1" t="s">
        <v>8372</v>
      </c>
      <c r="F1757" s="1">
        <v>-1</v>
      </c>
      <c r="G1757" s="1">
        <v>-1</v>
      </c>
      <c r="H1757" s="1">
        <v>0</v>
      </c>
      <c r="I1757" s="1">
        <v>0</v>
      </c>
      <c r="J1757" s="1">
        <v>1</v>
      </c>
      <c r="K1757" s="1">
        <v>-1</v>
      </c>
    </row>
    <row r="1758" spans="3:11" x14ac:dyDescent="0.25">
      <c r="D1758" s="1" t="s">
        <v>8374</v>
      </c>
      <c r="E1758" s="1" t="s">
        <v>8375</v>
      </c>
      <c r="F1758" s="1">
        <v>-1</v>
      </c>
      <c r="G1758" s="1">
        <v>-1</v>
      </c>
      <c r="H1758" s="1">
        <v>0</v>
      </c>
      <c r="I1758" s="1">
        <v>0</v>
      </c>
      <c r="J1758" s="1">
        <v>1</v>
      </c>
      <c r="K1758" s="1">
        <v>-1</v>
      </c>
    </row>
    <row r="1759" spans="3:11" x14ac:dyDescent="0.25">
      <c r="C1759" s="1" t="s">
        <v>8376</v>
      </c>
      <c r="D1759" s="1" t="s">
        <v>8377</v>
      </c>
      <c r="E1759" s="1" t="s">
        <v>8378</v>
      </c>
      <c r="F1759" s="1">
        <v>-1</v>
      </c>
      <c r="G1759" s="1">
        <v>-1</v>
      </c>
      <c r="H1759" s="1">
        <v>0</v>
      </c>
      <c r="I1759" s="1">
        <v>0</v>
      </c>
      <c r="J1759" s="1">
        <v>1</v>
      </c>
      <c r="K1759" s="1">
        <v>-1</v>
      </c>
    </row>
    <row r="1760" spans="3:11" x14ac:dyDescent="0.25">
      <c r="C1760" s="1" t="s">
        <v>8379</v>
      </c>
      <c r="D1760" s="1" t="s">
        <v>8380</v>
      </c>
      <c r="E1760" s="1" t="s">
        <v>8379</v>
      </c>
      <c r="F1760" s="1">
        <v>-1</v>
      </c>
      <c r="G1760" s="1">
        <v>-1</v>
      </c>
      <c r="H1760" s="1">
        <v>0</v>
      </c>
      <c r="I1760" s="1">
        <v>0</v>
      </c>
      <c r="J1760" s="1">
        <v>1</v>
      </c>
      <c r="K1760" s="1">
        <v>-1</v>
      </c>
    </row>
    <row r="1761" spans="3:11" x14ac:dyDescent="0.25">
      <c r="C1761" s="1" t="s">
        <v>8381</v>
      </c>
      <c r="D1761" s="1" t="s">
        <v>8382</v>
      </c>
      <c r="E1761" s="1" t="s">
        <v>8381</v>
      </c>
      <c r="F1761" s="1">
        <v>-1</v>
      </c>
      <c r="G1761" s="1">
        <v>-1</v>
      </c>
      <c r="H1761" s="1">
        <v>0</v>
      </c>
      <c r="I1761" s="1">
        <v>0</v>
      </c>
      <c r="J1761" s="1">
        <v>1</v>
      </c>
      <c r="K1761" s="1">
        <v>-1</v>
      </c>
    </row>
    <row r="1762" spans="3:11" x14ac:dyDescent="0.25">
      <c r="C1762" s="1" t="s">
        <v>8383</v>
      </c>
      <c r="D1762" s="1" t="s">
        <v>8384</v>
      </c>
      <c r="E1762" s="1" t="s">
        <v>8385</v>
      </c>
      <c r="F1762" s="1">
        <v>-1</v>
      </c>
      <c r="G1762" s="1">
        <v>-1</v>
      </c>
      <c r="H1762" s="1">
        <v>0</v>
      </c>
      <c r="I1762" s="1">
        <v>0</v>
      </c>
      <c r="J1762" s="1">
        <v>1</v>
      </c>
      <c r="K1762" s="1">
        <v>-1</v>
      </c>
    </row>
    <row r="1763" spans="3:11" x14ac:dyDescent="0.25">
      <c r="D1763" s="1" t="s">
        <v>8386</v>
      </c>
      <c r="E1763" s="1" t="s">
        <v>8387</v>
      </c>
      <c r="F1763" s="1">
        <v>-1</v>
      </c>
      <c r="G1763" s="1">
        <v>-1</v>
      </c>
      <c r="H1763" s="1">
        <v>0</v>
      </c>
      <c r="I1763" s="1">
        <v>0</v>
      </c>
      <c r="J1763" s="1">
        <v>1</v>
      </c>
      <c r="K1763" s="1">
        <v>-1</v>
      </c>
    </row>
    <row r="1764" spans="3:11" x14ac:dyDescent="0.25">
      <c r="C1764" s="1" t="s">
        <v>8388</v>
      </c>
      <c r="D1764" s="1" t="s">
        <v>8389</v>
      </c>
      <c r="E1764" s="1" t="s">
        <v>8390</v>
      </c>
      <c r="F1764" s="1">
        <v>-1</v>
      </c>
      <c r="G1764" s="1">
        <v>-1</v>
      </c>
      <c r="H1764" s="1">
        <v>0</v>
      </c>
      <c r="I1764" s="1">
        <v>0</v>
      </c>
      <c r="J1764" s="1">
        <v>1</v>
      </c>
      <c r="K1764" s="1">
        <v>-1</v>
      </c>
    </row>
    <row r="1765" spans="3:11" x14ac:dyDescent="0.25">
      <c r="D1765" s="1" t="s">
        <v>8391</v>
      </c>
      <c r="E1765" s="1" t="s">
        <v>8392</v>
      </c>
      <c r="F1765" s="1">
        <v>-1</v>
      </c>
      <c r="G1765" s="1">
        <v>-1</v>
      </c>
      <c r="H1765" s="1">
        <v>0</v>
      </c>
      <c r="I1765" s="1">
        <v>0</v>
      </c>
      <c r="J1765" s="1">
        <v>1</v>
      </c>
      <c r="K1765" s="1">
        <v>-1</v>
      </c>
    </row>
    <row r="1766" spans="3:11" x14ac:dyDescent="0.25">
      <c r="C1766" s="1" t="s">
        <v>8393</v>
      </c>
      <c r="D1766" s="1" t="s">
        <v>8394</v>
      </c>
      <c r="E1766" s="1" t="s">
        <v>8395</v>
      </c>
      <c r="F1766" s="1">
        <v>-1</v>
      </c>
      <c r="G1766" s="1">
        <v>-1</v>
      </c>
      <c r="H1766" s="1">
        <v>0</v>
      </c>
      <c r="I1766" s="1">
        <v>0</v>
      </c>
      <c r="J1766" s="1">
        <v>1</v>
      </c>
      <c r="K1766" s="1">
        <v>-1</v>
      </c>
    </row>
    <row r="1767" spans="3:11" x14ac:dyDescent="0.25">
      <c r="C1767" s="1" t="s">
        <v>8396</v>
      </c>
      <c r="D1767" s="1" t="s">
        <v>8397</v>
      </c>
      <c r="E1767" s="1" t="s">
        <v>8396</v>
      </c>
      <c r="F1767" s="1">
        <v>-1</v>
      </c>
      <c r="G1767" s="1">
        <v>-1</v>
      </c>
      <c r="H1767" s="1">
        <v>0</v>
      </c>
      <c r="I1767" s="1">
        <v>0</v>
      </c>
      <c r="J1767" s="1">
        <v>1</v>
      </c>
      <c r="K1767" s="1">
        <v>-1</v>
      </c>
    </row>
    <row r="1768" spans="3:11" x14ac:dyDescent="0.25">
      <c r="D1768" s="1" t="s">
        <v>8398</v>
      </c>
      <c r="E1768" s="1" t="s">
        <v>8399</v>
      </c>
      <c r="F1768" s="1">
        <v>-1</v>
      </c>
      <c r="G1768" s="1">
        <v>-1</v>
      </c>
      <c r="H1768" s="1">
        <v>0</v>
      </c>
      <c r="I1768" s="1">
        <v>0</v>
      </c>
      <c r="J1768" s="1">
        <v>1</v>
      </c>
      <c r="K1768" s="1">
        <v>-1</v>
      </c>
    </row>
    <row r="1769" spans="3:11" x14ac:dyDescent="0.25">
      <c r="C1769" s="1" t="s">
        <v>8400</v>
      </c>
      <c r="D1769" s="1" t="s">
        <v>8401</v>
      </c>
      <c r="E1769" s="1" t="s">
        <v>8400</v>
      </c>
      <c r="F1769" s="1">
        <v>-1</v>
      </c>
      <c r="G1769" s="1">
        <v>-1</v>
      </c>
      <c r="H1769" s="1">
        <v>0</v>
      </c>
      <c r="I1769" s="1">
        <v>0</v>
      </c>
      <c r="J1769" s="1">
        <v>1</v>
      </c>
      <c r="K1769" s="1">
        <v>-1</v>
      </c>
    </row>
    <row r="1770" spans="3:11" x14ac:dyDescent="0.25">
      <c r="C1770" s="1" t="s">
        <v>8402</v>
      </c>
      <c r="D1770" s="1" t="s">
        <v>8403</v>
      </c>
      <c r="E1770" s="1" t="s">
        <v>8404</v>
      </c>
      <c r="F1770" s="1">
        <v>-1</v>
      </c>
      <c r="G1770" s="1">
        <v>-1</v>
      </c>
      <c r="H1770" s="1">
        <v>0</v>
      </c>
      <c r="I1770" s="1">
        <v>0</v>
      </c>
      <c r="J1770" s="1">
        <v>1</v>
      </c>
      <c r="K1770" s="1">
        <v>-1</v>
      </c>
    </row>
    <row r="1771" spans="3:11" x14ac:dyDescent="0.25">
      <c r="C1771" s="1" t="s">
        <v>8405</v>
      </c>
      <c r="D1771" s="1" t="s">
        <v>8406</v>
      </c>
      <c r="E1771" s="1" t="s">
        <v>8407</v>
      </c>
      <c r="F1771" s="1">
        <v>-1</v>
      </c>
      <c r="G1771" s="1">
        <v>-1</v>
      </c>
      <c r="H1771" s="1">
        <v>0</v>
      </c>
      <c r="I1771" s="1">
        <v>0</v>
      </c>
      <c r="J1771" s="1">
        <v>1</v>
      </c>
      <c r="K1771" s="1">
        <v>-1</v>
      </c>
    </row>
    <row r="1772" spans="3:11" x14ac:dyDescent="0.25">
      <c r="C1772" s="1" t="s">
        <v>8408</v>
      </c>
      <c r="D1772" s="1" t="s">
        <v>8409</v>
      </c>
      <c r="E1772" s="1" t="s">
        <v>8408</v>
      </c>
      <c r="F1772" s="1">
        <v>-1</v>
      </c>
      <c r="G1772" s="1">
        <v>-1</v>
      </c>
      <c r="H1772" s="1">
        <v>0</v>
      </c>
      <c r="I1772" s="1">
        <v>0</v>
      </c>
      <c r="J1772" s="1">
        <v>1</v>
      </c>
      <c r="K1772" s="1">
        <v>-1</v>
      </c>
    </row>
    <row r="1773" spans="3:11" x14ac:dyDescent="0.25">
      <c r="C1773" s="1" t="s">
        <v>8410</v>
      </c>
      <c r="D1773" s="1" t="s">
        <v>8411</v>
      </c>
      <c r="E1773" s="1" t="s">
        <v>8410</v>
      </c>
      <c r="F1773" s="1">
        <v>-1</v>
      </c>
      <c r="G1773" s="1">
        <v>-1</v>
      </c>
      <c r="H1773" s="1">
        <v>0</v>
      </c>
      <c r="I1773" s="1">
        <v>0</v>
      </c>
      <c r="J1773" s="1">
        <v>1</v>
      </c>
      <c r="K1773" s="1">
        <v>-1</v>
      </c>
    </row>
    <row r="1774" spans="3:11" x14ac:dyDescent="0.25">
      <c r="C1774" s="1" t="s">
        <v>8412</v>
      </c>
      <c r="D1774" s="1" t="s">
        <v>8413</v>
      </c>
      <c r="E1774" s="1" t="s">
        <v>8414</v>
      </c>
      <c r="F1774" s="1">
        <v>-1</v>
      </c>
      <c r="G1774" s="1">
        <v>-1</v>
      </c>
      <c r="H1774" s="1">
        <v>0</v>
      </c>
      <c r="I1774" s="1">
        <v>0</v>
      </c>
      <c r="J1774" s="1">
        <v>1</v>
      </c>
      <c r="K1774" s="1">
        <v>-1</v>
      </c>
    </row>
    <row r="1775" spans="3:11" x14ac:dyDescent="0.25">
      <c r="C1775" s="1" t="s">
        <v>8415</v>
      </c>
      <c r="D1775" s="1" t="s">
        <v>8416</v>
      </c>
      <c r="E1775" s="1" t="s">
        <v>8417</v>
      </c>
      <c r="F1775" s="1">
        <v>-1</v>
      </c>
      <c r="G1775" s="1">
        <v>-1</v>
      </c>
      <c r="H1775" s="1">
        <v>0</v>
      </c>
      <c r="I1775" s="1">
        <v>0</v>
      </c>
      <c r="J1775" s="1">
        <v>1</v>
      </c>
      <c r="K1775" s="1">
        <v>-1</v>
      </c>
    </row>
    <row r="1776" spans="3:11" x14ac:dyDescent="0.25">
      <c r="C1776" s="1" t="s">
        <v>8418</v>
      </c>
      <c r="D1776" s="1" t="s">
        <v>8419</v>
      </c>
      <c r="E1776" s="1" t="s">
        <v>8418</v>
      </c>
      <c r="F1776" s="1">
        <v>-1</v>
      </c>
      <c r="G1776" s="1">
        <v>-1</v>
      </c>
      <c r="H1776" s="1">
        <v>0</v>
      </c>
      <c r="I1776" s="1">
        <v>0</v>
      </c>
      <c r="J1776" s="1">
        <v>1</v>
      </c>
      <c r="K1776" s="1">
        <v>-1</v>
      </c>
    </row>
    <row r="1777" spans="3:11" x14ac:dyDescent="0.25">
      <c r="D1777" s="1" t="s">
        <v>8420</v>
      </c>
      <c r="E1777" s="1" t="s">
        <v>8421</v>
      </c>
      <c r="F1777" s="1">
        <v>-1</v>
      </c>
      <c r="G1777" s="1">
        <v>-1</v>
      </c>
      <c r="H1777" s="1">
        <v>0</v>
      </c>
      <c r="I1777" s="1">
        <v>0</v>
      </c>
      <c r="J1777" s="1">
        <v>1</v>
      </c>
      <c r="K1777" s="1">
        <v>-1</v>
      </c>
    </row>
    <row r="1778" spans="3:11" x14ac:dyDescent="0.25">
      <c r="C1778" s="1" t="s">
        <v>8422</v>
      </c>
      <c r="D1778" s="1" t="s">
        <v>8423</v>
      </c>
      <c r="E1778" s="1" t="s">
        <v>8422</v>
      </c>
      <c r="F1778" s="1">
        <v>-1</v>
      </c>
      <c r="G1778" s="1">
        <v>-1</v>
      </c>
      <c r="H1778" s="1">
        <v>0</v>
      </c>
      <c r="I1778" s="1">
        <v>0</v>
      </c>
      <c r="J1778" s="1">
        <v>1</v>
      </c>
      <c r="K1778" s="1">
        <v>-1</v>
      </c>
    </row>
    <row r="1779" spans="3:11" x14ac:dyDescent="0.25">
      <c r="C1779" s="1" t="s">
        <v>8424</v>
      </c>
      <c r="D1779" s="1" t="s">
        <v>8425</v>
      </c>
      <c r="E1779" s="1" t="s">
        <v>8424</v>
      </c>
      <c r="F1779" s="1">
        <v>-1</v>
      </c>
      <c r="G1779" s="1">
        <v>-1</v>
      </c>
      <c r="H1779" s="1">
        <v>0</v>
      </c>
      <c r="I1779" s="1">
        <v>0</v>
      </c>
      <c r="J1779" s="1">
        <v>1</v>
      </c>
      <c r="K1779" s="1">
        <v>-1</v>
      </c>
    </row>
    <row r="1780" spans="3:11" x14ac:dyDescent="0.25">
      <c r="C1780" s="1" t="s">
        <v>8426</v>
      </c>
      <c r="D1780" s="1" t="s">
        <v>8427</v>
      </c>
      <c r="E1780" s="1" t="s">
        <v>8426</v>
      </c>
      <c r="F1780" s="1">
        <v>-1</v>
      </c>
      <c r="G1780" s="1">
        <v>-1</v>
      </c>
      <c r="H1780" s="1">
        <v>0</v>
      </c>
      <c r="I1780" s="1">
        <v>0</v>
      </c>
      <c r="J1780" s="1">
        <v>1</v>
      </c>
      <c r="K1780" s="1">
        <v>-1</v>
      </c>
    </row>
    <row r="1781" spans="3:11" x14ac:dyDescent="0.25">
      <c r="C1781" s="1" t="s">
        <v>8428</v>
      </c>
      <c r="D1781" s="1" t="s">
        <v>8429</v>
      </c>
      <c r="E1781" s="1" t="s">
        <v>8430</v>
      </c>
      <c r="F1781" s="1">
        <v>-1</v>
      </c>
      <c r="G1781" s="1">
        <v>-1</v>
      </c>
      <c r="H1781" s="1">
        <v>0</v>
      </c>
      <c r="I1781" s="1">
        <v>0</v>
      </c>
      <c r="J1781" s="1">
        <v>1</v>
      </c>
      <c r="K1781" s="1">
        <v>-1</v>
      </c>
    </row>
    <row r="1782" spans="3:11" x14ac:dyDescent="0.25">
      <c r="C1782" s="1" t="s">
        <v>8431</v>
      </c>
      <c r="D1782" s="1" t="s">
        <v>8432</v>
      </c>
      <c r="E1782" s="1" t="s">
        <v>8431</v>
      </c>
      <c r="F1782" s="1">
        <v>-1</v>
      </c>
      <c r="G1782" s="1">
        <v>-1</v>
      </c>
      <c r="H1782" s="1">
        <v>0</v>
      </c>
      <c r="I1782" s="1">
        <v>0</v>
      </c>
      <c r="J1782" s="1">
        <v>1</v>
      </c>
      <c r="K1782" s="1">
        <v>-1</v>
      </c>
    </row>
    <row r="1783" spans="3:11" x14ac:dyDescent="0.25">
      <c r="C1783" s="1" t="s">
        <v>8433</v>
      </c>
      <c r="D1783" s="1" t="s">
        <v>8434</v>
      </c>
      <c r="E1783" s="1" t="s">
        <v>8433</v>
      </c>
      <c r="F1783" s="1">
        <v>-1</v>
      </c>
      <c r="G1783" s="1">
        <v>-1</v>
      </c>
      <c r="H1783" s="1">
        <v>0</v>
      </c>
      <c r="I1783" s="1">
        <v>0</v>
      </c>
      <c r="J1783" s="1">
        <v>1</v>
      </c>
      <c r="K1783" s="1">
        <v>-1</v>
      </c>
    </row>
    <row r="1784" spans="3:11" x14ac:dyDescent="0.25">
      <c r="C1784" s="1" t="s">
        <v>8435</v>
      </c>
      <c r="D1784" s="1" t="s">
        <v>8436</v>
      </c>
      <c r="E1784" s="1" t="s">
        <v>8435</v>
      </c>
      <c r="F1784" s="1">
        <v>-1</v>
      </c>
      <c r="G1784" s="1">
        <v>-1</v>
      </c>
      <c r="H1784" s="1">
        <v>0</v>
      </c>
      <c r="I1784" s="1">
        <v>0</v>
      </c>
      <c r="J1784" s="1">
        <v>1</v>
      </c>
      <c r="K1784" s="1">
        <v>-1</v>
      </c>
    </row>
    <row r="1785" spans="3:11" x14ac:dyDescent="0.25">
      <c r="C1785" s="1" t="s">
        <v>8437</v>
      </c>
      <c r="D1785" s="1" t="s">
        <v>8438</v>
      </c>
      <c r="E1785" s="1" t="s">
        <v>8437</v>
      </c>
      <c r="F1785" s="1">
        <v>-1</v>
      </c>
      <c r="G1785" s="1">
        <v>-1</v>
      </c>
      <c r="H1785" s="1">
        <v>0</v>
      </c>
      <c r="I1785" s="1">
        <v>0</v>
      </c>
      <c r="J1785" s="1">
        <v>1</v>
      </c>
      <c r="K1785" s="1">
        <v>-1</v>
      </c>
    </row>
    <row r="1786" spans="3:11" x14ac:dyDescent="0.25">
      <c r="C1786" s="1" t="s">
        <v>8439</v>
      </c>
      <c r="D1786" s="1" t="s">
        <v>8440</v>
      </c>
      <c r="E1786" s="1" t="s">
        <v>8441</v>
      </c>
      <c r="F1786" s="1">
        <v>-1</v>
      </c>
      <c r="G1786" s="1">
        <v>-1</v>
      </c>
      <c r="H1786" s="1">
        <v>0</v>
      </c>
      <c r="I1786" s="1">
        <v>0</v>
      </c>
      <c r="J1786" s="1">
        <v>1</v>
      </c>
      <c r="K1786" s="1">
        <v>-1</v>
      </c>
    </row>
    <row r="1787" spans="3:11" x14ac:dyDescent="0.25">
      <c r="C1787" s="1" t="s">
        <v>8442</v>
      </c>
      <c r="D1787" s="1" t="s">
        <v>8443</v>
      </c>
      <c r="E1787" s="1" t="s">
        <v>8444</v>
      </c>
      <c r="F1787" s="1">
        <v>-1</v>
      </c>
      <c r="G1787" s="1">
        <v>-1</v>
      </c>
      <c r="H1787" s="1">
        <v>0</v>
      </c>
      <c r="I1787" s="1">
        <v>0</v>
      </c>
      <c r="J1787" s="1">
        <v>1</v>
      </c>
      <c r="K1787" s="1">
        <v>-1</v>
      </c>
    </row>
    <row r="1788" spans="3:11" x14ac:dyDescent="0.25">
      <c r="D1788" s="1" t="s">
        <v>8445</v>
      </c>
      <c r="E1788" s="1" t="s">
        <v>8446</v>
      </c>
      <c r="F1788" s="1">
        <v>-1</v>
      </c>
      <c r="G1788" s="1">
        <v>-1</v>
      </c>
      <c r="H1788" s="1">
        <v>0</v>
      </c>
      <c r="I1788" s="1">
        <v>0</v>
      </c>
      <c r="J1788" s="1">
        <v>1</v>
      </c>
      <c r="K1788" s="1">
        <v>-1</v>
      </c>
    </row>
    <row r="1789" spans="3:11" x14ac:dyDescent="0.25">
      <c r="C1789" s="1" t="s">
        <v>8447</v>
      </c>
      <c r="D1789" s="1" t="s">
        <v>8448</v>
      </c>
      <c r="E1789" s="1" t="s">
        <v>8449</v>
      </c>
      <c r="F1789" s="1">
        <v>-1</v>
      </c>
      <c r="G1789" s="1">
        <v>-1</v>
      </c>
      <c r="H1789" s="1">
        <v>0</v>
      </c>
      <c r="I1789" s="1">
        <v>0</v>
      </c>
      <c r="J1789" s="1">
        <v>1</v>
      </c>
      <c r="K1789" s="1">
        <v>-1</v>
      </c>
    </row>
    <row r="1790" spans="3:11" x14ac:dyDescent="0.25">
      <c r="C1790" s="1" t="s">
        <v>8450</v>
      </c>
      <c r="D1790" s="1" t="s">
        <v>8451</v>
      </c>
      <c r="E1790" s="1" t="s">
        <v>8452</v>
      </c>
      <c r="F1790" s="1">
        <v>-1</v>
      </c>
      <c r="G1790" s="1">
        <v>-1</v>
      </c>
      <c r="H1790" s="1">
        <v>0</v>
      </c>
      <c r="I1790" s="1">
        <v>0</v>
      </c>
      <c r="J1790" s="1">
        <v>1</v>
      </c>
      <c r="K1790" s="1">
        <v>-1</v>
      </c>
    </row>
    <row r="1791" spans="3:11" x14ac:dyDescent="0.25">
      <c r="C1791" s="1" t="s">
        <v>8453</v>
      </c>
      <c r="D1791" s="1" t="s">
        <v>8454</v>
      </c>
      <c r="E1791" s="1" t="s">
        <v>8453</v>
      </c>
      <c r="F1791" s="1">
        <v>-1</v>
      </c>
      <c r="G1791" s="1">
        <v>-1</v>
      </c>
      <c r="H1791" s="1">
        <v>0</v>
      </c>
      <c r="I1791" s="1">
        <v>0</v>
      </c>
      <c r="J1791" s="1">
        <v>1</v>
      </c>
      <c r="K1791" s="1">
        <v>-1</v>
      </c>
    </row>
    <row r="1792" spans="3:11" x14ac:dyDescent="0.25">
      <c r="C1792" s="1" t="s">
        <v>8455</v>
      </c>
      <c r="D1792" s="1" t="s">
        <v>8456</v>
      </c>
      <c r="E1792" s="1" t="s">
        <v>8457</v>
      </c>
      <c r="F1792" s="1">
        <v>-1</v>
      </c>
      <c r="G1792" s="1">
        <v>-1</v>
      </c>
      <c r="H1792" s="1">
        <v>0</v>
      </c>
      <c r="I1792" s="1">
        <v>0</v>
      </c>
      <c r="J1792" s="1">
        <v>1</v>
      </c>
      <c r="K1792" s="1">
        <v>-1</v>
      </c>
    </row>
    <row r="1793" spans="3:11" x14ac:dyDescent="0.25">
      <c r="C1793" s="1" t="s">
        <v>8458</v>
      </c>
      <c r="D1793" s="1" t="s">
        <v>8459</v>
      </c>
      <c r="E1793" s="1" t="s">
        <v>8460</v>
      </c>
      <c r="F1793" s="1">
        <v>-1</v>
      </c>
      <c r="G1793" s="1">
        <v>-1</v>
      </c>
      <c r="H1793" s="1">
        <v>0</v>
      </c>
      <c r="I1793" s="1">
        <v>0</v>
      </c>
      <c r="J1793" s="1">
        <v>1</v>
      </c>
      <c r="K1793" s="1">
        <v>-1</v>
      </c>
    </row>
    <row r="1794" spans="3:11" x14ac:dyDescent="0.25">
      <c r="C1794" s="1" t="s">
        <v>8461</v>
      </c>
      <c r="D1794" s="1" t="s">
        <v>8462</v>
      </c>
      <c r="E1794" s="1" t="s">
        <v>8461</v>
      </c>
      <c r="F1794" s="1">
        <v>-1</v>
      </c>
      <c r="G1794" s="1">
        <v>-1</v>
      </c>
      <c r="H1794" s="1">
        <v>0</v>
      </c>
      <c r="I1794" s="1">
        <v>0</v>
      </c>
      <c r="J1794" s="1">
        <v>1</v>
      </c>
      <c r="K1794" s="1">
        <v>-1</v>
      </c>
    </row>
    <row r="1795" spans="3:11" x14ac:dyDescent="0.25">
      <c r="D1795" s="1" t="s">
        <v>8463</v>
      </c>
      <c r="E1795" s="1" t="s">
        <v>8464</v>
      </c>
      <c r="F1795" s="1">
        <v>-1</v>
      </c>
      <c r="G1795" s="1">
        <v>-1</v>
      </c>
      <c r="H1795" s="1">
        <v>0</v>
      </c>
      <c r="I1795" s="1">
        <v>0</v>
      </c>
      <c r="J1795" s="1">
        <v>1</v>
      </c>
      <c r="K1795" s="1">
        <v>-1</v>
      </c>
    </row>
    <row r="1796" spans="3:11" x14ac:dyDescent="0.25">
      <c r="D1796" s="1" t="s">
        <v>8465</v>
      </c>
      <c r="E1796" s="1" t="s">
        <v>8466</v>
      </c>
      <c r="F1796" s="1">
        <v>-1</v>
      </c>
      <c r="G1796" s="1">
        <v>-1</v>
      </c>
      <c r="H1796" s="1">
        <v>0</v>
      </c>
      <c r="I1796" s="1">
        <v>0</v>
      </c>
      <c r="J1796" s="1">
        <v>1</v>
      </c>
      <c r="K1796" s="1">
        <v>-1</v>
      </c>
    </row>
    <row r="1797" spans="3:11" x14ac:dyDescent="0.25">
      <c r="C1797" s="1" t="s">
        <v>8467</v>
      </c>
      <c r="D1797" s="1" t="s">
        <v>8468</v>
      </c>
      <c r="E1797" s="1" t="s">
        <v>8467</v>
      </c>
      <c r="F1797" s="1">
        <v>-1</v>
      </c>
      <c r="G1797" s="1">
        <v>-1</v>
      </c>
      <c r="H1797" s="1">
        <v>0</v>
      </c>
      <c r="I1797" s="1">
        <v>0</v>
      </c>
      <c r="J1797" s="1">
        <v>1</v>
      </c>
      <c r="K1797" s="1">
        <v>-1</v>
      </c>
    </row>
    <row r="1798" spans="3:11" x14ac:dyDescent="0.25">
      <c r="C1798" s="1" t="s">
        <v>8469</v>
      </c>
      <c r="D1798" s="1" t="s">
        <v>8470</v>
      </c>
      <c r="E1798" s="1" t="s">
        <v>8471</v>
      </c>
      <c r="F1798" s="1">
        <v>-1</v>
      </c>
      <c r="G1798" s="1">
        <v>-1</v>
      </c>
      <c r="H1798" s="1">
        <v>0</v>
      </c>
      <c r="I1798" s="1">
        <v>0</v>
      </c>
      <c r="J1798" s="1">
        <v>1</v>
      </c>
      <c r="K1798" s="1">
        <v>-1</v>
      </c>
    </row>
    <row r="1799" spans="3:11" x14ac:dyDescent="0.25">
      <c r="C1799" s="1" t="s">
        <v>8472</v>
      </c>
      <c r="D1799" s="1" t="s">
        <v>8473</v>
      </c>
      <c r="E1799" s="1" t="s">
        <v>8472</v>
      </c>
      <c r="F1799" s="1">
        <v>-1</v>
      </c>
      <c r="G1799" s="1">
        <v>-1</v>
      </c>
      <c r="H1799" s="1">
        <v>0</v>
      </c>
      <c r="I1799" s="1">
        <v>0</v>
      </c>
      <c r="J1799" s="1">
        <v>1</v>
      </c>
      <c r="K1799" s="1">
        <v>-1</v>
      </c>
    </row>
    <row r="1800" spans="3:11" x14ac:dyDescent="0.25">
      <c r="D1800" s="1" t="s">
        <v>8474</v>
      </c>
      <c r="E1800" s="1" t="s">
        <v>8475</v>
      </c>
      <c r="F1800" s="1">
        <v>-1</v>
      </c>
      <c r="G1800" s="1">
        <v>-1</v>
      </c>
      <c r="H1800" s="1">
        <v>0</v>
      </c>
      <c r="I1800" s="1">
        <v>0</v>
      </c>
      <c r="J1800" s="1">
        <v>1</v>
      </c>
      <c r="K1800" s="1">
        <v>-1</v>
      </c>
    </row>
    <row r="1801" spans="3:11" x14ac:dyDescent="0.25">
      <c r="D1801" s="1" t="s">
        <v>8476</v>
      </c>
      <c r="E1801" s="1" t="s">
        <v>8477</v>
      </c>
      <c r="F1801" s="1">
        <v>-1</v>
      </c>
      <c r="G1801" s="1">
        <v>-1</v>
      </c>
      <c r="H1801" s="1">
        <v>0</v>
      </c>
      <c r="I1801" s="1">
        <v>0</v>
      </c>
      <c r="J1801" s="1">
        <v>1</v>
      </c>
      <c r="K1801" s="1">
        <v>-1</v>
      </c>
    </row>
    <row r="1802" spans="3:11" x14ac:dyDescent="0.25">
      <c r="D1802" s="1" t="s">
        <v>8478</v>
      </c>
      <c r="E1802" s="1" t="s">
        <v>8479</v>
      </c>
      <c r="F1802" s="1">
        <v>-1</v>
      </c>
      <c r="G1802" s="1">
        <v>-1</v>
      </c>
      <c r="H1802" s="1">
        <v>0</v>
      </c>
      <c r="I1802" s="1">
        <v>0</v>
      </c>
      <c r="J1802" s="1">
        <v>1</v>
      </c>
      <c r="K1802" s="1">
        <v>-1</v>
      </c>
    </row>
    <row r="1803" spans="3:11" x14ac:dyDescent="0.25">
      <c r="C1803" s="1" t="s">
        <v>8480</v>
      </c>
      <c r="D1803" s="1" t="s">
        <v>8481</v>
      </c>
      <c r="E1803" s="1" t="s">
        <v>8482</v>
      </c>
      <c r="F1803" s="1">
        <v>-1</v>
      </c>
      <c r="G1803" s="1">
        <v>-1</v>
      </c>
      <c r="H1803" s="1">
        <v>0</v>
      </c>
      <c r="I1803" s="1">
        <v>0</v>
      </c>
      <c r="J1803" s="1">
        <v>1</v>
      </c>
      <c r="K1803" s="1">
        <v>-1</v>
      </c>
    </row>
    <row r="1804" spans="3:11" x14ac:dyDescent="0.25">
      <c r="C1804" s="1" t="s">
        <v>8483</v>
      </c>
      <c r="D1804" s="1" t="s">
        <v>8484</v>
      </c>
      <c r="E1804" s="1" t="s">
        <v>8483</v>
      </c>
      <c r="F1804" s="1">
        <v>-1</v>
      </c>
      <c r="G1804" s="1">
        <v>-1</v>
      </c>
      <c r="H1804" s="1">
        <v>0</v>
      </c>
      <c r="I1804" s="1">
        <v>0</v>
      </c>
      <c r="J1804" s="1">
        <v>1</v>
      </c>
      <c r="K1804" s="1">
        <v>-1</v>
      </c>
    </row>
    <row r="1805" spans="3:11" x14ac:dyDescent="0.25">
      <c r="C1805" s="1" t="s">
        <v>8485</v>
      </c>
      <c r="D1805" s="1" t="s">
        <v>8486</v>
      </c>
      <c r="E1805" s="1" t="s">
        <v>8485</v>
      </c>
      <c r="F1805" s="1">
        <v>-1</v>
      </c>
      <c r="G1805" s="1">
        <v>-1</v>
      </c>
      <c r="H1805" s="1">
        <v>0</v>
      </c>
      <c r="I1805" s="1">
        <v>0</v>
      </c>
      <c r="J1805" s="1">
        <v>1</v>
      </c>
      <c r="K1805" s="1">
        <v>-1</v>
      </c>
    </row>
    <row r="1806" spans="3:11" x14ac:dyDescent="0.25">
      <c r="D1806" s="1" t="s">
        <v>8487</v>
      </c>
      <c r="E1806" s="1" t="s">
        <v>8488</v>
      </c>
      <c r="F1806" s="1">
        <v>-1</v>
      </c>
      <c r="G1806" s="1">
        <v>-1</v>
      </c>
      <c r="H1806" s="1">
        <v>0</v>
      </c>
      <c r="I1806" s="1">
        <v>0</v>
      </c>
      <c r="J1806" s="1">
        <v>1</v>
      </c>
      <c r="K1806" s="1">
        <v>-1</v>
      </c>
    </row>
    <row r="1807" spans="3:11" x14ac:dyDescent="0.25">
      <c r="C1807" s="1" t="s">
        <v>8489</v>
      </c>
      <c r="D1807" s="1" t="s">
        <v>8490</v>
      </c>
      <c r="E1807" s="1" t="s">
        <v>8489</v>
      </c>
      <c r="F1807" s="1">
        <v>-1</v>
      </c>
      <c r="G1807" s="1">
        <v>-1</v>
      </c>
      <c r="H1807" s="1">
        <v>0</v>
      </c>
      <c r="I1807" s="1">
        <v>0</v>
      </c>
      <c r="J1807" s="1">
        <v>1</v>
      </c>
      <c r="K1807" s="1">
        <v>-1</v>
      </c>
    </row>
    <row r="1808" spans="3:11" x14ac:dyDescent="0.25">
      <c r="D1808" s="1" t="s">
        <v>8491</v>
      </c>
      <c r="E1808" s="1" t="s">
        <v>8492</v>
      </c>
      <c r="F1808" s="1">
        <v>-1</v>
      </c>
      <c r="G1808" s="1">
        <v>-1</v>
      </c>
      <c r="H1808" s="1">
        <v>0</v>
      </c>
      <c r="I1808" s="1">
        <v>0</v>
      </c>
      <c r="J1808" s="1">
        <v>1</v>
      </c>
      <c r="K1808" s="1">
        <v>-1</v>
      </c>
    </row>
    <row r="1809" spans="3:11" x14ac:dyDescent="0.25">
      <c r="D1809" s="1" t="s">
        <v>8493</v>
      </c>
      <c r="E1809" s="1" t="s">
        <v>8494</v>
      </c>
      <c r="F1809" s="1">
        <v>-1</v>
      </c>
      <c r="G1809" s="1">
        <v>-1</v>
      </c>
      <c r="H1809" s="1">
        <v>0</v>
      </c>
      <c r="I1809" s="1">
        <v>0</v>
      </c>
      <c r="J1809" s="1">
        <v>1</v>
      </c>
      <c r="K1809" s="1">
        <v>-1</v>
      </c>
    </row>
    <row r="1810" spans="3:11" x14ac:dyDescent="0.25">
      <c r="D1810" s="1" t="s">
        <v>8495</v>
      </c>
      <c r="E1810" s="1" t="s">
        <v>8496</v>
      </c>
      <c r="F1810" s="1">
        <v>-1</v>
      </c>
      <c r="G1810" s="1">
        <v>-1</v>
      </c>
      <c r="H1810" s="1">
        <v>0</v>
      </c>
      <c r="I1810" s="1">
        <v>0</v>
      </c>
      <c r="J1810" s="1">
        <v>1</v>
      </c>
      <c r="K1810" s="1">
        <v>-1</v>
      </c>
    </row>
    <row r="1811" spans="3:11" x14ac:dyDescent="0.25">
      <c r="D1811" s="1" t="s">
        <v>8497</v>
      </c>
      <c r="E1811" s="1" t="s">
        <v>8498</v>
      </c>
      <c r="F1811" s="1">
        <v>-1</v>
      </c>
      <c r="G1811" s="1">
        <v>-1</v>
      </c>
      <c r="H1811" s="1">
        <v>0</v>
      </c>
      <c r="I1811" s="1">
        <v>0</v>
      </c>
      <c r="J1811" s="1">
        <v>1</v>
      </c>
      <c r="K1811" s="1">
        <v>-1</v>
      </c>
    </row>
    <row r="1812" spans="3:11" x14ac:dyDescent="0.25">
      <c r="D1812" s="1" t="s">
        <v>8499</v>
      </c>
      <c r="E1812" s="1" t="s">
        <v>8500</v>
      </c>
      <c r="F1812" s="1">
        <v>-1</v>
      </c>
      <c r="G1812" s="1">
        <v>-1</v>
      </c>
      <c r="H1812" s="1">
        <v>0</v>
      </c>
      <c r="I1812" s="1">
        <v>0</v>
      </c>
      <c r="J1812" s="1">
        <v>1</v>
      </c>
      <c r="K1812" s="1">
        <v>-1</v>
      </c>
    </row>
    <row r="1813" spans="3:11" x14ac:dyDescent="0.25">
      <c r="D1813" s="1" t="s">
        <v>8501</v>
      </c>
      <c r="E1813" s="1" t="s">
        <v>8502</v>
      </c>
      <c r="F1813" s="1">
        <v>-1</v>
      </c>
      <c r="G1813" s="1">
        <v>-1</v>
      </c>
      <c r="H1813" s="1">
        <v>0</v>
      </c>
      <c r="I1813" s="1">
        <v>0</v>
      </c>
      <c r="J1813" s="1">
        <v>1</v>
      </c>
      <c r="K1813" s="1">
        <v>-1</v>
      </c>
    </row>
    <row r="1814" spans="3:11" x14ac:dyDescent="0.25">
      <c r="D1814" s="1" t="s">
        <v>8503</v>
      </c>
      <c r="E1814" s="1" t="s">
        <v>8504</v>
      </c>
      <c r="F1814" s="1">
        <v>-1</v>
      </c>
      <c r="G1814" s="1">
        <v>-1</v>
      </c>
      <c r="H1814" s="1">
        <v>0</v>
      </c>
      <c r="I1814" s="1">
        <v>0</v>
      </c>
      <c r="J1814" s="1">
        <v>1</v>
      </c>
      <c r="K1814" s="1">
        <v>-1</v>
      </c>
    </row>
    <row r="1815" spans="3:11" x14ac:dyDescent="0.25">
      <c r="D1815" s="1" t="s">
        <v>8505</v>
      </c>
      <c r="E1815" s="1" t="s">
        <v>8506</v>
      </c>
      <c r="F1815" s="1">
        <v>-1</v>
      </c>
      <c r="G1815" s="1">
        <v>-1</v>
      </c>
      <c r="H1815" s="1">
        <v>0</v>
      </c>
      <c r="I1815" s="1">
        <v>0</v>
      </c>
      <c r="J1815" s="1">
        <v>1</v>
      </c>
      <c r="K1815" s="1">
        <v>-1</v>
      </c>
    </row>
    <row r="1816" spans="3:11" x14ac:dyDescent="0.25">
      <c r="C1816" s="1" t="s">
        <v>8507</v>
      </c>
      <c r="D1816" s="1" t="s">
        <v>8508</v>
      </c>
      <c r="E1816" s="1" t="s">
        <v>8507</v>
      </c>
      <c r="F1816" s="1">
        <v>-1</v>
      </c>
      <c r="G1816" s="1">
        <v>-1</v>
      </c>
      <c r="H1816" s="1">
        <v>0</v>
      </c>
      <c r="I1816" s="1">
        <v>0</v>
      </c>
      <c r="J1816" s="1">
        <v>1</v>
      </c>
      <c r="K1816" s="1">
        <v>-1</v>
      </c>
    </row>
    <row r="1817" spans="3:11" x14ac:dyDescent="0.25">
      <c r="C1817" s="1" t="s">
        <v>8509</v>
      </c>
      <c r="D1817" s="1" t="s">
        <v>8510</v>
      </c>
      <c r="E1817" s="1" t="s">
        <v>8509</v>
      </c>
      <c r="F1817" s="1">
        <v>-1</v>
      </c>
      <c r="G1817" s="1">
        <v>-1</v>
      </c>
      <c r="H1817" s="1">
        <v>0</v>
      </c>
      <c r="I1817" s="1">
        <v>0</v>
      </c>
      <c r="J1817" s="1">
        <v>1</v>
      </c>
      <c r="K1817" s="1">
        <v>-1</v>
      </c>
    </row>
    <row r="1818" spans="3:11" x14ac:dyDescent="0.25">
      <c r="C1818" s="1" t="s">
        <v>8511</v>
      </c>
      <c r="D1818" s="1" t="s">
        <v>8512</v>
      </c>
      <c r="E1818" s="1" t="s">
        <v>8511</v>
      </c>
      <c r="F1818" s="1">
        <v>-1</v>
      </c>
      <c r="G1818" s="1">
        <v>-1</v>
      </c>
      <c r="H1818" s="1">
        <v>0</v>
      </c>
      <c r="I1818" s="1">
        <v>0</v>
      </c>
      <c r="J1818" s="1">
        <v>1</v>
      </c>
      <c r="K1818" s="1">
        <v>-1</v>
      </c>
    </row>
    <row r="1819" spans="3:11" x14ac:dyDescent="0.25">
      <c r="C1819" s="1" t="s">
        <v>8513</v>
      </c>
      <c r="D1819" s="1" t="s">
        <v>8514</v>
      </c>
      <c r="E1819" s="1" t="s">
        <v>8515</v>
      </c>
      <c r="F1819" s="1">
        <v>-1</v>
      </c>
      <c r="G1819" s="1">
        <v>-1</v>
      </c>
      <c r="H1819" s="1">
        <v>0</v>
      </c>
      <c r="I1819" s="1">
        <v>0</v>
      </c>
      <c r="J1819" s="1">
        <v>1</v>
      </c>
      <c r="K1819" s="1">
        <v>-1</v>
      </c>
    </row>
    <row r="1820" spans="3:11" x14ac:dyDescent="0.25">
      <c r="C1820" s="1" t="s">
        <v>8516</v>
      </c>
      <c r="D1820" s="1" t="s">
        <v>8517</v>
      </c>
      <c r="E1820" s="1" t="s">
        <v>8516</v>
      </c>
      <c r="F1820" s="1">
        <v>-1</v>
      </c>
      <c r="G1820" s="1">
        <v>-1</v>
      </c>
      <c r="H1820" s="1">
        <v>0</v>
      </c>
      <c r="I1820" s="1">
        <v>0</v>
      </c>
      <c r="J1820" s="1">
        <v>1</v>
      </c>
      <c r="K1820" s="1">
        <v>-1</v>
      </c>
    </row>
    <row r="1821" spans="3:11" x14ac:dyDescent="0.25">
      <c r="D1821" s="1" t="s">
        <v>8518</v>
      </c>
      <c r="E1821" s="1" t="s">
        <v>8519</v>
      </c>
      <c r="F1821" s="1">
        <v>-1</v>
      </c>
      <c r="G1821" s="1">
        <v>-1</v>
      </c>
      <c r="H1821" s="1">
        <v>0</v>
      </c>
      <c r="I1821" s="1">
        <v>0</v>
      </c>
      <c r="J1821" s="1">
        <v>1</v>
      </c>
      <c r="K1821" s="1">
        <v>-1</v>
      </c>
    </row>
    <row r="1822" spans="3:11" x14ac:dyDescent="0.25">
      <c r="C1822" s="1" t="s">
        <v>8520</v>
      </c>
      <c r="D1822" s="1" t="s">
        <v>8521</v>
      </c>
      <c r="E1822" s="1" t="s">
        <v>8522</v>
      </c>
      <c r="F1822" s="1">
        <v>-1</v>
      </c>
      <c r="G1822" s="1">
        <v>-1</v>
      </c>
      <c r="H1822" s="1">
        <v>0</v>
      </c>
      <c r="I1822" s="1">
        <v>0</v>
      </c>
      <c r="J1822" s="1">
        <v>1</v>
      </c>
      <c r="K1822" s="1">
        <v>-1</v>
      </c>
    </row>
    <row r="1823" spans="3:11" x14ac:dyDescent="0.25">
      <c r="D1823" s="1" t="s">
        <v>8523</v>
      </c>
      <c r="E1823" s="1" t="s">
        <v>8524</v>
      </c>
      <c r="F1823" s="1">
        <v>-1</v>
      </c>
      <c r="G1823" s="1">
        <v>-1</v>
      </c>
      <c r="H1823" s="1">
        <v>0</v>
      </c>
      <c r="I1823" s="1">
        <v>0</v>
      </c>
      <c r="J1823" s="1">
        <v>1</v>
      </c>
      <c r="K1823" s="1">
        <v>-1</v>
      </c>
    </row>
    <row r="1824" spans="3:11" x14ac:dyDescent="0.25">
      <c r="D1824" s="1" t="s">
        <v>8525</v>
      </c>
      <c r="E1824" s="1" t="s">
        <v>8526</v>
      </c>
      <c r="F1824" s="1">
        <v>-1</v>
      </c>
      <c r="G1824" s="1">
        <v>-1</v>
      </c>
      <c r="H1824" s="1">
        <v>0</v>
      </c>
      <c r="I1824" s="1">
        <v>0</v>
      </c>
      <c r="J1824" s="1">
        <v>1</v>
      </c>
      <c r="K1824" s="1">
        <v>-1</v>
      </c>
    </row>
    <row r="1825" spans="4:11" x14ac:dyDescent="0.25">
      <c r="D1825" s="1" t="s">
        <v>8527</v>
      </c>
      <c r="E1825" s="1" t="s">
        <v>8528</v>
      </c>
      <c r="F1825" s="1">
        <v>-1</v>
      </c>
      <c r="G1825" s="1">
        <v>-1</v>
      </c>
      <c r="H1825" s="1">
        <v>0</v>
      </c>
      <c r="I1825" s="1">
        <v>0</v>
      </c>
      <c r="J1825" s="1">
        <v>1</v>
      </c>
      <c r="K1825" s="1">
        <v>-1</v>
      </c>
    </row>
    <row r="1826" spans="4:11" x14ac:dyDescent="0.25">
      <c r="D1826" s="1" t="s">
        <v>8529</v>
      </c>
      <c r="E1826" s="1" t="s">
        <v>8530</v>
      </c>
      <c r="F1826" s="1">
        <v>-1</v>
      </c>
      <c r="G1826" s="1">
        <v>-1</v>
      </c>
      <c r="H1826" s="1">
        <v>0</v>
      </c>
      <c r="I1826" s="1">
        <v>0</v>
      </c>
      <c r="J1826" s="1">
        <v>1</v>
      </c>
      <c r="K1826" s="1">
        <v>-1</v>
      </c>
    </row>
    <row r="1827" spans="4:11" x14ac:dyDescent="0.25">
      <c r="D1827" s="1" t="s">
        <v>8531</v>
      </c>
      <c r="E1827" s="1" t="s">
        <v>8532</v>
      </c>
      <c r="F1827" s="1">
        <v>-1</v>
      </c>
      <c r="G1827" s="1">
        <v>-1</v>
      </c>
      <c r="H1827" s="1">
        <v>0</v>
      </c>
      <c r="I1827" s="1">
        <v>0</v>
      </c>
      <c r="J1827" s="1">
        <v>1</v>
      </c>
      <c r="K1827" s="1">
        <v>-1</v>
      </c>
    </row>
    <row r="1828" spans="4:11" x14ac:dyDescent="0.25">
      <c r="D1828" s="1" t="s">
        <v>8533</v>
      </c>
      <c r="E1828" s="1" t="s">
        <v>8534</v>
      </c>
      <c r="F1828" s="1">
        <v>-1</v>
      </c>
      <c r="G1828" s="1">
        <v>-1</v>
      </c>
      <c r="H1828" s="1">
        <v>0</v>
      </c>
      <c r="I1828" s="1">
        <v>0</v>
      </c>
      <c r="J1828" s="1">
        <v>1</v>
      </c>
      <c r="K1828" s="1">
        <v>-1</v>
      </c>
    </row>
    <row r="1829" spans="4:11" x14ac:dyDescent="0.25">
      <c r="D1829" s="1" t="s">
        <v>8535</v>
      </c>
      <c r="E1829" s="1" t="s">
        <v>8536</v>
      </c>
      <c r="F1829" s="1">
        <v>-1</v>
      </c>
      <c r="G1829" s="1">
        <v>-1</v>
      </c>
      <c r="H1829" s="1">
        <v>0</v>
      </c>
      <c r="I1829" s="1">
        <v>0</v>
      </c>
      <c r="J1829" s="1">
        <v>1</v>
      </c>
      <c r="K1829" s="1">
        <v>-1</v>
      </c>
    </row>
    <row r="1830" spans="4:11" x14ac:dyDescent="0.25">
      <c r="D1830" s="1" t="s">
        <v>8537</v>
      </c>
      <c r="E1830" s="1" t="s">
        <v>8538</v>
      </c>
      <c r="F1830" s="1">
        <v>-1</v>
      </c>
      <c r="G1830" s="1">
        <v>-1</v>
      </c>
      <c r="H1830" s="1">
        <v>0</v>
      </c>
      <c r="I1830" s="1">
        <v>0</v>
      </c>
      <c r="J1830" s="1">
        <v>1</v>
      </c>
      <c r="K1830" s="1">
        <v>-1</v>
      </c>
    </row>
    <row r="1831" spans="4:11" x14ac:dyDescent="0.25">
      <c r="D1831" s="1" t="s">
        <v>8539</v>
      </c>
      <c r="E1831" s="1" t="s">
        <v>8540</v>
      </c>
      <c r="F1831" s="1">
        <v>-1</v>
      </c>
      <c r="G1831" s="1">
        <v>-1</v>
      </c>
      <c r="H1831" s="1">
        <v>0</v>
      </c>
      <c r="I1831" s="1">
        <v>0</v>
      </c>
      <c r="J1831" s="1">
        <v>1</v>
      </c>
      <c r="K1831" s="1">
        <v>-1</v>
      </c>
    </row>
    <row r="1832" spans="4:11" x14ac:dyDescent="0.25">
      <c r="D1832" s="1" t="s">
        <v>8541</v>
      </c>
      <c r="E1832" s="1" t="s">
        <v>8542</v>
      </c>
      <c r="F1832" s="1">
        <v>-1</v>
      </c>
      <c r="G1832" s="1">
        <v>-1</v>
      </c>
      <c r="H1832" s="1">
        <v>0</v>
      </c>
      <c r="I1832" s="1">
        <v>0</v>
      </c>
      <c r="J1832" s="1">
        <v>1</v>
      </c>
      <c r="K1832" s="1">
        <v>-1</v>
      </c>
    </row>
    <row r="1833" spans="4:11" x14ac:dyDescent="0.25">
      <c r="D1833" s="1" t="s">
        <v>8543</v>
      </c>
      <c r="E1833" s="1" t="s">
        <v>8544</v>
      </c>
      <c r="F1833" s="1">
        <v>-1</v>
      </c>
      <c r="G1833" s="1">
        <v>-1</v>
      </c>
      <c r="H1833" s="1">
        <v>0</v>
      </c>
      <c r="I1833" s="1">
        <v>0</v>
      </c>
      <c r="J1833" s="1">
        <v>1</v>
      </c>
      <c r="K1833" s="1">
        <v>-1</v>
      </c>
    </row>
    <row r="1834" spans="4:11" x14ac:dyDescent="0.25">
      <c r="D1834" s="1" t="s">
        <v>8545</v>
      </c>
      <c r="E1834" s="1" t="s">
        <v>8546</v>
      </c>
      <c r="F1834" s="1">
        <v>-1</v>
      </c>
      <c r="G1834" s="1">
        <v>-1</v>
      </c>
      <c r="H1834" s="1">
        <v>0</v>
      </c>
      <c r="I1834" s="1">
        <v>0</v>
      </c>
      <c r="J1834" s="1">
        <v>1</v>
      </c>
      <c r="K1834" s="1">
        <v>-1</v>
      </c>
    </row>
    <row r="1835" spans="4:11" x14ac:dyDescent="0.25">
      <c r="D1835" s="1" t="s">
        <v>8547</v>
      </c>
      <c r="E1835" s="1" t="s">
        <v>8548</v>
      </c>
      <c r="F1835" s="1">
        <v>-1</v>
      </c>
      <c r="G1835" s="1">
        <v>-1</v>
      </c>
      <c r="H1835" s="1">
        <v>0</v>
      </c>
      <c r="I1835" s="1">
        <v>0</v>
      </c>
      <c r="J1835" s="1">
        <v>1</v>
      </c>
      <c r="K1835" s="1">
        <v>-1</v>
      </c>
    </row>
    <row r="1836" spans="4:11" x14ac:dyDescent="0.25">
      <c r="D1836" s="1" t="s">
        <v>8549</v>
      </c>
      <c r="E1836" s="1" t="s">
        <v>8550</v>
      </c>
      <c r="F1836" s="1">
        <v>-1</v>
      </c>
      <c r="G1836" s="1">
        <v>-1</v>
      </c>
      <c r="H1836" s="1">
        <v>0</v>
      </c>
      <c r="I1836" s="1">
        <v>0</v>
      </c>
      <c r="J1836" s="1">
        <v>1</v>
      </c>
      <c r="K1836" s="1">
        <v>-1</v>
      </c>
    </row>
    <row r="1837" spans="4:11" x14ac:dyDescent="0.25">
      <c r="D1837" s="1" t="s">
        <v>8551</v>
      </c>
      <c r="E1837" s="1" t="s">
        <v>8552</v>
      </c>
      <c r="F1837" s="1">
        <v>-1</v>
      </c>
      <c r="G1837" s="1">
        <v>-1</v>
      </c>
      <c r="H1837" s="1">
        <v>0</v>
      </c>
      <c r="I1837" s="1">
        <v>0</v>
      </c>
      <c r="J1837" s="1">
        <v>1</v>
      </c>
      <c r="K1837" s="1">
        <v>-1</v>
      </c>
    </row>
    <row r="1838" spans="4:11" x14ac:dyDescent="0.25">
      <c r="D1838" s="1" t="s">
        <v>8553</v>
      </c>
      <c r="E1838" s="1" t="s">
        <v>8554</v>
      </c>
      <c r="F1838" s="1">
        <v>-1</v>
      </c>
      <c r="G1838" s="1">
        <v>-1</v>
      </c>
      <c r="H1838" s="1">
        <v>0</v>
      </c>
      <c r="I1838" s="1">
        <v>0</v>
      </c>
      <c r="J1838" s="1">
        <v>1</v>
      </c>
      <c r="K1838" s="1">
        <v>-1</v>
      </c>
    </row>
    <row r="1839" spans="4:11" x14ac:dyDescent="0.25">
      <c r="D1839" s="1" t="s">
        <v>8555</v>
      </c>
      <c r="E1839" s="1" t="s">
        <v>8556</v>
      </c>
      <c r="F1839" s="1">
        <v>-1</v>
      </c>
      <c r="G1839" s="1">
        <v>-1</v>
      </c>
      <c r="H1839" s="1">
        <v>0</v>
      </c>
      <c r="I1839" s="1">
        <v>0</v>
      </c>
      <c r="J1839" s="1">
        <v>1</v>
      </c>
      <c r="K1839" s="1">
        <v>-1</v>
      </c>
    </row>
    <row r="1840" spans="4:11" x14ac:dyDescent="0.25">
      <c r="D1840" s="1" t="s">
        <v>8557</v>
      </c>
      <c r="E1840" s="1" t="s">
        <v>8558</v>
      </c>
      <c r="F1840" s="1">
        <v>-1</v>
      </c>
      <c r="G1840" s="1">
        <v>-1</v>
      </c>
      <c r="H1840" s="1">
        <v>0</v>
      </c>
      <c r="I1840" s="1">
        <v>0</v>
      </c>
      <c r="J1840" s="1">
        <v>1</v>
      </c>
      <c r="K1840" s="1">
        <v>-1</v>
      </c>
    </row>
    <row r="1841" spans="4:11" x14ac:dyDescent="0.25">
      <c r="D1841" s="1" t="s">
        <v>8559</v>
      </c>
      <c r="E1841" s="1" t="s">
        <v>8560</v>
      </c>
      <c r="F1841" s="1">
        <v>-1</v>
      </c>
      <c r="G1841" s="1">
        <v>-1</v>
      </c>
      <c r="H1841" s="1">
        <v>0</v>
      </c>
      <c r="I1841" s="1">
        <v>0</v>
      </c>
      <c r="J1841" s="1">
        <v>1</v>
      </c>
      <c r="K1841" s="1">
        <v>-1</v>
      </c>
    </row>
    <row r="1842" spans="4:11" x14ac:dyDescent="0.25">
      <c r="D1842" s="1" t="s">
        <v>8561</v>
      </c>
      <c r="E1842" s="1" t="s">
        <v>8562</v>
      </c>
      <c r="F1842" s="1">
        <v>-1</v>
      </c>
      <c r="G1842" s="1">
        <v>-1</v>
      </c>
      <c r="H1842" s="1">
        <v>0</v>
      </c>
      <c r="I1842" s="1">
        <v>0</v>
      </c>
      <c r="J1842" s="1">
        <v>1</v>
      </c>
      <c r="K1842" s="1">
        <v>-1</v>
      </c>
    </row>
    <row r="1843" spans="4:11" x14ac:dyDescent="0.25">
      <c r="D1843" s="1" t="s">
        <v>8563</v>
      </c>
      <c r="E1843" s="1" t="s">
        <v>8564</v>
      </c>
      <c r="F1843" s="1">
        <v>-1</v>
      </c>
      <c r="G1843" s="1">
        <v>-1</v>
      </c>
      <c r="H1843" s="1">
        <v>0</v>
      </c>
      <c r="I1843" s="1">
        <v>0</v>
      </c>
      <c r="J1843" s="1">
        <v>1</v>
      </c>
      <c r="K1843" s="1">
        <v>-1</v>
      </c>
    </row>
    <row r="1844" spans="4:11" x14ac:dyDescent="0.25">
      <c r="D1844" s="1" t="s">
        <v>8565</v>
      </c>
      <c r="E1844" s="1" t="s">
        <v>8566</v>
      </c>
      <c r="F1844" s="1">
        <v>-1</v>
      </c>
      <c r="G1844" s="1">
        <v>-1</v>
      </c>
      <c r="H1844" s="1">
        <v>0</v>
      </c>
      <c r="I1844" s="1">
        <v>0</v>
      </c>
      <c r="J1844" s="1">
        <v>1</v>
      </c>
      <c r="K1844" s="1">
        <v>-1</v>
      </c>
    </row>
    <row r="1845" spans="4:11" x14ac:dyDescent="0.25">
      <c r="D1845" s="1" t="s">
        <v>8567</v>
      </c>
      <c r="E1845" s="1" t="s">
        <v>8568</v>
      </c>
      <c r="F1845" s="1">
        <v>-1</v>
      </c>
      <c r="G1845" s="1">
        <v>-1</v>
      </c>
      <c r="H1845" s="1">
        <v>0</v>
      </c>
      <c r="I1845" s="1">
        <v>0</v>
      </c>
      <c r="J1845" s="1">
        <v>1</v>
      </c>
      <c r="K1845" s="1">
        <v>-1</v>
      </c>
    </row>
    <row r="1846" spans="4:11" x14ac:dyDescent="0.25">
      <c r="D1846" s="1" t="s">
        <v>8569</v>
      </c>
      <c r="E1846" s="1" t="s">
        <v>8570</v>
      </c>
      <c r="F1846" s="1">
        <v>-1</v>
      </c>
      <c r="G1846" s="1">
        <v>-1</v>
      </c>
      <c r="H1846" s="1">
        <v>0</v>
      </c>
      <c r="I1846" s="1">
        <v>0</v>
      </c>
      <c r="J1846" s="1">
        <v>1</v>
      </c>
      <c r="K1846" s="1">
        <v>-1</v>
      </c>
    </row>
    <row r="1847" spans="4:11" x14ac:dyDescent="0.25">
      <c r="D1847" s="1" t="s">
        <v>8571</v>
      </c>
      <c r="E1847" s="1" t="s">
        <v>8572</v>
      </c>
      <c r="F1847" s="1">
        <v>-1</v>
      </c>
      <c r="G1847" s="1">
        <v>-1</v>
      </c>
      <c r="H1847" s="1">
        <v>0</v>
      </c>
      <c r="I1847" s="1">
        <v>0</v>
      </c>
      <c r="J1847" s="1">
        <v>1</v>
      </c>
      <c r="K1847" s="1">
        <v>-1</v>
      </c>
    </row>
    <row r="1848" spans="4:11" x14ac:dyDescent="0.25">
      <c r="D1848" s="1" t="s">
        <v>8573</v>
      </c>
      <c r="E1848" s="1" t="s">
        <v>8574</v>
      </c>
      <c r="F1848" s="1">
        <v>-1</v>
      </c>
      <c r="G1848" s="1">
        <v>-1</v>
      </c>
      <c r="H1848" s="1">
        <v>0</v>
      </c>
      <c r="I1848" s="1">
        <v>0</v>
      </c>
      <c r="J1848" s="1">
        <v>1</v>
      </c>
      <c r="K1848" s="1">
        <v>-1</v>
      </c>
    </row>
    <row r="1849" spans="4:11" x14ac:dyDescent="0.25">
      <c r="D1849" s="1" t="s">
        <v>8575</v>
      </c>
      <c r="E1849" s="1" t="s">
        <v>8576</v>
      </c>
      <c r="F1849" s="1">
        <v>-1</v>
      </c>
      <c r="G1849" s="1">
        <v>-1</v>
      </c>
      <c r="H1849" s="1">
        <v>0</v>
      </c>
      <c r="I1849" s="1">
        <v>0</v>
      </c>
      <c r="J1849" s="1">
        <v>1</v>
      </c>
      <c r="K1849" s="1">
        <v>-1</v>
      </c>
    </row>
    <row r="1850" spans="4:11" x14ac:dyDescent="0.25">
      <c r="D1850" s="1" t="s">
        <v>8577</v>
      </c>
      <c r="E1850" s="1" t="s">
        <v>8578</v>
      </c>
      <c r="F1850" s="1">
        <v>-1</v>
      </c>
      <c r="G1850" s="1">
        <v>-1</v>
      </c>
      <c r="H1850" s="1">
        <v>0</v>
      </c>
      <c r="I1850" s="1">
        <v>0</v>
      </c>
      <c r="J1850" s="1">
        <v>1</v>
      </c>
      <c r="K1850" s="1">
        <v>-1</v>
      </c>
    </row>
    <row r="1851" spans="4:11" x14ac:dyDescent="0.25">
      <c r="D1851" s="1" t="s">
        <v>8579</v>
      </c>
      <c r="E1851" s="1" t="s">
        <v>8580</v>
      </c>
      <c r="F1851" s="1">
        <v>-1</v>
      </c>
      <c r="G1851" s="1">
        <v>-1</v>
      </c>
      <c r="H1851" s="1">
        <v>0</v>
      </c>
      <c r="I1851" s="1">
        <v>0</v>
      </c>
      <c r="J1851" s="1">
        <v>1</v>
      </c>
      <c r="K1851" s="1">
        <v>-1</v>
      </c>
    </row>
    <row r="1852" spans="4:11" x14ac:dyDescent="0.25">
      <c r="D1852" s="1" t="s">
        <v>8581</v>
      </c>
      <c r="E1852" s="1" t="s">
        <v>8582</v>
      </c>
      <c r="F1852" s="1">
        <v>-1</v>
      </c>
      <c r="G1852" s="1">
        <v>-1</v>
      </c>
      <c r="H1852" s="1">
        <v>0</v>
      </c>
      <c r="I1852" s="1">
        <v>0</v>
      </c>
      <c r="J1852" s="1">
        <v>1</v>
      </c>
      <c r="K1852" s="1">
        <v>-1</v>
      </c>
    </row>
    <row r="1853" spans="4:11" x14ac:dyDescent="0.25">
      <c r="D1853" s="1" t="s">
        <v>8583</v>
      </c>
      <c r="E1853" s="1" t="s">
        <v>8584</v>
      </c>
      <c r="F1853" s="1">
        <v>-1</v>
      </c>
      <c r="G1853" s="1">
        <v>-1</v>
      </c>
      <c r="H1853" s="1">
        <v>0</v>
      </c>
      <c r="I1853" s="1">
        <v>0</v>
      </c>
      <c r="J1853" s="1">
        <v>1</v>
      </c>
      <c r="K1853" s="1">
        <v>-1</v>
      </c>
    </row>
    <row r="1854" spans="4:11" x14ac:dyDescent="0.25">
      <c r="D1854" s="1" t="s">
        <v>8585</v>
      </c>
      <c r="E1854" s="1" t="s">
        <v>8586</v>
      </c>
      <c r="F1854" s="1">
        <v>-1</v>
      </c>
      <c r="G1854" s="1">
        <v>-1</v>
      </c>
      <c r="H1854" s="1">
        <v>0</v>
      </c>
      <c r="I1854" s="1">
        <v>0</v>
      </c>
      <c r="J1854" s="1">
        <v>1</v>
      </c>
      <c r="K1854" s="1">
        <v>-1</v>
      </c>
    </row>
    <row r="1855" spans="4:11" x14ac:dyDescent="0.25">
      <c r="D1855" s="1" t="s">
        <v>8587</v>
      </c>
      <c r="E1855" s="1" t="s">
        <v>8588</v>
      </c>
      <c r="F1855" s="1">
        <v>-1</v>
      </c>
      <c r="G1855" s="1">
        <v>-1</v>
      </c>
      <c r="H1855" s="1">
        <v>0</v>
      </c>
      <c r="I1855" s="1">
        <v>0</v>
      </c>
      <c r="J1855" s="1">
        <v>1</v>
      </c>
      <c r="K1855" s="1">
        <v>-1</v>
      </c>
    </row>
    <row r="1856" spans="4:11" x14ac:dyDescent="0.25">
      <c r="D1856" s="1" t="s">
        <v>8589</v>
      </c>
      <c r="E1856" s="1" t="s">
        <v>8590</v>
      </c>
      <c r="F1856" s="1">
        <v>-1</v>
      </c>
      <c r="G1856" s="1">
        <v>-1</v>
      </c>
      <c r="H1856" s="1">
        <v>0</v>
      </c>
      <c r="I1856" s="1">
        <v>0</v>
      </c>
      <c r="J1856" s="1">
        <v>1</v>
      </c>
      <c r="K1856" s="1">
        <v>-1</v>
      </c>
    </row>
    <row r="1857" spans="4:11" x14ac:dyDescent="0.25">
      <c r="D1857" s="1" t="s">
        <v>8591</v>
      </c>
      <c r="E1857" s="1" t="s">
        <v>8592</v>
      </c>
      <c r="F1857" s="1">
        <v>-1</v>
      </c>
      <c r="G1857" s="1">
        <v>-1</v>
      </c>
      <c r="H1857" s="1">
        <v>0</v>
      </c>
      <c r="I1857" s="1">
        <v>0</v>
      </c>
      <c r="J1857" s="1">
        <v>1</v>
      </c>
      <c r="K1857" s="1">
        <v>-1</v>
      </c>
    </row>
    <row r="1858" spans="4:11" x14ac:dyDescent="0.25">
      <c r="D1858" s="1" t="s">
        <v>8593</v>
      </c>
      <c r="E1858" s="1" t="s">
        <v>8594</v>
      </c>
      <c r="F1858" s="1">
        <v>-1</v>
      </c>
      <c r="G1858" s="1">
        <v>-1</v>
      </c>
      <c r="H1858" s="1">
        <v>0</v>
      </c>
      <c r="I1858" s="1">
        <v>0</v>
      </c>
      <c r="J1858" s="1">
        <v>1</v>
      </c>
      <c r="K1858" s="1">
        <v>-1</v>
      </c>
    </row>
    <row r="1859" spans="4:11" x14ac:dyDescent="0.25">
      <c r="D1859" s="1" t="s">
        <v>8595</v>
      </c>
      <c r="E1859" s="1" t="s">
        <v>8596</v>
      </c>
      <c r="F1859" s="1">
        <v>-1</v>
      </c>
      <c r="G1859" s="1">
        <v>-1</v>
      </c>
      <c r="H1859" s="1">
        <v>0</v>
      </c>
      <c r="I1859" s="1">
        <v>0</v>
      </c>
      <c r="J1859" s="1">
        <v>1</v>
      </c>
      <c r="K1859" s="1">
        <v>-1</v>
      </c>
    </row>
    <row r="1860" spans="4:11" x14ac:dyDescent="0.25">
      <c r="D1860" s="1" t="s">
        <v>8597</v>
      </c>
      <c r="E1860" s="1" t="s">
        <v>8598</v>
      </c>
      <c r="F1860" s="1">
        <v>-1</v>
      </c>
      <c r="G1860" s="1">
        <v>-1</v>
      </c>
      <c r="H1860" s="1">
        <v>0</v>
      </c>
      <c r="I1860" s="1">
        <v>0</v>
      </c>
      <c r="J1860" s="1">
        <v>1</v>
      </c>
      <c r="K1860" s="1">
        <v>-1</v>
      </c>
    </row>
    <row r="1861" spans="4:11" x14ac:dyDescent="0.25">
      <c r="D1861" s="1" t="s">
        <v>8599</v>
      </c>
      <c r="E1861" s="1" t="s">
        <v>8600</v>
      </c>
      <c r="F1861" s="1">
        <v>-1</v>
      </c>
      <c r="G1861" s="1">
        <v>-1</v>
      </c>
      <c r="H1861" s="1">
        <v>0</v>
      </c>
      <c r="I1861" s="1">
        <v>0</v>
      </c>
      <c r="J1861" s="1">
        <v>1</v>
      </c>
      <c r="K1861" s="1">
        <v>-1</v>
      </c>
    </row>
    <row r="1862" spans="4:11" x14ac:dyDescent="0.25">
      <c r="D1862" s="1" t="s">
        <v>8601</v>
      </c>
      <c r="E1862" s="1" t="s">
        <v>8602</v>
      </c>
      <c r="F1862" s="1">
        <v>-1</v>
      </c>
      <c r="G1862" s="1">
        <v>-1</v>
      </c>
      <c r="H1862" s="1">
        <v>0</v>
      </c>
      <c r="I1862" s="1">
        <v>0</v>
      </c>
      <c r="J1862" s="1">
        <v>1</v>
      </c>
      <c r="K1862" s="1">
        <v>-1</v>
      </c>
    </row>
    <row r="1863" spans="4:11" x14ac:dyDescent="0.25">
      <c r="D1863" s="1" t="s">
        <v>8603</v>
      </c>
      <c r="E1863" s="1" t="s">
        <v>8604</v>
      </c>
      <c r="F1863" s="1">
        <v>-1</v>
      </c>
      <c r="G1863" s="1">
        <v>-1</v>
      </c>
      <c r="H1863" s="1">
        <v>0</v>
      </c>
      <c r="I1863" s="1">
        <v>0</v>
      </c>
      <c r="J1863" s="1">
        <v>1</v>
      </c>
      <c r="K1863" s="1">
        <v>-1</v>
      </c>
    </row>
    <row r="1864" spans="4:11" x14ac:dyDescent="0.25">
      <c r="D1864" s="1" t="s">
        <v>8605</v>
      </c>
      <c r="E1864" s="1" t="s">
        <v>8606</v>
      </c>
      <c r="F1864" s="1">
        <v>-1</v>
      </c>
      <c r="G1864" s="1">
        <v>-1</v>
      </c>
      <c r="H1864" s="1">
        <v>0</v>
      </c>
      <c r="I1864" s="1">
        <v>0</v>
      </c>
      <c r="J1864" s="1">
        <v>1</v>
      </c>
      <c r="K1864" s="1">
        <v>-1</v>
      </c>
    </row>
    <row r="1865" spans="4:11" x14ac:dyDescent="0.25">
      <c r="D1865" s="1" t="s">
        <v>8607</v>
      </c>
      <c r="E1865" s="1" t="s">
        <v>8608</v>
      </c>
      <c r="F1865" s="1">
        <v>-1</v>
      </c>
      <c r="G1865" s="1">
        <v>-1</v>
      </c>
      <c r="H1865" s="1">
        <v>0</v>
      </c>
      <c r="I1865" s="1">
        <v>0</v>
      </c>
      <c r="J1865" s="1">
        <v>1</v>
      </c>
      <c r="K1865" s="1">
        <v>-1</v>
      </c>
    </row>
    <row r="1866" spans="4:11" x14ac:dyDescent="0.25">
      <c r="D1866" s="1" t="s">
        <v>8609</v>
      </c>
      <c r="E1866" s="1" t="s">
        <v>8610</v>
      </c>
      <c r="F1866" s="1">
        <v>-1</v>
      </c>
      <c r="G1866" s="1">
        <v>-1</v>
      </c>
      <c r="H1866" s="1">
        <v>0</v>
      </c>
      <c r="I1866" s="1">
        <v>0</v>
      </c>
      <c r="J1866" s="1">
        <v>1</v>
      </c>
      <c r="K1866" s="1">
        <v>-1</v>
      </c>
    </row>
    <row r="1867" spans="4:11" x14ac:dyDescent="0.25">
      <c r="D1867" s="1" t="s">
        <v>8611</v>
      </c>
      <c r="E1867" s="1" t="s">
        <v>8612</v>
      </c>
      <c r="F1867" s="1">
        <v>-1</v>
      </c>
      <c r="G1867" s="1">
        <v>-1</v>
      </c>
      <c r="H1867" s="1">
        <v>0</v>
      </c>
      <c r="I1867" s="1">
        <v>0</v>
      </c>
      <c r="J1867" s="1">
        <v>1</v>
      </c>
      <c r="K1867" s="1">
        <v>-1</v>
      </c>
    </row>
    <row r="1868" spans="4:11" x14ac:dyDescent="0.25">
      <c r="D1868" s="1" t="s">
        <v>8613</v>
      </c>
      <c r="E1868" s="1" t="s">
        <v>8614</v>
      </c>
      <c r="F1868" s="1">
        <v>-1</v>
      </c>
      <c r="G1868" s="1">
        <v>-1</v>
      </c>
      <c r="H1868" s="1">
        <v>0</v>
      </c>
      <c r="I1868" s="1">
        <v>0</v>
      </c>
      <c r="J1868" s="1">
        <v>1</v>
      </c>
      <c r="K1868" s="1">
        <v>-1</v>
      </c>
    </row>
    <row r="1869" spans="4:11" x14ac:dyDescent="0.25">
      <c r="D1869" s="1" t="s">
        <v>8615</v>
      </c>
      <c r="E1869" s="1" t="s">
        <v>8616</v>
      </c>
      <c r="F1869" s="1">
        <v>-1</v>
      </c>
      <c r="G1869" s="1">
        <v>-1</v>
      </c>
      <c r="H1869" s="1">
        <v>0</v>
      </c>
      <c r="I1869" s="1">
        <v>0</v>
      </c>
      <c r="J1869" s="1">
        <v>1</v>
      </c>
      <c r="K1869" s="1">
        <v>-1</v>
      </c>
    </row>
    <row r="1870" spans="4:11" x14ac:dyDescent="0.25">
      <c r="D1870" s="1" t="s">
        <v>8617</v>
      </c>
      <c r="E1870" s="1" t="s">
        <v>8618</v>
      </c>
      <c r="F1870" s="1">
        <v>-1</v>
      </c>
      <c r="G1870" s="1">
        <v>-1</v>
      </c>
      <c r="H1870" s="1">
        <v>0</v>
      </c>
      <c r="I1870" s="1">
        <v>0</v>
      </c>
      <c r="J1870" s="1">
        <v>1</v>
      </c>
      <c r="K1870" s="1">
        <v>-1</v>
      </c>
    </row>
    <row r="1871" spans="4:11" x14ac:dyDescent="0.25">
      <c r="D1871" s="1" t="s">
        <v>8619</v>
      </c>
      <c r="E1871" s="1" t="s">
        <v>8620</v>
      </c>
      <c r="F1871" s="1">
        <v>-1</v>
      </c>
      <c r="G1871" s="1">
        <v>-1</v>
      </c>
      <c r="H1871" s="1">
        <v>0</v>
      </c>
      <c r="I1871" s="1">
        <v>0</v>
      </c>
      <c r="J1871" s="1">
        <v>1</v>
      </c>
      <c r="K1871" s="1">
        <v>-1</v>
      </c>
    </row>
    <row r="1872" spans="4:11" x14ac:dyDescent="0.25">
      <c r="D1872" s="1" t="s">
        <v>8621</v>
      </c>
      <c r="E1872" s="1" t="s">
        <v>8622</v>
      </c>
      <c r="F1872" s="1">
        <v>-1</v>
      </c>
      <c r="G1872" s="1">
        <v>-1</v>
      </c>
      <c r="H1872" s="1">
        <v>0</v>
      </c>
      <c r="I1872" s="1">
        <v>0</v>
      </c>
      <c r="J1872" s="1">
        <v>1</v>
      </c>
      <c r="K1872" s="1">
        <v>-1</v>
      </c>
    </row>
    <row r="1873" spans="3:11" x14ac:dyDescent="0.25">
      <c r="D1873" s="1" t="s">
        <v>8623</v>
      </c>
      <c r="E1873" s="1" t="s">
        <v>8624</v>
      </c>
      <c r="F1873" s="1">
        <v>-1</v>
      </c>
      <c r="G1873" s="1">
        <v>-1</v>
      </c>
      <c r="H1873" s="1">
        <v>0</v>
      </c>
      <c r="I1873" s="1">
        <v>0</v>
      </c>
      <c r="J1873" s="1">
        <v>1</v>
      </c>
      <c r="K1873" s="1">
        <v>-1</v>
      </c>
    </row>
    <row r="1874" spans="3:11" x14ac:dyDescent="0.25">
      <c r="D1874" s="1" t="s">
        <v>8625</v>
      </c>
      <c r="E1874" s="1" t="s">
        <v>8626</v>
      </c>
      <c r="F1874" s="1">
        <v>-1</v>
      </c>
      <c r="G1874" s="1">
        <v>-1</v>
      </c>
      <c r="H1874" s="1">
        <v>0</v>
      </c>
      <c r="I1874" s="1">
        <v>0</v>
      </c>
      <c r="J1874" s="1">
        <v>1</v>
      </c>
      <c r="K1874" s="1">
        <v>-1</v>
      </c>
    </row>
    <row r="1875" spans="3:11" x14ac:dyDescent="0.25">
      <c r="D1875" s="1" t="s">
        <v>8627</v>
      </c>
      <c r="E1875" s="1" t="s">
        <v>8628</v>
      </c>
      <c r="F1875" s="1">
        <v>-1</v>
      </c>
      <c r="G1875" s="1">
        <v>-1</v>
      </c>
      <c r="H1875" s="1">
        <v>0</v>
      </c>
      <c r="I1875" s="1">
        <v>0</v>
      </c>
      <c r="J1875" s="1">
        <v>1</v>
      </c>
      <c r="K1875" s="1">
        <v>-1</v>
      </c>
    </row>
    <row r="1876" spans="3:11" x14ac:dyDescent="0.25">
      <c r="D1876" s="1" t="s">
        <v>8629</v>
      </c>
      <c r="E1876" s="1" t="s">
        <v>8630</v>
      </c>
      <c r="F1876" s="1">
        <v>-1</v>
      </c>
      <c r="G1876" s="1">
        <v>-1</v>
      </c>
      <c r="H1876" s="1">
        <v>0</v>
      </c>
      <c r="I1876" s="1">
        <v>0</v>
      </c>
      <c r="J1876" s="1">
        <v>1</v>
      </c>
      <c r="K1876" s="1">
        <v>-1</v>
      </c>
    </row>
    <row r="1877" spans="3:11" x14ac:dyDescent="0.25">
      <c r="D1877" s="1" t="s">
        <v>8631</v>
      </c>
      <c r="E1877" s="1" t="s">
        <v>8632</v>
      </c>
      <c r="F1877" s="1">
        <v>-1</v>
      </c>
      <c r="G1877" s="1">
        <v>-1</v>
      </c>
      <c r="H1877" s="1">
        <v>0</v>
      </c>
      <c r="I1877" s="1">
        <v>0</v>
      </c>
      <c r="J1877" s="1">
        <v>1</v>
      </c>
      <c r="K1877" s="1">
        <v>-1</v>
      </c>
    </row>
    <row r="1878" spans="3:11" x14ac:dyDescent="0.25">
      <c r="D1878" s="1" t="s">
        <v>8633</v>
      </c>
      <c r="E1878" s="1" t="s">
        <v>8634</v>
      </c>
      <c r="F1878" s="1">
        <v>-1</v>
      </c>
      <c r="G1878" s="1">
        <v>-1</v>
      </c>
      <c r="H1878" s="1">
        <v>0</v>
      </c>
      <c r="I1878" s="1">
        <v>0</v>
      </c>
      <c r="J1878" s="1">
        <v>1</v>
      </c>
      <c r="K1878" s="1">
        <v>-1</v>
      </c>
    </row>
    <row r="1879" spans="3:11" x14ac:dyDescent="0.25">
      <c r="D1879" s="1" t="s">
        <v>8635</v>
      </c>
      <c r="E1879" s="1" t="s">
        <v>8636</v>
      </c>
      <c r="F1879" s="1">
        <v>-1</v>
      </c>
      <c r="G1879" s="1">
        <v>-1</v>
      </c>
      <c r="H1879" s="1">
        <v>0</v>
      </c>
      <c r="I1879" s="1">
        <v>0</v>
      </c>
      <c r="J1879" s="1">
        <v>1</v>
      </c>
      <c r="K1879" s="1">
        <v>-1</v>
      </c>
    </row>
    <row r="1880" spans="3:11" x14ac:dyDescent="0.25">
      <c r="D1880" s="1" t="s">
        <v>8637</v>
      </c>
      <c r="E1880" s="1" t="s">
        <v>8638</v>
      </c>
      <c r="F1880" s="1">
        <v>-1</v>
      </c>
      <c r="G1880" s="1">
        <v>-1</v>
      </c>
      <c r="H1880" s="1">
        <v>0</v>
      </c>
      <c r="I1880" s="1">
        <v>0</v>
      </c>
      <c r="J1880" s="1">
        <v>1</v>
      </c>
      <c r="K1880" s="1">
        <v>-1</v>
      </c>
    </row>
    <row r="1881" spans="3:11" x14ac:dyDescent="0.25">
      <c r="D1881" s="1" t="s">
        <v>8639</v>
      </c>
      <c r="E1881" s="1" t="s">
        <v>8640</v>
      </c>
      <c r="F1881" s="1">
        <v>-1</v>
      </c>
      <c r="G1881" s="1">
        <v>-1</v>
      </c>
      <c r="H1881" s="1">
        <v>0</v>
      </c>
      <c r="I1881" s="1">
        <v>0</v>
      </c>
      <c r="J1881" s="1">
        <v>1</v>
      </c>
      <c r="K1881" s="1">
        <v>-1</v>
      </c>
    </row>
    <row r="1882" spans="3:11" x14ac:dyDescent="0.25">
      <c r="D1882" s="1" t="s">
        <v>8641</v>
      </c>
      <c r="E1882" s="1" t="s">
        <v>8642</v>
      </c>
      <c r="F1882" s="1">
        <v>-1</v>
      </c>
      <c r="G1882" s="1">
        <v>-1</v>
      </c>
      <c r="H1882" s="1">
        <v>0</v>
      </c>
      <c r="I1882" s="1">
        <v>0</v>
      </c>
      <c r="J1882" s="1">
        <v>1</v>
      </c>
      <c r="K1882" s="1">
        <v>-1</v>
      </c>
    </row>
    <row r="1883" spans="3:11" x14ac:dyDescent="0.25">
      <c r="D1883" s="1" t="s">
        <v>8643</v>
      </c>
      <c r="E1883" s="1" t="s">
        <v>8644</v>
      </c>
      <c r="F1883" s="1">
        <v>-1</v>
      </c>
      <c r="G1883" s="1">
        <v>-1</v>
      </c>
      <c r="H1883" s="1">
        <v>0</v>
      </c>
      <c r="I1883" s="1">
        <v>0</v>
      </c>
      <c r="J1883" s="1">
        <v>1</v>
      </c>
      <c r="K1883" s="1">
        <v>-1</v>
      </c>
    </row>
    <row r="1884" spans="3:11" x14ac:dyDescent="0.25">
      <c r="D1884" s="1" t="s">
        <v>8645</v>
      </c>
      <c r="E1884" s="1" t="s">
        <v>8646</v>
      </c>
      <c r="F1884" s="1">
        <v>-1</v>
      </c>
      <c r="G1884" s="1">
        <v>-1</v>
      </c>
      <c r="H1884" s="1">
        <v>0</v>
      </c>
      <c r="I1884" s="1">
        <v>0</v>
      </c>
      <c r="J1884" s="1">
        <v>1</v>
      </c>
      <c r="K1884" s="1">
        <v>-1</v>
      </c>
    </row>
    <row r="1885" spans="3:11" x14ac:dyDescent="0.25">
      <c r="C1885" s="1" t="s">
        <v>8647</v>
      </c>
      <c r="D1885" s="1" t="s">
        <v>8648</v>
      </c>
      <c r="E1885" s="1" t="s">
        <v>8647</v>
      </c>
      <c r="F1885" s="1">
        <v>-1</v>
      </c>
      <c r="G1885" s="1">
        <v>-1</v>
      </c>
      <c r="H1885" s="1">
        <v>0</v>
      </c>
      <c r="I1885" s="1">
        <v>0</v>
      </c>
      <c r="J1885" s="1">
        <v>1</v>
      </c>
      <c r="K1885" s="1">
        <v>-1</v>
      </c>
    </row>
    <row r="1886" spans="3:11" x14ac:dyDescent="0.25">
      <c r="C1886" s="1" t="s">
        <v>8649</v>
      </c>
      <c r="D1886" s="1" t="s">
        <v>8650</v>
      </c>
      <c r="E1886" s="1" t="s">
        <v>8649</v>
      </c>
      <c r="F1886" s="1">
        <v>-1</v>
      </c>
      <c r="G1886" s="1">
        <v>-1</v>
      </c>
      <c r="H1886" s="1">
        <v>0</v>
      </c>
      <c r="I1886" s="1">
        <v>0</v>
      </c>
      <c r="J1886" s="1">
        <v>1</v>
      </c>
      <c r="K1886" s="1">
        <v>-1</v>
      </c>
    </row>
    <row r="1887" spans="3:11" x14ac:dyDescent="0.25">
      <c r="D1887" s="1" t="s">
        <v>8651</v>
      </c>
      <c r="E1887" s="1" t="s">
        <v>8652</v>
      </c>
      <c r="F1887" s="1">
        <v>-1</v>
      </c>
      <c r="G1887" s="1">
        <v>-1</v>
      </c>
      <c r="H1887" s="1">
        <v>0</v>
      </c>
      <c r="I1887" s="1">
        <v>0</v>
      </c>
      <c r="J1887" s="1">
        <v>1</v>
      </c>
      <c r="K1887" s="1">
        <v>-1</v>
      </c>
    </row>
    <row r="1888" spans="3:11" x14ac:dyDescent="0.25">
      <c r="C1888" s="1" t="s">
        <v>8653</v>
      </c>
      <c r="D1888" s="1" t="s">
        <v>8654</v>
      </c>
      <c r="E1888" s="1" t="s">
        <v>8653</v>
      </c>
      <c r="F1888" s="1">
        <v>-1</v>
      </c>
      <c r="G1888" s="1">
        <v>-1</v>
      </c>
      <c r="H1888" s="1">
        <v>0</v>
      </c>
      <c r="I1888" s="1">
        <v>0</v>
      </c>
      <c r="J1888" s="1">
        <v>1</v>
      </c>
      <c r="K1888" s="1">
        <v>-1</v>
      </c>
    </row>
    <row r="1889" spans="3:11" x14ac:dyDescent="0.25">
      <c r="C1889" s="1" t="s">
        <v>8655</v>
      </c>
      <c r="D1889" s="1" t="s">
        <v>8656</v>
      </c>
      <c r="E1889" s="1" t="s">
        <v>8655</v>
      </c>
      <c r="F1889" s="1">
        <v>-1</v>
      </c>
      <c r="G1889" s="1">
        <v>-1</v>
      </c>
      <c r="H1889" s="1">
        <v>0</v>
      </c>
      <c r="I1889" s="1">
        <v>0</v>
      </c>
      <c r="J1889" s="1">
        <v>1</v>
      </c>
      <c r="K1889" s="1">
        <v>-1</v>
      </c>
    </row>
    <row r="1890" spans="3:11" x14ac:dyDescent="0.25">
      <c r="C1890" s="1" t="s">
        <v>8657</v>
      </c>
      <c r="D1890" s="1" t="s">
        <v>8658</v>
      </c>
      <c r="E1890" s="1" t="s">
        <v>8657</v>
      </c>
      <c r="F1890" s="1">
        <v>-1</v>
      </c>
      <c r="G1890" s="1">
        <v>-1</v>
      </c>
      <c r="H1890" s="1">
        <v>0</v>
      </c>
      <c r="I1890" s="1">
        <v>0</v>
      </c>
      <c r="J1890" s="1">
        <v>1</v>
      </c>
      <c r="K1890" s="1">
        <v>-1</v>
      </c>
    </row>
    <row r="1891" spans="3:11" x14ac:dyDescent="0.25">
      <c r="C1891" s="1" t="s">
        <v>8659</v>
      </c>
      <c r="D1891" s="1" t="s">
        <v>8660</v>
      </c>
      <c r="E1891" s="1" t="s">
        <v>8659</v>
      </c>
      <c r="F1891" s="1">
        <v>-1</v>
      </c>
      <c r="G1891" s="1">
        <v>-1</v>
      </c>
      <c r="H1891" s="1">
        <v>0</v>
      </c>
      <c r="I1891" s="1">
        <v>0</v>
      </c>
      <c r="J1891" s="1">
        <v>1</v>
      </c>
      <c r="K1891" s="1">
        <v>-1</v>
      </c>
    </row>
    <row r="1892" spans="3:11" x14ac:dyDescent="0.25">
      <c r="C1892" s="1" t="s">
        <v>8661</v>
      </c>
      <c r="D1892" s="1" t="s">
        <v>8662</v>
      </c>
      <c r="E1892" s="1" t="s">
        <v>8661</v>
      </c>
      <c r="F1892" s="1">
        <v>-1</v>
      </c>
      <c r="G1892" s="1">
        <v>-1</v>
      </c>
      <c r="H1892" s="1">
        <v>0</v>
      </c>
      <c r="I1892" s="1">
        <v>0</v>
      </c>
      <c r="J1892" s="1">
        <v>1</v>
      </c>
      <c r="K1892" s="1">
        <v>-1</v>
      </c>
    </row>
    <row r="1893" spans="3:11" x14ac:dyDescent="0.25">
      <c r="C1893" s="1" t="s">
        <v>8663</v>
      </c>
      <c r="D1893" s="1" t="s">
        <v>8664</v>
      </c>
      <c r="E1893" s="1" t="s">
        <v>8663</v>
      </c>
      <c r="F1893" s="1">
        <v>-1</v>
      </c>
      <c r="G1893" s="1">
        <v>-1</v>
      </c>
      <c r="H1893" s="1">
        <v>0</v>
      </c>
      <c r="I1893" s="1">
        <v>0</v>
      </c>
      <c r="J1893" s="1">
        <v>1</v>
      </c>
      <c r="K1893" s="1">
        <v>-1</v>
      </c>
    </row>
    <row r="1894" spans="3:11" x14ac:dyDescent="0.25">
      <c r="C1894" s="1" t="s">
        <v>8665</v>
      </c>
      <c r="D1894" s="1" t="s">
        <v>8666</v>
      </c>
      <c r="E1894" s="1" t="s">
        <v>8665</v>
      </c>
      <c r="F1894" s="1">
        <v>-1</v>
      </c>
      <c r="G1894" s="1">
        <v>-1</v>
      </c>
      <c r="H1894" s="1">
        <v>0</v>
      </c>
      <c r="I1894" s="1">
        <v>0</v>
      </c>
      <c r="J1894" s="1">
        <v>1</v>
      </c>
      <c r="K1894" s="1">
        <v>-1</v>
      </c>
    </row>
    <row r="1895" spans="3:11" x14ac:dyDescent="0.25">
      <c r="D1895" s="1" t="s">
        <v>8667</v>
      </c>
      <c r="E1895" s="1" t="s">
        <v>8668</v>
      </c>
      <c r="F1895" s="1">
        <v>-1</v>
      </c>
      <c r="G1895" s="1">
        <v>-1</v>
      </c>
      <c r="H1895" s="1">
        <v>0</v>
      </c>
      <c r="I1895" s="1">
        <v>0</v>
      </c>
      <c r="J1895" s="1">
        <v>1</v>
      </c>
      <c r="K1895" s="1">
        <v>-1</v>
      </c>
    </row>
    <row r="1896" spans="3:11" x14ac:dyDescent="0.25">
      <c r="D1896" s="1" t="s">
        <v>8669</v>
      </c>
      <c r="E1896" s="1" t="s">
        <v>8670</v>
      </c>
      <c r="F1896" s="1">
        <v>-1</v>
      </c>
      <c r="G1896" s="1">
        <v>-1</v>
      </c>
      <c r="H1896" s="1">
        <v>0</v>
      </c>
      <c r="I1896" s="1">
        <v>0</v>
      </c>
      <c r="J1896" s="1">
        <v>1</v>
      </c>
      <c r="K1896" s="1">
        <v>-1</v>
      </c>
    </row>
    <row r="1897" spans="3:11" x14ac:dyDescent="0.25">
      <c r="D1897" s="1" t="s">
        <v>8671</v>
      </c>
      <c r="E1897" s="1" t="s">
        <v>8672</v>
      </c>
      <c r="F1897" s="1">
        <v>-1</v>
      </c>
      <c r="G1897" s="1">
        <v>-1</v>
      </c>
      <c r="H1897" s="1">
        <v>0</v>
      </c>
      <c r="I1897" s="1">
        <v>0</v>
      </c>
      <c r="J1897" s="1">
        <v>1</v>
      </c>
      <c r="K1897" s="1">
        <v>-1</v>
      </c>
    </row>
    <row r="1898" spans="3:11" x14ac:dyDescent="0.25">
      <c r="C1898" s="1" t="s">
        <v>8673</v>
      </c>
      <c r="D1898" s="1" t="s">
        <v>8674</v>
      </c>
      <c r="E1898" s="1" t="s">
        <v>8673</v>
      </c>
      <c r="F1898" s="1">
        <v>-1</v>
      </c>
      <c r="G1898" s="1">
        <v>-1</v>
      </c>
      <c r="H1898" s="1">
        <v>0</v>
      </c>
      <c r="I1898" s="1">
        <v>0</v>
      </c>
      <c r="J1898" s="1">
        <v>1</v>
      </c>
      <c r="K1898" s="1">
        <v>-1</v>
      </c>
    </row>
    <row r="1899" spans="3:11" x14ac:dyDescent="0.25">
      <c r="C1899" s="1" t="s">
        <v>8675</v>
      </c>
      <c r="D1899" s="1" t="s">
        <v>8676</v>
      </c>
      <c r="E1899" s="1" t="s">
        <v>8675</v>
      </c>
      <c r="F1899" s="1">
        <v>-1</v>
      </c>
      <c r="G1899" s="1">
        <v>-1</v>
      </c>
      <c r="H1899" s="1">
        <v>0</v>
      </c>
      <c r="I1899" s="1">
        <v>0</v>
      </c>
      <c r="J1899" s="1">
        <v>1</v>
      </c>
      <c r="K1899" s="1">
        <v>-1</v>
      </c>
    </row>
    <row r="1900" spans="3:11" x14ac:dyDescent="0.25">
      <c r="C1900" s="1" t="s">
        <v>8677</v>
      </c>
      <c r="D1900" s="1" t="s">
        <v>8678</v>
      </c>
      <c r="E1900" s="1" t="s">
        <v>8679</v>
      </c>
      <c r="F1900" s="1">
        <v>-1</v>
      </c>
      <c r="G1900" s="1">
        <v>-1</v>
      </c>
      <c r="H1900" s="1">
        <v>0</v>
      </c>
      <c r="I1900" s="1">
        <v>0</v>
      </c>
      <c r="J1900" s="1">
        <v>1</v>
      </c>
      <c r="K1900" s="1">
        <v>-1</v>
      </c>
    </row>
    <row r="1901" spans="3:11" x14ac:dyDescent="0.25">
      <c r="D1901" s="1" t="s">
        <v>8680</v>
      </c>
      <c r="E1901" s="1" t="s">
        <v>8681</v>
      </c>
      <c r="F1901" s="1">
        <v>-1</v>
      </c>
      <c r="G1901" s="1">
        <v>-1</v>
      </c>
      <c r="H1901" s="1">
        <v>0</v>
      </c>
      <c r="I1901" s="1">
        <v>0</v>
      </c>
      <c r="J1901" s="1">
        <v>1</v>
      </c>
      <c r="K1901" s="1">
        <v>-1</v>
      </c>
    </row>
    <row r="1902" spans="3:11" x14ac:dyDescent="0.25">
      <c r="C1902" s="1" t="s">
        <v>8682</v>
      </c>
      <c r="D1902" s="1" t="s">
        <v>8683</v>
      </c>
      <c r="E1902" s="1" t="s">
        <v>8684</v>
      </c>
      <c r="F1902" s="1">
        <v>-1</v>
      </c>
      <c r="G1902" s="1">
        <v>-1</v>
      </c>
      <c r="H1902" s="1">
        <v>0</v>
      </c>
      <c r="I1902" s="1">
        <v>0</v>
      </c>
      <c r="J1902" s="1">
        <v>1</v>
      </c>
      <c r="K1902" s="1">
        <v>-1</v>
      </c>
    </row>
    <row r="1903" spans="3:11" x14ac:dyDescent="0.25">
      <c r="C1903" s="1" t="s">
        <v>8685</v>
      </c>
      <c r="D1903" s="1" t="s">
        <v>8686</v>
      </c>
      <c r="E1903" s="1" t="s">
        <v>8685</v>
      </c>
      <c r="F1903" s="1">
        <v>-1</v>
      </c>
      <c r="G1903" s="1">
        <v>-1</v>
      </c>
      <c r="H1903" s="1">
        <v>0</v>
      </c>
      <c r="I1903" s="1">
        <v>0</v>
      </c>
      <c r="J1903" s="1">
        <v>1</v>
      </c>
      <c r="K1903" s="1">
        <v>-1</v>
      </c>
    </row>
    <row r="1904" spans="3:11" x14ac:dyDescent="0.25">
      <c r="D1904" s="1" t="s">
        <v>8687</v>
      </c>
      <c r="E1904" s="1" t="s">
        <v>8688</v>
      </c>
      <c r="F1904" s="1">
        <v>-1</v>
      </c>
      <c r="G1904" s="1">
        <v>-1</v>
      </c>
      <c r="H1904" s="1">
        <v>0</v>
      </c>
      <c r="I1904" s="1">
        <v>0</v>
      </c>
      <c r="J1904" s="1">
        <v>1</v>
      </c>
      <c r="K1904" s="1">
        <v>-1</v>
      </c>
    </row>
    <row r="1905" spans="3:11" x14ac:dyDescent="0.25">
      <c r="D1905" s="1" t="s">
        <v>8689</v>
      </c>
      <c r="E1905" s="1" t="s">
        <v>8690</v>
      </c>
      <c r="F1905" s="1">
        <v>-1</v>
      </c>
      <c r="G1905" s="1">
        <v>-1</v>
      </c>
      <c r="H1905" s="1">
        <v>0</v>
      </c>
      <c r="I1905" s="1">
        <v>0</v>
      </c>
      <c r="J1905" s="1">
        <v>1</v>
      </c>
      <c r="K1905" s="1">
        <v>-1</v>
      </c>
    </row>
    <row r="1906" spans="3:11" x14ac:dyDescent="0.25">
      <c r="C1906" s="1" t="s">
        <v>8691</v>
      </c>
      <c r="D1906" s="1" t="s">
        <v>8692</v>
      </c>
      <c r="E1906" s="1" t="s">
        <v>8691</v>
      </c>
      <c r="F1906" s="1">
        <v>-1</v>
      </c>
      <c r="G1906" s="1">
        <v>-1</v>
      </c>
      <c r="H1906" s="1">
        <v>0</v>
      </c>
      <c r="I1906" s="1">
        <v>0</v>
      </c>
      <c r="J1906" s="1">
        <v>1</v>
      </c>
      <c r="K1906" s="1">
        <v>-1</v>
      </c>
    </row>
    <row r="1907" spans="3:11" x14ac:dyDescent="0.25">
      <c r="D1907" s="1" t="s">
        <v>8693</v>
      </c>
      <c r="E1907" s="1" t="s">
        <v>8694</v>
      </c>
      <c r="F1907" s="1">
        <v>-1</v>
      </c>
      <c r="G1907" s="1">
        <v>-1</v>
      </c>
      <c r="H1907" s="1">
        <v>0</v>
      </c>
      <c r="I1907" s="1">
        <v>0</v>
      </c>
      <c r="J1907" s="1">
        <v>1</v>
      </c>
      <c r="K1907" s="1">
        <v>-1</v>
      </c>
    </row>
    <row r="1908" spans="3:11" x14ac:dyDescent="0.25">
      <c r="D1908" s="1" t="s">
        <v>8695</v>
      </c>
      <c r="E1908" s="1" t="s">
        <v>8696</v>
      </c>
      <c r="F1908" s="1">
        <v>-1</v>
      </c>
      <c r="G1908" s="1">
        <v>-1</v>
      </c>
      <c r="H1908" s="1">
        <v>0</v>
      </c>
      <c r="I1908" s="1">
        <v>0</v>
      </c>
      <c r="J1908" s="1">
        <v>1</v>
      </c>
      <c r="K1908" s="1">
        <v>-1</v>
      </c>
    </row>
    <row r="1909" spans="3:11" x14ac:dyDescent="0.25">
      <c r="C1909" s="1" t="s">
        <v>8697</v>
      </c>
      <c r="D1909" s="1" t="s">
        <v>8698</v>
      </c>
      <c r="E1909" s="1" t="s">
        <v>8699</v>
      </c>
      <c r="F1909" s="1">
        <v>-1</v>
      </c>
      <c r="G1909" s="1">
        <v>-1</v>
      </c>
      <c r="H1909" s="1">
        <v>0</v>
      </c>
      <c r="I1909" s="1">
        <v>0</v>
      </c>
      <c r="J1909" s="1">
        <v>1</v>
      </c>
      <c r="K1909" s="1">
        <v>-1</v>
      </c>
    </row>
    <row r="1910" spans="3:11" x14ac:dyDescent="0.25">
      <c r="C1910" s="1" t="s">
        <v>8700</v>
      </c>
      <c r="D1910" s="1" t="s">
        <v>8701</v>
      </c>
      <c r="E1910" s="1" t="s">
        <v>8700</v>
      </c>
      <c r="F1910" s="1">
        <v>-1</v>
      </c>
      <c r="G1910" s="1">
        <v>-1</v>
      </c>
      <c r="H1910" s="1">
        <v>0</v>
      </c>
      <c r="I1910" s="1">
        <v>0</v>
      </c>
      <c r="J1910" s="1">
        <v>1</v>
      </c>
      <c r="K1910" s="1">
        <v>-1</v>
      </c>
    </row>
    <row r="1911" spans="3:11" x14ac:dyDescent="0.25">
      <c r="C1911" s="1" t="s">
        <v>8702</v>
      </c>
      <c r="D1911" s="1" t="s">
        <v>8703</v>
      </c>
      <c r="E1911" s="1" t="s">
        <v>8702</v>
      </c>
      <c r="F1911" s="1">
        <v>-1</v>
      </c>
      <c r="G1911" s="1">
        <v>-1</v>
      </c>
      <c r="H1911" s="1">
        <v>0</v>
      </c>
      <c r="I1911" s="1">
        <v>0</v>
      </c>
      <c r="J1911" s="1">
        <v>1</v>
      </c>
      <c r="K1911" s="1">
        <v>-1</v>
      </c>
    </row>
    <row r="1912" spans="3:11" x14ac:dyDescent="0.25">
      <c r="C1912" s="1" t="s">
        <v>8704</v>
      </c>
      <c r="D1912" s="1" t="s">
        <v>8705</v>
      </c>
      <c r="E1912" s="1" t="s">
        <v>8704</v>
      </c>
      <c r="F1912" s="1">
        <v>-1</v>
      </c>
      <c r="G1912" s="1">
        <v>-1</v>
      </c>
      <c r="H1912" s="1">
        <v>0</v>
      </c>
      <c r="I1912" s="1">
        <v>0</v>
      </c>
      <c r="J1912" s="1">
        <v>1</v>
      </c>
      <c r="K1912" s="1">
        <v>-1</v>
      </c>
    </row>
    <row r="1913" spans="3:11" x14ac:dyDescent="0.25">
      <c r="C1913" s="1" t="s">
        <v>8706</v>
      </c>
      <c r="D1913" s="1" t="s">
        <v>8707</v>
      </c>
      <c r="E1913" s="1" t="s">
        <v>8706</v>
      </c>
      <c r="F1913" s="1">
        <v>-1</v>
      </c>
      <c r="G1913" s="1">
        <v>-1</v>
      </c>
      <c r="H1913" s="1">
        <v>0</v>
      </c>
      <c r="I1913" s="1">
        <v>0</v>
      </c>
      <c r="J1913" s="1">
        <v>1</v>
      </c>
      <c r="K1913" s="1">
        <v>-1</v>
      </c>
    </row>
    <row r="1914" spans="3:11" x14ac:dyDescent="0.25">
      <c r="C1914" s="1" t="s">
        <v>8708</v>
      </c>
      <c r="D1914" s="1" t="s">
        <v>8709</v>
      </c>
      <c r="E1914" s="1" t="s">
        <v>8708</v>
      </c>
      <c r="F1914" s="1">
        <v>-1</v>
      </c>
      <c r="G1914" s="1">
        <v>-1</v>
      </c>
      <c r="H1914" s="1">
        <v>0</v>
      </c>
      <c r="I1914" s="1">
        <v>0</v>
      </c>
      <c r="J1914" s="1">
        <v>1</v>
      </c>
      <c r="K1914" s="1">
        <v>-1</v>
      </c>
    </row>
    <row r="1915" spans="3:11" x14ac:dyDescent="0.25">
      <c r="C1915" s="1" t="s">
        <v>8710</v>
      </c>
      <c r="D1915" s="1" t="s">
        <v>8711</v>
      </c>
      <c r="E1915" s="1" t="s">
        <v>8710</v>
      </c>
      <c r="F1915" s="1">
        <v>-1</v>
      </c>
      <c r="G1915" s="1">
        <v>-1</v>
      </c>
      <c r="H1915" s="1">
        <v>0</v>
      </c>
      <c r="I1915" s="1">
        <v>0</v>
      </c>
      <c r="J1915" s="1">
        <v>1</v>
      </c>
      <c r="K1915" s="1">
        <v>-1</v>
      </c>
    </row>
    <row r="1916" spans="3:11" x14ac:dyDescent="0.25">
      <c r="D1916" s="1" t="s">
        <v>8712</v>
      </c>
      <c r="E1916" s="1" t="s">
        <v>8713</v>
      </c>
      <c r="F1916" s="1">
        <v>-1</v>
      </c>
      <c r="G1916" s="1">
        <v>-1</v>
      </c>
      <c r="H1916" s="1">
        <v>0</v>
      </c>
      <c r="I1916" s="1">
        <v>0</v>
      </c>
      <c r="J1916" s="1">
        <v>1</v>
      </c>
      <c r="K1916" s="1">
        <v>-1</v>
      </c>
    </row>
    <row r="1917" spans="3:11" x14ac:dyDescent="0.25">
      <c r="C1917" s="1" t="s">
        <v>8714</v>
      </c>
      <c r="D1917" s="1" t="s">
        <v>8715</v>
      </c>
      <c r="E1917" s="1" t="s">
        <v>8714</v>
      </c>
      <c r="F1917" s="1">
        <v>-1</v>
      </c>
      <c r="G1917" s="1">
        <v>-1</v>
      </c>
      <c r="H1917" s="1">
        <v>0</v>
      </c>
      <c r="I1917" s="1">
        <v>0</v>
      </c>
      <c r="J1917" s="1">
        <v>1</v>
      </c>
      <c r="K1917" s="1">
        <v>-1</v>
      </c>
    </row>
    <row r="1918" spans="3:11" x14ac:dyDescent="0.25">
      <c r="C1918" s="1" t="s">
        <v>8716</v>
      </c>
      <c r="D1918" s="1" t="s">
        <v>8717</v>
      </c>
      <c r="E1918" s="1" t="s">
        <v>8716</v>
      </c>
      <c r="F1918" s="1">
        <v>-1</v>
      </c>
      <c r="G1918" s="1">
        <v>-1</v>
      </c>
      <c r="H1918" s="1">
        <v>0</v>
      </c>
      <c r="I1918" s="1">
        <v>0</v>
      </c>
      <c r="J1918" s="1">
        <v>1</v>
      </c>
      <c r="K1918" s="1">
        <v>-1</v>
      </c>
    </row>
    <row r="1919" spans="3:11" x14ac:dyDescent="0.25">
      <c r="C1919" s="1" t="s">
        <v>8718</v>
      </c>
      <c r="D1919" s="1" t="s">
        <v>8719</v>
      </c>
      <c r="E1919" s="1" t="s">
        <v>8718</v>
      </c>
      <c r="F1919" s="1">
        <v>-1</v>
      </c>
      <c r="G1919" s="1">
        <v>-1</v>
      </c>
      <c r="H1919" s="1">
        <v>0</v>
      </c>
      <c r="I1919" s="1">
        <v>0</v>
      </c>
      <c r="J1919" s="1">
        <v>1</v>
      </c>
      <c r="K1919" s="1">
        <v>-1</v>
      </c>
    </row>
    <row r="1920" spans="3:11" x14ac:dyDescent="0.25">
      <c r="C1920" s="1" t="s">
        <v>8720</v>
      </c>
      <c r="D1920" s="1" t="s">
        <v>8721</v>
      </c>
      <c r="E1920" s="1" t="s">
        <v>8720</v>
      </c>
      <c r="F1920" s="1">
        <v>-1</v>
      </c>
      <c r="G1920" s="1">
        <v>-1</v>
      </c>
      <c r="H1920" s="1">
        <v>0</v>
      </c>
      <c r="I1920" s="1">
        <v>0</v>
      </c>
      <c r="J1920" s="1">
        <v>1</v>
      </c>
      <c r="K1920" s="1">
        <v>-1</v>
      </c>
    </row>
    <row r="1921" spans="3:11" x14ac:dyDescent="0.25">
      <c r="C1921" s="1" t="s">
        <v>8722</v>
      </c>
      <c r="D1921" s="1" t="s">
        <v>8723</v>
      </c>
      <c r="E1921" s="1" t="s">
        <v>8722</v>
      </c>
      <c r="F1921" s="1">
        <v>-1</v>
      </c>
      <c r="G1921" s="1">
        <v>-1</v>
      </c>
      <c r="H1921" s="1">
        <v>0</v>
      </c>
      <c r="I1921" s="1">
        <v>0</v>
      </c>
      <c r="J1921" s="1">
        <v>1</v>
      </c>
      <c r="K1921" s="1">
        <v>-1</v>
      </c>
    </row>
    <row r="1922" spans="3:11" x14ac:dyDescent="0.25">
      <c r="C1922" s="1" t="s">
        <v>8724</v>
      </c>
      <c r="D1922" s="1" t="s">
        <v>8725</v>
      </c>
      <c r="E1922" s="1" t="s">
        <v>8724</v>
      </c>
      <c r="F1922" s="1">
        <v>-1</v>
      </c>
      <c r="G1922" s="1">
        <v>-1</v>
      </c>
      <c r="H1922" s="1">
        <v>0</v>
      </c>
      <c r="I1922" s="1">
        <v>0</v>
      </c>
      <c r="J1922" s="1">
        <v>1</v>
      </c>
      <c r="K1922" s="1">
        <v>-1</v>
      </c>
    </row>
    <row r="1923" spans="3:11" x14ac:dyDescent="0.25">
      <c r="C1923" s="1" t="s">
        <v>8726</v>
      </c>
      <c r="D1923" s="1" t="s">
        <v>8727</v>
      </c>
      <c r="E1923" s="1" t="s">
        <v>8728</v>
      </c>
      <c r="F1923" s="1">
        <v>-1</v>
      </c>
      <c r="G1923" s="1">
        <v>-1</v>
      </c>
      <c r="H1923" s="1">
        <v>0</v>
      </c>
      <c r="I1923" s="1">
        <v>0</v>
      </c>
      <c r="J1923" s="1">
        <v>1</v>
      </c>
      <c r="K1923" s="1">
        <v>-1</v>
      </c>
    </row>
    <row r="1924" spans="3:11" x14ac:dyDescent="0.25">
      <c r="C1924" s="1" t="s">
        <v>8729</v>
      </c>
      <c r="D1924" s="1" t="s">
        <v>8730</v>
      </c>
      <c r="E1924" s="1" t="s">
        <v>8731</v>
      </c>
      <c r="F1924" s="1">
        <v>-1</v>
      </c>
      <c r="G1924" s="1">
        <v>-1</v>
      </c>
      <c r="H1924" s="1">
        <v>0</v>
      </c>
      <c r="I1924" s="1">
        <v>0</v>
      </c>
      <c r="J1924" s="1">
        <v>1</v>
      </c>
      <c r="K1924" s="1">
        <v>-1</v>
      </c>
    </row>
    <row r="1925" spans="3:11" x14ac:dyDescent="0.25">
      <c r="C1925" s="1" t="s">
        <v>8732</v>
      </c>
      <c r="D1925" s="1" t="s">
        <v>8733</v>
      </c>
      <c r="E1925" s="1" t="s">
        <v>8732</v>
      </c>
      <c r="F1925" s="1">
        <v>-1</v>
      </c>
      <c r="G1925" s="1">
        <v>-1</v>
      </c>
      <c r="H1925" s="1">
        <v>0</v>
      </c>
      <c r="I1925" s="1">
        <v>0</v>
      </c>
      <c r="J1925" s="1">
        <v>1</v>
      </c>
      <c r="K1925" s="1">
        <v>-1</v>
      </c>
    </row>
    <row r="1926" spans="3:11" x14ac:dyDescent="0.25">
      <c r="C1926" s="1" t="s">
        <v>8734</v>
      </c>
      <c r="D1926" s="1" t="s">
        <v>8735</v>
      </c>
      <c r="E1926" s="1" t="s">
        <v>8734</v>
      </c>
      <c r="F1926" s="1">
        <v>-1</v>
      </c>
      <c r="G1926" s="1">
        <v>-1</v>
      </c>
      <c r="H1926" s="1">
        <v>0</v>
      </c>
      <c r="I1926" s="1">
        <v>0</v>
      </c>
      <c r="J1926" s="1">
        <v>1</v>
      </c>
      <c r="K1926" s="1">
        <v>-1</v>
      </c>
    </row>
    <row r="1927" spans="3:11" x14ac:dyDescent="0.25">
      <c r="C1927" s="1" t="s">
        <v>8736</v>
      </c>
      <c r="D1927" s="1" t="s">
        <v>8737</v>
      </c>
      <c r="E1927" s="1" t="s">
        <v>8736</v>
      </c>
      <c r="F1927" s="1">
        <v>-1</v>
      </c>
      <c r="G1927" s="1">
        <v>-1</v>
      </c>
      <c r="H1927" s="1">
        <v>0</v>
      </c>
      <c r="I1927" s="1">
        <v>0</v>
      </c>
      <c r="J1927" s="1">
        <v>1</v>
      </c>
      <c r="K1927" s="1">
        <v>-1</v>
      </c>
    </row>
    <row r="1928" spans="3:11" x14ac:dyDescent="0.25">
      <c r="C1928" s="1" t="s">
        <v>8738</v>
      </c>
      <c r="D1928" s="1" t="s">
        <v>8739</v>
      </c>
      <c r="E1928" s="1" t="s">
        <v>8738</v>
      </c>
      <c r="F1928" s="1">
        <v>-1</v>
      </c>
      <c r="G1928" s="1">
        <v>-1</v>
      </c>
      <c r="H1928" s="1">
        <v>0</v>
      </c>
      <c r="I1928" s="1">
        <v>0</v>
      </c>
      <c r="J1928" s="1">
        <v>1</v>
      </c>
      <c r="K1928" s="1">
        <v>-1</v>
      </c>
    </row>
    <row r="1929" spans="3:11" x14ac:dyDescent="0.25">
      <c r="C1929" s="1" t="s">
        <v>8740</v>
      </c>
      <c r="D1929" s="1" t="s">
        <v>8741</v>
      </c>
      <c r="E1929" s="1" t="s">
        <v>8740</v>
      </c>
      <c r="F1929" s="1">
        <v>-1</v>
      </c>
      <c r="G1929" s="1">
        <v>-1</v>
      </c>
      <c r="H1929" s="1">
        <v>0</v>
      </c>
      <c r="I1929" s="1">
        <v>0</v>
      </c>
      <c r="J1929" s="1">
        <v>1</v>
      </c>
      <c r="K1929" s="1">
        <v>-1</v>
      </c>
    </row>
    <row r="1930" spans="3:11" x14ac:dyDescent="0.25">
      <c r="C1930" s="1" t="s">
        <v>8742</v>
      </c>
      <c r="D1930" s="1" t="s">
        <v>8743</v>
      </c>
      <c r="E1930" s="1" t="s">
        <v>8742</v>
      </c>
      <c r="F1930" s="1">
        <v>-1</v>
      </c>
      <c r="G1930" s="1">
        <v>-1</v>
      </c>
      <c r="H1930" s="1">
        <v>0</v>
      </c>
      <c r="I1930" s="1">
        <v>0</v>
      </c>
      <c r="J1930" s="1">
        <v>1</v>
      </c>
      <c r="K1930" s="1">
        <v>-1</v>
      </c>
    </row>
    <row r="1931" spans="3:11" x14ac:dyDescent="0.25">
      <c r="C1931" s="1" t="s">
        <v>8744</v>
      </c>
      <c r="D1931" s="1" t="s">
        <v>8745</v>
      </c>
      <c r="E1931" s="1" t="s">
        <v>8744</v>
      </c>
      <c r="F1931" s="1">
        <v>-1</v>
      </c>
      <c r="G1931" s="1">
        <v>-1</v>
      </c>
      <c r="H1931" s="1">
        <v>0</v>
      </c>
      <c r="I1931" s="1">
        <v>0</v>
      </c>
      <c r="J1931" s="1">
        <v>1</v>
      </c>
      <c r="K1931" s="1">
        <v>-1</v>
      </c>
    </row>
    <row r="1932" spans="3:11" x14ac:dyDescent="0.25">
      <c r="D1932" s="1" t="s">
        <v>8746</v>
      </c>
      <c r="E1932" s="1" t="s">
        <v>8747</v>
      </c>
      <c r="F1932" s="1">
        <v>-1</v>
      </c>
      <c r="G1932" s="1">
        <v>-1</v>
      </c>
      <c r="H1932" s="1">
        <v>0</v>
      </c>
      <c r="I1932" s="1">
        <v>0</v>
      </c>
      <c r="J1932" s="1">
        <v>1</v>
      </c>
      <c r="K1932" s="1">
        <v>-1</v>
      </c>
    </row>
    <row r="1933" spans="3:11" x14ac:dyDescent="0.25">
      <c r="D1933" s="1" t="s">
        <v>8748</v>
      </c>
      <c r="E1933" s="1" t="s">
        <v>8749</v>
      </c>
      <c r="F1933" s="1">
        <v>-1</v>
      </c>
      <c r="G1933" s="1">
        <v>-1</v>
      </c>
      <c r="H1933" s="1">
        <v>0</v>
      </c>
      <c r="I1933" s="1">
        <v>0</v>
      </c>
      <c r="J1933" s="1">
        <v>1</v>
      </c>
      <c r="K1933" s="1">
        <v>-1</v>
      </c>
    </row>
    <row r="1934" spans="3:11" x14ac:dyDescent="0.25">
      <c r="D1934" s="1" t="s">
        <v>8750</v>
      </c>
      <c r="E1934" s="1" t="s">
        <v>8751</v>
      </c>
      <c r="F1934" s="1">
        <v>-1</v>
      </c>
      <c r="G1934" s="1">
        <v>-1</v>
      </c>
      <c r="H1934" s="1">
        <v>0</v>
      </c>
      <c r="I1934" s="1">
        <v>0</v>
      </c>
      <c r="J1934" s="1">
        <v>1</v>
      </c>
      <c r="K1934" s="1">
        <v>-1</v>
      </c>
    </row>
    <row r="1935" spans="3:11" x14ac:dyDescent="0.25">
      <c r="C1935" s="1" t="s">
        <v>8752</v>
      </c>
      <c r="D1935" s="1" t="s">
        <v>8753</v>
      </c>
      <c r="E1935" s="1" t="s">
        <v>8752</v>
      </c>
      <c r="F1935" s="1">
        <v>-1</v>
      </c>
      <c r="G1935" s="1">
        <v>-1</v>
      </c>
      <c r="H1935" s="1">
        <v>0</v>
      </c>
      <c r="I1935" s="1">
        <v>0</v>
      </c>
      <c r="J1935" s="1">
        <v>1</v>
      </c>
      <c r="K1935" s="1">
        <v>-1</v>
      </c>
    </row>
    <row r="1936" spans="3:11" x14ac:dyDescent="0.25">
      <c r="D1936" s="1" t="s">
        <v>8754</v>
      </c>
      <c r="E1936" s="1" t="s">
        <v>8755</v>
      </c>
      <c r="F1936" s="1">
        <v>-1</v>
      </c>
      <c r="G1936" s="1">
        <v>-1</v>
      </c>
      <c r="H1936" s="1">
        <v>0</v>
      </c>
      <c r="I1936" s="1">
        <v>0</v>
      </c>
      <c r="J1936" s="1">
        <v>1</v>
      </c>
      <c r="K1936" s="1">
        <v>-1</v>
      </c>
    </row>
    <row r="1937" spans="3:11" x14ac:dyDescent="0.25">
      <c r="D1937" s="1" t="s">
        <v>8756</v>
      </c>
      <c r="E1937" s="1" t="s">
        <v>8757</v>
      </c>
      <c r="F1937" s="1">
        <v>-1</v>
      </c>
      <c r="G1937" s="1">
        <v>-1</v>
      </c>
      <c r="H1937" s="1">
        <v>0</v>
      </c>
      <c r="I1937" s="1">
        <v>0</v>
      </c>
      <c r="J1937" s="1">
        <v>1</v>
      </c>
      <c r="K1937" s="1">
        <v>-1</v>
      </c>
    </row>
    <row r="1938" spans="3:11" x14ac:dyDescent="0.25">
      <c r="D1938" s="1" t="s">
        <v>8758</v>
      </c>
      <c r="E1938" s="1" t="s">
        <v>8759</v>
      </c>
      <c r="F1938" s="1">
        <v>-1</v>
      </c>
      <c r="G1938" s="1">
        <v>-1</v>
      </c>
      <c r="H1938" s="1">
        <v>0</v>
      </c>
      <c r="I1938" s="1">
        <v>0</v>
      </c>
      <c r="J1938" s="1">
        <v>1</v>
      </c>
      <c r="K1938" s="1">
        <v>-1</v>
      </c>
    </row>
    <row r="1939" spans="3:11" x14ac:dyDescent="0.25">
      <c r="C1939" s="1" t="s">
        <v>8760</v>
      </c>
      <c r="D1939" s="1" t="s">
        <v>8761</v>
      </c>
      <c r="E1939" s="1" t="s">
        <v>8760</v>
      </c>
      <c r="F1939" s="1">
        <v>-1</v>
      </c>
      <c r="G1939" s="1">
        <v>-1</v>
      </c>
      <c r="H1939" s="1">
        <v>0</v>
      </c>
      <c r="I1939" s="1">
        <v>0</v>
      </c>
      <c r="J1939" s="1">
        <v>1</v>
      </c>
      <c r="K1939" s="1">
        <v>-1</v>
      </c>
    </row>
    <row r="1940" spans="3:11" x14ac:dyDescent="0.25">
      <c r="C1940" s="1" t="s">
        <v>8762</v>
      </c>
      <c r="D1940" s="1" t="s">
        <v>8763</v>
      </c>
      <c r="E1940" s="1" t="s">
        <v>8764</v>
      </c>
      <c r="F1940" s="1">
        <v>-1</v>
      </c>
      <c r="G1940" s="1">
        <v>-1</v>
      </c>
      <c r="H1940" s="1">
        <v>0</v>
      </c>
      <c r="I1940" s="1">
        <v>0</v>
      </c>
      <c r="J1940" s="1">
        <v>1</v>
      </c>
      <c r="K1940" s="1">
        <v>-1</v>
      </c>
    </row>
    <row r="1941" spans="3:11" x14ac:dyDescent="0.25">
      <c r="C1941" s="1" t="s">
        <v>8765</v>
      </c>
      <c r="D1941" s="1" t="s">
        <v>8766</v>
      </c>
      <c r="E1941" s="1" t="s">
        <v>8767</v>
      </c>
      <c r="F1941" s="1">
        <v>-1</v>
      </c>
      <c r="G1941" s="1">
        <v>-1</v>
      </c>
      <c r="H1941" s="1">
        <v>0</v>
      </c>
      <c r="I1941" s="1">
        <v>0</v>
      </c>
      <c r="J1941" s="1">
        <v>1</v>
      </c>
      <c r="K1941" s="1">
        <v>-1</v>
      </c>
    </row>
    <row r="1942" spans="3:11" x14ac:dyDescent="0.25">
      <c r="C1942" s="1" t="s">
        <v>8768</v>
      </c>
      <c r="D1942" s="1" t="s">
        <v>8769</v>
      </c>
      <c r="E1942" s="1" t="s">
        <v>8768</v>
      </c>
      <c r="F1942" s="1">
        <v>-1</v>
      </c>
      <c r="G1942" s="1">
        <v>-1</v>
      </c>
      <c r="H1942" s="1">
        <v>0</v>
      </c>
      <c r="I1942" s="1">
        <v>0</v>
      </c>
      <c r="J1942" s="1">
        <v>1</v>
      </c>
      <c r="K1942" s="1">
        <v>-1</v>
      </c>
    </row>
    <row r="1943" spans="3:11" x14ac:dyDescent="0.25">
      <c r="C1943" s="1" t="s">
        <v>8770</v>
      </c>
      <c r="D1943" s="1" t="s">
        <v>8771</v>
      </c>
      <c r="E1943" s="1" t="s">
        <v>8770</v>
      </c>
      <c r="F1943" s="1">
        <v>-1</v>
      </c>
      <c r="G1943" s="1">
        <v>-1</v>
      </c>
      <c r="H1943" s="1">
        <v>0</v>
      </c>
      <c r="I1943" s="1">
        <v>0</v>
      </c>
      <c r="J1943" s="1">
        <v>1</v>
      </c>
      <c r="K1943" s="1">
        <v>-1</v>
      </c>
    </row>
    <row r="1944" spans="3:11" x14ac:dyDescent="0.25">
      <c r="C1944" s="1" t="s">
        <v>8772</v>
      </c>
      <c r="D1944" s="1" t="s">
        <v>8773</v>
      </c>
      <c r="E1944" s="1" t="s">
        <v>8774</v>
      </c>
      <c r="F1944" s="1">
        <v>-1</v>
      </c>
      <c r="G1944" s="1">
        <v>-1</v>
      </c>
      <c r="H1944" s="1">
        <v>0</v>
      </c>
      <c r="I1944" s="1">
        <v>0</v>
      </c>
      <c r="J1944" s="1">
        <v>1</v>
      </c>
      <c r="K1944" s="1">
        <v>-1</v>
      </c>
    </row>
    <row r="1945" spans="3:11" x14ac:dyDescent="0.25">
      <c r="C1945" s="1" t="s">
        <v>8775</v>
      </c>
      <c r="D1945" s="1" t="s">
        <v>8776</v>
      </c>
      <c r="E1945" s="1" t="s">
        <v>8775</v>
      </c>
      <c r="F1945" s="1">
        <v>-1</v>
      </c>
      <c r="G1945" s="1">
        <v>-1</v>
      </c>
      <c r="H1945" s="1">
        <v>0</v>
      </c>
      <c r="I1945" s="1">
        <v>0</v>
      </c>
      <c r="J1945" s="1">
        <v>1</v>
      </c>
      <c r="K1945" s="1">
        <v>-1</v>
      </c>
    </row>
    <row r="1946" spans="3:11" x14ac:dyDescent="0.25">
      <c r="C1946" s="1" t="s">
        <v>8777</v>
      </c>
      <c r="D1946" s="1" t="s">
        <v>8778</v>
      </c>
      <c r="E1946" s="1" t="s">
        <v>8777</v>
      </c>
      <c r="F1946" s="1">
        <v>-1</v>
      </c>
      <c r="G1946" s="1">
        <v>-1</v>
      </c>
      <c r="H1946" s="1">
        <v>0</v>
      </c>
      <c r="I1946" s="1">
        <v>0</v>
      </c>
      <c r="J1946" s="1">
        <v>1</v>
      </c>
      <c r="K1946" s="1">
        <v>-1</v>
      </c>
    </row>
    <row r="1947" spans="3:11" x14ac:dyDescent="0.25">
      <c r="C1947" s="1" t="s">
        <v>8779</v>
      </c>
      <c r="D1947" s="1" t="s">
        <v>8780</v>
      </c>
      <c r="E1947" s="1" t="s">
        <v>8779</v>
      </c>
      <c r="F1947" s="1">
        <v>-1</v>
      </c>
      <c r="G1947" s="1">
        <v>-1</v>
      </c>
      <c r="H1947" s="1">
        <v>0</v>
      </c>
      <c r="I1947" s="1">
        <v>0</v>
      </c>
      <c r="J1947" s="1">
        <v>1</v>
      </c>
      <c r="K1947" s="1">
        <v>-1</v>
      </c>
    </row>
    <row r="1948" spans="3:11" x14ac:dyDescent="0.25">
      <c r="C1948" s="1" t="s">
        <v>8781</v>
      </c>
      <c r="D1948" s="1" t="s">
        <v>8782</v>
      </c>
      <c r="E1948" s="1" t="s">
        <v>8781</v>
      </c>
      <c r="F1948" s="1">
        <v>-1</v>
      </c>
      <c r="G1948" s="1">
        <v>-1</v>
      </c>
      <c r="H1948" s="1">
        <v>0</v>
      </c>
      <c r="I1948" s="1">
        <v>0</v>
      </c>
      <c r="J1948" s="1">
        <v>1</v>
      </c>
      <c r="K1948" s="1">
        <v>-1</v>
      </c>
    </row>
    <row r="1949" spans="3:11" x14ac:dyDescent="0.25">
      <c r="C1949" s="1" t="s">
        <v>8783</v>
      </c>
      <c r="D1949" s="1" t="s">
        <v>8784</v>
      </c>
      <c r="E1949" s="1" t="s">
        <v>8783</v>
      </c>
      <c r="F1949" s="1">
        <v>-1</v>
      </c>
      <c r="G1949" s="1">
        <v>-1</v>
      </c>
      <c r="H1949" s="1">
        <v>0</v>
      </c>
      <c r="I1949" s="1">
        <v>0</v>
      </c>
      <c r="J1949" s="1">
        <v>1</v>
      </c>
      <c r="K1949" s="1">
        <v>-1</v>
      </c>
    </row>
    <row r="1950" spans="3:11" x14ac:dyDescent="0.25">
      <c r="C1950" s="1" t="s">
        <v>8785</v>
      </c>
      <c r="D1950" s="1" t="s">
        <v>8786</v>
      </c>
      <c r="E1950" s="1" t="s">
        <v>8785</v>
      </c>
      <c r="F1950" s="1">
        <v>-1</v>
      </c>
      <c r="G1950" s="1">
        <v>-1</v>
      </c>
      <c r="H1950" s="1">
        <v>0</v>
      </c>
      <c r="I1950" s="1">
        <v>0</v>
      </c>
      <c r="J1950" s="1">
        <v>1</v>
      </c>
      <c r="K1950" s="1">
        <v>-1</v>
      </c>
    </row>
    <row r="1951" spans="3:11" x14ac:dyDescent="0.25">
      <c r="C1951" s="1" t="s">
        <v>8787</v>
      </c>
      <c r="D1951" s="1" t="s">
        <v>8788</v>
      </c>
      <c r="E1951" s="1" t="s">
        <v>8787</v>
      </c>
      <c r="F1951" s="1">
        <v>-1</v>
      </c>
      <c r="G1951" s="1">
        <v>-1</v>
      </c>
      <c r="H1951" s="1">
        <v>0</v>
      </c>
      <c r="I1951" s="1">
        <v>0</v>
      </c>
      <c r="J1951" s="1">
        <v>1</v>
      </c>
      <c r="K1951" s="1">
        <v>-1</v>
      </c>
    </row>
    <row r="1952" spans="3:11" x14ac:dyDescent="0.25">
      <c r="C1952" s="1" t="s">
        <v>8789</v>
      </c>
      <c r="D1952" s="1" t="s">
        <v>8790</v>
      </c>
      <c r="E1952" s="1" t="s">
        <v>8789</v>
      </c>
      <c r="F1952" s="1">
        <v>-1</v>
      </c>
      <c r="G1952" s="1">
        <v>-1</v>
      </c>
      <c r="H1952" s="1">
        <v>0</v>
      </c>
      <c r="I1952" s="1">
        <v>0</v>
      </c>
      <c r="J1952" s="1">
        <v>1</v>
      </c>
      <c r="K1952" s="1">
        <v>-1</v>
      </c>
    </row>
    <row r="1953" spans="3:11" x14ac:dyDescent="0.25">
      <c r="C1953" s="1" t="s">
        <v>8791</v>
      </c>
      <c r="D1953" s="1" t="s">
        <v>8792</v>
      </c>
      <c r="E1953" s="1" t="s">
        <v>8793</v>
      </c>
      <c r="F1953" s="1">
        <v>-1</v>
      </c>
      <c r="G1953" s="1">
        <v>-1</v>
      </c>
      <c r="H1953" s="1">
        <v>0</v>
      </c>
      <c r="I1953" s="1">
        <v>0</v>
      </c>
      <c r="J1953" s="1">
        <v>1</v>
      </c>
      <c r="K1953" s="1">
        <v>-1</v>
      </c>
    </row>
    <row r="1954" spans="3:11" x14ac:dyDescent="0.25">
      <c r="C1954" s="1" t="s">
        <v>8794</v>
      </c>
      <c r="D1954" s="1" t="s">
        <v>8795</v>
      </c>
      <c r="E1954" s="1" t="s">
        <v>8794</v>
      </c>
      <c r="F1954" s="1">
        <v>-1</v>
      </c>
      <c r="G1954" s="1">
        <v>-1</v>
      </c>
      <c r="H1954" s="1">
        <v>0</v>
      </c>
      <c r="I1954" s="1">
        <v>0</v>
      </c>
      <c r="J1954" s="1">
        <v>1</v>
      </c>
      <c r="K1954" s="1">
        <v>-1</v>
      </c>
    </row>
    <row r="1955" spans="3:11" x14ac:dyDescent="0.25">
      <c r="C1955" s="1" t="s">
        <v>8796</v>
      </c>
      <c r="D1955" s="1" t="s">
        <v>8797</v>
      </c>
      <c r="E1955" s="1" t="s">
        <v>8796</v>
      </c>
      <c r="F1955" s="1">
        <v>-1</v>
      </c>
      <c r="G1955" s="1">
        <v>-1</v>
      </c>
      <c r="H1955" s="1">
        <v>0</v>
      </c>
      <c r="I1955" s="1">
        <v>0</v>
      </c>
      <c r="J1955" s="1">
        <v>1</v>
      </c>
      <c r="K1955" s="1">
        <v>-1</v>
      </c>
    </row>
    <row r="1956" spans="3:11" x14ac:dyDescent="0.25">
      <c r="C1956" s="1" t="s">
        <v>8798</v>
      </c>
      <c r="D1956" s="1" t="s">
        <v>8799</v>
      </c>
      <c r="E1956" s="1" t="s">
        <v>8798</v>
      </c>
      <c r="F1956" s="1">
        <v>-1</v>
      </c>
      <c r="G1956" s="1">
        <v>-1</v>
      </c>
      <c r="H1956" s="1">
        <v>0</v>
      </c>
      <c r="I1956" s="1">
        <v>0</v>
      </c>
      <c r="J1956" s="1">
        <v>1</v>
      </c>
      <c r="K1956" s="1">
        <v>-1</v>
      </c>
    </row>
    <row r="1957" spans="3:11" x14ac:dyDescent="0.25">
      <c r="D1957" s="1" t="s">
        <v>8800</v>
      </c>
      <c r="E1957" s="1" t="s">
        <v>8801</v>
      </c>
      <c r="F1957" s="1">
        <v>-1</v>
      </c>
      <c r="G1957" s="1">
        <v>-1</v>
      </c>
      <c r="H1957" s="1">
        <v>0</v>
      </c>
      <c r="I1957" s="1">
        <v>0</v>
      </c>
      <c r="J1957" s="1">
        <v>1</v>
      </c>
      <c r="K1957" s="1">
        <v>-1</v>
      </c>
    </row>
    <row r="1958" spans="3:11" x14ac:dyDescent="0.25">
      <c r="D1958" s="1" t="s">
        <v>8802</v>
      </c>
      <c r="E1958" s="1" t="s">
        <v>8803</v>
      </c>
      <c r="F1958" s="1">
        <v>-1</v>
      </c>
      <c r="G1958" s="1">
        <v>-1</v>
      </c>
      <c r="H1958" s="1">
        <v>0</v>
      </c>
      <c r="I1958" s="1">
        <v>0</v>
      </c>
      <c r="J1958" s="1">
        <v>1</v>
      </c>
      <c r="K1958" s="1">
        <v>-1</v>
      </c>
    </row>
    <row r="1959" spans="3:11" x14ac:dyDescent="0.25">
      <c r="C1959" s="1" t="s">
        <v>8804</v>
      </c>
      <c r="D1959" s="1" t="s">
        <v>8805</v>
      </c>
      <c r="E1959" s="1" t="s">
        <v>8804</v>
      </c>
      <c r="F1959" s="1">
        <v>-1</v>
      </c>
      <c r="G1959" s="1">
        <v>-1</v>
      </c>
      <c r="H1959" s="1">
        <v>0</v>
      </c>
      <c r="I1959" s="1">
        <v>0</v>
      </c>
      <c r="J1959" s="1">
        <v>1</v>
      </c>
      <c r="K1959" s="1">
        <v>-1</v>
      </c>
    </row>
    <row r="1960" spans="3:11" x14ac:dyDescent="0.25">
      <c r="C1960" s="1" t="s">
        <v>8806</v>
      </c>
      <c r="D1960" s="1" t="s">
        <v>8807</v>
      </c>
      <c r="E1960" s="1" t="s">
        <v>8808</v>
      </c>
      <c r="F1960" s="1">
        <v>-1</v>
      </c>
      <c r="G1960" s="1">
        <v>-1</v>
      </c>
      <c r="H1960" s="1">
        <v>0</v>
      </c>
      <c r="I1960" s="1">
        <v>0</v>
      </c>
      <c r="J1960" s="1">
        <v>1</v>
      </c>
      <c r="K1960" s="1">
        <v>-1</v>
      </c>
    </row>
    <row r="1961" spans="3:11" x14ac:dyDescent="0.25">
      <c r="C1961" s="1" t="s">
        <v>8809</v>
      </c>
      <c r="D1961" s="1" t="s">
        <v>8810</v>
      </c>
      <c r="E1961" s="1" t="s">
        <v>8809</v>
      </c>
      <c r="F1961" s="1">
        <v>-1</v>
      </c>
      <c r="G1961" s="1">
        <v>-1</v>
      </c>
      <c r="H1961" s="1">
        <v>0</v>
      </c>
      <c r="I1961" s="1">
        <v>0</v>
      </c>
      <c r="J1961" s="1">
        <v>1</v>
      </c>
      <c r="K1961" s="1">
        <v>-1</v>
      </c>
    </row>
    <row r="1962" spans="3:11" x14ac:dyDescent="0.25">
      <c r="C1962" s="1" t="s">
        <v>8811</v>
      </c>
      <c r="D1962" s="1" t="s">
        <v>8812</v>
      </c>
      <c r="E1962" s="1" t="s">
        <v>8813</v>
      </c>
      <c r="F1962" s="1">
        <v>-1</v>
      </c>
      <c r="G1962" s="1">
        <v>-1</v>
      </c>
      <c r="H1962" s="1">
        <v>0</v>
      </c>
      <c r="I1962" s="1">
        <v>0</v>
      </c>
      <c r="J1962" s="1">
        <v>1</v>
      </c>
      <c r="K1962" s="1">
        <v>-1</v>
      </c>
    </row>
    <row r="1963" spans="3:11" x14ac:dyDescent="0.25">
      <c r="C1963" s="1" t="s">
        <v>8814</v>
      </c>
      <c r="D1963" s="1" t="s">
        <v>8815</v>
      </c>
      <c r="E1963" s="1" t="s">
        <v>8814</v>
      </c>
      <c r="F1963" s="1">
        <v>-1</v>
      </c>
      <c r="G1963" s="1">
        <v>-1</v>
      </c>
      <c r="H1963" s="1">
        <v>0</v>
      </c>
      <c r="I1963" s="1">
        <v>0</v>
      </c>
      <c r="J1963" s="1">
        <v>1</v>
      </c>
      <c r="K1963" s="1">
        <v>-1</v>
      </c>
    </row>
    <row r="1964" spans="3:11" x14ac:dyDescent="0.25">
      <c r="D1964" s="1" t="s">
        <v>8816</v>
      </c>
      <c r="E1964" s="1" t="s">
        <v>8817</v>
      </c>
      <c r="F1964" s="1">
        <v>-1</v>
      </c>
      <c r="G1964" s="1">
        <v>-1</v>
      </c>
      <c r="H1964" s="1">
        <v>0</v>
      </c>
      <c r="I1964" s="1">
        <v>0</v>
      </c>
      <c r="J1964" s="1">
        <v>1</v>
      </c>
      <c r="K1964" s="1">
        <v>-1</v>
      </c>
    </row>
    <row r="1965" spans="3:11" x14ac:dyDescent="0.25">
      <c r="C1965" s="1" t="s">
        <v>8818</v>
      </c>
      <c r="D1965" s="1" t="s">
        <v>8819</v>
      </c>
      <c r="E1965" s="1" t="s">
        <v>8820</v>
      </c>
      <c r="F1965" s="1">
        <v>-1</v>
      </c>
      <c r="G1965" s="1">
        <v>-1</v>
      </c>
      <c r="H1965" s="1">
        <v>0</v>
      </c>
      <c r="I1965" s="1">
        <v>0</v>
      </c>
      <c r="J1965" s="1">
        <v>1</v>
      </c>
      <c r="K1965" s="1">
        <v>-1</v>
      </c>
    </row>
    <row r="1966" spans="3:11" x14ac:dyDescent="0.25">
      <c r="D1966" s="1" t="s">
        <v>8821</v>
      </c>
      <c r="E1966" s="1" t="s">
        <v>8822</v>
      </c>
      <c r="F1966" s="1">
        <v>-1</v>
      </c>
      <c r="G1966" s="1">
        <v>-1</v>
      </c>
      <c r="H1966" s="1">
        <v>0</v>
      </c>
      <c r="I1966" s="1">
        <v>0</v>
      </c>
      <c r="J1966" s="1">
        <v>1</v>
      </c>
      <c r="K1966" s="1">
        <v>-1</v>
      </c>
    </row>
    <row r="1967" spans="3:11" x14ac:dyDescent="0.25">
      <c r="C1967" s="1" t="s">
        <v>8823</v>
      </c>
      <c r="D1967" s="1" t="s">
        <v>8824</v>
      </c>
      <c r="E1967" s="1" t="s">
        <v>8825</v>
      </c>
      <c r="F1967" s="1">
        <v>-1</v>
      </c>
      <c r="G1967" s="1">
        <v>-1</v>
      </c>
      <c r="H1967" s="1">
        <v>0</v>
      </c>
      <c r="I1967" s="1">
        <v>0</v>
      </c>
      <c r="J1967" s="1">
        <v>1</v>
      </c>
      <c r="K1967" s="1">
        <v>-1</v>
      </c>
    </row>
    <row r="1968" spans="3:11" x14ac:dyDescent="0.25">
      <c r="C1968" s="1" t="s">
        <v>8826</v>
      </c>
      <c r="D1968" s="1" t="s">
        <v>8827</v>
      </c>
      <c r="E1968" s="1" t="s">
        <v>8828</v>
      </c>
      <c r="F1968" s="1">
        <v>-1</v>
      </c>
      <c r="G1968" s="1">
        <v>-1</v>
      </c>
      <c r="H1968" s="1">
        <v>0</v>
      </c>
      <c r="I1968" s="1">
        <v>0</v>
      </c>
      <c r="J1968" s="1">
        <v>1</v>
      </c>
      <c r="K1968" s="1">
        <v>-1</v>
      </c>
    </row>
    <row r="1969" spans="3:11" x14ac:dyDescent="0.25">
      <c r="C1969" s="1" t="s">
        <v>8829</v>
      </c>
      <c r="D1969" s="1" t="s">
        <v>8830</v>
      </c>
      <c r="E1969" s="1" t="s">
        <v>8831</v>
      </c>
      <c r="F1969" s="1">
        <v>-1</v>
      </c>
      <c r="G1969" s="1">
        <v>-1</v>
      </c>
      <c r="H1969" s="1">
        <v>0</v>
      </c>
      <c r="I1969" s="1">
        <v>0</v>
      </c>
      <c r="J1969" s="1">
        <v>1</v>
      </c>
      <c r="K1969" s="1">
        <v>-1</v>
      </c>
    </row>
    <row r="1970" spans="3:11" x14ac:dyDescent="0.25">
      <c r="C1970" s="1" t="s">
        <v>8832</v>
      </c>
      <c r="D1970" s="1" t="s">
        <v>8833</v>
      </c>
      <c r="E1970" s="1" t="s">
        <v>8834</v>
      </c>
      <c r="F1970" s="1">
        <v>-1</v>
      </c>
      <c r="G1970" s="1">
        <v>-1</v>
      </c>
      <c r="H1970" s="1">
        <v>0</v>
      </c>
      <c r="I1970" s="1">
        <v>0</v>
      </c>
      <c r="J1970" s="1">
        <v>1</v>
      </c>
      <c r="K1970" s="1">
        <v>-1</v>
      </c>
    </row>
    <row r="1971" spans="3:11" x14ac:dyDescent="0.25">
      <c r="C1971" s="1" t="s">
        <v>8835</v>
      </c>
      <c r="D1971" s="1" t="s">
        <v>8836</v>
      </c>
      <c r="E1971" s="1" t="s">
        <v>8837</v>
      </c>
      <c r="F1971" s="1">
        <v>-1</v>
      </c>
      <c r="G1971" s="1">
        <v>-1</v>
      </c>
      <c r="H1971" s="1">
        <v>0</v>
      </c>
      <c r="I1971" s="1">
        <v>0</v>
      </c>
      <c r="J1971" s="1">
        <v>1</v>
      </c>
      <c r="K1971" s="1">
        <v>-1</v>
      </c>
    </row>
    <row r="1972" spans="3:11" x14ac:dyDescent="0.25">
      <c r="C1972" s="1" t="s">
        <v>8838</v>
      </c>
      <c r="D1972" s="1" t="s">
        <v>8839</v>
      </c>
      <c r="E1972" s="1" t="s">
        <v>8838</v>
      </c>
      <c r="F1972" s="1">
        <v>-1</v>
      </c>
      <c r="G1972" s="1">
        <v>-1</v>
      </c>
      <c r="H1972" s="1">
        <v>0</v>
      </c>
      <c r="I1972" s="1">
        <v>0</v>
      </c>
      <c r="J1972" s="1">
        <v>1</v>
      </c>
      <c r="K1972" s="1">
        <v>-1</v>
      </c>
    </row>
    <row r="1973" spans="3:11" x14ac:dyDescent="0.25">
      <c r="C1973" s="1" t="s">
        <v>8840</v>
      </c>
      <c r="D1973" s="1" t="s">
        <v>8841</v>
      </c>
      <c r="E1973" s="1" t="s">
        <v>8842</v>
      </c>
      <c r="F1973" s="1">
        <v>-1</v>
      </c>
      <c r="G1973" s="1">
        <v>-1</v>
      </c>
      <c r="H1973" s="1">
        <v>0</v>
      </c>
      <c r="I1973" s="1">
        <v>0</v>
      </c>
      <c r="J1973" s="1">
        <v>1</v>
      </c>
      <c r="K1973" s="1">
        <v>-1</v>
      </c>
    </row>
    <row r="1974" spans="3:11" x14ac:dyDescent="0.25">
      <c r="D1974" s="1" t="s">
        <v>8843</v>
      </c>
      <c r="E1974" s="1" t="s">
        <v>8844</v>
      </c>
      <c r="F1974" s="1">
        <v>-1</v>
      </c>
      <c r="G1974" s="1">
        <v>-1</v>
      </c>
      <c r="H1974" s="1">
        <v>0</v>
      </c>
      <c r="I1974" s="1">
        <v>0</v>
      </c>
      <c r="J1974" s="1">
        <v>1</v>
      </c>
      <c r="K1974" s="1">
        <v>-1</v>
      </c>
    </row>
    <row r="1975" spans="3:11" x14ac:dyDescent="0.25">
      <c r="C1975" s="1" t="s">
        <v>8845</v>
      </c>
      <c r="D1975" s="1" t="s">
        <v>8846</v>
      </c>
      <c r="E1975" s="1" t="s">
        <v>8847</v>
      </c>
      <c r="F1975" s="1">
        <v>-1</v>
      </c>
      <c r="G1975" s="1">
        <v>-1</v>
      </c>
      <c r="H1975" s="1">
        <v>0</v>
      </c>
      <c r="I1975" s="1">
        <v>0</v>
      </c>
      <c r="J1975" s="1">
        <v>1</v>
      </c>
      <c r="K1975" s="1">
        <v>-1</v>
      </c>
    </row>
    <row r="1976" spans="3:11" x14ac:dyDescent="0.25">
      <c r="C1976" s="1" t="s">
        <v>8848</v>
      </c>
      <c r="D1976" s="1" t="s">
        <v>8849</v>
      </c>
      <c r="E1976" s="1" t="s">
        <v>8848</v>
      </c>
      <c r="F1976" s="1">
        <v>-1</v>
      </c>
      <c r="G1976" s="1">
        <v>-1</v>
      </c>
      <c r="H1976" s="1">
        <v>0</v>
      </c>
      <c r="I1976" s="1">
        <v>0</v>
      </c>
      <c r="J1976" s="1">
        <v>1</v>
      </c>
      <c r="K1976" s="1">
        <v>-1</v>
      </c>
    </row>
    <row r="1977" spans="3:11" x14ac:dyDescent="0.25">
      <c r="C1977" s="1" t="s">
        <v>8850</v>
      </c>
      <c r="D1977" s="1" t="s">
        <v>8851</v>
      </c>
      <c r="E1977" s="1" t="s">
        <v>8852</v>
      </c>
      <c r="F1977" s="1">
        <v>-1</v>
      </c>
      <c r="G1977" s="1">
        <v>-1</v>
      </c>
      <c r="H1977" s="1">
        <v>0</v>
      </c>
      <c r="I1977" s="1">
        <v>0</v>
      </c>
      <c r="J1977" s="1">
        <v>1</v>
      </c>
      <c r="K1977" s="1">
        <v>-1</v>
      </c>
    </row>
    <row r="1978" spans="3:11" x14ac:dyDescent="0.25">
      <c r="D1978" s="1" t="s">
        <v>8853</v>
      </c>
      <c r="E1978" s="1" t="s">
        <v>8854</v>
      </c>
      <c r="F1978" s="1">
        <v>-1</v>
      </c>
      <c r="G1978" s="1">
        <v>-1</v>
      </c>
      <c r="H1978" s="1">
        <v>0</v>
      </c>
      <c r="I1978" s="1">
        <v>0</v>
      </c>
      <c r="J1978" s="1">
        <v>1</v>
      </c>
      <c r="K1978" s="1">
        <v>-1</v>
      </c>
    </row>
    <row r="1979" spans="3:11" x14ac:dyDescent="0.25">
      <c r="D1979" s="1" t="s">
        <v>8855</v>
      </c>
      <c r="E1979" s="1" t="s">
        <v>8856</v>
      </c>
      <c r="F1979" s="1">
        <v>-1</v>
      </c>
      <c r="G1979" s="1">
        <v>-1</v>
      </c>
      <c r="H1979" s="1">
        <v>0</v>
      </c>
      <c r="I1979" s="1">
        <v>0</v>
      </c>
      <c r="J1979" s="1">
        <v>1</v>
      </c>
      <c r="K1979" s="1">
        <v>-1</v>
      </c>
    </row>
    <row r="1980" spans="3:11" x14ac:dyDescent="0.25">
      <c r="D1980" s="1" t="s">
        <v>8857</v>
      </c>
      <c r="E1980" s="1" t="s">
        <v>8858</v>
      </c>
      <c r="F1980" s="1">
        <v>-1</v>
      </c>
      <c r="G1980" s="1">
        <v>-1</v>
      </c>
      <c r="H1980" s="1">
        <v>0</v>
      </c>
      <c r="I1980" s="1">
        <v>0</v>
      </c>
      <c r="J1980" s="1">
        <v>1</v>
      </c>
      <c r="K1980" s="1">
        <v>-1</v>
      </c>
    </row>
    <row r="1981" spans="3:11" x14ac:dyDescent="0.25">
      <c r="D1981" s="1" t="s">
        <v>8859</v>
      </c>
      <c r="E1981" s="1" t="s">
        <v>8860</v>
      </c>
      <c r="F1981" s="1">
        <v>-1</v>
      </c>
      <c r="G1981" s="1">
        <v>-1</v>
      </c>
      <c r="H1981" s="1">
        <v>0</v>
      </c>
      <c r="I1981" s="1">
        <v>0</v>
      </c>
      <c r="J1981" s="1">
        <v>1</v>
      </c>
      <c r="K1981" s="1">
        <v>-1</v>
      </c>
    </row>
    <row r="1982" spans="3:11" x14ac:dyDescent="0.25">
      <c r="D1982" s="1" t="s">
        <v>8861</v>
      </c>
      <c r="E1982" s="1" t="s">
        <v>8862</v>
      </c>
      <c r="F1982" s="1">
        <v>-1</v>
      </c>
      <c r="G1982" s="1">
        <v>-1</v>
      </c>
      <c r="H1982" s="1">
        <v>0</v>
      </c>
      <c r="I1982" s="1">
        <v>0</v>
      </c>
      <c r="J1982" s="1">
        <v>1</v>
      </c>
      <c r="K1982" s="1">
        <v>-1</v>
      </c>
    </row>
    <row r="1983" spans="3:11" x14ac:dyDescent="0.25">
      <c r="D1983" s="1" t="s">
        <v>8863</v>
      </c>
      <c r="E1983" s="1" t="s">
        <v>8864</v>
      </c>
      <c r="F1983" s="1">
        <v>-1</v>
      </c>
      <c r="G1983" s="1">
        <v>-1</v>
      </c>
      <c r="H1983" s="1">
        <v>0</v>
      </c>
      <c r="I1983" s="1">
        <v>0</v>
      </c>
      <c r="J1983" s="1">
        <v>1</v>
      </c>
      <c r="K1983" s="1">
        <v>-1</v>
      </c>
    </row>
    <row r="1984" spans="3:11" x14ac:dyDescent="0.25">
      <c r="D1984" s="1" t="s">
        <v>8865</v>
      </c>
      <c r="E1984" s="1" t="s">
        <v>8866</v>
      </c>
      <c r="F1984" s="1">
        <v>-1</v>
      </c>
      <c r="G1984" s="1">
        <v>-1</v>
      </c>
      <c r="H1984" s="1">
        <v>0</v>
      </c>
      <c r="I1984" s="1">
        <v>0</v>
      </c>
      <c r="J1984" s="1">
        <v>1</v>
      </c>
      <c r="K1984" s="1">
        <v>-1</v>
      </c>
    </row>
    <row r="1985" spans="3:11" x14ac:dyDescent="0.25">
      <c r="C1985" s="1" t="s">
        <v>8867</v>
      </c>
      <c r="D1985" s="1" t="s">
        <v>8868</v>
      </c>
      <c r="E1985" s="1" t="s">
        <v>8869</v>
      </c>
      <c r="F1985" s="1">
        <v>-1</v>
      </c>
      <c r="G1985" s="1">
        <v>-1</v>
      </c>
      <c r="H1985" s="1">
        <v>0</v>
      </c>
      <c r="I1985" s="1">
        <v>0</v>
      </c>
      <c r="J1985" s="1">
        <v>1</v>
      </c>
      <c r="K1985" s="1">
        <v>-1</v>
      </c>
    </row>
    <row r="1986" spans="3:11" x14ac:dyDescent="0.25">
      <c r="D1986" s="1" t="s">
        <v>8870</v>
      </c>
      <c r="E1986" s="1" t="s">
        <v>8871</v>
      </c>
      <c r="F1986" s="1">
        <v>-1</v>
      </c>
      <c r="G1986" s="1">
        <v>-1</v>
      </c>
      <c r="H1986" s="1">
        <v>0</v>
      </c>
      <c r="I1986" s="1">
        <v>0</v>
      </c>
      <c r="J1986" s="1">
        <v>1</v>
      </c>
      <c r="K1986" s="1">
        <v>-1</v>
      </c>
    </row>
    <row r="1987" spans="3:11" x14ac:dyDescent="0.25">
      <c r="D1987" s="1" t="s">
        <v>8872</v>
      </c>
      <c r="E1987" s="1" t="s">
        <v>8873</v>
      </c>
      <c r="F1987" s="1">
        <v>-1</v>
      </c>
      <c r="G1987" s="1">
        <v>-1</v>
      </c>
      <c r="H1987" s="1">
        <v>0</v>
      </c>
      <c r="I1987" s="1">
        <v>0</v>
      </c>
      <c r="J1987" s="1">
        <v>1</v>
      </c>
      <c r="K1987" s="1">
        <v>-1</v>
      </c>
    </row>
    <row r="1988" spans="3:11" x14ac:dyDescent="0.25">
      <c r="D1988" s="1" t="s">
        <v>8874</v>
      </c>
      <c r="E1988" s="1" t="s">
        <v>8875</v>
      </c>
      <c r="F1988" s="1">
        <v>-1</v>
      </c>
      <c r="G1988" s="1">
        <v>-1</v>
      </c>
      <c r="H1988" s="1">
        <v>0</v>
      </c>
      <c r="I1988" s="1">
        <v>0</v>
      </c>
      <c r="J1988" s="1">
        <v>1</v>
      </c>
      <c r="K1988" s="1">
        <v>-1</v>
      </c>
    </row>
    <row r="1989" spans="3:11" x14ac:dyDescent="0.25">
      <c r="D1989" s="1" t="s">
        <v>8876</v>
      </c>
      <c r="E1989" s="1" t="s">
        <v>8877</v>
      </c>
      <c r="F1989" s="1">
        <v>-1</v>
      </c>
      <c r="G1989" s="1">
        <v>-1</v>
      </c>
      <c r="H1989" s="1">
        <v>0</v>
      </c>
      <c r="I1989" s="1">
        <v>0</v>
      </c>
      <c r="J1989" s="1">
        <v>1</v>
      </c>
      <c r="K1989" s="1">
        <v>-1</v>
      </c>
    </row>
    <row r="1990" spans="3:11" x14ac:dyDescent="0.25">
      <c r="D1990" s="1" t="s">
        <v>8878</v>
      </c>
      <c r="E1990" s="1" t="s">
        <v>8879</v>
      </c>
      <c r="F1990" s="1">
        <v>-1</v>
      </c>
      <c r="G1990" s="1">
        <v>-1</v>
      </c>
      <c r="H1990" s="1">
        <v>0</v>
      </c>
      <c r="I1990" s="1">
        <v>0</v>
      </c>
      <c r="J1990" s="1">
        <v>1</v>
      </c>
      <c r="K1990" s="1">
        <v>-1</v>
      </c>
    </row>
    <row r="1991" spans="3:11" x14ac:dyDescent="0.25">
      <c r="D1991" s="1" t="s">
        <v>8880</v>
      </c>
      <c r="E1991" s="1" t="s">
        <v>8881</v>
      </c>
      <c r="F1991" s="1">
        <v>-1</v>
      </c>
      <c r="G1991" s="1">
        <v>-1</v>
      </c>
      <c r="H1991" s="1">
        <v>0</v>
      </c>
      <c r="I1991" s="1">
        <v>0</v>
      </c>
      <c r="J1991" s="1">
        <v>1</v>
      </c>
      <c r="K1991" s="1">
        <v>-1</v>
      </c>
    </row>
    <row r="1992" spans="3:11" x14ac:dyDescent="0.25">
      <c r="D1992" s="1" t="s">
        <v>8882</v>
      </c>
      <c r="E1992" s="1" t="s">
        <v>8883</v>
      </c>
      <c r="F1992" s="1">
        <v>-1</v>
      </c>
      <c r="G1992" s="1">
        <v>-1</v>
      </c>
      <c r="H1992" s="1">
        <v>0</v>
      </c>
      <c r="I1992" s="1">
        <v>0</v>
      </c>
      <c r="J1992" s="1">
        <v>1</v>
      </c>
      <c r="K1992" s="1">
        <v>-1</v>
      </c>
    </row>
    <row r="1993" spans="3:11" x14ac:dyDescent="0.25">
      <c r="D1993" s="1" t="s">
        <v>8884</v>
      </c>
      <c r="E1993" s="1" t="s">
        <v>8885</v>
      </c>
      <c r="F1993" s="1">
        <v>-1</v>
      </c>
      <c r="G1993" s="1">
        <v>-1</v>
      </c>
      <c r="H1993" s="1">
        <v>0</v>
      </c>
      <c r="I1993" s="1">
        <v>0</v>
      </c>
      <c r="J1993" s="1">
        <v>1</v>
      </c>
      <c r="K1993" s="1">
        <v>-1</v>
      </c>
    </row>
    <row r="1994" spans="3:11" x14ac:dyDescent="0.25">
      <c r="D1994" s="1" t="s">
        <v>8886</v>
      </c>
      <c r="E1994" s="1" t="s">
        <v>8887</v>
      </c>
      <c r="F1994" s="1">
        <v>-1</v>
      </c>
      <c r="G1994" s="1">
        <v>-1</v>
      </c>
      <c r="H1994" s="1">
        <v>0</v>
      </c>
      <c r="I1994" s="1">
        <v>0</v>
      </c>
      <c r="J1994" s="1">
        <v>1</v>
      </c>
      <c r="K1994" s="1">
        <v>-1</v>
      </c>
    </row>
    <row r="1995" spans="3:11" x14ac:dyDescent="0.25">
      <c r="C1995" s="1" t="s">
        <v>8888</v>
      </c>
      <c r="D1995" s="1" t="s">
        <v>8889</v>
      </c>
      <c r="E1995" s="1" t="s">
        <v>8890</v>
      </c>
      <c r="F1995" s="1">
        <v>-1</v>
      </c>
      <c r="G1995" s="1">
        <v>-1</v>
      </c>
      <c r="H1995" s="1">
        <v>0</v>
      </c>
      <c r="I1995" s="1">
        <v>0</v>
      </c>
      <c r="J1995" s="1">
        <v>1</v>
      </c>
      <c r="K1995" s="1">
        <v>-1</v>
      </c>
    </row>
    <row r="1996" spans="3:11" x14ac:dyDescent="0.25">
      <c r="D1996" s="1" t="s">
        <v>8891</v>
      </c>
      <c r="E1996" s="1" t="s">
        <v>8892</v>
      </c>
      <c r="F1996" s="1">
        <v>-1</v>
      </c>
      <c r="G1996" s="1">
        <v>-1</v>
      </c>
      <c r="H1996" s="1">
        <v>0</v>
      </c>
      <c r="I1996" s="1">
        <v>0</v>
      </c>
      <c r="J1996" s="1">
        <v>1</v>
      </c>
      <c r="K1996" s="1">
        <v>-1</v>
      </c>
    </row>
    <row r="1997" spans="3:11" x14ac:dyDescent="0.25">
      <c r="D1997" s="1" t="s">
        <v>8893</v>
      </c>
      <c r="E1997" s="1" t="s">
        <v>8894</v>
      </c>
      <c r="F1997" s="1">
        <v>-1</v>
      </c>
      <c r="G1997" s="1">
        <v>-1</v>
      </c>
      <c r="H1997" s="1">
        <v>0</v>
      </c>
      <c r="I1997" s="1">
        <v>0</v>
      </c>
      <c r="J1997" s="1">
        <v>1</v>
      </c>
      <c r="K1997" s="1">
        <v>-1</v>
      </c>
    </row>
    <row r="1998" spans="3:11" x14ac:dyDescent="0.25">
      <c r="D1998" s="1" t="s">
        <v>8895</v>
      </c>
      <c r="E1998" s="1" t="s">
        <v>8896</v>
      </c>
      <c r="F1998" s="1">
        <v>-1</v>
      </c>
      <c r="G1998" s="1">
        <v>-1</v>
      </c>
      <c r="H1998" s="1">
        <v>0</v>
      </c>
      <c r="I1998" s="1">
        <v>0</v>
      </c>
      <c r="J1998" s="1">
        <v>1</v>
      </c>
      <c r="K1998" s="1">
        <v>-1</v>
      </c>
    </row>
    <row r="1999" spans="3:11" x14ac:dyDescent="0.25">
      <c r="D1999" s="1" t="s">
        <v>8897</v>
      </c>
      <c r="E1999" s="1" t="s">
        <v>8898</v>
      </c>
      <c r="F1999" s="1">
        <v>-1</v>
      </c>
      <c r="G1999" s="1">
        <v>-1</v>
      </c>
      <c r="H1999" s="1">
        <v>0</v>
      </c>
      <c r="I1999" s="1">
        <v>0</v>
      </c>
      <c r="J1999" s="1">
        <v>1</v>
      </c>
      <c r="K1999" s="1">
        <v>-1</v>
      </c>
    </row>
    <row r="2000" spans="3:11" x14ac:dyDescent="0.25">
      <c r="D2000" s="1" t="s">
        <v>8899</v>
      </c>
      <c r="E2000" s="1" t="s">
        <v>8900</v>
      </c>
      <c r="F2000" s="1">
        <v>-1</v>
      </c>
      <c r="G2000" s="1">
        <v>-1</v>
      </c>
      <c r="H2000" s="1">
        <v>0</v>
      </c>
      <c r="I2000" s="1">
        <v>0</v>
      </c>
      <c r="J2000" s="1">
        <v>1</v>
      </c>
      <c r="K2000" s="1">
        <v>-1</v>
      </c>
    </row>
    <row r="2001" spans="3:11" x14ac:dyDescent="0.25">
      <c r="D2001" s="1" t="s">
        <v>8901</v>
      </c>
      <c r="E2001" s="1" t="s">
        <v>8902</v>
      </c>
      <c r="F2001" s="1">
        <v>-1</v>
      </c>
      <c r="G2001" s="1">
        <v>-1</v>
      </c>
      <c r="H2001" s="1">
        <v>0</v>
      </c>
      <c r="I2001" s="1">
        <v>0</v>
      </c>
      <c r="J2001" s="1">
        <v>1</v>
      </c>
      <c r="K2001" s="1">
        <v>-1</v>
      </c>
    </row>
    <row r="2002" spans="3:11" x14ac:dyDescent="0.25">
      <c r="D2002" s="1" t="s">
        <v>8903</v>
      </c>
      <c r="E2002" s="1" t="s">
        <v>8904</v>
      </c>
      <c r="F2002" s="1">
        <v>-1</v>
      </c>
      <c r="G2002" s="1">
        <v>-1</v>
      </c>
      <c r="H2002" s="1">
        <v>0</v>
      </c>
      <c r="I2002" s="1">
        <v>0</v>
      </c>
      <c r="J2002" s="1">
        <v>1</v>
      </c>
      <c r="K2002" s="1">
        <v>-1</v>
      </c>
    </row>
    <row r="2003" spans="3:11" x14ac:dyDescent="0.25">
      <c r="D2003" s="1" t="s">
        <v>8905</v>
      </c>
      <c r="E2003" s="1" t="s">
        <v>8906</v>
      </c>
      <c r="F2003" s="1">
        <v>-1</v>
      </c>
      <c r="G2003" s="1">
        <v>-1</v>
      </c>
      <c r="H2003" s="1">
        <v>0</v>
      </c>
      <c r="I2003" s="1">
        <v>0</v>
      </c>
      <c r="J2003" s="1">
        <v>1</v>
      </c>
      <c r="K2003" s="1">
        <v>-1</v>
      </c>
    </row>
    <row r="2004" spans="3:11" x14ac:dyDescent="0.25">
      <c r="D2004" s="1" t="s">
        <v>8907</v>
      </c>
      <c r="E2004" s="1" t="s">
        <v>8908</v>
      </c>
      <c r="F2004" s="1">
        <v>-1</v>
      </c>
      <c r="G2004" s="1">
        <v>-1</v>
      </c>
      <c r="H2004" s="1">
        <v>0</v>
      </c>
      <c r="I2004" s="1">
        <v>0</v>
      </c>
      <c r="J2004" s="1">
        <v>1</v>
      </c>
      <c r="K2004" s="1">
        <v>-1</v>
      </c>
    </row>
    <row r="2005" spans="3:11" x14ac:dyDescent="0.25">
      <c r="C2005" s="1" t="s">
        <v>8909</v>
      </c>
      <c r="D2005" s="1" t="s">
        <v>8910</v>
      </c>
      <c r="E2005" s="1" t="s">
        <v>8911</v>
      </c>
      <c r="F2005" s="1">
        <v>-1</v>
      </c>
      <c r="G2005" s="1">
        <v>-1</v>
      </c>
      <c r="H2005" s="1">
        <v>0</v>
      </c>
      <c r="I2005" s="1">
        <v>0</v>
      </c>
      <c r="J2005" s="1">
        <v>1</v>
      </c>
      <c r="K2005" s="1">
        <v>-1</v>
      </c>
    </row>
    <row r="2006" spans="3:11" x14ac:dyDescent="0.25">
      <c r="D2006" s="1" t="s">
        <v>8912</v>
      </c>
      <c r="E2006" s="1" t="s">
        <v>8913</v>
      </c>
      <c r="F2006" s="1">
        <v>-1</v>
      </c>
      <c r="G2006" s="1">
        <v>-1</v>
      </c>
      <c r="H2006" s="1">
        <v>0</v>
      </c>
      <c r="I2006" s="1">
        <v>0</v>
      </c>
      <c r="J2006" s="1">
        <v>1</v>
      </c>
      <c r="K2006" s="1">
        <v>-1</v>
      </c>
    </row>
    <row r="2007" spans="3:11" x14ac:dyDescent="0.25">
      <c r="D2007" s="1" t="s">
        <v>8914</v>
      </c>
      <c r="E2007" s="1" t="s">
        <v>8915</v>
      </c>
      <c r="F2007" s="1">
        <v>-1</v>
      </c>
      <c r="G2007" s="1">
        <v>-1</v>
      </c>
      <c r="H2007" s="1">
        <v>0</v>
      </c>
      <c r="I2007" s="1">
        <v>0</v>
      </c>
      <c r="J2007" s="1">
        <v>1</v>
      </c>
      <c r="K2007" s="1">
        <v>-1</v>
      </c>
    </row>
    <row r="2008" spans="3:11" x14ac:dyDescent="0.25">
      <c r="D2008" s="1" t="s">
        <v>8916</v>
      </c>
      <c r="E2008" s="1" t="s">
        <v>8917</v>
      </c>
      <c r="F2008" s="1">
        <v>-1</v>
      </c>
      <c r="G2008" s="1">
        <v>-1</v>
      </c>
      <c r="H2008" s="1">
        <v>0</v>
      </c>
      <c r="I2008" s="1">
        <v>0</v>
      </c>
      <c r="J2008" s="1">
        <v>1</v>
      </c>
      <c r="K2008" s="1">
        <v>-1</v>
      </c>
    </row>
    <row r="2009" spans="3:11" x14ac:dyDescent="0.25">
      <c r="D2009" s="1" t="s">
        <v>8918</v>
      </c>
      <c r="E2009" s="1" t="s">
        <v>8919</v>
      </c>
      <c r="F2009" s="1">
        <v>-1</v>
      </c>
      <c r="G2009" s="1">
        <v>-1</v>
      </c>
      <c r="H2009" s="1">
        <v>0</v>
      </c>
      <c r="I2009" s="1">
        <v>0</v>
      </c>
      <c r="J2009" s="1">
        <v>1</v>
      </c>
      <c r="K2009" s="1">
        <v>-1</v>
      </c>
    </row>
    <row r="2010" spans="3:11" x14ac:dyDescent="0.25">
      <c r="D2010" s="1" t="s">
        <v>8920</v>
      </c>
      <c r="E2010" s="1" t="s">
        <v>8921</v>
      </c>
      <c r="F2010" s="1">
        <v>-1</v>
      </c>
      <c r="G2010" s="1">
        <v>-1</v>
      </c>
      <c r="H2010" s="1">
        <v>0</v>
      </c>
      <c r="I2010" s="1">
        <v>0</v>
      </c>
      <c r="J2010" s="1">
        <v>1</v>
      </c>
      <c r="K2010" s="1">
        <v>-1</v>
      </c>
    </row>
    <row r="2011" spans="3:11" x14ac:dyDescent="0.25">
      <c r="C2011" s="1" t="s">
        <v>8922</v>
      </c>
      <c r="D2011" s="1" t="s">
        <v>8923</v>
      </c>
      <c r="E2011" s="1" t="s">
        <v>8924</v>
      </c>
      <c r="F2011" s="1">
        <v>-1</v>
      </c>
      <c r="G2011" s="1">
        <v>-1</v>
      </c>
      <c r="H2011" s="1">
        <v>0</v>
      </c>
      <c r="I2011" s="1">
        <v>0</v>
      </c>
      <c r="J2011" s="1">
        <v>1</v>
      </c>
      <c r="K2011" s="1">
        <v>-1</v>
      </c>
    </row>
    <row r="2012" spans="3:11" x14ac:dyDescent="0.25">
      <c r="C2012" s="1" t="s">
        <v>8925</v>
      </c>
      <c r="D2012" s="1" t="s">
        <v>8926</v>
      </c>
      <c r="E2012" s="1" t="s">
        <v>8927</v>
      </c>
      <c r="F2012" s="1">
        <v>-1</v>
      </c>
      <c r="G2012" s="1">
        <v>-1</v>
      </c>
      <c r="H2012" s="1">
        <v>0</v>
      </c>
      <c r="I2012" s="1">
        <v>0</v>
      </c>
      <c r="J2012" s="1">
        <v>1</v>
      </c>
      <c r="K2012" s="1">
        <v>-1</v>
      </c>
    </row>
    <row r="2013" spans="3:11" x14ac:dyDescent="0.25">
      <c r="D2013" s="1" t="s">
        <v>8928</v>
      </c>
      <c r="E2013" s="1" t="s">
        <v>8929</v>
      </c>
      <c r="F2013" s="1">
        <v>-1</v>
      </c>
      <c r="G2013" s="1">
        <v>-1</v>
      </c>
      <c r="H2013" s="1">
        <v>0</v>
      </c>
      <c r="I2013" s="1">
        <v>0</v>
      </c>
      <c r="J2013" s="1">
        <v>1</v>
      </c>
      <c r="K2013" s="1">
        <v>-1</v>
      </c>
    </row>
    <row r="2014" spans="3:11" x14ac:dyDescent="0.25">
      <c r="D2014" s="1" t="s">
        <v>8930</v>
      </c>
      <c r="E2014" s="1" t="s">
        <v>8931</v>
      </c>
      <c r="F2014" s="1">
        <v>-1</v>
      </c>
      <c r="G2014" s="1">
        <v>-1</v>
      </c>
      <c r="H2014" s="1">
        <v>0</v>
      </c>
      <c r="I2014" s="1">
        <v>0</v>
      </c>
      <c r="J2014" s="1">
        <v>1</v>
      </c>
      <c r="K2014" s="1">
        <v>-1</v>
      </c>
    </row>
    <row r="2015" spans="3:11" x14ac:dyDescent="0.25">
      <c r="D2015" s="1" t="s">
        <v>8932</v>
      </c>
      <c r="E2015" s="1" t="s">
        <v>8933</v>
      </c>
      <c r="F2015" s="1">
        <v>-1</v>
      </c>
      <c r="G2015" s="1">
        <v>-1</v>
      </c>
      <c r="H2015" s="1">
        <v>0</v>
      </c>
      <c r="I2015" s="1">
        <v>0</v>
      </c>
      <c r="J2015" s="1">
        <v>1</v>
      </c>
      <c r="K2015" s="1">
        <v>-1</v>
      </c>
    </row>
    <row r="2016" spans="3:11" x14ac:dyDescent="0.25">
      <c r="D2016" s="1" t="s">
        <v>8934</v>
      </c>
      <c r="E2016" s="1" t="s">
        <v>8935</v>
      </c>
      <c r="F2016" s="1">
        <v>-1</v>
      </c>
      <c r="G2016" s="1">
        <v>-1</v>
      </c>
      <c r="H2016" s="1">
        <v>0</v>
      </c>
      <c r="I2016" s="1">
        <v>0</v>
      </c>
      <c r="J2016" s="1">
        <v>1</v>
      </c>
      <c r="K2016" s="1">
        <v>-1</v>
      </c>
    </row>
    <row r="2017" spans="3:11" x14ac:dyDescent="0.25">
      <c r="D2017" s="1" t="s">
        <v>8936</v>
      </c>
      <c r="E2017" s="1" t="s">
        <v>8937</v>
      </c>
      <c r="F2017" s="1">
        <v>-1</v>
      </c>
      <c r="G2017" s="1">
        <v>-1</v>
      </c>
      <c r="H2017" s="1">
        <v>0</v>
      </c>
      <c r="I2017" s="1">
        <v>0</v>
      </c>
      <c r="J2017" s="1">
        <v>1</v>
      </c>
      <c r="K2017" s="1">
        <v>-1</v>
      </c>
    </row>
    <row r="2018" spans="3:11" x14ac:dyDescent="0.25">
      <c r="D2018" s="1" t="s">
        <v>8938</v>
      </c>
      <c r="E2018" s="1" t="s">
        <v>8939</v>
      </c>
      <c r="F2018" s="1">
        <v>-1</v>
      </c>
      <c r="G2018" s="1">
        <v>-1</v>
      </c>
      <c r="H2018" s="1">
        <v>0</v>
      </c>
      <c r="I2018" s="1">
        <v>0</v>
      </c>
      <c r="J2018" s="1">
        <v>1</v>
      </c>
      <c r="K2018" s="1">
        <v>-1</v>
      </c>
    </row>
    <row r="2019" spans="3:11" x14ac:dyDescent="0.25">
      <c r="C2019" s="1" t="s">
        <v>8940</v>
      </c>
      <c r="D2019" s="1" t="s">
        <v>8941</v>
      </c>
      <c r="E2019" s="1" t="s">
        <v>8942</v>
      </c>
      <c r="F2019" s="1">
        <v>-1</v>
      </c>
      <c r="G2019" s="1">
        <v>-1</v>
      </c>
      <c r="H2019" s="1">
        <v>0</v>
      </c>
      <c r="I2019" s="1">
        <v>0</v>
      </c>
      <c r="J2019" s="1">
        <v>1</v>
      </c>
      <c r="K2019" s="1">
        <v>-1</v>
      </c>
    </row>
    <row r="2020" spans="3:11" x14ac:dyDescent="0.25">
      <c r="D2020" s="1" t="s">
        <v>8943</v>
      </c>
      <c r="E2020" s="1" t="s">
        <v>8944</v>
      </c>
      <c r="F2020" s="1">
        <v>-1</v>
      </c>
      <c r="G2020" s="1">
        <v>-1</v>
      </c>
      <c r="H2020" s="1">
        <v>0</v>
      </c>
      <c r="I2020" s="1">
        <v>0</v>
      </c>
      <c r="J2020" s="1">
        <v>1</v>
      </c>
      <c r="K2020" s="1">
        <v>-1</v>
      </c>
    </row>
    <row r="2021" spans="3:11" x14ac:dyDescent="0.25">
      <c r="C2021" s="1" t="s">
        <v>8945</v>
      </c>
      <c r="D2021" s="1" t="s">
        <v>8946</v>
      </c>
      <c r="E2021" s="1" t="s">
        <v>8947</v>
      </c>
      <c r="F2021" s="1">
        <v>-1</v>
      </c>
      <c r="G2021" s="1">
        <v>-1</v>
      </c>
      <c r="H2021" s="1">
        <v>0</v>
      </c>
      <c r="I2021" s="1">
        <v>0</v>
      </c>
      <c r="J2021" s="1">
        <v>1</v>
      </c>
      <c r="K2021" s="1">
        <v>-1</v>
      </c>
    </row>
    <row r="2022" spans="3:11" x14ac:dyDescent="0.25">
      <c r="D2022" s="1" t="s">
        <v>8948</v>
      </c>
      <c r="E2022" s="1" t="s">
        <v>8949</v>
      </c>
      <c r="F2022" s="1">
        <v>-1</v>
      </c>
      <c r="G2022" s="1">
        <v>-1</v>
      </c>
      <c r="H2022" s="1">
        <v>0</v>
      </c>
      <c r="I2022" s="1">
        <v>0</v>
      </c>
      <c r="J2022" s="1">
        <v>1</v>
      </c>
      <c r="K2022" s="1">
        <v>-1</v>
      </c>
    </row>
    <row r="2023" spans="3:11" x14ac:dyDescent="0.25">
      <c r="D2023" s="1" t="s">
        <v>8950</v>
      </c>
      <c r="E2023" s="1" t="s">
        <v>8951</v>
      </c>
      <c r="F2023" s="1">
        <v>-1</v>
      </c>
      <c r="G2023" s="1">
        <v>-1</v>
      </c>
      <c r="H2023" s="1">
        <v>0</v>
      </c>
      <c r="I2023" s="1">
        <v>0</v>
      </c>
      <c r="J2023" s="1">
        <v>1</v>
      </c>
      <c r="K2023" s="1">
        <v>-1</v>
      </c>
    </row>
    <row r="2024" spans="3:11" x14ac:dyDescent="0.25">
      <c r="D2024" s="1" t="s">
        <v>8952</v>
      </c>
      <c r="E2024" s="1" t="s">
        <v>8953</v>
      </c>
      <c r="F2024" s="1">
        <v>-1</v>
      </c>
      <c r="G2024" s="1">
        <v>-1</v>
      </c>
      <c r="H2024" s="1">
        <v>0</v>
      </c>
      <c r="I2024" s="1">
        <v>0</v>
      </c>
      <c r="J2024" s="1">
        <v>1</v>
      </c>
      <c r="K2024" s="1">
        <v>-1</v>
      </c>
    </row>
    <row r="2025" spans="3:11" x14ac:dyDescent="0.25">
      <c r="D2025" s="1" t="s">
        <v>8954</v>
      </c>
      <c r="E2025" s="1" t="s">
        <v>8955</v>
      </c>
      <c r="F2025" s="1">
        <v>-1</v>
      </c>
      <c r="G2025" s="1">
        <v>-1</v>
      </c>
      <c r="H2025" s="1">
        <v>0</v>
      </c>
      <c r="I2025" s="1">
        <v>0</v>
      </c>
      <c r="J2025" s="1">
        <v>1</v>
      </c>
      <c r="K2025" s="1">
        <v>-1</v>
      </c>
    </row>
    <row r="2026" spans="3:11" x14ac:dyDescent="0.25">
      <c r="D2026" s="1" t="s">
        <v>8956</v>
      </c>
      <c r="E2026" s="1" t="s">
        <v>8957</v>
      </c>
      <c r="F2026" s="1">
        <v>-1</v>
      </c>
      <c r="G2026" s="1">
        <v>-1</v>
      </c>
      <c r="H2026" s="1">
        <v>0</v>
      </c>
      <c r="I2026" s="1">
        <v>0</v>
      </c>
      <c r="J2026" s="1">
        <v>1</v>
      </c>
      <c r="K2026" s="1">
        <v>-1</v>
      </c>
    </row>
    <row r="2027" spans="3:11" x14ac:dyDescent="0.25">
      <c r="D2027" s="1" t="s">
        <v>8958</v>
      </c>
      <c r="E2027" s="1" t="s">
        <v>8959</v>
      </c>
      <c r="F2027" s="1">
        <v>-1</v>
      </c>
      <c r="G2027" s="1">
        <v>-1</v>
      </c>
      <c r="H2027" s="1">
        <v>0</v>
      </c>
      <c r="I2027" s="1">
        <v>0</v>
      </c>
      <c r="J2027" s="1">
        <v>1</v>
      </c>
      <c r="K2027" s="1">
        <v>-1</v>
      </c>
    </row>
    <row r="2028" spans="3:11" x14ac:dyDescent="0.25">
      <c r="D2028" s="1" t="s">
        <v>8960</v>
      </c>
      <c r="E2028" s="1" t="s">
        <v>8961</v>
      </c>
      <c r="F2028" s="1">
        <v>-1</v>
      </c>
      <c r="G2028" s="1">
        <v>-1</v>
      </c>
      <c r="H2028" s="1">
        <v>0</v>
      </c>
      <c r="I2028" s="1">
        <v>0</v>
      </c>
      <c r="J2028" s="1">
        <v>1</v>
      </c>
      <c r="K2028" s="1">
        <v>-1</v>
      </c>
    </row>
    <row r="2029" spans="3:11" x14ac:dyDescent="0.25">
      <c r="D2029" s="1" t="s">
        <v>8962</v>
      </c>
      <c r="E2029" s="1" t="s">
        <v>8963</v>
      </c>
      <c r="F2029" s="1">
        <v>-1</v>
      </c>
      <c r="G2029" s="1">
        <v>-1</v>
      </c>
      <c r="H2029" s="1">
        <v>0</v>
      </c>
      <c r="I2029" s="1">
        <v>0</v>
      </c>
      <c r="J2029" s="1">
        <v>1</v>
      </c>
      <c r="K2029" s="1">
        <v>-1</v>
      </c>
    </row>
    <row r="2030" spans="3:11" x14ac:dyDescent="0.25">
      <c r="D2030" s="1" t="s">
        <v>8964</v>
      </c>
      <c r="E2030" s="1" t="s">
        <v>8965</v>
      </c>
      <c r="F2030" s="1">
        <v>-1</v>
      </c>
      <c r="G2030" s="1">
        <v>-1</v>
      </c>
      <c r="H2030" s="1">
        <v>0</v>
      </c>
      <c r="I2030" s="1">
        <v>0</v>
      </c>
      <c r="J2030" s="1">
        <v>1</v>
      </c>
      <c r="K2030" s="1">
        <v>-1</v>
      </c>
    </row>
    <row r="2031" spans="3:11" x14ac:dyDescent="0.25">
      <c r="D2031" s="1" t="s">
        <v>8966</v>
      </c>
      <c r="E2031" s="1" t="s">
        <v>8967</v>
      </c>
      <c r="F2031" s="1">
        <v>-1</v>
      </c>
      <c r="G2031" s="1">
        <v>-1</v>
      </c>
      <c r="H2031" s="1">
        <v>0</v>
      </c>
      <c r="I2031" s="1">
        <v>0</v>
      </c>
      <c r="J2031" s="1">
        <v>1</v>
      </c>
      <c r="K2031" s="1">
        <v>-1</v>
      </c>
    </row>
    <row r="2032" spans="3:11" x14ac:dyDescent="0.25">
      <c r="D2032" s="1" t="s">
        <v>8968</v>
      </c>
      <c r="E2032" s="1" t="s">
        <v>8969</v>
      </c>
      <c r="F2032" s="1">
        <v>-1</v>
      </c>
      <c r="G2032" s="1">
        <v>-1</v>
      </c>
      <c r="H2032" s="1">
        <v>0</v>
      </c>
      <c r="I2032" s="1">
        <v>0</v>
      </c>
      <c r="J2032" s="1">
        <v>1</v>
      </c>
      <c r="K2032" s="1">
        <v>-1</v>
      </c>
    </row>
    <row r="2033" spans="3:11" x14ac:dyDescent="0.25">
      <c r="D2033" s="1" t="s">
        <v>8970</v>
      </c>
      <c r="E2033" s="1" t="s">
        <v>8971</v>
      </c>
      <c r="F2033" s="1">
        <v>-1</v>
      </c>
      <c r="G2033" s="1">
        <v>-1</v>
      </c>
      <c r="H2033" s="1">
        <v>0</v>
      </c>
      <c r="I2033" s="1">
        <v>0</v>
      </c>
      <c r="J2033" s="1">
        <v>1</v>
      </c>
      <c r="K2033" s="1">
        <v>-1</v>
      </c>
    </row>
    <row r="2034" spans="3:11" x14ac:dyDescent="0.25">
      <c r="D2034" s="1" t="s">
        <v>8972</v>
      </c>
      <c r="E2034" s="1" t="s">
        <v>8973</v>
      </c>
      <c r="F2034" s="1">
        <v>-1</v>
      </c>
      <c r="G2034" s="1">
        <v>-1</v>
      </c>
      <c r="H2034" s="1">
        <v>0</v>
      </c>
      <c r="I2034" s="1">
        <v>0</v>
      </c>
      <c r="J2034" s="1">
        <v>1</v>
      </c>
      <c r="K2034" s="1">
        <v>-1</v>
      </c>
    </row>
    <row r="2035" spans="3:11" x14ac:dyDescent="0.25">
      <c r="D2035" s="1" t="s">
        <v>8974</v>
      </c>
      <c r="E2035" s="1" t="s">
        <v>8975</v>
      </c>
      <c r="F2035" s="1">
        <v>-1</v>
      </c>
      <c r="G2035" s="1">
        <v>-1</v>
      </c>
      <c r="H2035" s="1">
        <v>0</v>
      </c>
      <c r="I2035" s="1">
        <v>0</v>
      </c>
      <c r="J2035" s="1">
        <v>1</v>
      </c>
      <c r="K2035" s="1">
        <v>-1</v>
      </c>
    </row>
    <row r="2036" spans="3:11" x14ac:dyDescent="0.25">
      <c r="C2036" s="1" t="s">
        <v>8976</v>
      </c>
      <c r="D2036" s="1" t="s">
        <v>8977</v>
      </c>
      <c r="E2036" s="1" t="s">
        <v>8978</v>
      </c>
      <c r="F2036" s="1">
        <v>-1</v>
      </c>
      <c r="G2036" s="1">
        <v>-1</v>
      </c>
      <c r="H2036" s="1">
        <v>0</v>
      </c>
      <c r="I2036" s="1">
        <v>0</v>
      </c>
      <c r="J2036" s="1">
        <v>1</v>
      </c>
      <c r="K2036" s="1">
        <v>-1</v>
      </c>
    </row>
    <row r="2037" spans="3:11" x14ac:dyDescent="0.25">
      <c r="C2037" s="1" t="s">
        <v>8979</v>
      </c>
      <c r="D2037" s="1" t="s">
        <v>8980</v>
      </c>
      <c r="E2037" s="1" t="s">
        <v>8981</v>
      </c>
      <c r="F2037" s="1">
        <v>-1</v>
      </c>
      <c r="G2037" s="1">
        <v>-1</v>
      </c>
      <c r="H2037" s="1">
        <v>0</v>
      </c>
      <c r="I2037" s="1">
        <v>0</v>
      </c>
      <c r="J2037" s="1">
        <v>1</v>
      </c>
      <c r="K2037" s="1">
        <v>-1</v>
      </c>
    </row>
    <row r="2038" spans="3:11" x14ac:dyDescent="0.25">
      <c r="C2038" s="1" t="s">
        <v>8982</v>
      </c>
      <c r="D2038" s="1" t="s">
        <v>8983</v>
      </c>
      <c r="E2038" s="1" t="s">
        <v>8984</v>
      </c>
      <c r="F2038" s="1">
        <v>-1</v>
      </c>
      <c r="G2038" s="1">
        <v>-1</v>
      </c>
      <c r="H2038" s="1">
        <v>0</v>
      </c>
      <c r="I2038" s="1">
        <v>0</v>
      </c>
      <c r="J2038" s="1">
        <v>1</v>
      </c>
      <c r="K2038" s="1">
        <v>-1</v>
      </c>
    </row>
    <row r="2039" spans="3:11" x14ac:dyDescent="0.25">
      <c r="C2039" s="1" t="s">
        <v>8985</v>
      </c>
      <c r="D2039" s="1" t="s">
        <v>8986</v>
      </c>
      <c r="E2039" s="1" t="s">
        <v>8987</v>
      </c>
      <c r="F2039" s="1">
        <v>-1</v>
      </c>
      <c r="G2039" s="1">
        <v>-1</v>
      </c>
      <c r="H2039" s="1">
        <v>0</v>
      </c>
      <c r="I2039" s="1">
        <v>0</v>
      </c>
      <c r="J2039" s="1">
        <v>1</v>
      </c>
      <c r="K2039" s="1">
        <v>-1</v>
      </c>
    </row>
    <row r="2040" spans="3:11" x14ac:dyDescent="0.25">
      <c r="C2040" s="1" t="s">
        <v>8988</v>
      </c>
      <c r="D2040" s="1" t="s">
        <v>8989</v>
      </c>
      <c r="E2040" s="1" t="s">
        <v>8990</v>
      </c>
      <c r="F2040" s="1">
        <v>-1</v>
      </c>
      <c r="G2040" s="1">
        <v>-1</v>
      </c>
      <c r="H2040" s="1">
        <v>0</v>
      </c>
      <c r="I2040" s="1">
        <v>0</v>
      </c>
      <c r="J2040" s="1">
        <v>1</v>
      </c>
      <c r="K2040" s="1">
        <v>-1</v>
      </c>
    </row>
    <row r="2041" spans="3:11" x14ac:dyDescent="0.25">
      <c r="C2041" s="1" t="s">
        <v>8991</v>
      </c>
      <c r="D2041" s="1" t="s">
        <v>8992</v>
      </c>
      <c r="E2041" s="1" t="s">
        <v>8993</v>
      </c>
      <c r="F2041" s="1">
        <v>-1</v>
      </c>
      <c r="G2041" s="1">
        <v>-1</v>
      </c>
      <c r="H2041" s="1">
        <v>0</v>
      </c>
      <c r="I2041" s="1">
        <v>0</v>
      </c>
      <c r="J2041" s="1">
        <v>1</v>
      </c>
      <c r="K2041" s="1">
        <v>-1</v>
      </c>
    </row>
    <row r="2042" spans="3:11" x14ac:dyDescent="0.25">
      <c r="C2042" s="1" t="s">
        <v>8994</v>
      </c>
      <c r="D2042" s="1" t="s">
        <v>8995</v>
      </c>
      <c r="E2042" s="1" t="s">
        <v>8996</v>
      </c>
      <c r="F2042" s="1">
        <v>-1</v>
      </c>
      <c r="G2042" s="1">
        <v>-1</v>
      </c>
      <c r="H2042" s="1">
        <v>0</v>
      </c>
      <c r="I2042" s="1">
        <v>0</v>
      </c>
      <c r="J2042" s="1">
        <v>1</v>
      </c>
      <c r="K2042" s="1">
        <v>-1</v>
      </c>
    </row>
    <row r="2043" spans="3:11" x14ac:dyDescent="0.25">
      <c r="C2043" s="1" t="s">
        <v>8997</v>
      </c>
      <c r="D2043" s="1" t="s">
        <v>8998</v>
      </c>
      <c r="E2043" s="1" t="s">
        <v>8999</v>
      </c>
      <c r="F2043" s="1">
        <v>-1</v>
      </c>
      <c r="G2043" s="1">
        <v>-1</v>
      </c>
      <c r="H2043" s="1">
        <v>0</v>
      </c>
      <c r="I2043" s="1">
        <v>0</v>
      </c>
      <c r="J2043" s="1">
        <v>1</v>
      </c>
      <c r="K2043" s="1">
        <v>-1</v>
      </c>
    </row>
    <row r="2044" spans="3:11" x14ac:dyDescent="0.25">
      <c r="C2044" s="1" t="s">
        <v>9000</v>
      </c>
      <c r="D2044" s="1" t="s">
        <v>9001</v>
      </c>
      <c r="E2044" s="1" t="s">
        <v>9002</v>
      </c>
      <c r="F2044" s="1">
        <v>-1</v>
      </c>
      <c r="G2044" s="1">
        <v>-1</v>
      </c>
      <c r="H2044" s="1">
        <v>0</v>
      </c>
      <c r="I2044" s="1">
        <v>0</v>
      </c>
      <c r="J2044" s="1">
        <v>1</v>
      </c>
      <c r="K2044" s="1">
        <v>-1</v>
      </c>
    </row>
    <row r="2045" spans="3:11" x14ac:dyDescent="0.25">
      <c r="C2045" s="1" t="s">
        <v>9003</v>
      </c>
      <c r="D2045" s="1" t="s">
        <v>9004</v>
      </c>
      <c r="E2045" s="1" t="s">
        <v>9005</v>
      </c>
      <c r="F2045" s="1">
        <v>-1</v>
      </c>
      <c r="G2045" s="1">
        <v>-1</v>
      </c>
      <c r="H2045" s="1">
        <v>0</v>
      </c>
      <c r="I2045" s="1">
        <v>0</v>
      </c>
      <c r="J2045" s="1">
        <v>1</v>
      </c>
      <c r="K2045" s="1">
        <v>-1</v>
      </c>
    </row>
    <row r="2046" spans="3:11" x14ac:dyDescent="0.25">
      <c r="C2046" s="1" t="s">
        <v>9006</v>
      </c>
      <c r="D2046" s="1" t="s">
        <v>9007</v>
      </c>
      <c r="E2046" s="1" t="s">
        <v>9008</v>
      </c>
      <c r="F2046" s="1">
        <v>-1</v>
      </c>
      <c r="G2046" s="1">
        <v>-1</v>
      </c>
      <c r="H2046" s="1">
        <v>0</v>
      </c>
      <c r="I2046" s="1">
        <v>0</v>
      </c>
      <c r="J2046" s="1">
        <v>1</v>
      </c>
      <c r="K2046" s="1">
        <v>-1</v>
      </c>
    </row>
    <row r="2047" spans="3:11" x14ac:dyDescent="0.25">
      <c r="D2047" s="1" t="s">
        <v>9009</v>
      </c>
      <c r="E2047" s="1" t="s">
        <v>9010</v>
      </c>
      <c r="F2047" s="1">
        <v>-1</v>
      </c>
      <c r="G2047" s="1">
        <v>-1</v>
      </c>
      <c r="H2047" s="1">
        <v>0</v>
      </c>
      <c r="I2047" s="1">
        <v>0</v>
      </c>
      <c r="J2047" s="1">
        <v>1</v>
      </c>
      <c r="K2047" s="1">
        <v>-1</v>
      </c>
    </row>
    <row r="2048" spans="3:11" x14ac:dyDescent="0.25">
      <c r="D2048" s="1" t="s">
        <v>9011</v>
      </c>
      <c r="E2048" s="1" t="s">
        <v>9012</v>
      </c>
      <c r="F2048" s="1">
        <v>-1</v>
      </c>
      <c r="G2048" s="1">
        <v>-1</v>
      </c>
      <c r="H2048" s="1">
        <v>0</v>
      </c>
      <c r="I2048" s="1">
        <v>0</v>
      </c>
      <c r="J2048" s="1">
        <v>1</v>
      </c>
      <c r="K2048" s="1">
        <v>-1</v>
      </c>
    </row>
    <row r="2049" spans="3:11" x14ac:dyDescent="0.25">
      <c r="D2049" s="1" t="s">
        <v>9013</v>
      </c>
      <c r="E2049" s="1" t="s">
        <v>9014</v>
      </c>
      <c r="F2049" s="1">
        <v>-1</v>
      </c>
      <c r="G2049" s="1">
        <v>-1</v>
      </c>
      <c r="H2049" s="1">
        <v>0</v>
      </c>
      <c r="I2049" s="1">
        <v>0</v>
      </c>
      <c r="J2049" s="1">
        <v>1</v>
      </c>
      <c r="K2049" s="1">
        <v>-1</v>
      </c>
    </row>
    <row r="2050" spans="3:11" x14ac:dyDescent="0.25">
      <c r="C2050" s="1" t="s">
        <v>9015</v>
      </c>
      <c r="D2050" s="1" t="s">
        <v>9016</v>
      </c>
      <c r="E2050" s="1" t="s">
        <v>9017</v>
      </c>
      <c r="F2050" s="1">
        <v>-1</v>
      </c>
      <c r="G2050" s="1">
        <v>-1</v>
      </c>
      <c r="H2050" s="1">
        <v>0</v>
      </c>
      <c r="I2050" s="1">
        <v>0</v>
      </c>
      <c r="J2050" s="1">
        <v>1</v>
      </c>
      <c r="K2050" s="1">
        <v>-1</v>
      </c>
    </row>
    <row r="2051" spans="3:11" x14ac:dyDescent="0.25">
      <c r="D2051" s="1" t="s">
        <v>9018</v>
      </c>
      <c r="E2051" s="1" t="s">
        <v>9019</v>
      </c>
      <c r="F2051" s="1">
        <v>-1</v>
      </c>
      <c r="G2051" s="1">
        <v>-1</v>
      </c>
      <c r="H2051" s="1">
        <v>0</v>
      </c>
      <c r="I2051" s="1">
        <v>0</v>
      </c>
      <c r="J2051" s="1">
        <v>1</v>
      </c>
      <c r="K2051" s="1">
        <v>-1</v>
      </c>
    </row>
    <row r="2052" spans="3:11" x14ac:dyDescent="0.25">
      <c r="D2052" s="1" t="s">
        <v>9020</v>
      </c>
      <c r="E2052" s="1" t="s">
        <v>9021</v>
      </c>
      <c r="F2052" s="1">
        <v>-1</v>
      </c>
      <c r="G2052" s="1">
        <v>-1</v>
      </c>
      <c r="H2052" s="1">
        <v>0</v>
      </c>
      <c r="I2052" s="1">
        <v>0</v>
      </c>
      <c r="J2052" s="1">
        <v>1</v>
      </c>
      <c r="K2052" s="1">
        <v>-1</v>
      </c>
    </row>
    <row r="2053" spans="3:11" x14ac:dyDescent="0.25">
      <c r="D2053" s="1" t="s">
        <v>9022</v>
      </c>
      <c r="E2053" s="1" t="s">
        <v>9023</v>
      </c>
      <c r="F2053" s="1">
        <v>-1</v>
      </c>
      <c r="G2053" s="1">
        <v>-1</v>
      </c>
      <c r="H2053" s="1">
        <v>0</v>
      </c>
      <c r="I2053" s="1">
        <v>0</v>
      </c>
      <c r="J2053" s="1">
        <v>1</v>
      </c>
      <c r="K2053" s="1">
        <v>-1</v>
      </c>
    </row>
    <row r="2054" spans="3:11" x14ac:dyDescent="0.25">
      <c r="D2054" s="1" t="s">
        <v>9024</v>
      </c>
      <c r="E2054" s="1" t="s">
        <v>9025</v>
      </c>
      <c r="F2054" s="1">
        <v>-1</v>
      </c>
      <c r="G2054" s="1">
        <v>-1</v>
      </c>
      <c r="H2054" s="1">
        <v>0</v>
      </c>
      <c r="I2054" s="1">
        <v>0</v>
      </c>
      <c r="J2054" s="1">
        <v>1</v>
      </c>
      <c r="K2054" s="1">
        <v>-1</v>
      </c>
    </row>
    <row r="2055" spans="3:11" x14ac:dyDescent="0.25">
      <c r="D2055" s="1" t="s">
        <v>9026</v>
      </c>
      <c r="E2055" s="1" t="s">
        <v>9027</v>
      </c>
      <c r="F2055" s="1">
        <v>-1</v>
      </c>
      <c r="G2055" s="1">
        <v>-1</v>
      </c>
      <c r="H2055" s="1">
        <v>0</v>
      </c>
      <c r="I2055" s="1">
        <v>0</v>
      </c>
      <c r="J2055" s="1">
        <v>1</v>
      </c>
      <c r="K2055" s="1">
        <v>-1</v>
      </c>
    </row>
    <row r="2056" spans="3:11" x14ac:dyDescent="0.25">
      <c r="D2056" s="1" t="s">
        <v>9028</v>
      </c>
      <c r="E2056" s="1" t="s">
        <v>9029</v>
      </c>
      <c r="F2056" s="1">
        <v>-1</v>
      </c>
      <c r="G2056" s="1">
        <v>-1</v>
      </c>
      <c r="H2056" s="1">
        <v>0</v>
      </c>
      <c r="I2056" s="1">
        <v>0</v>
      </c>
      <c r="J2056" s="1">
        <v>1</v>
      </c>
      <c r="K2056" s="1">
        <v>-1</v>
      </c>
    </row>
    <row r="2057" spans="3:11" x14ac:dyDescent="0.25">
      <c r="D2057" s="1" t="s">
        <v>9030</v>
      </c>
      <c r="E2057" s="1" t="s">
        <v>9031</v>
      </c>
      <c r="F2057" s="1">
        <v>-1</v>
      </c>
      <c r="G2057" s="1">
        <v>-1</v>
      </c>
      <c r="H2057" s="1">
        <v>0</v>
      </c>
      <c r="I2057" s="1">
        <v>0</v>
      </c>
      <c r="J2057" s="1">
        <v>1</v>
      </c>
      <c r="K2057" s="1">
        <v>-1</v>
      </c>
    </row>
    <row r="2058" spans="3:11" x14ac:dyDescent="0.25">
      <c r="D2058" s="1" t="s">
        <v>9032</v>
      </c>
      <c r="E2058" s="1" t="s">
        <v>9033</v>
      </c>
      <c r="F2058" s="1">
        <v>-1</v>
      </c>
      <c r="G2058" s="1">
        <v>-1</v>
      </c>
      <c r="H2058" s="1">
        <v>0</v>
      </c>
      <c r="I2058" s="1">
        <v>0</v>
      </c>
      <c r="J2058" s="1">
        <v>1</v>
      </c>
      <c r="K2058" s="1">
        <v>-1</v>
      </c>
    </row>
    <row r="2059" spans="3:11" x14ac:dyDescent="0.25">
      <c r="D2059" s="1" t="s">
        <v>9034</v>
      </c>
      <c r="E2059" s="1" t="s">
        <v>9035</v>
      </c>
      <c r="F2059" s="1">
        <v>-1</v>
      </c>
      <c r="G2059" s="1">
        <v>-1</v>
      </c>
      <c r="H2059" s="1">
        <v>0</v>
      </c>
      <c r="I2059" s="1">
        <v>0</v>
      </c>
      <c r="J2059" s="1">
        <v>1</v>
      </c>
      <c r="K2059" s="1">
        <v>-1</v>
      </c>
    </row>
    <row r="2060" spans="3:11" x14ac:dyDescent="0.25">
      <c r="D2060" s="1" t="s">
        <v>9036</v>
      </c>
      <c r="E2060" s="1" t="s">
        <v>9037</v>
      </c>
      <c r="F2060" s="1">
        <v>-1</v>
      </c>
      <c r="G2060" s="1">
        <v>-1</v>
      </c>
      <c r="H2060" s="1">
        <v>0</v>
      </c>
      <c r="I2060" s="1">
        <v>0</v>
      </c>
      <c r="J2060" s="1">
        <v>1</v>
      </c>
      <c r="K2060" s="1">
        <v>-1</v>
      </c>
    </row>
    <row r="2061" spans="3:11" x14ac:dyDescent="0.25">
      <c r="D2061" s="1" t="s">
        <v>9038</v>
      </c>
      <c r="E2061" s="1" t="s">
        <v>9039</v>
      </c>
      <c r="F2061" s="1">
        <v>-1</v>
      </c>
      <c r="G2061" s="1">
        <v>-1</v>
      </c>
      <c r="H2061" s="1">
        <v>0</v>
      </c>
      <c r="I2061" s="1">
        <v>0</v>
      </c>
      <c r="J2061" s="1">
        <v>1</v>
      </c>
      <c r="K2061" s="1">
        <v>-1</v>
      </c>
    </row>
    <row r="2062" spans="3:11" x14ac:dyDescent="0.25">
      <c r="D2062" s="1" t="s">
        <v>9040</v>
      </c>
      <c r="E2062" s="1" t="s">
        <v>9041</v>
      </c>
      <c r="F2062" s="1">
        <v>-1</v>
      </c>
      <c r="G2062" s="1">
        <v>-1</v>
      </c>
      <c r="H2062" s="1">
        <v>0</v>
      </c>
      <c r="I2062" s="1">
        <v>0</v>
      </c>
      <c r="J2062" s="1">
        <v>1</v>
      </c>
      <c r="K2062" s="1">
        <v>-1</v>
      </c>
    </row>
    <row r="2063" spans="3:11" x14ac:dyDescent="0.25">
      <c r="D2063" s="1" t="s">
        <v>9042</v>
      </c>
      <c r="E2063" s="1" t="s">
        <v>9043</v>
      </c>
      <c r="F2063" s="1">
        <v>-1</v>
      </c>
      <c r="G2063" s="1">
        <v>-1</v>
      </c>
      <c r="H2063" s="1">
        <v>0</v>
      </c>
      <c r="I2063" s="1">
        <v>0</v>
      </c>
      <c r="J2063" s="1">
        <v>1</v>
      </c>
      <c r="K2063" s="1">
        <v>-1</v>
      </c>
    </row>
    <row r="2064" spans="3:11" x14ac:dyDescent="0.25">
      <c r="D2064" s="1" t="s">
        <v>9044</v>
      </c>
      <c r="E2064" s="1" t="s">
        <v>9045</v>
      </c>
      <c r="F2064" s="1">
        <v>-1</v>
      </c>
      <c r="G2064" s="1">
        <v>-1</v>
      </c>
      <c r="H2064" s="1">
        <v>0</v>
      </c>
      <c r="I2064" s="1">
        <v>0</v>
      </c>
      <c r="J2064" s="1">
        <v>1</v>
      </c>
      <c r="K2064" s="1">
        <v>-1</v>
      </c>
    </row>
    <row r="2065" spans="3:11" x14ac:dyDescent="0.25">
      <c r="D2065" s="1" t="s">
        <v>9046</v>
      </c>
      <c r="E2065" s="1" t="s">
        <v>9047</v>
      </c>
      <c r="F2065" s="1">
        <v>-1</v>
      </c>
      <c r="G2065" s="1">
        <v>-1</v>
      </c>
      <c r="H2065" s="1">
        <v>0</v>
      </c>
      <c r="I2065" s="1">
        <v>0</v>
      </c>
      <c r="J2065" s="1">
        <v>1</v>
      </c>
      <c r="K2065" s="1">
        <v>-1</v>
      </c>
    </row>
    <row r="2066" spans="3:11" x14ac:dyDescent="0.25">
      <c r="D2066" s="1" t="s">
        <v>9048</v>
      </c>
      <c r="E2066" s="1" t="s">
        <v>9049</v>
      </c>
      <c r="F2066" s="1">
        <v>-1</v>
      </c>
      <c r="G2066" s="1">
        <v>-1</v>
      </c>
      <c r="H2066" s="1">
        <v>0</v>
      </c>
      <c r="I2066" s="1">
        <v>0</v>
      </c>
      <c r="J2066" s="1">
        <v>1</v>
      </c>
      <c r="K2066" s="1">
        <v>-1</v>
      </c>
    </row>
    <row r="2067" spans="3:11" x14ac:dyDescent="0.25">
      <c r="D2067" s="1" t="s">
        <v>9050</v>
      </c>
      <c r="E2067" s="1" t="s">
        <v>9051</v>
      </c>
      <c r="F2067" s="1">
        <v>-1</v>
      </c>
      <c r="G2067" s="1">
        <v>-1</v>
      </c>
      <c r="H2067" s="1">
        <v>0</v>
      </c>
      <c r="I2067" s="1">
        <v>0</v>
      </c>
      <c r="J2067" s="1">
        <v>1</v>
      </c>
      <c r="K2067" s="1">
        <v>-1</v>
      </c>
    </row>
    <row r="2068" spans="3:11" x14ac:dyDescent="0.25">
      <c r="D2068" s="1" t="s">
        <v>9052</v>
      </c>
      <c r="E2068" s="1" t="s">
        <v>9053</v>
      </c>
      <c r="F2068" s="1">
        <v>-1</v>
      </c>
      <c r="G2068" s="1">
        <v>-1</v>
      </c>
      <c r="H2068" s="1">
        <v>0</v>
      </c>
      <c r="I2068" s="1">
        <v>0</v>
      </c>
      <c r="J2068" s="1">
        <v>1</v>
      </c>
      <c r="K2068" s="1">
        <v>-1</v>
      </c>
    </row>
    <row r="2069" spans="3:11" x14ac:dyDescent="0.25">
      <c r="D2069" s="1" t="s">
        <v>9054</v>
      </c>
      <c r="E2069" s="1" t="s">
        <v>9055</v>
      </c>
      <c r="F2069" s="1">
        <v>-1</v>
      </c>
      <c r="G2069" s="1">
        <v>-1</v>
      </c>
      <c r="H2069" s="1">
        <v>0</v>
      </c>
      <c r="I2069" s="1">
        <v>0</v>
      </c>
      <c r="J2069" s="1">
        <v>1</v>
      </c>
      <c r="K2069" s="1">
        <v>-1</v>
      </c>
    </row>
    <row r="2070" spans="3:11" x14ac:dyDescent="0.25">
      <c r="C2070" s="1" t="s">
        <v>9056</v>
      </c>
      <c r="D2070" s="1" t="s">
        <v>9057</v>
      </c>
      <c r="E2070" s="1" t="s">
        <v>9058</v>
      </c>
      <c r="F2070" s="1">
        <v>-1</v>
      </c>
      <c r="G2070" s="1">
        <v>-1</v>
      </c>
      <c r="H2070" s="1">
        <v>0</v>
      </c>
      <c r="I2070" s="1">
        <v>0</v>
      </c>
      <c r="J2070" s="1">
        <v>1</v>
      </c>
      <c r="K2070" s="1">
        <v>-1</v>
      </c>
    </row>
    <row r="2071" spans="3:11" x14ac:dyDescent="0.25">
      <c r="C2071" s="1" t="s">
        <v>9059</v>
      </c>
      <c r="D2071" s="1" t="s">
        <v>9060</v>
      </c>
      <c r="E2071" s="1" t="s">
        <v>9061</v>
      </c>
      <c r="F2071" s="1">
        <v>-1</v>
      </c>
      <c r="G2071" s="1">
        <v>-1</v>
      </c>
      <c r="H2071" s="1">
        <v>0</v>
      </c>
      <c r="I2071" s="1">
        <v>0</v>
      </c>
      <c r="J2071" s="1">
        <v>1</v>
      </c>
      <c r="K2071" s="1">
        <v>-1</v>
      </c>
    </row>
    <row r="2072" spans="3:11" x14ac:dyDescent="0.25">
      <c r="D2072" s="1" t="s">
        <v>9062</v>
      </c>
      <c r="E2072" s="1" t="s">
        <v>9063</v>
      </c>
      <c r="F2072" s="1">
        <v>-1</v>
      </c>
      <c r="G2072" s="1">
        <v>-1</v>
      </c>
      <c r="H2072" s="1">
        <v>0</v>
      </c>
      <c r="I2072" s="1">
        <v>0</v>
      </c>
      <c r="J2072" s="1">
        <v>1</v>
      </c>
      <c r="K2072" s="1">
        <v>-1</v>
      </c>
    </row>
    <row r="2073" spans="3:11" x14ac:dyDescent="0.25">
      <c r="D2073" s="1" t="s">
        <v>9064</v>
      </c>
      <c r="E2073" s="1" t="s">
        <v>9065</v>
      </c>
      <c r="F2073" s="1">
        <v>-1</v>
      </c>
      <c r="G2073" s="1">
        <v>-1</v>
      </c>
      <c r="H2073" s="1">
        <v>0</v>
      </c>
      <c r="I2073" s="1">
        <v>0</v>
      </c>
      <c r="J2073" s="1">
        <v>1</v>
      </c>
      <c r="K2073" s="1">
        <v>-1</v>
      </c>
    </row>
    <row r="2074" spans="3:11" x14ac:dyDescent="0.25">
      <c r="D2074" s="1" t="s">
        <v>9066</v>
      </c>
      <c r="E2074" s="1" t="s">
        <v>9067</v>
      </c>
      <c r="F2074" s="1">
        <v>-1</v>
      </c>
      <c r="G2074" s="1">
        <v>-1</v>
      </c>
      <c r="H2074" s="1">
        <v>0</v>
      </c>
      <c r="I2074" s="1">
        <v>0</v>
      </c>
      <c r="J2074" s="1">
        <v>1</v>
      </c>
      <c r="K2074" s="1">
        <v>-1</v>
      </c>
    </row>
    <row r="2075" spans="3:11" x14ac:dyDescent="0.25">
      <c r="C2075" s="1" t="s">
        <v>9068</v>
      </c>
      <c r="D2075" s="1" t="s">
        <v>9069</v>
      </c>
      <c r="E2075" s="1" t="s">
        <v>9070</v>
      </c>
      <c r="F2075" s="1">
        <v>-1</v>
      </c>
      <c r="G2075" s="1">
        <v>-1</v>
      </c>
      <c r="H2075" s="1">
        <v>0</v>
      </c>
      <c r="I2075" s="1">
        <v>0</v>
      </c>
      <c r="J2075" s="1">
        <v>1</v>
      </c>
      <c r="K2075" s="1">
        <v>-1</v>
      </c>
    </row>
    <row r="2076" spans="3:11" x14ac:dyDescent="0.25">
      <c r="C2076" s="1" t="s">
        <v>9071</v>
      </c>
      <c r="D2076" s="1" t="s">
        <v>9072</v>
      </c>
      <c r="E2076" s="1" t="s">
        <v>9073</v>
      </c>
      <c r="F2076" s="1">
        <v>-1</v>
      </c>
      <c r="G2076" s="1">
        <v>-1</v>
      </c>
      <c r="H2076" s="1">
        <v>0</v>
      </c>
      <c r="I2076" s="1">
        <v>0</v>
      </c>
      <c r="J2076" s="1">
        <v>1</v>
      </c>
      <c r="K2076" s="1">
        <v>-1</v>
      </c>
    </row>
    <row r="2077" spans="3:11" x14ac:dyDescent="0.25">
      <c r="C2077" s="1" t="s">
        <v>9074</v>
      </c>
      <c r="D2077" s="1" t="s">
        <v>9075</v>
      </c>
      <c r="E2077" s="1" t="s">
        <v>9076</v>
      </c>
      <c r="F2077" s="1">
        <v>-1</v>
      </c>
      <c r="G2077" s="1">
        <v>-1</v>
      </c>
      <c r="H2077" s="1">
        <v>0</v>
      </c>
      <c r="I2077" s="1">
        <v>0</v>
      </c>
      <c r="J2077" s="1">
        <v>1</v>
      </c>
      <c r="K2077" s="1">
        <v>-1</v>
      </c>
    </row>
    <row r="2078" spans="3:11" x14ac:dyDescent="0.25">
      <c r="C2078" s="1" t="s">
        <v>9077</v>
      </c>
      <c r="D2078" s="1" t="s">
        <v>9078</v>
      </c>
      <c r="E2078" s="1" t="s">
        <v>9079</v>
      </c>
      <c r="F2078" s="1">
        <v>-1</v>
      </c>
      <c r="G2078" s="1">
        <v>-1</v>
      </c>
      <c r="H2078" s="1">
        <v>0</v>
      </c>
      <c r="I2078" s="1">
        <v>0</v>
      </c>
      <c r="J2078" s="1">
        <v>1</v>
      </c>
      <c r="K2078" s="1">
        <v>-1</v>
      </c>
    </row>
    <row r="2079" spans="3:11" x14ac:dyDescent="0.25">
      <c r="C2079" s="1" t="s">
        <v>9080</v>
      </c>
      <c r="D2079" s="1" t="s">
        <v>9081</v>
      </c>
      <c r="E2079" s="1" t="s">
        <v>9082</v>
      </c>
      <c r="F2079" s="1">
        <v>-1</v>
      </c>
      <c r="G2079" s="1">
        <v>-1</v>
      </c>
      <c r="H2079" s="1">
        <v>0</v>
      </c>
      <c r="I2079" s="1">
        <v>0</v>
      </c>
      <c r="J2079" s="1">
        <v>1</v>
      </c>
      <c r="K2079" s="1">
        <v>-1</v>
      </c>
    </row>
    <row r="2080" spans="3:11" x14ac:dyDescent="0.25">
      <c r="C2080" s="1" t="s">
        <v>9083</v>
      </c>
      <c r="D2080" s="1" t="s">
        <v>9084</v>
      </c>
      <c r="E2080" s="1" t="s">
        <v>9083</v>
      </c>
      <c r="F2080" s="1">
        <v>-1</v>
      </c>
      <c r="G2080" s="1">
        <v>-1</v>
      </c>
      <c r="H2080" s="1">
        <v>0</v>
      </c>
      <c r="I2080" s="1">
        <v>0</v>
      </c>
      <c r="J2080" s="1">
        <v>1</v>
      </c>
      <c r="K2080" s="1">
        <v>-1</v>
      </c>
    </row>
    <row r="2081" spans="3:11" x14ac:dyDescent="0.25">
      <c r="C2081" s="1" t="s">
        <v>9085</v>
      </c>
      <c r="D2081" s="1" t="s">
        <v>9086</v>
      </c>
      <c r="E2081" s="1" t="s">
        <v>9087</v>
      </c>
      <c r="F2081" s="1">
        <v>-1</v>
      </c>
      <c r="G2081" s="1">
        <v>-1</v>
      </c>
      <c r="H2081" s="1">
        <v>0</v>
      </c>
      <c r="I2081" s="1">
        <v>0</v>
      </c>
      <c r="J2081" s="1">
        <v>1</v>
      </c>
      <c r="K2081" s="1">
        <v>-1</v>
      </c>
    </row>
    <row r="2082" spans="3:11" x14ac:dyDescent="0.25">
      <c r="C2082" s="1" t="s">
        <v>9088</v>
      </c>
      <c r="D2082" s="1" t="s">
        <v>9089</v>
      </c>
      <c r="E2082" s="1" t="s">
        <v>9090</v>
      </c>
      <c r="F2082" s="1">
        <v>-1</v>
      </c>
      <c r="G2082" s="1">
        <v>-1</v>
      </c>
      <c r="H2082" s="1">
        <v>0</v>
      </c>
      <c r="I2082" s="1">
        <v>0</v>
      </c>
      <c r="J2082" s="1">
        <v>1</v>
      </c>
      <c r="K2082" s="1">
        <v>-1</v>
      </c>
    </row>
    <row r="2083" spans="3:11" x14ac:dyDescent="0.25">
      <c r="C2083" s="1" t="s">
        <v>9091</v>
      </c>
      <c r="D2083" s="1" t="s">
        <v>9092</v>
      </c>
      <c r="E2083" s="1" t="s">
        <v>9093</v>
      </c>
      <c r="F2083" s="1">
        <v>-1</v>
      </c>
      <c r="G2083" s="1">
        <v>-1</v>
      </c>
      <c r="H2083" s="1">
        <v>0</v>
      </c>
      <c r="I2083" s="1">
        <v>0</v>
      </c>
      <c r="J2083" s="1">
        <v>1</v>
      </c>
      <c r="K2083" s="1">
        <v>-1</v>
      </c>
    </row>
    <row r="2084" spans="3:11" x14ac:dyDescent="0.25">
      <c r="C2084" s="1" t="s">
        <v>9094</v>
      </c>
      <c r="D2084" s="1" t="s">
        <v>9095</v>
      </c>
      <c r="E2084" s="1" t="s">
        <v>9096</v>
      </c>
      <c r="F2084" s="1">
        <v>-1</v>
      </c>
      <c r="G2084" s="1">
        <v>-1</v>
      </c>
      <c r="H2084" s="1">
        <v>0</v>
      </c>
      <c r="I2084" s="1">
        <v>0</v>
      </c>
      <c r="J2084" s="1">
        <v>1</v>
      </c>
      <c r="K2084" s="1">
        <v>-1</v>
      </c>
    </row>
    <row r="2085" spans="3:11" x14ac:dyDescent="0.25">
      <c r="D2085" s="1" t="s">
        <v>9097</v>
      </c>
      <c r="E2085" s="1" t="s">
        <v>9098</v>
      </c>
      <c r="F2085" s="1">
        <v>-1</v>
      </c>
      <c r="G2085" s="1">
        <v>-1</v>
      </c>
      <c r="H2085" s="1">
        <v>0</v>
      </c>
      <c r="I2085" s="1">
        <v>0</v>
      </c>
      <c r="J2085" s="1">
        <v>1</v>
      </c>
      <c r="K2085" s="1">
        <v>-1</v>
      </c>
    </row>
    <row r="2086" spans="3:11" x14ac:dyDescent="0.25">
      <c r="C2086" s="1" t="s">
        <v>9099</v>
      </c>
      <c r="D2086" s="1" t="s">
        <v>9100</v>
      </c>
      <c r="E2086" s="1" t="s">
        <v>9101</v>
      </c>
      <c r="F2086" s="1">
        <v>-1</v>
      </c>
      <c r="G2086" s="1">
        <v>-1</v>
      </c>
      <c r="H2086" s="1">
        <v>0</v>
      </c>
      <c r="I2086" s="1">
        <v>0</v>
      </c>
      <c r="J2086" s="1">
        <v>1</v>
      </c>
      <c r="K2086" s="1">
        <v>-1</v>
      </c>
    </row>
    <row r="2087" spans="3:11" x14ac:dyDescent="0.25">
      <c r="D2087" s="1" t="s">
        <v>9102</v>
      </c>
      <c r="E2087" s="1" t="s">
        <v>9103</v>
      </c>
      <c r="F2087" s="1">
        <v>-1</v>
      </c>
      <c r="G2087" s="1">
        <v>-1</v>
      </c>
      <c r="H2087" s="1">
        <v>0</v>
      </c>
      <c r="I2087" s="1">
        <v>0</v>
      </c>
      <c r="J2087" s="1">
        <v>1</v>
      </c>
      <c r="K2087" s="1">
        <v>-1</v>
      </c>
    </row>
    <row r="2088" spans="3:11" x14ac:dyDescent="0.25">
      <c r="D2088" s="1" t="s">
        <v>9104</v>
      </c>
      <c r="E2088" s="1" t="s">
        <v>9105</v>
      </c>
      <c r="F2088" s="1">
        <v>-1</v>
      </c>
      <c r="G2088" s="1">
        <v>-1</v>
      </c>
      <c r="H2088" s="1">
        <v>0</v>
      </c>
      <c r="I2088" s="1">
        <v>0</v>
      </c>
      <c r="J2088" s="1">
        <v>1</v>
      </c>
      <c r="K2088" s="1">
        <v>-1</v>
      </c>
    </row>
    <row r="2089" spans="3:11" x14ac:dyDescent="0.25">
      <c r="D2089" s="1" t="s">
        <v>9106</v>
      </c>
      <c r="E2089" s="1" t="s">
        <v>9107</v>
      </c>
      <c r="F2089" s="1">
        <v>-1</v>
      </c>
      <c r="G2089" s="1">
        <v>-1</v>
      </c>
      <c r="H2089" s="1">
        <v>0</v>
      </c>
      <c r="I2089" s="1">
        <v>0</v>
      </c>
      <c r="J2089" s="1">
        <v>1</v>
      </c>
      <c r="K2089" s="1">
        <v>-1</v>
      </c>
    </row>
    <row r="2090" spans="3:11" x14ac:dyDescent="0.25">
      <c r="C2090" s="1" t="s">
        <v>9108</v>
      </c>
      <c r="D2090" s="1" t="s">
        <v>9109</v>
      </c>
      <c r="E2090" s="1" t="s">
        <v>9110</v>
      </c>
      <c r="F2090" s="1">
        <v>-1</v>
      </c>
      <c r="G2090" s="1">
        <v>-1</v>
      </c>
      <c r="H2090" s="1">
        <v>0</v>
      </c>
      <c r="I2090" s="1">
        <v>0</v>
      </c>
      <c r="J2090" s="1">
        <v>1</v>
      </c>
      <c r="K2090" s="1">
        <v>-1</v>
      </c>
    </row>
    <row r="2091" spans="3:11" x14ac:dyDescent="0.25">
      <c r="C2091" s="1" t="s">
        <v>9111</v>
      </c>
      <c r="D2091" s="1" t="s">
        <v>9112</v>
      </c>
      <c r="E2091" s="1" t="s">
        <v>9113</v>
      </c>
      <c r="F2091" s="1">
        <v>-1</v>
      </c>
      <c r="G2091" s="1">
        <v>-1</v>
      </c>
      <c r="H2091" s="1">
        <v>0</v>
      </c>
      <c r="I2091" s="1">
        <v>0</v>
      </c>
      <c r="J2091" s="1">
        <v>1</v>
      </c>
      <c r="K2091" s="1">
        <v>-1</v>
      </c>
    </row>
    <row r="2092" spans="3:11" x14ac:dyDescent="0.25">
      <c r="D2092" s="1" t="s">
        <v>9114</v>
      </c>
      <c r="E2092" s="1" t="s">
        <v>9115</v>
      </c>
      <c r="F2092" s="1">
        <v>-1</v>
      </c>
      <c r="G2092" s="1">
        <v>-1</v>
      </c>
      <c r="H2092" s="1">
        <v>0</v>
      </c>
      <c r="I2092" s="1">
        <v>0</v>
      </c>
      <c r="J2092" s="1">
        <v>1</v>
      </c>
      <c r="K2092" s="1">
        <v>-1</v>
      </c>
    </row>
    <row r="2093" spans="3:11" x14ac:dyDescent="0.25">
      <c r="D2093" s="1" t="s">
        <v>9116</v>
      </c>
      <c r="E2093" s="1" t="s">
        <v>9117</v>
      </c>
      <c r="F2093" s="1">
        <v>-1</v>
      </c>
      <c r="G2093" s="1">
        <v>-1</v>
      </c>
      <c r="H2093" s="1">
        <v>0</v>
      </c>
      <c r="I2093" s="1">
        <v>0</v>
      </c>
      <c r="J2093" s="1">
        <v>1</v>
      </c>
      <c r="K2093" s="1">
        <v>-1</v>
      </c>
    </row>
    <row r="2094" spans="3:11" x14ac:dyDescent="0.25">
      <c r="C2094" s="1" t="s">
        <v>9118</v>
      </c>
      <c r="D2094" s="1" t="s">
        <v>9119</v>
      </c>
      <c r="E2094" s="1" t="s">
        <v>9120</v>
      </c>
      <c r="F2094" s="1">
        <v>-1</v>
      </c>
      <c r="G2094" s="1">
        <v>-1</v>
      </c>
      <c r="H2094" s="1">
        <v>0</v>
      </c>
      <c r="I2094" s="1">
        <v>0</v>
      </c>
      <c r="J2094" s="1">
        <v>1</v>
      </c>
      <c r="K2094" s="1">
        <v>-1</v>
      </c>
    </row>
    <row r="2095" spans="3:11" x14ac:dyDescent="0.25">
      <c r="D2095" s="1" t="s">
        <v>9121</v>
      </c>
      <c r="E2095" s="1" t="s">
        <v>9122</v>
      </c>
      <c r="F2095" s="1">
        <v>-1</v>
      </c>
      <c r="G2095" s="1">
        <v>-1</v>
      </c>
      <c r="H2095" s="1">
        <v>0</v>
      </c>
      <c r="I2095" s="1">
        <v>0</v>
      </c>
      <c r="J2095" s="1">
        <v>1</v>
      </c>
      <c r="K2095" s="1">
        <v>-1</v>
      </c>
    </row>
    <row r="2096" spans="3:11" x14ac:dyDescent="0.25">
      <c r="D2096" s="1" t="s">
        <v>9123</v>
      </c>
      <c r="E2096" s="1" t="s">
        <v>9124</v>
      </c>
      <c r="F2096" s="1">
        <v>-1</v>
      </c>
      <c r="G2096" s="1">
        <v>-1</v>
      </c>
      <c r="H2096" s="1">
        <v>0</v>
      </c>
      <c r="I2096" s="1">
        <v>0</v>
      </c>
      <c r="J2096" s="1">
        <v>1</v>
      </c>
      <c r="K2096" s="1">
        <v>-1</v>
      </c>
    </row>
    <row r="2097" spans="3:11" x14ac:dyDescent="0.25">
      <c r="D2097" s="1" t="s">
        <v>9125</v>
      </c>
      <c r="E2097" s="1" t="s">
        <v>9126</v>
      </c>
      <c r="F2097" s="1">
        <v>-1</v>
      </c>
      <c r="G2097" s="1">
        <v>-1</v>
      </c>
      <c r="H2097" s="1">
        <v>0</v>
      </c>
      <c r="I2097" s="1">
        <v>0</v>
      </c>
      <c r="J2097" s="1">
        <v>1</v>
      </c>
      <c r="K2097" s="1">
        <v>-1</v>
      </c>
    </row>
    <row r="2098" spans="3:11" x14ac:dyDescent="0.25">
      <c r="D2098" s="1" t="s">
        <v>9127</v>
      </c>
      <c r="E2098" s="1" t="s">
        <v>9128</v>
      </c>
      <c r="F2098" s="1">
        <v>-1</v>
      </c>
      <c r="G2098" s="1">
        <v>-1</v>
      </c>
      <c r="H2098" s="1">
        <v>0</v>
      </c>
      <c r="I2098" s="1">
        <v>0</v>
      </c>
      <c r="J2098" s="1">
        <v>1</v>
      </c>
      <c r="K2098" s="1">
        <v>-1</v>
      </c>
    </row>
    <row r="2099" spans="3:11" x14ac:dyDescent="0.25">
      <c r="D2099" s="1" t="s">
        <v>9129</v>
      </c>
      <c r="E2099" s="1" t="s">
        <v>9130</v>
      </c>
      <c r="F2099" s="1">
        <v>-1</v>
      </c>
      <c r="G2099" s="1">
        <v>-1</v>
      </c>
      <c r="H2099" s="1">
        <v>0</v>
      </c>
      <c r="I2099" s="1">
        <v>0</v>
      </c>
      <c r="J2099" s="1">
        <v>1</v>
      </c>
      <c r="K2099" s="1">
        <v>-1</v>
      </c>
    </row>
    <row r="2100" spans="3:11" x14ac:dyDescent="0.25">
      <c r="D2100" s="1" t="s">
        <v>9131</v>
      </c>
      <c r="E2100" s="1" t="s">
        <v>9132</v>
      </c>
      <c r="F2100" s="1">
        <v>-1</v>
      </c>
      <c r="G2100" s="1">
        <v>-1</v>
      </c>
      <c r="H2100" s="1">
        <v>0</v>
      </c>
      <c r="I2100" s="1">
        <v>0</v>
      </c>
      <c r="J2100" s="1">
        <v>1</v>
      </c>
      <c r="K2100" s="1">
        <v>-1</v>
      </c>
    </row>
    <row r="2101" spans="3:11" x14ac:dyDescent="0.25">
      <c r="D2101" s="1" t="s">
        <v>9133</v>
      </c>
      <c r="E2101" s="1" t="s">
        <v>9134</v>
      </c>
      <c r="F2101" s="1">
        <v>-1</v>
      </c>
      <c r="G2101" s="1">
        <v>-1</v>
      </c>
      <c r="H2101" s="1">
        <v>0</v>
      </c>
      <c r="I2101" s="1">
        <v>0</v>
      </c>
      <c r="J2101" s="1">
        <v>1</v>
      </c>
      <c r="K2101" s="1">
        <v>-1</v>
      </c>
    </row>
    <row r="2102" spans="3:11" x14ac:dyDescent="0.25">
      <c r="D2102" s="1" t="s">
        <v>9135</v>
      </c>
      <c r="E2102" s="1" t="s">
        <v>9136</v>
      </c>
      <c r="F2102" s="1">
        <v>-1</v>
      </c>
      <c r="G2102" s="1">
        <v>-1</v>
      </c>
      <c r="H2102" s="1">
        <v>0</v>
      </c>
      <c r="I2102" s="1">
        <v>0</v>
      </c>
      <c r="J2102" s="1">
        <v>1</v>
      </c>
      <c r="K2102" s="1">
        <v>-1</v>
      </c>
    </row>
    <row r="2103" spans="3:11" x14ac:dyDescent="0.25">
      <c r="D2103" s="1" t="s">
        <v>9137</v>
      </c>
      <c r="E2103" s="1" t="s">
        <v>9138</v>
      </c>
      <c r="F2103" s="1">
        <v>-1</v>
      </c>
      <c r="G2103" s="1">
        <v>-1</v>
      </c>
      <c r="H2103" s="1">
        <v>0</v>
      </c>
      <c r="I2103" s="1">
        <v>0</v>
      </c>
      <c r="J2103" s="1">
        <v>1</v>
      </c>
      <c r="K2103" s="1">
        <v>-1</v>
      </c>
    </row>
    <row r="2104" spans="3:11" x14ac:dyDescent="0.25">
      <c r="C2104" s="1" t="s">
        <v>9139</v>
      </c>
      <c r="D2104" s="1" t="s">
        <v>9140</v>
      </c>
      <c r="E2104" s="1" t="s">
        <v>9141</v>
      </c>
      <c r="F2104" s="1">
        <v>-1</v>
      </c>
      <c r="G2104" s="1">
        <v>-1</v>
      </c>
      <c r="H2104" s="1">
        <v>0</v>
      </c>
      <c r="I2104" s="1">
        <v>0</v>
      </c>
      <c r="J2104" s="1">
        <v>1</v>
      </c>
      <c r="K2104" s="1">
        <v>-1</v>
      </c>
    </row>
    <row r="2105" spans="3:11" x14ac:dyDescent="0.25">
      <c r="C2105" s="1" t="s">
        <v>9142</v>
      </c>
      <c r="D2105" s="1" t="s">
        <v>9143</v>
      </c>
      <c r="E2105" s="1" t="s">
        <v>9144</v>
      </c>
      <c r="F2105" s="1">
        <v>-1</v>
      </c>
      <c r="G2105" s="1">
        <v>-1</v>
      </c>
      <c r="H2105" s="1">
        <v>0</v>
      </c>
      <c r="I2105" s="1">
        <v>0</v>
      </c>
      <c r="J2105" s="1">
        <v>1</v>
      </c>
      <c r="K2105" s="1">
        <v>-1</v>
      </c>
    </row>
    <row r="2106" spans="3:11" x14ac:dyDescent="0.25">
      <c r="D2106" s="1" t="s">
        <v>9145</v>
      </c>
      <c r="E2106" s="1" t="s">
        <v>9146</v>
      </c>
      <c r="F2106" s="1">
        <v>-1</v>
      </c>
      <c r="G2106" s="1">
        <v>-1</v>
      </c>
      <c r="H2106" s="1">
        <v>0</v>
      </c>
      <c r="I2106" s="1">
        <v>0</v>
      </c>
      <c r="J2106" s="1">
        <v>1</v>
      </c>
      <c r="K2106" s="1">
        <v>-1</v>
      </c>
    </row>
    <row r="2107" spans="3:11" x14ac:dyDescent="0.25">
      <c r="D2107" s="1" t="s">
        <v>9147</v>
      </c>
      <c r="E2107" s="1" t="s">
        <v>9148</v>
      </c>
      <c r="F2107" s="1">
        <v>-1</v>
      </c>
      <c r="G2107" s="1">
        <v>-1</v>
      </c>
      <c r="H2107" s="1">
        <v>0</v>
      </c>
      <c r="I2107" s="1">
        <v>0</v>
      </c>
      <c r="J2107" s="1">
        <v>1</v>
      </c>
      <c r="K2107" s="1">
        <v>-1</v>
      </c>
    </row>
    <row r="2108" spans="3:11" x14ac:dyDescent="0.25">
      <c r="D2108" s="1" t="s">
        <v>9149</v>
      </c>
      <c r="E2108" s="1" t="s">
        <v>9150</v>
      </c>
      <c r="F2108" s="1">
        <v>-1</v>
      </c>
      <c r="G2108" s="1">
        <v>-1</v>
      </c>
      <c r="H2108" s="1">
        <v>0</v>
      </c>
      <c r="I2108" s="1">
        <v>0</v>
      </c>
      <c r="J2108" s="1">
        <v>1</v>
      </c>
      <c r="K2108" s="1">
        <v>-1</v>
      </c>
    </row>
    <row r="2109" spans="3:11" x14ac:dyDescent="0.25">
      <c r="D2109" s="1" t="s">
        <v>9151</v>
      </c>
      <c r="E2109" s="1" t="s">
        <v>9152</v>
      </c>
      <c r="F2109" s="1">
        <v>-1</v>
      </c>
      <c r="G2109" s="1">
        <v>-1</v>
      </c>
      <c r="H2109" s="1">
        <v>0</v>
      </c>
      <c r="I2109" s="1">
        <v>0</v>
      </c>
      <c r="J2109" s="1">
        <v>1</v>
      </c>
      <c r="K2109" s="1">
        <v>-1</v>
      </c>
    </row>
    <row r="2110" spans="3:11" x14ac:dyDescent="0.25">
      <c r="D2110" s="1" t="s">
        <v>9153</v>
      </c>
      <c r="E2110" s="1" t="s">
        <v>9154</v>
      </c>
      <c r="F2110" s="1">
        <v>-1</v>
      </c>
      <c r="G2110" s="1">
        <v>-1</v>
      </c>
      <c r="H2110" s="1">
        <v>0</v>
      </c>
      <c r="I2110" s="1">
        <v>0</v>
      </c>
      <c r="J2110" s="1">
        <v>1</v>
      </c>
      <c r="K2110" s="1">
        <v>-1</v>
      </c>
    </row>
    <row r="2111" spans="3:11" x14ac:dyDescent="0.25">
      <c r="D2111" s="1" t="s">
        <v>9155</v>
      </c>
      <c r="E2111" s="1" t="s">
        <v>9156</v>
      </c>
      <c r="F2111" s="1">
        <v>-1</v>
      </c>
      <c r="G2111" s="1">
        <v>-1</v>
      </c>
      <c r="H2111" s="1">
        <v>0</v>
      </c>
      <c r="I2111" s="1">
        <v>0</v>
      </c>
      <c r="J2111" s="1">
        <v>1</v>
      </c>
      <c r="K2111" s="1">
        <v>-1</v>
      </c>
    </row>
    <row r="2112" spans="3:11" x14ac:dyDescent="0.25">
      <c r="D2112" s="1" t="s">
        <v>9157</v>
      </c>
      <c r="E2112" s="1" t="s">
        <v>9158</v>
      </c>
      <c r="F2112" s="1">
        <v>-1</v>
      </c>
      <c r="G2112" s="1">
        <v>-1</v>
      </c>
      <c r="H2112" s="1">
        <v>0</v>
      </c>
      <c r="I2112" s="1">
        <v>0</v>
      </c>
      <c r="J2112" s="1">
        <v>1</v>
      </c>
      <c r="K2112" s="1">
        <v>-1</v>
      </c>
    </row>
    <row r="2113" spans="3:11" x14ac:dyDescent="0.25">
      <c r="D2113" s="1" t="s">
        <v>9159</v>
      </c>
      <c r="E2113" s="1" t="s">
        <v>9160</v>
      </c>
      <c r="F2113" s="1">
        <v>-1</v>
      </c>
      <c r="G2113" s="1">
        <v>-1</v>
      </c>
      <c r="H2113" s="1">
        <v>0</v>
      </c>
      <c r="I2113" s="1">
        <v>0</v>
      </c>
      <c r="J2113" s="1">
        <v>1</v>
      </c>
      <c r="K2113" s="1">
        <v>-1</v>
      </c>
    </row>
    <row r="2114" spans="3:11" x14ac:dyDescent="0.25">
      <c r="D2114" s="1" t="s">
        <v>9161</v>
      </c>
      <c r="E2114" s="1" t="s">
        <v>9162</v>
      </c>
      <c r="F2114" s="1">
        <v>-1</v>
      </c>
      <c r="G2114" s="1">
        <v>-1</v>
      </c>
      <c r="H2114" s="1">
        <v>0</v>
      </c>
      <c r="I2114" s="1">
        <v>0</v>
      </c>
      <c r="J2114" s="1">
        <v>1</v>
      </c>
      <c r="K2114" s="1">
        <v>-1</v>
      </c>
    </row>
    <row r="2115" spans="3:11" x14ac:dyDescent="0.25">
      <c r="D2115" s="1" t="s">
        <v>9163</v>
      </c>
      <c r="E2115" s="1" t="s">
        <v>9164</v>
      </c>
      <c r="F2115" s="1">
        <v>-1</v>
      </c>
      <c r="G2115" s="1">
        <v>-1</v>
      </c>
      <c r="H2115" s="1">
        <v>0</v>
      </c>
      <c r="I2115" s="1">
        <v>0</v>
      </c>
      <c r="J2115" s="1">
        <v>1</v>
      </c>
      <c r="K2115" s="1">
        <v>-1</v>
      </c>
    </row>
    <row r="2116" spans="3:11" x14ac:dyDescent="0.25">
      <c r="D2116" s="1" t="s">
        <v>9165</v>
      </c>
      <c r="E2116" s="1" t="s">
        <v>9166</v>
      </c>
      <c r="F2116" s="1">
        <v>-1</v>
      </c>
      <c r="G2116" s="1">
        <v>-1</v>
      </c>
      <c r="H2116" s="1">
        <v>0</v>
      </c>
      <c r="I2116" s="1">
        <v>0</v>
      </c>
      <c r="J2116" s="1">
        <v>1</v>
      </c>
      <c r="K2116" s="1">
        <v>-1</v>
      </c>
    </row>
    <row r="2117" spans="3:11" x14ac:dyDescent="0.25">
      <c r="D2117" s="1" t="s">
        <v>9167</v>
      </c>
      <c r="E2117" s="1" t="s">
        <v>9168</v>
      </c>
      <c r="F2117" s="1">
        <v>-1</v>
      </c>
      <c r="G2117" s="1">
        <v>-1</v>
      </c>
      <c r="H2117" s="1">
        <v>0</v>
      </c>
      <c r="I2117" s="1">
        <v>0</v>
      </c>
      <c r="J2117" s="1">
        <v>1</v>
      </c>
      <c r="K2117" s="1">
        <v>-1</v>
      </c>
    </row>
    <row r="2118" spans="3:11" x14ac:dyDescent="0.25">
      <c r="C2118" s="1" t="s">
        <v>9169</v>
      </c>
      <c r="D2118" s="1" t="s">
        <v>9170</v>
      </c>
      <c r="E2118" s="1" t="s">
        <v>9171</v>
      </c>
      <c r="F2118" s="1">
        <v>-1</v>
      </c>
      <c r="G2118" s="1">
        <v>-1</v>
      </c>
      <c r="H2118" s="1">
        <v>0</v>
      </c>
      <c r="I2118" s="1">
        <v>0</v>
      </c>
      <c r="J2118" s="1">
        <v>1</v>
      </c>
      <c r="K2118" s="1">
        <v>-1</v>
      </c>
    </row>
    <row r="2119" spans="3:11" x14ac:dyDescent="0.25">
      <c r="D2119" s="1" t="s">
        <v>9172</v>
      </c>
      <c r="E2119" s="1" t="s">
        <v>9173</v>
      </c>
      <c r="F2119" s="1">
        <v>-1</v>
      </c>
      <c r="G2119" s="1">
        <v>-1</v>
      </c>
      <c r="H2119" s="1">
        <v>0</v>
      </c>
      <c r="I2119" s="1">
        <v>0</v>
      </c>
      <c r="J2119" s="1">
        <v>1</v>
      </c>
      <c r="K2119" s="1">
        <v>-1</v>
      </c>
    </row>
    <row r="2120" spans="3:11" x14ac:dyDescent="0.25">
      <c r="D2120" s="1" t="s">
        <v>9174</v>
      </c>
      <c r="E2120" s="1" t="s">
        <v>9175</v>
      </c>
      <c r="F2120" s="1">
        <v>-1</v>
      </c>
      <c r="G2120" s="1">
        <v>-1</v>
      </c>
      <c r="H2120" s="1">
        <v>0</v>
      </c>
      <c r="I2120" s="1">
        <v>0</v>
      </c>
      <c r="J2120" s="1">
        <v>1</v>
      </c>
      <c r="K2120" s="1">
        <v>-1</v>
      </c>
    </row>
    <row r="2121" spans="3:11" x14ac:dyDescent="0.25">
      <c r="D2121" s="1" t="s">
        <v>9176</v>
      </c>
      <c r="E2121" s="1" t="s">
        <v>9177</v>
      </c>
      <c r="F2121" s="1">
        <v>-1</v>
      </c>
      <c r="G2121" s="1">
        <v>-1</v>
      </c>
      <c r="H2121" s="1">
        <v>0</v>
      </c>
      <c r="I2121" s="1">
        <v>0</v>
      </c>
      <c r="J2121" s="1">
        <v>1</v>
      </c>
      <c r="K2121" s="1">
        <v>-1</v>
      </c>
    </row>
    <row r="2122" spans="3:11" x14ac:dyDescent="0.25">
      <c r="D2122" s="1" t="s">
        <v>9178</v>
      </c>
      <c r="E2122" s="1" t="s">
        <v>9179</v>
      </c>
      <c r="F2122" s="1">
        <v>-1</v>
      </c>
      <c r="G2122" s="1">
        <v>-1</v>
      </c>
      <c r="H2122" s="1">
        <v>0</v>
      </c>
      <c r="I2122" s="1">
        <v>0</v>
      </c>
      <c r="J2122" s="1">
        <v>1</v>
      </c>
      <c r="K2122" s="1">
        <v>-1</v>
      </c>
    </row>
    <row r="2123" spans="3:11" x14ac:dyDescent="0.25">
      <c r="D2123" s="1" t="s">
        <v>9180</v>
      </c>
      <c r="E2123" s="1" t="s">
        <v>9181</v>
      </c>
      <c r="F2123" s="1">
        <v>-1</v>
      </c>
      <c r="G2123" s="1">
        <v>-1</v>
      </c>
      <c r="H2123" s="1">
        <v>0</v>
      </c>
      <c r="I2123" s="1">
        <v>0</v>
      </c>
      <c r="J2123" s="1">
        <v>1</v>
      </c>
      <c r="K2123" s="1">
        <v>-1</v>
      </c>
    </row>
    <row r="2124" spans="3:11" x14ac:dyDescent="0.25">
      <c r="D2124" s="1" t="s">
        <v>9182</v>
      </c>
      <c r="E2124" s="1" t="s">
        <v>9183</v>
      </c>
      <c r="F2124" s="1">
        <v>-1</v>
      </c>
      <c r="G2124" s="1">
        <v>-1</v>
      </c>
      <c r="H2124" s="1">
        <v>0</v>
      </c>
      <c r="I2124" s="1">
        <v>0</v>
      </c>
      <c r="J2124" s="1">
        <v>1</v>
      </c>
      <c r="K2124" s="1">
        <v>-1</v>
      </c>
    </row>
    <row r="2125" spans="3:11" x14ac:dyDescent="0.25">
      <c r="C2125" s="1" t="s">
        <v>9184</v>
      </c>
      <c r="D2125" s="1" t="s">
        <v>9185</v>
      </c>
      <c r="E2125" s="1" t="s">
        <v>9186</v>
      </c>
      <c r="F2125" s="1">
        <v>-1</v>
      </c>
      <c r="G2125" s="1">
        <v>-1</v>
      </c>
      <c r="H2125" s="1">
        <v>0</v>
      </c>
      <c r="I2125" s="1">
        <v>0</v>
      </c>
      <c r="J2125" s="1">
        <v>1</v>
      </c>
      <c r="K2125" s="1">
        <v>-1</v>
      </c>
    </row>
    <row r="2126" spans="3:11" x14ac:dyDescent="0.25">
      <c r="D2126" s="1" t="s">
        <v>9187</v>
      </c>
      <c r="E2126" s="1" t="s">
        <v>9188</v>
      </c>
      <c r="F2126" s="1">
        <v>-1</v>
      </c>
      <c r="G2126" s="1">
        <v>-1</v>
      </c>
      <c r="H2126" s="1">
        <v>0</v>
      </c>
      <c r="I2126" s="1">
        <v>0</v>
      </c>
      <c r="J2126" s="1">
        <v>1</v>
      </c>
      <c r="K2126" s="1">
        <v>-1</v>
      </c>
    </row>
    <row r="2127" spans="3:11" x14ac:dyDescent="0.25">
      <c r="D2127" s="1" t="s">
        <v>9189</v>
      </c>
      <c r="E2127" s="1" t="s">
        <v>9190</v>
      </c>
      <c r="F2127" s="1">
        <v>-1</v>
      </c>
      <c r="G2127" s="1">
        <v>-1</v>
      </c>
      <c r="H2127" s="1">
        <v>0</v>
      </c>
      <c r="I2127" s="1">
        <v>0</v>
      </c>
      <c r="J2127" s="1">
        <v>1</v>
      </c>
      <c r="K2127" s="1">
        <v>-1</v>
      </c>
    </row>
    <row r="2128" spans="3:11" x14ac:dyDescent="0.25">
      <c r="D2128" s="1" t="s">
        <v>9191</v>
      </c>
      <c r="E2128" s="1" t="s">
        <v>9192</v>
      </c>
      <c r="F2128" s="1">
        <v>-1</v>
      </c>
      <c r="G2128" s="1">
        <v>-1</v>
      </c>
      <c r="H2128" s="1">
        <v>0</v>
      </c>
      <c r="I2128" s="1">
        <v>0</v>
      </c>
      <c r="J2128" s="1">
        <v>1</v>
      </c>
      <c r="K2128" s="1">
        <v>-1</v>
      </c>
    </row>
    <row r="2129" spans="3:11" x14ac:dyDescent="0.25">
      <c r="D2129" s="1" t="s">
        <v>9193</v>
      </c>
      <c r="E2129" s="1" t="s">
        <v>9194</v>
      </c>
      <c r="F2129" s="1">
        <v>-1</v>
      </c>
      <c r="G2129" s="1">
        <v>-1</v>
      </c>
      <c r="H2129" s="1">
        <v>0</v>
      </c>
      <c r="I2129" s="1">
        <v>0</v>
      </c>
      <c r="J2129" s="1">
        <v>1</v>
      </c>
      <c r="K2129" s="1">
        <v>-1</v>
      </c>
    </row>
    <row r="2130" spans="3:11" x14ac:dyDescent="0.25">
      <c r="D2130" s="1" t="s">
        <v>9195</v>
      </c>
      <c r="E2130" s="1" t="s">
        <v>9196</v>
      </c>
      <c r="F2130" s="1">
        <v>-1</v>
      </c>
      <c r="G2130" s="1">
        <v>-1</v>
      </c>
      <c r="H2130" s="1">
        <v>0</v>
      </c>
      <c r="I2130" s="1">
        <v>0</v>
      </c>
      <c r="J2130" s="1">
        <v>1</v>
      </c>
      <c r="K2130" s="1">
        <v>-1</v>
      </c>
    </row>
    <row r="2131" spans="3:11" x14ac:dyDescent="0.25">
      <c r="D2131" s="1" t="s">
        <v>9197</v>
      </c>
      <c r="E2131" s="1" t="s">
        <v>9198</v>
      </c>
      <c r="F2131" s="1">
        <v>-1</v>
      </c>
      <c r="G2131" s="1">
        <v>-1</v>
      </c>
      <c r="H2131" s="1">
        <v>0</v>
      </c>
      <c r="I2131" s="1">
        <v>0</v>
      </c>
      <c r="J2131" s="1">
        <v>1</v>
      </c>
      <c r="K2131" s="1">
        <v>-1</v>
      </c>
    </row>
    <row r="2132" spans="3:11" x14ac:dyDescent="0.25">
      <c r="D2132" s="1" t="s">
        <v>9199</v>
      </c>
      <c r="E2132" s="1" t="s">
        <v>9200</v>
      </c>
      <c r="F2132" s="1">
        <v>-1</v>
      </c>
      <c r="G2132" s="1">
        <v>-1</v>
      </c>
      <c r="H2132" s="1">
        <v>0</v>
      </c>
      <c r="I2132" s="1">
        <v>0</v>
      </c>
      <c r="J2132" s="1">
        <v>1</v>
      </c>
      <c r="K2132" s="1">
        <v>-1</v>
      </c>
    </row>
    <row r="2133" spans="3:11" x14ac:dyDescent="0.25">
      <c r="D2133" s="1" t="s">
        <v>9201</v>
      </c>
      <c r="E2133" s="1" t="s">
        <v>9202</v>
      </c>
      <c r="F2133" s="1">
        <v>-1</v>
      </c>
      <c r="G2133" s="1">
        <v>-1</v>
      </c>
      <c r="H2133" s="1">
        <v>0</v>
      </c>
      <c r="I2133" s="1">
        <v>0</v>
      </c>
      <c r="J2133" s="1">
        <v>1</v>
      </c>
      <c r="K2133" s="1">
        <v>-1</v>
      </c>
    </row>
    <row r="2134" spans="3:11" x14ac:dyDescent="0.25">
      <c r="C2134" s="1" t="s">
        <v>9203</v>
      </c>
      <c r="D2134" s="1" t="s">
        <v>9204</v>
      </c>
      <c r="E2134" s="1" t="s">
        <v>9203</v>
      </c>
      <c r="F2134" s="1">
        <v>-1</v>
      </c>
      <c r="G2134" s="1">
        <v>-1</v>
      </c>
      <c r="H2134" s="1">
        <v>0</v>
      </c>
      <c r="I2134" s="1">
        <v>0</v>
      </c>
      <c r="J2134" s="1">
        <v>1</v>
      </c>
      <c r="K2134" s="1">
        <v>-1</v>
      </c>
    </row>
    <row r="2135" spans="3:11" x14ac:dyDescent="0.25">
      <c r="D2135" s="1" t="s">
        <v>9205</v>
      </c>
      <c r="E2135" s="1" t="s">
        <v>9206</v>
      </c>
      <c r="F2135" s="1">
        <v>-1</v>
      </c>
      <c r="G2135" s="1">
        <v>-1</v>
      </c>
      <c r="H2135" s="1">
        <v>0</v>
      </c>
      <c r="I2135" s="1">
        <v>0</v>
      </c>
      <c r="J2135" s="1">
        <v>1</v>
      </c>
      <c r="K2135" s="1">
        <v>-1</v>
      </c>
    </row>
    <row r="2136" spans="3:11" x14ac:dyDescent="0.25">
      <c r="C2136" s="1" t="s">
        <v>9207</v>
      </c>
      <c r="D2136" s="1" t="s">
        <v>9208</v>
      </c>
      <c r="E2136" s="1" t="s">
        <v>9207</v>
      </c>
      <c r="F2136" s="1">
        <v>-1</v>
      </c>
      <c r="G2136" s="1">
        <v>-1</v>
      </c>
      <c r="H2136" s="1">
        <v>0</v>
      </c>
      <c r="I2136" s="1">
        <v>0</v>
      </c>
      <c r="J2136" s="1">
        <v>1</v>
      </c>
      <c r="K2136" s="1">
        <v>-1</v>
      </c>
    </row>
    <row r="2137" spans="3:11" x14ac:dyDescent="0.25">
      <c r="C2137" s="1" t="s">
        <v>9209</v>
      </c>
      <c r="D2137" s="1" t="s">
        <v>9210</v>
      </c>
      <c r="E2137" s="1" t="s">
        <v>9211</v>
      </c>
      <c r="F2137" s="1">
        <v>-1</v>
      </c>
      <c r="G2137" s="1">
        <v>-1</v>
      </c>
      <c r="H2137" s="1">
        <v>0</v>
      </c>
      <c r="I2137" s="1">
        <v>0</v>
      </c>
      <c r="J2137" s="1">
        <v>1</v>
      </c>
      <c r="K2137" s="1">
        <v>-1</v>
      </c>
    </row>
    <row r="2138" spans="3:11" x14ac:dyDescent="0.25">
      <c r="C2138" s="1" t="s">
        <v>4221</v>
      </c>
      <c r="D2138" s="1" t="s">
        <v>4222</v>
      </c>
      <c r="E2138" s="1" t="s">
        <v>4223</v>
      </c>
      <c r="F2138" s="1">
        <v>-1</v>
      </c>
      <c r="G2138" s="1">
        <v>-1</v>
      </c>
      <c r="H2138" s="1">
        <v>0</v>
      </c>
      <c r="I2138" s="1">
        <v>0</v>
      </c>
      <c r="J2138" s="1">
        <v>1</v>
      </c>
      <c r="K2138" s="1">
        <v>-1</v>
      </c>
    </row>
    <row r="2139" spans="3:11" x14ac:dyDescent="0.25">
      <c r="D2139" s="1" t="s">
        <v>9212</v>
      </c>
      <c r="E2139" s="1" t="s">
        <v>9213</v>
      </c>
      <c r="F2139" s="1">
        <v>-1</v>
      </c>
      <c r="G2139" s="1">
        <v>-1</v>
      </c>
      <c r="H2139" s="1">
        <v>0</v>
      </c>
      <c r="I2139" s="1">
        <v>0</v>
      </c>
      <c r="J2139" s="1">
        <v>1</v>
      </c>
      <c r="K2139" s="1">
        <v>-1</v>
      </c>
    </row>
    <row r="2140" spans="3:11" x14ac:dyDescent="0.25">
      <c r="C2140" s="1" t="s">
        <v>9214</v>
      </c>
      <c r="D2140" s="1" t="s">
        <v>9215</v>
      </c>
      <c r="E2140" s="1" t="s">
        <v>9214</v>
      </c>
      <c r="F2140" s="1">
        <v>-1</v>
      </c>
      <c r="G2140" s="1">
        <v>-1</v>
      </c>
      <c r="H2140" s="1">
        <v>0</v>
      </c>
      <c r="I2140" s="1">
        <v>0</v>
      </c>
      <c r="J2140" s="1">
        <v>1</v>
      </c>
      <c r="K2140" s="1">
        <v>-1</v>
      </c>
    </row>
    <row r="2141" spans="3:11" x14ac:dyDescent="0.25">
      <c r="D2141" s="1" t="s">
        <v>9216</v>
      </c>
      <c r="E2141" s="1" t="s">
        <v>9217</v>
      </c>
      <c r="F2141" s="1">
        <v>-1</v>
      </c>
      <c r="G2141" s="1">
        <v>-1</v>
      </c>
      <c r="H2141" s="1">
        <v>0</v>
      </c>
      <c r="I2141" s="1">
        <v>0</v>
      </c>
      <c r="J2141" s="1">
        <v>1</v>
      </c>
      <c r="K2141" s="1">
        <v>-1</v>
      </c>
    </row>
    <row r="2142" spans="3:11" x14ac:dyDescent="0.25">
      <c r="C2142" s="1" t="s">
        <v>9218</v>
      </c>
      <c r="D2142" s="1" t="s">
        <v>9219</v>
      </c>
      <c r="E2142" s="1" t="s">
        <v>9218</v>
      </c>
      <c r="F2142" s="1">
        <v>-1</v>
      </c>
      <c r="G2142" s="1">
        <v>-1</v>
      </c>
      <c r="H2142" s="1">
        <v>0</v>
      </c>
      <c r="I2142" s="1">
        <v>0</v>
      </c>
      <c r="J2142" s="1">
        <v>1</v>
      </c>
      <c r="K2142" s="1">
        <v>-1</v>
      </c>
    </row>
    <row r="2143" spans="3:11" x14ac:dyDescent="0.25">
      <c r="D2143" s="1" t="s">
        <v>9220</v>
      </c>
      <c r="E2143" s="1" t="s">
        <v>9221</v>
      </c>
      <c r="F2143" s="1">
        <v>-1</v>
      </c>
      <c r="G2143" s="1">
        <v>-1</v>
      </c>
      <c r="H2143" s="1">
        <v>0</v>
      </c>
      <c r="I2143" s="1">
        <v>0</v>
      </c>
      <c r="J2143" s="1">
        <v>1</v>
      </c>
      <c r="K2143" s="1">
        <v>-1</v>
      </c>
    </row>
    <row r="2144" spans="3:11" x14ac:dyDescent="0.25">
      <c r="C2144" s="1" t="s">
        <v>9222</v>
      </c>
      <c r="D2144" s="1" t="s">
        <v>9223</v>
      </c>
      <c r="E2144" s="1" t="s">
        <v>9224</v>
      </c>
      <c r="F2144" s="1">
        <v>-1</v>
      </c>
      <c r="G2144" s="1">
        <v>-1</v>
      </c>
      <c r="H2144" s="1">
        <v>0</v>
      </c>
      <c r="I2144" s="1">
        <v>0</v>
      </c>
      <c r="J2144" s="1">
        <v>1</v>
      </c>
      <c r="K2144" s="1">
        <v>-1</v>
      </c>
    </row>
    <row r="2145" spans="3:11" x14ac:dyDescent="0.25">
      <c r="D2145" s="1" t="s">
        <v>9225</v>
      </c>
      <c r="E2145" s="1" t="s">
        <v>9226</v>
      </c>
      <c r="F2145" s="1">
        <v>-1</v>
      </c>
      <c r="G2145" s="1">
        <v>-1</v>
      </c>
      <c r="H2145" s="1">
        <v>0</v>
      </c>
      <c r="I2145" s="1">
        <v>0</v>
      </c>
      <c r="J2145" s="1">
        <v>1</v>
      </c>
      <c r="K2145" s="1">
        <v>-1</v>
      </c>
    </row>
    <row r="2146" spans="3:11" x14ac:dyDescent="0.25">
      <c r="C2146" s="1" t="s">
        <v>4239</v>
      </c>
      <c r="D2146" s="1" t="s">
        <v>4240</v>
      </c>
      <c r="E2146" s="1" t="s">
        <v>4241</v>
      </c>
      <c r="F2146" s="1">
        <v>-1</v>
      </c>
      <c r="G2146" s="1">
        <v>-1</v>
      </c>
      <c r="H2146" s="1">
        <v>0</v>
      </c>
      <c r="I2146" s="1">
        <v>0</v>
      </c>
      <c r="J2146" s="1">
        <v>1</v>
      </c>
      <c r="K2146" s="1">
        <v>-1</v>
      </c>
    </row>
    <row r="2147" spans="3:11" x14ac:dyDescent="0.25">
      <c r="C2147" s="1" t="s">
        <v>4409</v>
      </c>
      <c r="D2147" s="1" t="s">
        <v>4410</v>
      </c>
      <c r="E2147" s="1" t="s">
        <v>4411</v>
      </c>
      <c r="F2147" s="1">
        <v>-1</v>
      </c>
      <c r="G2147" s="1">
        <v>-1</v>
      </c>
      <c r="H2147" s="1">
        <v>0</v>
      </c>
      <c r="I2147" s="1">
        <v>0</v>
      </c>
      <c r="J2147" s="1">
        <v>1</v>
      </c>
      <c r="K2147" s="1">
        <v>-1</v>
      </c>
    </row>
    <row r="2148" spans="3:11" x14ac:dyDescent="0.25">
      <c r="C2148" s="1" t="s">
        <v>9227</v>
      </c>
      <c r="D2148" s="1" t="s">
        <v>9228</v>
      </c>
      <c r="E2148" s="1" t="s">
        <v>9229</v>
      </c>
      <c r="F2148" s="1">
        <v>0</v>
      </c>
      <c r="G2148" s="1">
        <v>0</v>
      </c>
      <c r="H2148" s="1">
        <v>0</v>
      </c>
      <c r="I2148" s="1">
        <v>15105</v>
      </c>
      <c r="J2148" s="1">
        <v>15105</v>
      </c>
      <c r="K2148" s="1">
        <v>0</v>
      </c>
    </row>
    <row r="2149" spans="3:11" x14ac:dyDescent="0.25">
      <c r="C2149" s="1" t="s">
        <v>9230</v>
      </c>
      <c r="D2149" s="1" t="s">
        <v>9231</v>
      </c>
      <c r="E2149" s="1" t="s">
        <v>9232</v>
      </c>
      <c r="F2149" s="1">
        <v>0</v>
      </c>
      <c r="G2149" s="1">
        <v>0</v>
      </c>
      <c r="H2149" s="1">
        <v>0</v>
      </c>
      <c r="I2149" s="1">
        <v>10181</v>
      </c>
      <c r="J2149" s="1">
        <v>10181</v>
      </c>
      <c r="K2149" s="1">
        <v>0</v>
      </c>
    </row>
    <row r="2150" spans="3:11" x14ac:dyDescent="0.25">
      <c r="C2150" s="1" t="s">
        <v>9233</v>
      </c>
      <c r="D2150" s="1" t="s">
        <v>9234</v>
      </c>
      <c r="E2150" s="1" t="s">
        <v>9235</v>
      </c>
      <c r="F2150" s="1">
        <v>0</v>
      </c>
      <c r="G2150" s="1">
        <v>0</v>
      </c>
      <c r="H2150" s="1">
        <v>0</v>
      </c>
      <c r="I2150" s="1">
        <v>9468</v>
      </c>
      <c r="J2150" s="1">
        <v>9468</v>
      </c>
      <c r="K2150" s="1">
        <v>0</v>
      </c>
    </row>
    <row r="2151" spans="3:11" x14ac:dyDescent="0.25">
      <c r="C2151" s="1" t="s">
        <v>9236</v>
      </c>
      <c r="D2151" s="1" t="s">
        <v>9237</v>
      </c>
      <c r="E2151" s="1" t="s">
        <v>9238</v>
      </c>
      <c r="F2151" s="1">
        <v>0</v>
      </c>
      <c r="G2151" s="1">
        <v>0</v>
      </c>
      <c r="H2151" s="1">
        <v>0</v>
      </c>
      <c r="I2151" s="1">
        <v>9113</v>
      </c>
      <c r="J2151" s="1">
        <v>9113</v>
      </c>
      <c r="K2151" s="1">
        <v>0</v>
      </c>
    </row>
    <row r="2152" spans="3:11" x14ac:dyDescent="0.25">
      <c r="C2152" s="1" t="s">
        <v>884</v>
      </c>
      <c r="D2152" s="1" t="s">
        <v>885</v>
      </c>
      <c r="E2152" s="1" t="s">
        <v>886</v>
      </c>
      <c r="F2152" s="1">
        <v>0</v>
      </c>
      <c r="G2152" s="1">
        <v>0</v>
      </c>
      <c r="H2152" s="1">
        <v>0</v>
      </c>
      <c r="I2152" s="1">
        <v>8130</v>
      </c>
      <c r="J2152" s="1">
        <v>8130</v>
      </c>
      <c r="K2152" s="1">
        <v>0</v>
      </c>
    </row>
    <row r="2153" spans="3:11" x14ac:dyDescent="0.25">
      <c r="C2153" s="1" t="s">
        <v>889</v>
      </c>
      <c r="D2153" s="1" t="s">
        <v>12</v>
      </c>
      <c r="E2153" s="1" t="s">
        <v>890</v>
      </c>
      <c r="F2153" s="1">
        <v>0</v>
      </c>
      <c r="G2153" s="1">
        <v>0</v>
      </c>
      <c r="H2153" s="1">
        <v>0</v>
      </c>
      <c r="I2153" s="1">
        <v>7512</v>
      </c>
      <c r="J2153" s="1">
        <v>7512</v>
      </c>
      <c r="K2153" s="1">
        <v>0</v>
      </c>
    </row>
    <row r="2154" spans="3:11" x14ac:dyDescent="0.25">
      <c r="C2154" s="1" t="s">
        <v>891</v>
      </c>
      <c r="D2154" s="1" t="s">
        <v>892</v>
      </c>
      <c r="E2154" s="1" t="s">
        <v>893</v>
      </c>
      <c r="F2154" s="1">
        <v>0</v>
      </c>
      <c r="G2154" s="1">
        <v>0</v>
      </c>
      <c r="H2154" s="1">
        <v>0</v>
      </c>
      <c r="I2154" s="1">
        <v>7177</v>
      </c>
      <c r="J2154" s="1">
        <v>7177</v>
      </c>
      <c r="K2154" s="1">
        <v>0</v>
      </c>
    </row>
    <row r="2155" spans="3:11" x14ac:dyDescent="0.25">
      <c r="C2155" s="1" t="s">
        <v>9239</v>
      </c>
      <c r="D2155" s="1" t="s">
        <v>9240</v>
      </c>
      <c r="E2155" s="1" t="s">
        <v>9241</v>
      </c>
      <c r="F2155" s="1">
        <v>0</v>
      </c>
      <c r="G2155" s="1">
        <v>0</v>
      </c>
      <c r="H2155" s="1">
        <v>0</v>
      </c>
      <c r="I2155" s="1">
        <v>6791</v>
      </c>
      <c r="J2155" s="1">
        <v>6791</v>
      </c>
      <c r="K2155" s="1">
        <v>0</v>
      </c>
    </row>
    <row r="2156" spans="3:11" x14ac:dyDescent="0.25">
      <c r="C2156" s="1" t="s">
        <v>2366</v>
      </c>
      <c r="D2156" s="1" t="s">
        <v>2367</v>
      </c>
      <c r="E2156" s="1" t="s">
        <v>2368</v>
      </c>
      <c r="F2156" s="1">
        <v>0</v>
      </c>
      <c r="G2156" s="1">
        <v>0</v>
      </c>
      <c r="H2156" s="1">
        <v>0</v>
      </c>
      <c r="I2156" s="1">
        <v>6133</v>
      </c>
      <c r="J2156" s="1">
        <v>6133</v>
      </c>
      <c r="K2156" s="1">
        <v>0</v>
      </c>
    </row>
    <row r="2157" spans="3:11" x14ac:dyDescent="0.25">
      <c r="C2157" s="1" t="s">
        <v>2375</v>
      </c>
      <c r="D2157" s="1" t="s">
        <v>22</v>
      </c>
      <c r="E2157" s="1" t="s">
        <v>2376</v>
      </c>
      <c r="F2157" s="1">
        <v>0</v>
      </c>
      <c r="G2157" s="1">
        <v>0</v>
      </c>
      <c r="H2157" s="1">
        <v>0</v>
      </c>
      <c r="I2157" s="1">
        <v>5352</v>
      </c>
      <c r="J2157" s="1">
        <v>5352</v>
      </c>
      <c r="K2157" s="1">
        <v>0</v>
      </c>
    </row>
    <row r="2158" spans="3:11" x14ac:dyDescent="0.25">
      <c r="C2158" s="1" t="s">
        <v>9242</v>
      </c>
      <c r="D2158" s="1" t="s">
        <v>9243</v>
      </c>
      <c r="E2158" s="1" t="s">
        <v>9244</v>
      </c>
      <c r="F2158" s="1">
        <v>0</v>
      </c>
      <c r="G2158" s="1">
        <v>0</v>
      </c>
      <c r="H2158" s="1">
        <v>0</v>
      </c>
      <c r="I2158" s="1">
        <v>5134</v>
      </c>
      <c r="J2158" s="1">
        <v>5134</v>
      </c>
      <c r="K2158" s="1">
        <v>0</v>
      </c>
    </row>
    <row r="2159" spans="3:11" x14ac:dyDescent="0.25">
      <c r="C2159" s="1" t="s">
        <v>9245</v>
      </c>
      <c r="D2159" s="1" t="s">
        <v>9246</v>
      </c>
      <c r="E2159" s="1" t="s">
        <v>9247</v>
      </c>
      <c r="F2159" s="1">
        <v>0</v>
      </c>
      <c r="G2159" s="1">
        <v>0</v>
      </c>
      <c r="H2159" s="1">
        <v>0</v>
      </c>
      <c r="I2159" s="1">
        <v>5091</v>
      </c>
      <c r="J2159" s="1">
        <v>5091</v>
      </c>
      <c r="K2159" s="1">
        <v>0</v>
      </c>
    </row>
    <row r="2160" spans="3:11" x14ac:dyDescent="0.25">
      <c r="C2160" s="1" t="s">
        <v>2379</v>
      </c>
      <c r="D2160" s="1" t="s">
        <v>24</v>
      </c>
      <c r="E2160" s="1" t="s">
        <v>2380</v>
      </c>
      <c r="F2160" s="1">
        <v>0</v>
      </c>
      <c r="G2160" s="1">
        <v>0</v>
      </c>
      <c r="H2160" s="1">
        <v>0</v>
      </c>
      <c r="I2160" s="1">
        <v>5038</v>
      </c>
      <c r="J2160" s="1">
        <v>5038</v>
      </c>
      <c r="K2160" s="1">
        <v>0</v>
      </c>
    </row>
    <row r="2161" spans="3:11" x14ac:dyDescent="0.25">
      <c r="C2161" s="1" t="s">
        <v>9248</v>
      </c>
      <c r="D2161" s="1" t="s">
        <v>9249</v>
      </c>
      <c r="E2161" s="1" t="s">
        <v>9250</v>
      </c>
      <c r="F2161" s="1">
        <v>0</v>
      </c>
      <c r="G2161" s="1">
        <v>0</v>
      </c>
      <c r="H2161" s="1">
        <v>0</v>
      </c>
      <c r="I2161" s="1">
        <v>4993</v>
      </c>
      <c r="J2161" s="1">
        <v>4993</v>
      </c>
      <c r="K2161" s="1">
        <v>0</v>
      </c>
    </row>
    <row r="2162" spans="3:11" x14ac:dyDescent="0.25">
      <c r="C2162" s="1" t="s">
        <v>9251</v>
      </c>
      <c r="D2162" s="1" t="s">
        <v>9252</v>
      </c>
      <c r="E2162" s="1" t="s">
        <v>9253</v>
      </c>
      <c r="F2162" s="1">
        <v>0</v>
      </c>
      <c r="G2162" s="1">
        <v>0</v>
      </c>
      <c r="H2162" s="1">
        <v>0</v>
      </c>
      <c r="I2162" s="1">
        <v>4981</v>
      </c>
      <c r="J2162" s="1">
        <v>4981</v>
      </c>
      <c r="K2162" s="1">
        <v>0</v>
      </c>
    </row>
    <row r="2163" spans="3:11" x14ac:dyDescent="0.25">
      <c r="C2163" s="1" t="s">
        <v>906</v>
      </c>
      <c r="D2163" s="1" t="s">
        <v>31</v>
      </c>
      <c r="E2163" s="1" t="s">
        <v>907</v>
      </c>
      <c r="F2163" s="1">
        <v>0</v>
      </c>
      <c r="G2163" s="1">
        <v>0</v>
      </c>
      <c r="H2163" s="1">
        <v>0</v>
      </c>
      <c r="I2163" s="1">
        <v>4589</v>
      </c>
      <c r="J2163" s="1">
        <v>4589</v>
      </c>
      <c r="K2163" s="1">
        <v>0</v>
      </c>
    </row>
    <row r="2164" spans="3:11" x14ac:dyDescent="0.25">
      <c r="C2164" s="1" t="s">
        <v>9254</v>
      </c>
      <c r="D2164" s="1" t="s">
        <v>9255</v>
      </c>
      <c r="E2164" s="1" t="s">
        <v>9254</v>
      </c>
      <c r="F2164" s="1">
        <v>0</v>
      </c>
      <c r="G2164" s="1">
        <v>0</v>
      </c>
      <c r="H2164" s="1">
        <v>0</v>
      </c>
      <c r="I2164" s="1">
        <v>4142</v>
      </c>
      <c r="J2164" s="1">
        <v>4142</v>
      </c>
      <c r="K2164" s="1">
        <v>0</v>
      </c>
    </row>
    <row r="2165" spans="3:11" x14ac:dyDescent="0.25">
      <c r="C2165" s="1" t="s">
        <v>2401</v>
      </c>
      <c r="D2165" s="1" t="s">
        <v>2402</v>
      </c>
      <c r="E2165" s="1" t="s">
        <v>2403</v>
      </c>
      <c r="F2165" s="1">
        <v>0</v>
      </c>
      <c r="G2165" s="1">
        <v>0</v>
      </c>
      <c r="H2165" s="1">
        <v>0</v>
      </c>
      <c r="I2165" s="1">
        <v>4075</v>
      </c>
      <c r="J2165" s="1">
        <v>4075</v>
      </c>
      <c r="K2165" s="1">
        <v>0</v>
      </c>
    </row>
    <row r="2166" spans="3:11" x14ac:dyDescent="0.25">
      <c r="C2166" s="1" t="s">
        <v>9256</v>
      </c>
      <c r="D2166" s="1" t="s">
        <v>9257</v>
      </c>
      <c r="E2166" s="1" t="s">
        <v>9258</v>
      </c>
      <c r="F2166" s="1">
        <v>0</v>
      </c>
      <c r="G2166" s="1">
        <v>0</v>
      </c>
      <c r="H2166" s="1">
        <v>0</v>
      </c>
      <c r="I2166" s="1">
        <v>3664</v>
      </c>
      <c r="J2166" s="1">
        <v>3664</v>
      </c>
      <c r="K2166" s="1">
        <v>0</v>
      </c>
    </row>
    <row r="2167" spans="3:11" x14ac:dyDescent="0.25">
      <c r="C2167" s="1" t="s">
        <v>2420</v>
      </c>
      <c r="D2167" s="1" t="s">
        <v>635</v>
      </c>
      <c r="E2167" s="1" t="s">
        <v>2421</v>
      </c>
      <c r="F2167" s="1">
        <v>0</v>
      </c>
      <c r="G2167" s="1">
        <v>0</v>
      </c>
      <c r="H2167" s="1">
        <v>0</v>
      </c>
      <c r="I2167" s="1">
        <v>3488</v>
      </c>
      <c r="J2167" s="1">
        <v>3488</v>
      </c>
      <c r="K2167" s="1">
        <v>0</v>
      </c>
    </row>
    <row r="2168" spans="3:11" x14ac:dyDescent="0.25">
      <c r="C2168" s="1" t="s">
        <v>2426</v>
      </c>
      <c r="D2168" s="1" t="s">
        <v>2427</v>
      </c>
      <c r="E2168" s="1" t="s">
        <v>2428</v>
      </c>
      <c r="F2168" s="1">
        <v>0</v>
      </c>
      <c r="G2168" s="1">
        <v>0</v>
      </c>
      <c r="H2168" s="1">
        <v>0</v>
      </c>
      <c r="I2168" s="1">
        <v>3364</v>
      </c>
      <c r="J2168" s="1">
        <v>3364</v>
      </c>
      <c r="K2168" s="1">
        <v>0</v>
      </c>
    </row>
    <row r="2169" spans="3:11" x14ac:dyDescent="0.25">
      <c r="C2169" s="1" t="s">
        <v>2431</v>
      </c>
      <c r="D2169" s="1" t="s">
        <v>636</v>
      </c>
      <c r="E2169" s="1" t="s">
        <v>2432</v>
      </c>
      <c r="F2169" s="1">
        <v>0</v>
      </c>
      <c r="G2169" s="1">
        <v>0</v>
      </c>
      <c r="H2169" s="1">
        <v>0</v>
      </c>
      <c r="I2169" s="1">
        <v>3267</v>
      </c>
      <c r="J2169" s="1">
        <v>3267</v>
      </c>
      <c r="K2169" s="1">
        <v>0</v>
      </c>
    </row>
    <row r="2170" spans="3:11" x14ac:dyDescent="0.25">
      <c r="C2170" s="1" t="s">
        <v>2433</v>
      </c>
      <c r="D2170" s="1" t="s">
        <v>2434</v>
      </c>
      <c r="E2170" s="1" t="s">
        <v>2435</v>
      </c>
      <c r="F2170" s="1">
        <v>0</v>
      </c>
      <c r="G2170" s="1">
        <v>0</v>
      </c>
      <c r="H2170" s="1">
        <v>0</v>
      </c>
      <c r="I2170" s="1">
        <v>3246</v>
      </c>
      <c r="J2170" s="1">
        <v>3246</v>
      </c>
      <c r="K2170" s="1">
        <v>0</v>
      </c>
    </row>
    <row r="2171" spans="3:11" x14ac:dyDescent="0.25">
      <c r="C2171" s="1" t="s">
        <v>2436</v>
      </c>
      <c r="D2171" s="1" t="s">
        <v>637</v>
      </c>
      <c r="E2171" s="1" t="s">
        <v>2437</v>
      </c>
      <c r="F2171" s="1">
        <v>0</v>
      </c>
      <c r="G2171" s="1">
        <v>0</v>
      </c>
      <c r="H2171" s="1">
        <v>0</v>
      </c>
      <c r="I2171" s="1">
        <v>3136</v>
      </c>
      <c r="J2171" s="1">
        <v>3136</v>
      </c>
      <c r="K2171" s="1">
        <v>0</v>
      </c>
    </row>
    <row r="2172" spans="3:11" x14ac:dyDescent="0.25">
      <c r="C2172" s="1" t="s">
        <v>2438</v>
      </c>
      <c r="D2172" s="1" t="s">
        <v>598</v>
      </c>
      <c r="E2172" s="1" t="s">
        <v>2439</v>
      </c>
      <c r="F2172" s="1">
        <v>0</v>
      </c>
      <c r="G2172" s="1">
        <v>0</v>
      </c>
      <c r="H2172" s="1">
        <v>0</v>
      </c>
      <c r="I2172" s="1">
        <v>3110</v>
      </c>
      <c r="J2172" s="1">
        <v>3110</v>
      </c>
      <c r="K2172" s="1">
        <v>0</v>
      </c>
    </row>
    <row r="2173" spans="3:11" x14ac:dyDescent="0.25">
      <c r="C2173" s="1" t="s">
        <v>930</v>
      </c>
      <c r="D2173" s="1" t="s">
        <v>931</v>
      </c>
      <c r="E2173" s="1" t="s">
        <v>932</v>
      </c>
      <c r="F2173" s="1">
        <v>0</v>
      </c>
      <c r="G2173" s="1">
        <v>0</v>
      </c>
      <c r="H2173" s="1">
        <v>0</v>
      </c>
      <c r="I2173" s="1">
        <v>3109</v>
      </c>
      <c r="J2173" s="1">
        <v>3109</v>
      </c>
      <c r="K2173" s="1">
        <v>0</v>
      </c>
    </row>
    <row r="2174" spans="3:11" x14ac:dyDescent="0.25">
      <c r="C2174" s="1" t="s">
        <v>9259</v>
      </c>
      <c r="D2174" s="1" t="s">
        <v>9260</v>
      </c>
      <c r="E2174" s="1" t="s">
        <v>9261</v>
      </c>
      <c r="F2174" s="1">
        <v>0</v>
      </c>
      <c r="G2174" s="1">
        <v>0</v>
      </c>
      <c r="H2174" s="1">
        <v>0</v>
      </c>
      <c r="I2174" s="1">
        <v>2965</v>
      </c>
      <c r="J2174" s="1">
        <v>2965</v>
      </c>
      <c r="K2174" s="1">
        <v>0</v>
      </c>
    </row>
    <row r="2175" spans="3:11" x14ac:dyDescent="0.25">
      <c r="C2175" s="1" t="s">
        <v>937</v>
      </c>
      <c r="D2175" s="1" t="s">
        <v>938</v>
      </c>
      <c r="E2175" s="1" t="s">
        <v>939</v>
      </c>
      <c r="F2175" s="1">
        <v>0</v>
      </c>
      <c r="G2175" s="1">
        <v>0</v>
      </c>
      <c r="H2175" s="1">
        <v>0</v>
      </c>
      <c r="I2175" s="1">
        <v>2861</v>
      </c>
      <c r="J2175" s="1">
        <v>2861</v>
      </c>
      <c r="K2175" s="1">
        <v>0</v>
      </c>
    </row>
    <row r="2176" spans="3:11" x14ac:dyDescent="0.25">
      <c r="C2176" s="1" t="s">
        <v>2456</v>
      </c>
      <c r="D2176" s="1" t="s">
        <v>422</v>
      </c>
      <c r="E2176" s="1" t="s">
        <v>2457</v>
      </c>
      <c r="F2176" s="1">
        <v>0</v>
      </c>
      <c r="G2176" s="1">
        <v>0</v>
      </c>
      <c r="H2176" s="1">
        <v>0</v>
      </c>
      <c r="I2176" s="1">
        <v>2779</v>
      </c>
      <c r="J2176" s="1">
        <v>2779</v>
      </c>
      <c r="K2176" s="1">
        <v>0</v>
      </c>
    </row>
    <row r="2177" spans="3:11" x14ac:dyDescent="0.25">
      <c r="C2177" s="1" t="s">
        <v>2458</v>
      </c>
      <c r="D2177" s="1" t="s">
        <v>684</v>
      </c>
      <c r="E2177" s="1" t="s">
        <v>2459</v>
      </c>
      <c r="F2177" s="1">
        <v>0</v>
      </c>
      <c r="G2177" s="1">
        <v>0</v>
      </c>
      <c r="H2177" s="1">
        <v>0</v>
      </c>
      <c r="I2177" s="1">
        <v>2722</v>
      </c>
      <c r="J2177" s="1">
        <v>2722</v>
      </c>
      <c r="K2177" s="1">
        <v>0</v>
      </c>
    </row>
    <row r="2178" spans="3:11" x14ac:dyDescent="0.25">
      <c r="C2178" s="1" t="s">
        <v>2466</v>
      </c>
      <c r="D2178" s="1" t="s">
        <v>426</v>
      </c>
      <c r="E2178" s="1" t="s">
        <v>2467</v>
      </c>
      <c r="F2178" s="1">
        <v>0</v>
      </c>
      <c r="G2178" s="1">
        <v>0</v>
      </c>
      <c r="H2178" s="1">
        <v>0</v>
      </c>
      <c r="I2178" s="1">
        <v>2534</v>
      </c>
      <c r="J2178" s="1">
        <v>2534</v>
      </c>
      <c r="K2178" s="1">
        <v>0</v>
      </c>
    </row>
    <row r="2179" spans="3:11" x14ac:dyDescent="0.25">
      <c r="C2179" s="1" t="s">
        <v>9262</v>
      </c>
      <c r="D2179" s="1" t="s">
        <v>9263</v>
      </c>
      <c r="E2179" s="1" t="s">
        <v>9264</v>
      </c>
      <c r="F2179" s="1">
        <v>0</v>
      </c>
      <c r="G2179" s="1">
        <v>0</v>
      </c>
      <c r="H2179" s="1">
        <v>0</v>
      </c>
      <c r="I2179" s="1">
        <v>2346</v>
      </c>
      <c r="J2179" s="1">
        <v>2346</v>
      </c>
      <c r="K2179" s="1">
        <v>0</v>
      </c>
    </row>
    <row r="2180" spans="3:11" x14ac:dyDescent="0.25">
      <c r="C2180" s="1" t="s">
        <v>963</v>
      </c>
      <c r="D2180" s="1" t="s">
        <v>964</v>
      </c>
      <c r="E2180" s="1" t="s">
        <v>965</v>
      </c>
      <c r="F2180" s="1">
        <v>0</v>
      </c>
      <c r="G2180" s="1">
        <v>0</v>
      </c>
      <c r="H2180" s="1">
        <v>0</v>
      </c>
      <c r="I2180" s="1">
        <v>2326</v>
      </c>
      <c r="J2180" s="1">
        <v>2326</v>
      </c>
      <c r="K2180" s="1">
        <v>0</v>
      </c>
    </row>
    <row r="2181" spans="3:11" x14ac:dyDescent="0.25">
      <c r="C2181" s="1" t="s">
        <v>966</v>
      </c>
      <c r="D2181" s="1" t="s">
        <v>967</v>
      </c>
      <c r="E2181" s="1" t="s">
        <v>968</v>
      </c>
      <c r="F2181" s="1">
        <v>0</v>
      </c>
      <c r="G2181" s="1">
        <v>0</v>
      </c>
      <c r="H2181" s="1">
        <v>0</v>
      </c>
      <c r="I2181" s="1">
        <v>2322</v>
      </c>
      <c r="J2181" s="1">
        <v>2322</v>
      </c>
      <c r="K2181" s="1">
        <v>0</v>
      </c>
    </row>
    <row r="2182" spans="3:11" x14ac:dyDescent="0.25">
      <c r="C2182" s="1" t="s">
        <v>973</v>
      </c>
      <c r="D2182" s="1" t="s">
        <v>974</v>
      </c>
      <c r="E2182" s="1" t="s">
        <v>975</v>
      </c>
      <c r="F2182" s="1">
        <v>0</v>
      </c>
      <c r="G2182" s="1">
        <v>0</v>
      </c>
      <c r="H2182" s="1">
        <v>0</v>
      </c>
      <c r="I2182" s="1">
        <v>2190</v>
      </c>
      <c r="J2182" s="1">
        <v>2190</v>
      </c>
      <c r="K2182" s="1">
        <v>0</v>
      </c>
    </row>
    <row r="2183" spans="3:11" x14ac:dyDescent="0.25">
      <c r="C2183" s="1" t="s">
        <v>9265</v>
      </c>
      <c r="D2183" s="1" t="s">
        <v>9266</v>
      </c>
      <c r="E2183" s="1" t="s">
        <v>9267</v>
      </c>
      <c r="F2183" s="1">
        <v>0</v>
      </c>
      <c r="G2183" s="1">
        <v>0</v>
      </c>
      <c r="H2183" s="1">
        <v>0</v>
      </c>
      <c r="I2183" s="1">
        <v>2182</v>
      </c>
      <c r="J2183" s="1">
        <v>2182</v>
      </c>
      <c r="K2183" s="1">
        <v>0</v>
      </c>
    </row>
    <row r="2184" spans="3:11" x14ac:dyDescent="0.25">
      <c r="C2184" s="1" t="s">
        <v>2497</v>
      </c>
      <c r="D2184" s="1" t="s">
        <v>796</v>
      </c>
      <c r="E2184" s="1" t="s">
        <v>2498</v>
      </c>
      <c r="F2184" s="1">
        <v>0</v>
      </c>
      <c r="G2184" s="1">
        <v>0</v>
      </c>
      <c r="H2184" s="1">
        <v>0</v>
      </c>
      <c r="I2184" s="1">
        <v>2092</v>
      </c>
      <c r="J2184" s="1">
        <v>2092</v>
      </c>
      <c r="K2184" s="1">
        <v>0</v>
      </c>
    </row>
    <row r="2185" spans="3:11" x14ac:dyDescent="0.25">
      <c r="C2185" s="1" t="s">
        <v>980</v>
      </c>
      <c r="D2185" s="1" t="s">
        <v>981</v>
      </c>
      <c r="E2185" s="1" t="s">
        <v>982</v>
      </c>
      <c r="F2185" s="1">
        <v>0</v>
      </c>
      <c r="G2185" s="1">
        <v>0</v>
      </c>
      <c r="H2185" s="1">
        <v>0</v>
      </c>
      <c r="I2185" s="1">
        <v>2082</v>
      </c>
      <c r="J2185" s="1">
        <v>2082</v>
      </c>
      <c r="K2185" s="1">
        <v>0</v>
      </c>
    </row>
    <row r="2186" spans="3:11" x14ac:dyDescent="0.25">
      <c r="C2186" s="1" t="s">
        <v>989</v>
      </c>
      <c r="D2186" s="1" t="s">
        <v>990</v>
      </c>
      <c r="E2186" s="1" t="s">
        <v>991</v>
      </c>
      <c r="F2186" s="1">
        <v>0</v>
      </c>
      <c r="G2186" s="1">
        <v>0</v>
      </c>
      <c r="H2186" s="1">
        <v>0</v>
      </c>
      <c r="I2186" s="1">
        <v>2039</v>
      </c>
      <c r="J2186" s="1">
        <v>2039</v>
      </c>
      <c r="K2186" s="1">
        <v>0</v>
      </c>
    </row>
    <row r="2187" spans="3:11" x14ac:dyDescent="0.25">
      <c r="C2187" s="1" t="s">
        <v>9268</v>
      </c>
      <c r="D2187" s="1" t="s">
        <v>9269</v>
      </c>
      <c r="E2187" s="1" t="s">
        <v>9270</v>
      </c>
      <c r="F2187" s="1">
        <v>0</v>
      </c>
      <c r="G2187" s="1">
        <v>0</v>
      </c>
      <c r="H2187" s="1">
        <v>0</v>
      </c>
      <c r="I2187" s="1">
        <v>2014</v>
      </c>
      <c r="J2187" s="1">
        <v>2014</v>
      </c>
      <c r="K2187" s="1">
        <v>0</v>
      </c>
    </row>
    <row r="2188" spans="3:11" x14ac:dyDescent="0.25">
      <c r="C2188" s="1" t="s">
        <v>1001</v>
      </c>
      <c r="D2188" s="1" t="s">
        <v>1002</v>
      </c>
      <c r="E2188" s="1" t="s">
        <v>1003</v>
      </c>
      <c r="F2188" s="1">
        <v>0</v>
      </c>
      <c r="G2188" s="1">
        <v>0</v>
      </c>
      <c r="H2188" s="1">
        <v>0</v>
      </c>
      <c r="I2188" s="1">
        <v>1972</v>
      </c>
      <c r="J2188" s="1">
        <v>1972</v>
      </c>
      <c r="K2188" s="1">
        <v>0</v>
      </c>
    </row>
    <row r="2189" spans="3:11" x14ac:dyDescent="0.25">
      <c r="C2189" s="1" t="s">
        <v>2505</v>
      </c>
      <c r="D2189" s="1" t="s">
        <v>2506</v>
      </c>
      <c r="E2189" s="1" t="s">
        <v>2505</v>
      </c>
      <c r="F2189" s="1">
        <v>0</v>
      </c>
      <c r="G2189" s="1">
        <v>0</v>
      </c>
      <c r="H2189" s="1">
        <v>0</v>
      </c>
      <c r="I2189" s="1">
        <v>1967</v>
      </c>
      <c r="J2189" s="1">
        <v>1967</v>
      </c>
      <c r="K2189" s="1">
        <v>0</v>
      </c>
    </row>
    <row r="2190" spans="3:11" x14ac:dyDescent="0.25">
      <c r="C2190" s="1" t="s">
        <v>1006</v>
      </c>
      <c r="D2190" s="1" t="s">
        <v>1007</v>
      </c>
      <c r="E2190" s="1" t="s">
        <v>1008</v>
      </c>
      <c r="F2190" s="1">
        <v>0</v>
      </c>
      <c r="G2190" s="1">
        <v>0</v>
      </c>
      <c r="H2190" s="1">
        <v>0</v>
      </c>
      <c r="I2190" s="1">
        <v>1955</v>
      </c>
      <c r="J2190" s="1">
        <v>1955</v>
      </c>
      <c r="K2190" s="1">
        <v>0</v>
      </c>
    </row>
    <row r="2191" spans="3:11" x14ac:dyDescent="0.25">
      <c r="C2191" s="1" t="s">
        <v>2511</v>
      </c>
      <c r="D2191" s="1" t="s">
        <v>599</v>
      </c>
      <c r="E2191" s="1" t="s">
        <v>2512</v>
      </c>
      <c r="F2191" s="1">
        <v>0</v>
      </c>
      <c r="G2191" s="1">
        <v>0</v>
      </c>
      <c r="H2191" s="1">
        <v>0</v>
      </c>
      <c r="I2191" s="1">
        <v>1880</v>
      </c>
      <c r="J2191" s="1">
        <v>1880</v>
      </c>
      <c r="K2191" s="1">
        <v>0</v>
      </c>
    </row>
    <row r="2192" spans="3:11" x14ac:dyDescent="0.25">
      <c r="C2192" s="1" t="s">
        <v>1013</v>
      </c>
      <c r="D2192" s="1" t="s">
        <v>1014</v>
      </c>
      <c r="E2192" s="1" t="s">
        <v>1015</v>
      </c>
      <c r="F2192" s="1">
        <v>0</v>
      </c>
      <c r="G2192" s="1">
        <v>0</v>
      </c>
      <c r="H2192" s="1">
        <v>0</v>
      </c>
      <c r="I2192" s="1">
        <v>1869</v>
      </c>
      <c r="J2192" s="1">
        <v>1869</v>
      </c>
      <c r="K2192" s="1">
        <v>0</v>
      </c>
    </row>
    <row r="2193" spans="3:11" x14ac:dyDescent="0.25">
      <c r="C2193" s="1" t="s">
        <v>1018</v>
      </c>
      <c r="D2193" s="1" t="s">
        <v>1019</v>
      </c>
      <c r="E2193" s="1" t="s">
        <v>1020</v>
      </c>
      <c r="F2193" s="1">
        <v>0</v>
      </c>
      <c r="G2193" s="1">
        <v>0</v>
      </c>
      <c r="H2193" s="1">
        <v>0</v>
      </c>
      <c r="I2193" s="1">
        <v>1776</v>
      </c>
      <c r="J2193" s="1">
        <v>1776</v>
      </c>
      <c r="K2193" s="1">
        <v>0</v>
      </c>
    </row>
    <row r="2194" spans="3:11" x14ac:dyDescent="0.25">
      <c r="C2194" s="1" t="s">
        <v>1021</v>
      </c>
      <c r="D2194" s="1" t="s">
        <v>1022</v>
      </c>
      <c r="E2194" s="1" t="s">
        <v>1023</v>
      </c>
      <c r="F2194" s="1">
        <v>0</v>
      </c>
      <c r="G2194" s="1">
        <v>0</v>
      </c>
      <c r="H2194" s="1">
        <v>0</v>
      </c>
      <c r="I2194" s="1">
        <v>1774</v>
      </c>
      <c r="J2194" s="1">
        <v>1774</v>
      </c>
      <c r="K2194" s="1">
        <v>0</v>
      </c>
    </row>
    <row r="2195" spans="3:11" x14ac:dyDescent="0.25">
      <c r="C2195" s="1" t="s">
        <v>2520</v>
      </c>
      <c r="D2195" s="1" t="s">
        <v>2521</v>
      </c>
      <c r="E2195" s="1" t="s">
        <v>2522</v>
      </c>
      <c r="F2195" s="1">
        <v>0</v>
      </c>
      <c r="G2195" s="1">
        <v>0</v>
      </c>
      <c r="H2195" s="1">
        <v>0</v>
      </c>
      <c r="I2195" s="1">
        <v>1755</v>
      </c>
      <c r="J2195" s="1">
        <v>1755</v>
      </c>
      <c r="K2195" s="1">
        <v>0</v>
      </c>
    </row>
    <row r="2196" spans="3:11" x14ac:dyDescent="0.25">
      <c r="C2196" s="1" t="s">
        <v>9271</v>
      </c>
      <c r="D2196" s="1" t="s">
        <v>9272</v>
      </c>
      <c r="E2196" s="1" t="s">
        <v>9273</v>
      </c>
      <c r="F2196" s="1">
        <v>0</v>
      </c>
      <c r="G2196" s="1">
        <v>0</v>
      </c>
      <c r="H2196" s="1">
        <v>0</v>
      </c>
      <c r="I2196" s="1">
        <v>1753</v>
      </c>
      <c r="J2196" s="1">
        <v>1753</v>
      </c>
      <c r="K2196" s="1">
        <v>0</v>
      </c>
    </row>
    <row r="2197" spans="3:11" x14ac:dyDescent="0.25">
      <c r="C2197" s="1" t="s">
        <v>1041</v>
      </c>
      <c r="D2197" s="1" t="s">
        <v>75</v>
      </c>
      <c r="E2197" s="1" t="s">
        <v>1042</v>
      </c>
      <c r="F2197" s="1">
        <v>0</v>
      </c>
      <c r="G2197" s="1">
        <v>0</v>
      </c>
      <c r="H2197" s="1">
        <v>0</v>
      </c>
      <c r="I2197" s="1">
        <v>1747</v>
      </c>
      <c r="J2197" s="1">
        <v>1747</v>
      </c>
      <c r="K2197" s="1">
        <v>0</v>
      </c>
    </row>
    <row r="2198" spans="3:11" x14ac:dyDescent="0.25">
      <c r="C2198" s="1" t="s">
        <v>1034</v>
      </c>
      <c r="D2198" s="1" t="s">
        <v>1035</v>
      </c>
      <c r="E2198" s="1" t="s">
        <v>1036</v>
      </c>
      <c r="F2198" s="1">
        <v>0</v>
      </c>
      <c r="G2198" s="1">
        <v>0</v>
      </c>
      <c r="H2198" s="1">
        <v>0</v>
      </c>
      <c r="I2198" s="1">
        <v>1699</v>
      </c>
      <c r="J2198" s="1">
        <v>1699</v>
      </c>
      <c r="K2198" s="1">
        <v>0</v>
      </c>
    </row>
    <row r="2199" spans="3:11" x14ac:dyDescent="0.25">
      <c r="C2199" s="1" t="s">
        <v>2530</v>
      </c>
      <c r="D2199" s="1" t="s">
        <v>641</v>
      </c>
      <c r="E2199" s="1" t="s">
        <v>2531</v>
      </c>
      <c r="F2199" s="1">
        <v>0</v>
      </c>
      <c r="G2199" s="1">
        <v>0</v>
      </c>
      <c r="H2199" s="1">
        <v>0</v>
      </c>
      <c r="I2199" s="1">
        <v>1654</v>
      </c>
      <c r="J2199" s="1">
        <v>1654</v>
      </c>
      <c r="K2199" s="1">
        <v>0</v>
      </c>
    </row>
    <row r="2200" spans="3:11" x14ac:dyDescent="0.25">
      <c r="C2200" s="1" t="s">
        <v>9274</v>
      </c>
      <c r="D2200" s="1" t="s">
        <v>9275</v>
      </c>
      <c r="E2200" s="1" t="s">
        <v>9276</v>
      </c>
      <c r="F2200" s="1">
        <v>0</v>
      </c>
      <c r="G2200" s="1">
        <v>0</v>
      </c>
      <c r="H2200" s="1">
        <v>0</v>
      </c>
      <c r="I2200" s="1">
        <v>1629</v>
      </c>
      <c r="J2200" s="1">
        <v>1629</v>
      </c>
      <c r="K2200" s="1">
        <v>0</v>
      </c>
    </row>
    <row r="2201" spans="3:11" x14ac:dyDescent="0.25">
      <c r="C2201" s="1" t="s">
        <v>9277</v>
      </c>
      <c r="D2201" s="1" t="s">
        <v>9278</v>
      </c>
      <c r="E2201" s="1" t="s">
        <v>9279</v>
      </c>
      <c r="F2201" s="1">
        <v>0</v>
      </c>
      <c r="G2201" s="1">
        <v>0</v>
      </c>
      <c r="H2201" s="1">
        <v>0</v>
      </c>
      <c r="I2201" s="1">
        <v>1628</v>
      </c>
      <c r="J2201" s="1">
        <v>1628</v>
      </c>
      <c r="K2201" s="1">
        <v>0</v>
      </c>
    </row>
    <row r="2202" spans="3:11" x14ac:dyDescent="0.25">
      <c r="C2202" s="1" t="s">
        <v>1037</v>
      </c>
      <c r="D2202" s="1" t="s">
        <v>72</v>
      </c>
      <c r="E2202" s="1" t="s">
        <v>1038</v>
      </c>
      <c r="F2202" s="1">
        <v>0</v>
      </c>
      <c r="G2202" s="1">
        <v>0</v>
      </c>
      <c r="H2202" s="1">
        <v>0</v>
      </c>
      <c r="I2202" s="1">
        <v>1614</v>
      </c>
      <c r="J2202" s="1">
        <v>1614</v>
      </c>
      <c r="K2202" s="1">
        <v>0</v>
      </c>
    </row>
    <row r="2203" spans="3:11" x14ac:dyDescent="0.25">
      <c r="C2203" s="1" t="s">
        <v>2539</v>
      </c>
      <c r="D2203" s="1" t="s">
        <v>795</v>
      </c>
      <c r="E2203" s="1" t="s">
        <v>2540</v>
      </c>
      <c r="F2203" s="1">
        <v>0</v>
      </c>
      <c r="G2203" s="1">
        <v>0</v>
      </c>
      <c r="H2203" s="1">
        <v>0</v>
      </c>
      <c r="I2203" s="1">
        <v>1599</v>
      </c>
      <c r="J2203" s="1">
        <v>1599</v>
      </c>
      <c r="K2203" s="1">
        <v>0</v>
      </c>
    </row>
    <row r="2204" spans="3:11" x14ac:dyDescent="0.25">
      <c r="C2204" s="1" t="s">
        <v>1045</v>
      </c>
      <c r="D2204" s="1" t="s">
        <v>1046</v>
      </c>
      <c r="E2204" s="1" t="s">
        <v>1047</v>
      </c>
      <c r="F2204" s="1">
        <v>0</v>
      </c>
      <c r="G2204" s="1">
        <v>0</v>
      </c>
      <c r="H2204" s="1">
        <v>0</v>
      </c>
      <c r="I2204" s="1">
        <v>1590</v>
      </c>
      <c r="J2204" s="1">
        <v>1590</v>
      </c>
      <c r="K2204" s="1">
        <v>0</v>
      </c>
    </row>
    <row r="2205" spans="3:11" x14ac:dyDescent="0.25">
      <c r="C2205" s="1" t="s">
        <v>2549</v>
      </c>
      <c r="D2205" s="1" t="s">
        <v>2550</v>
      </c>
      <c r="E2205" s="1" t="s">
        <v>2551</v>
      </c>
      <c r="F2205" s="1">
        <v>0</v>
      </c>
      <c r="G2205" s="1">
        <v>0</v>
      </c>
      <c r="H2205" s="1">
        <v>0</v>
      </c>
      <c r="I2205" s="1">
        <v>1528</v>
      </c>
      <c r="J2205" s="1">
        <v>1528</v>
      </c>
      <c r="K2205" s="1">
        <v>0</v>
      </c>
    </row>
    <row r="2206" spans="3:11" x14ac:dyDescent="0.25">
      <c r="C2206" s="1" t="s">
        <v>2552</v>
      </c>
      <c r="D2206" s="1" t="s">
        <v>2553</v>
      </c>
      <c r="E2206" s="1" t="s">
        <v>2554</v>
      </c>
      <c r="F2206" s="1">
        <v>0</v>
      </c>
      <c r="G2206" s="1">
        <v>0</v>
      </c>
      <c r="H2206" s="1">
        <v>0</v>
      </c>
      <c r="I2206" s="1">
        <v>1519</v>
      </c>
      <c r="J2206" s="1">
        <v>1519</v>
      </c>
      <c r="K2206" s="1">
        <v>0</v>
      </c>
    </row>
    <row r="2207" spans="3:11" x14ac:dyDescent="0.25">
      <c r="C2207" s="1" t="s">
        <v>9280</v>
      </c>
      <c r="D2207" s="1" t="s">
        <v>9281</v>
      </c>
      <c r="E2207" s="1" t="s">
        <v>9282</v>
      </c>
      <c r="F2207" s="1">
        <v>0</v>
      </c>
      <c r="G2207" s="1">
        <v>0</v>
      </c>
      <c r="H2207" s="1">
        <v>0</v>
      </c>
      <c r="I2207" s="1">
        <v>1465</v>
      </c>
      <c r="J2207" s="1">
        <v>1465</v>
      </c>
      <c r="K2207" s="1">
        <v>0</v>
      </c>
    </row>
    <row r="2208" spans="3:11" x14ac:dyDescent="0.25">
      <c r="C2208" s="1" t="s">
        <v>2566</v>
      </c>
      <c r="D2208" s="1" t="s">
        <v>643</v>
      </c>
      <c r="E2208" s="1" t="s">
        <v>2567</v>
      </c>
      <c r="F2208" s="1">
        <v>0</v>
      </c>
      <c r="G2208" s="1">
        <v>0</v>
      </c>
      <c r="H2208" s="1">
        <v>0</v>
      </c>
      <c r="I2208" s="1">
        <v>1454</v>
      </c>
      <c r="J2208" s="1">
        <v>1454</v>
      </c>
      <c r="K2208" s="1">
        <v>0</v>
      </c>
    </row>
    <row r="2209" spans="3:11" x14ac:dyDescent="0.25">
      <c r="C2209" s="1" t="s">
        <v>2568</v>
      </c>
      <c r="D2209" s="1" t="s">
        <v>644</v>
      </c>
      <c r="E2209" s="1" t="s">
        <v>2569</v>
      </c>
      <c r="F2209" s="1">
        <v>0</v>
      </c>
      <c r="G2209" s="1">
        <v>0</v>
      </c>
      <c r="H2209" s="1">
        <v>0</v>
      </c>
      <c r="I2209" s="1">
        <v>1450</v>
      </c>
      <c r="J2209" s="1">
        <v>1450</v>
      </c>
      <c r="K2209" s="1">
        <v>0</v>
      </c>
    </row>
    <row r="2210" spans="3:11" x14ac:dyDescent="0.25">
      <c r="C2210" s="1" t="s">
        <v>1059</v>
      </c>
      <c r="D2210" s="1" t="s">
        <v>1060</v>
      </c>
      <c r="E2210" s="1" t="s">
        <v>1061</v>
      </c>
      <c r="F2210" s="1">
        <v>0</v>
      </c>
      <c r="G2210" s="1">
        <v>0</v>
      </c>
      <c r="H2210" s="1">
        <v>0</v>
      </c>
      <c r="I2210" s="1">
        <v>1405</v>
      </c>
      <c r="J2210" s="1">
        <v>1405</v>
      </c>
      <c r="K2210" s="1">
        <v>0</v>
      </c>
    </row>
    <row r="2211" spans="3:11" x14ac:dyDescent="0.25">
      <c r="C2211" s="1" t="s">
        <v>1062</v>
      </c>
      <c r="D2211" s="1" t="s">
        <v>1063</v>
      </c>
      <c r="E2211" s="1" t="s">
        <v>1064</v>
      </c>
      <c r="F2211" s="1">
        <v>0</v>
      </c>
      <c r="G2211" s="1">
        <v>0</v>
      </c>
      <c r="H2211" s="1">
        <v>0</v>
      </c>
      <c r="I2211" s="1">
        <v>1399</v>
      </c>
      <c r="J2211" s="1">
        <v>1399</v>
      </c>
      <c r="K2211" s="1">
        <v>0</v>
      </c>
    </row>
    <row r="2212" spans="3:11" x14ac:dyDescent="0.25">
      <c r="C2212" s="1" t="s">
        <v>9283</v>
      </c>
      <c r="D2212" s="1" t="s">
        <v>9284</v>
      </c>
      <c r="E2212" s="1" t="s">
        <v>9285</v>
      </c>
      <c r="F2212" s="1">
        <v>0</v>
      </c>
      <c r="G2212" s="1">
        <v>0</v>
      </c>
      <c r="H2212" s="1">
        <v>0</v>
      </c>
      <c r="I2212" s="1">
        <v>1377</v>
      </c>
      <c r="J2212" s="1">
        <v>1377</v>
      </c>
      <c r="K2212" s="1">
        <v>0</v>
      </c>
    </row>
    <row r="2213" spans="3:11" x14ac:dyDescent="0.25">
      <c r="C2213" s="1" t="s">
        <v>2572</v>
      </c>
      <c r="D2213" s="1" t="s">
        <v>441</v>
      </c>
      <c r="E2213" s="1" t="s">
        <v>2573</v>
      </c>
      <c r="F2213" s="1">
        <v>0</v>
      </c>
      <c r="G2213" s="1">
        <v>0</v>
      </c>
      <c r="H2213" s="1">
        <v>0</v>
      </c>
      <c r="I2213" s="1">
        <v>1366</v>
      </c>
      <c r="J2213" s="1">
        <v>1366</v>
      </c>
      <c r="K2213" s="1">
        <v>0</v>
      </c>
    </row>
    <row r="2214" spans="3:11" x14ac:dyDescent="0.25">
      <c r="C2214" s="1" t="s">
        <v>2576</v>
      </c>
      <c r="D2214" s="1" t="s">
        <v>2577</v>
      </c>
      <c r="E2214" s="1" t="s">
        <v>2578</v>
      </c>
      <c r="F2214" s="1">
        <v>0</v>
      </c>
      <c r="G2214" s="1">
        <v>0</v>
      </c>
      <c r="H2214" s="1">
        <v>0</v>
      </c>
      <c r="I2214" s="1">
        <v>1339</v>
      </c>
      <c r="J2214" s="1">
        <v>1339</v>
      </c>
      <c r="K2214" s="1">
        <v>0</v>
      </c>
    </row>
    <row r="2215" spans="3:11" x14ac:dyDescent="0.25">
      <c r="C2215" s="1" t="s">
        <v>2579</v>
      </c>
      <c r="D2215" s="1" t="s">
        <v>2580</v>
      </c>
      <c r="E2215" s="1" t="s">
        <v>2581</v>
      </c>
      <c r="F2215" s="1">
        <v>0</v>
      </c>
      <c r="G2215" s="1">
        <v>0</v>
      </c>
      <c r="H2215" s="1">
        <v>0</v>
      </c>
      <c r="I2215" s="1">
        <v>1338</v>
      </c>
      <c r="J2215" s="1">
        <v>1338</v>
      </c>
      <c r="K2215" s="1">
        <v>0</v>
      </c>
    </row>
    <row r="2216" spans="3:11" x14ac:dyDescent="0.25">
      <c r="C2216" s="1" t="s">
        <v>2582</v>
      </c>
      <c r="D2216" s="1" t="s">
        <v>2583</v>
      </c>
      <c r="E2216" s="1" t="s">
        <v>2584</v>
      </c>
      <c r="F2216" s="1">
        <v>0</v>
      </c>
      <c r="G2216" s="1">
        <v>0</v>
      </c>
      <c r="H2216" s="1">
        <v>0</v>
      </c>
      <c r="I2216" s="1">
        <v>1318</v>
      </c>
      <c r="J2216" s="1">
        <v>1318</v>
      </c>
      <c r="K2216" s="1">
        <v>0</v>
      </c>
    </row>
    <row r="2217" spans="3:11" x14ac:dyDescent="0.25">
      <c r="C2217" s="1" t="s">
        <v>1070</v>
      </c>
      <c r="D2217" s="1" t="s">
        <v>1071</v>
      </c>
      <c r="E2217" s="1" t="s">
        <v>1072</v>
      </c>
      <c r="F2217" s="1">
        <v>0</v>
      </c>
      <c r="G2217" s="1">
        <v>0</v>
      </c>
      <c r="H2217" s="1">
        <v>0</v>
      </c>
      <c r="I2217" s="1">
        <v>1316</v>
      </c>
      <c r="J2217" s="1">
        <v>1316</v>
      </c>
      <c r="K2217" s="1">
        <v>0</v>
      </c>
    </row>
    <row r="2218" spans="3:11" x14ac:dyDescent="0.25">
      <c r="C2218" s="1" t="s">
        <v>1119</v>
      </c>
      <c r="D2218" s="1" t="s">
        <v>1120</v>
      </c>
      <c r="E2218" s="1" t="s">
        <v>1121</v>
      </c>
      <c r="F2218" s="1">
        <v>0</v>
      </c>
      <c r="G2218" s="1">
        <v>0</v>
      </c>
      <c r="H2218" s="1">
        <v>0</v>
      </c>
      <c r="I2218" s="1">
        <v>1264</v>
      </c>
      <c r="J2218" s="1">
        <v>1264</v>
      </c>
      <c r="K2218" s="1">
        <v>0</v>
      </c>
    </row>
    <row r="2219" spans="3:11" x14ac:dyDescent="0.25">
      <c r="C2219" s="1" t="s">
        <v>2595</v>
      </c>
      <c r="D2219" s="1" t="s">
        <v>2596</v>
      </c>
      <c r="E2219" s="1" t="s">
        <v>2597</v>
      </c>
      <c r="F2219" s="1">
        <v>0</v>
      </c>
      <c r="G2219" s="1">
        <v>0</v>
      </c>
      <c r="H2219" s="1">
        <v>0</v>
      </c>
      <c r="I2219" s="1">
        <v>1257</v>
      </c>
      <c r="J2219" s="1">
        <v>1257</v>
      </c>
      <c r="K2219" s="1">
        <v>0</v>
      </c>
    </row>
    <row r="2220" spans="3:11" x14ac:dyDescent="0.25">
      <c r="C2220" s="1" t="s">
        <v>1085</v>
      </c>
      <c r="D2220" s="1" t="s">
        <v>1086</v>
      </c>
      <c r="E2220" s="1" t="s">
        <v>1087</v>
      </c>
      <c r="F2220" s="1">
        <v>0</v>
      </c>
      <c r="G2220" s="1">
        <v>0</v>
      </c>
      <c r="H2220" s="1">
        <v>0</v>
      </c>
      <c r="I2220" s="1">
        <v>1255</v>
      </c>
      <c r="J2220" s="1">
        <v>1255</v>
      </c>
      <c r="K2220" s="1">
        <v>0</v>
      </c>
    </row>
    <row r="2221" spans="3:11" x14ac:dyDescent="0.25">
      <c r="C2221" s="1" t="s">
        <v>1091</v>
      </c>
      <c r="D2221" s="1" t="s">
        <v>1092</v>
      </c>
      <c r="E2221" s="1" t="s">
        <v>1093</v>
      </c>
      <c r="F2221" s="1">
        <v>0</v>
      </c>
      <c r="G2221" s="1">
        <v>0</v>
      </c>
      <c r="H2221" s="1">
        <v>0</v>
      </c>
      <c r="I2221" s="1">
        <v>1231</v>
      </c>
      <c r="J2221" s="1">
        <v>1231</v>
      </c>
      <c r="K2221" s="1">
        <v>0</v>
      </c>
    </row>
    <row r="2222" spans="3:11" x14ac:dyDescent="0.25">
      <c r="C2222" s="1" t="s">
        <v>2606</v>
      </c>
      <c r="D2222" s="1" t="s">
        <v>645</v>
      </c>
      <c r="E2222" s="1" t="s">
        <v>2607</v>
      </c>
      <c r="F2222" s="1">
        <v>0</v>
      </c>
      <c r="G2222" s="1">
        <v>0</v>
      </c>
      <c r="H2222" s="1">
        <v>0</v>
      </c>
      <c r="I2222" s="1">
        <v>1170</v>
      </c>
      <c r="J2222" s="1">
        <v>1170</v>
      </c>
      <c r="K2222" s="1">
        <v>0</v>
      </c>
    </row>
    <row r="2223" spans="3:11" x14ac:dyDescent="0.25">
      <c r="C2223" s="1" t="s">
        <v>9286</v>
      </c>
      <c r="D2223" s="1" t="s">
        <v>9287</v>
      </c>
      <c r="E2223" s="1" t="s">
        <v>9288</v>
      </c>
      <c r="F2223" s="1">
        <v>0</v>
      </c>
      <c r="G2223" s="1">
        <v>0</v>
      </c>
      <c r="H2223" s="1">
        <v>0</v>
      </c>
      <c r="I2223" s="1">
        <v>1138</v>
      </c>
      <c r="J2223" s="1">
        <v>1138</v>
      </c>
      <c r="K2223" s="1">
        <v>0</v>
      </c>
    </row>
    <row r="2224" spans="3:11" x14ac:dyDescent="0.25">
      <c r="C2224" s="1" t="s">
        <v>1110</v>
      </c>
      <c r="D2224" s="1" t="s">
        <v>1111</v>
      </c>
      <c r="E2224" s="1" t="s">
        <v>1112</v>
      </c>
      <c r="F2224" s="1">
        <v>0</v>
      </c>
      <c r="G2224" s="1">
        <v>0</v>
      </c>
      <c r="H2224" s="1">
        <v>0</v>
      </c>
      <c r="I2224" s="1">
        <v>1122</v>
      </c>
      <c r="J2224" s="1">
        <v>1122</v>
      </c>
      <c r="K2224" s="1">
        <v>0</v>
      </c>
    </row>
    <row r="2225" spans="3:11" x14ac:dyDescent="0.25">
      <c r="C2225" s="1" t="s">
        <v>1113</v>
      </c>
      <c r="D2225" s="1" t="s">
        <v>1114</v>
      </c>
      <c r="E2225" s="1" t="s">
        <v>1115</v>
      </c>
      <c r="F2225" s="1">
        <v>0</v>
      </c>
      <c r="G2225" s="1">
        <v>0</v>
      </c>
      <c r="H2225" s="1">
        <v>0</v>
      </c>
      <c r="I2225" s="1">
        <v>1099</v>
      </c>
      <c r="J2225" s="1">
        <v>1099</v>
      </c>
      <c r="K2225" s="1">
        <v>0</v>
      </c>
    </row>
    <row r="2226" spans="3:11" x14ac:dyDescent="0.25">
      <c r="C2226" s="1" t="s">
        <v>9289</v>
      </c>
      <c r="D2226" s="1" t="s">
        <v>9290</v>
      </c>
      <c r="E2226" s="1" t="s">
        <v>9291</v>
      </c>
      <c r="F2226" s="1">
        <v>0</v>
      </c>
      <c r="G2226" s="1">
        <v>0</v>
      </c>
      <c r="H2226" s="1">
        <v>0</v>
      </c>
      <c r="I2226" s="1">
        <v>1073</v>
      </c>
      <c r="J2226" s="1">
        <v>1073</v>
      </c>
      <c r="K2226" s="1">
        <v>0</v>
      </c>
    </row>
    <row r="2227" spans="3:11" x14ac:dyDescent="0.25">
      <c r="C2227" s="1" t="s">
        <v>9292</v>
      </c>
      <c r="D2227" s="1" t="s">
        <v>9293</v>
      </c>
      <c r="E2227" s="1" t="s">
        <v>9294</v>
      </c>
      <c r="F2227" s="1">
        <v>0</v>
      </c>
      <c r="G2227" s="1">
        <v>0</v>
      </c>
      <c r="H2227" s="1">
        <v>0</v>
      </c>
      <c r="I2227" s="1">
        <v>1064</v>
      </c>
      <c r="J2227" s="1">
        <v>1064</v>
      </c>
      <c r="K2227" s="1">
        <v>0</v>
      </c>
    </row>
    <row r="2228" spans="3:11" x14ac:dyDescent="0.25">
      <c r="C2228" s="1" t="s">
        <v>2625</v>
      </c>
      <c r="D2228" s="1" t="s">
        <v>798</v>
      </c>
      <c r="E2228" s="1" t="s">
        <v>2626</v>
      </c>
      <c r="F2228" s="1">
        <v>0</v>
      </c>
      <c r="G2228" s="1">
        <v>0</v>
      </c>
      <c r="H2228" s="1">
        <v>0</v>
      </c>
      <c r="I2228" s="1">
        <v>1041</v>
      </c>
      <c r="J2228" s="1">
        <v>1041</v>
      </c>
      <c r="K2228" s="1">
        <v>0</v>
      </c>
    </row>
    <row r="2229" spans="3:11" x14ac:dyDescent="0.25">
      <c r="C2229" s="1" t="s">
        <v>1127</v>
      </c>
      <c r="D2229" s="1" t="s">
        <v>1128</v>
      </c>
      <c r="E2229" s="1" t="s">
        <v>1129</v>
      </c>
      <c r="F2229" s="1">
        <v>0</v>
      </c>
      <c r="G2229" s="1">
        <v>0</v>
      </c>
      <c r="H2229" s="1">
        <v>0</v>
      </c>
      <c r="I2229" s="1">
        <v>1020</v>
      </c>
      <c r="J2229" s="1">
        <v>1020</v>
      </c>
      <c r="K2229" s="1">
        <v>0</v>
      </c>
    </row>
    <row r="2230" spans="3:11" x14ac:dyDescent="0.25">
      <c r="C2230" s="1" t="s">
        <v>2192</v>
      </c>
      <c r="D2230" s="1" t="s">
        <v>2191</v>
      </c>
      <c r="E2230" s="1" t="s">
        <v>2193</v>
      </c>
      <c r="F2230" s="1">
        <v>0</v>
      </c>
      <c r="G2230" s="1">
        <v>0</v>
      </c>
      <c r="H2230" s="1">
        <v>0</v>
      </c>
      <c r="I2230" s="1">
        <v>1006</v>
      </c>
      <c r="J2230" s="1">
        <v>1006</v>
      </c>
      <c r="K2230" s="1">
        <v>0</v>
      </c>
    </row>
    <row r="2231" spans="3:11" x14ac:dyDescent="0.25">
      <c r="C2231" s="1" t="s">
        <v>2639</v>
      </c>
      <c r="D2231" s="1" t="s">
        <v>2640</v>
      </c>
      <c r="E2231" s="1" t="s">
        <v>2641</v>
      </c>
      <c r="F2231" s="1">
        <v>0</v>
      </c>
      <c r="G2231" s="1">
        <v>0</v>
      </c>
      <c r="H2231" s="1">
        <v>0</v>
      </c>
      <c r="I2231" s="1">
        <v>980</v>
      </c>
      <c r="J2231" s="1">
        <v>980</v>
      </c>
      <c r="K2231" s="1">
        <v>0</v>
      </c>
    </row>
    <row r="2232" spans="3:11" x14ac:dyDescent="0.25">
      <c r="C2232" s="1" t="s">
        <v>2644</v>
      </c>
      <c r="D2232" s="1" t="s">
        <v>2645</v>
      </c>
      <c r="E2232" s="1" t="s">
        <v>2646</v>
      </c>
      <c r="F2232" s="1">
        <v>0</v>
      </c>
      <c r="G2232" s="1">
        <v>0</v>
      </c>
      <c r="H2232" s="1">
        <v>0</v>
      </c>
      <c r="I2232" s="1">
        <v>970</v>
      </c>
      <c r="J2232" s="1">
        <v>970</v>
      </c>
      <c r="K2232" s="1">
        <v>0</v>
      </c>
    </row>
    <row r="2233" spans="3:11" x14ac:dyDescent="0.25">
      <c r="C2233" s="1" t="s">
        <v>9295</v>
      </c>
      <c r="D2233" s="1" t="s">
        <v>9296</v>
      </c>
      <c r="E2233" s="1" t="s">
        <v>9295</v>
      </c>
      <c r="F2233" s="1">
        <v>0</v>
      </c>
      <c r="G2233" s="1">
        <v>0</v>
      </c>
      <c r="H2233" s="1">
        <v>0</v>
      </c>
      <c r="I2233" s="1">
        <v>895</v>
      </c>
      <c r="J2233" s="1">
        <v>895</v>
      </c>
      <c r="K2233" s="1">
        <v>0</v>
      </c>
    </row>
    <row r="2234" spans="3:11" x14ac:dyDescent="0.25">
      <c r="C2234" s="1" t="s">
        <v>9297</v>
      </c>
      <c r="D2234" s="1" t="s">
        <v>9298</v>
      </c>
      <c r="E2234" s="1" t="s">
        <v>9299</v>
      </c>
      <c r="F2234" s="1">
        <v>0</v>
      </c>
      <c r="G2234" s="1">
        <v>0</v>
      </c>
      <c r="H2234" s="1">
        <v>0</v>
      </c>
      <c r="I2234" s="1">
        <v>876</v>
      </c>
      <c r="J2234" s="1">
        <v>876</v>
      </c>
      <c r="K2234" s="1">
        <v>0</v>
      </c>
    </row>
    <row r="2235" spans="3:11" x14ac:dyDescent="0.25">
      <c r="C2235" s="1" t="s">
        <v>2682</v>
      </c>
      <c r="D2235" s="1" t="s">
        <v>800</v>
      </c>
      <c r="E2235" s="1" t="s">
        <v>2683</v>
      </c>
      <c r="F2235" s="1">
        <v>0</v>
      </c>
      <c r="G2235" s="1">
        <v>0</v>
      </c>
      <c r="H2235" s="1">
        <v>0</v>
      </c>
      <c r="I2235" s="1">
        <v>869</v>
      </c>
      <c r="J2235" s="1">
        <v>869</v>
      </c>
      <c r="K2235" s="1">
        <v>0</v>
      </c>
    </row>
    <row r="2236" spans="3:11" x14ac:dyDescent="0.25">
      <c r="C2236" s="1" t="s">
        <v>2684</v>
      </c>
      <c r="D2236" s="1" t="s">
        <v>801</v>
      </c>
      <c r="E2236" s="1" t="s">
        <v>2685</v>
      </c>
      <c r="F2236" s="1">
        <v>0</v>
      </c>
      <c r="G2236" s="1">
        <v>0</v>
      </c>
      <c r="H2236" s="1">
        <v>0</v>
      </c>
      <c r="I2236" s="1">
        <v>862</v>
      </c>
      <c r="J2236" s="1">
        <v>862</v>
      </c>
      <c r="K2236" s="1">
        <v>0</v>
      </c>
    </row>
    <row r="2237" spans="3:11" x14ac:dyDescent="0.25">
      <c r="C2237" s="1" t="s">
        <v>2695</v>
      </c>
      <c r="D2237" s="1" t="s">
        <v>2696</v>
      </c>
      <c r="E2237" s="1" t="s">
        <v>2697</v>
      </c>
      <c r="F2237" s="1">
        <v>0</v>
      </c>
      <c r="G2237" s="1">
        <v>0</v>
      </c>
      <c r="H2237" s="1">
        <v>0</v>
      </c>
      <c r="I2237" s="1">
        <v>817</v>
      </c>
      <c r="J2237" s="1">
        <v>817</v>
      </c>
      <c r="K2237" s="1">
        <v>0</v>
      </c>
    </row>
    <row r="2238" spans="3:11" x14ac:dyDescent="0.25">
      <c r="C2238" s="1" t="s">
        <v>1165</v>
      </c>
      <c r="D2238" s="1" t="s">
        <v>1166</v>
      </c>
      <c r="E2238" s="1" t="s">
        <v>1167</v>
      </c>
      <c r="F2238" s="1">
        <v>0</v>
      </c>
      <c r="G2238" s="1">
        <v>0</v>
      </c>
      <c r="H2238" s="1">
        <v>0</v>
      </c>
      <c r="I2238" s="1">
        <v>806</v>
      </c>
      <c r="J2238" s="1">
        <v>806</v>
      </c>
      <c r="K2238" s="1">
        <v>0</v>
      </c>
    </row>
    <row r="2239" spans="3:11" x14ac:dyDescent="0.25">
      <c r="C2239" s="1" t="s">
        <v>1168</v>
      </c>
      <c r="D2239" s="1" t="s">
        <v>1169</v>
      </c>
      <c r="E2239" s="1" t="s">
        <v>1170</v>
      </c>
      <c r="F2239" s="1">
        <v>0</v>
      </c>
      <c r="G2239" s="1">
        <v>0</v>
      </c>
      <c r="H2239" s="1">
        <v>0</v>
      </c>
      <c r="I2239" s="1">
        <v>806</v>
      </c>
      <c r="J2239" s="1">
        <v>806</v>
      </c>
      <c r="K2239" s="1">
        <v>0</v>
      </c>
    </row>
    <row r="2240" spans="3:11" x14ac:dyDescent="0.25">
      <c r="C2240" s="1" t="s">
        <v>1171</v>
      </c>
      <c r="D2240" s="1" t="s">
        <v>1172</v>
      </c>
      <c r="E2240" s="1" t="s">
        <v>1173</v>
      </c>
      <c r="F2240" s="1">
        <v>0</v>
      </c>
      <c r="G2240" s="1">
        <v>0</v>
      </c>
      <c r="H2240" s="1">
        <v>0</v>
      </c>
      <c r="I2240" s="1">
        <v>805</v>
      </c>
      <c r="J2240" s="1">
        <v>805</v>
      </c>
      <c r="K2240" s="1">
        <v>0</v>
      </c>
    </row>
    <row r="2241" spans="3:11" x14ac:dyDescent="0.25">
      <c r="C2241" s="1" t="s">
        <v>2708</v>
      </c>
      <c r="D2241" s="1" t="s">
        <v>802</v>
      </c>
      <c r="E2241" s="1" t="s">
        <v>2709</v>
      </c>
      <c r="F2241" s="1">
        <v>0</v>
      </c>
      <c r="G2241" s="1">
        <v>0</v>
      </c>
      <c r="H2241" s="1">
        <v>0</v>
      </c>
      <c r="I2241" s="1">
        <v>805</v>
      </c>
      <c r="J2241" s="1">
        <v>805</v>
      </c>
      <c r="K2241" s="1">
        <v>0</v>
      </c>
    </row>
    <row r="2242" spans="3:11" x14ac:dyDescent="0.25">
      <c r="C2242" s="1" t="s">
        <v>2710</v>
      </c>
      <c r="D2242" s="1" t="s">
        <v>694</v>
      </c>
      <c r="E2242" s="1" t="s">
        <v>2711</v>
      </c>
      <c r="F2242" s="1">
        <v>0</v>
      </c>
      <c r="G2242" s="1">
        <v>0</v>
      </c>
      <c r="H2242" s="1">
        <v>0</v>
      </c>
      <c r="I2242" s="1">
        <v>802</v>
      </c>
      <c r="J2242" s="1">
        <v>802</v>
      </c>
      <c r="K2242" s="1">
        <v>0</v>
      </c>
    </row>
    <row r="2243" spans="3:11" x14ac:dyDescent="0.25">
      <c r="C2243" s="1" t="s">
        <v>9300</v>
      </c>
      <c r="D2243" s="1" t="s">
        <v>9301</v>
      </c>
      <c r="E2243" s="1" t="s">
        <v>9302</v>
      </c>
      <c r="F2243" s="1">
        <v>0</v>
      </c>
      <c r="G2243" s="1">
        <v>0</v>
      </c>
      <c r="H2243" s="1">
        <v>0</v>
      </c>
      <c r="I2243" s="1">
        <v>795</v>
      </c>
      <c r="J2243" s="1">
        <v>795</v>
      </c>
      <c r="K2243" s="1">
        <v>0</v>
      </c>
    </row>
    <row r="2244" spans="3:11" x14ac:dyDescent="0.25">
      <c r="C2244" s="1" t="s">
        <v>1183</v>
      </c>
      <c r="D2244" s="1" t="s">
        <v>1184</v>
      </c>
      <c r="E2244" s="1" t="s">
        <v>1183</v>
      </c>
      <c r="F2244" s="1">
        <v>0</v>
      </c>
      <c r="G2244" s="1">
        <v>0</v>
      </c>
      <c r="H2244" s="1">
        <v>0</v>
      </c>
      <c r="I2244" s="1">
        <v>782</v>
      </c>
      <c r="J2244" s="1">
        <v>782</v>
      </c>
      <c r="K2244" s="1">
        <v>0</v>
      </c>
    </row>
    <row r="2245" spans="3:11" x14ac:dyDescent="0.25">
      <c r="C2245" s="1" t="s">
        <v>9303</v>
      </c>
      <c r="D2245" s="1" t="s">
        <v>9304</v>
      </c>
      <c r="E2245" s="1" t="s">
        <v>9305</v>
      </c>
      <c r="F2245" s="1">
        <v>0</v>
      </c>
      <c r="G2245" s="1">
        <v>0</v>
      </c>
      <c r="H2245" s="1">
        <v>0</v>
      </c>
      <c r="I2245" s="1">
        <v>768</v>
      </c>
      <c r="J2245" s="1">
        <v>768</v>
      </c>
      <c r="K2245" s="1">
        <v>0</v>
      </c>
    </row>
    <row r="2246" spans="3:11" x14ac:dyDescent="0.25">
      <c r="C2246" s="1" t="s">
        <v>2739</v>
      </c>
      <c r="D2246" s="1" t="s">
        <v>2740</v>
      </c>
      <c r="E2246" s="1" t="s">
        <v>2741</v>
      </c>
      <c r="F2246" s="1">
        <v>0</v>
      </c>
      <c r="G2246" s="1">
        <v>0</v>
      </c>
      <c r="H2246" s="1">
        <v>0</v>
      </c>
      <c r="I2246" s="1">
        <v>740</v>
      </c>
      <c r="J2246" s="1">
        <v>740</v>
      </c>
      <c r="K2246" s="1">
        <v>0</v>
      </c>
    </row>
    <row r="2247" spans="3:11" x14ac:dyDescent="0.25">
      <c r="C2247" s="1" t="s">
        <v>2742</v>
      </c>
      <c r="D2247" s="1" t="s">
        <v>2743</v>
      </c>
      <c r="E2247" s="1" t="s">
        <v>2744</v>
      </c>
      <c r="F2247" s="1">
        <v>0</v>
      </c>
      <c r="G2247" s="1">
        <v>0</v>
      </c>
      <c r="H2247" s="1">
        <v>0</v>
      </c>
      <c r="I2247" s="1">
        <v>740</v>
      </c>
      <c r="J2247" s="1">
        <v>740</v>
      </c>
      <c r="K2247" s="1">
        <v>0</v>
      </c>
    </row>
    <row r="2248" spans="3:11" x14ac:dyDescent="0.25">
      <c r="C2248" s="1" t="s">
        <v>1188</v>
      </c>
      <c r="D2248" s="1" t="s">
        <v>1189</v>
      </c>
      <c r="E2248" s="1" t="s">
        <v>1190</v>
      </c>
      <c r="F2248" s="1">
        <v>0</v>
      </c>
      <c r="G2248" s="1">
        <v>0</v>
      </c>
      <c r="H2248" s="1">
        <v>0</v>
      </c>
      <c r="I2248" s="1">
        <v>739</v>
      </c>
      <c r="J2248" s="1">
        <v>739</v>
      </c>
      <c r="K2248" s="1">
        <v>0</v>
      </c>
    </row>
    <row r="2249" spans="3:11" x14ac:dyDescent="0.25">
      <c r="C2249" s="1" t="s">
        <v>9306</v>
      </c>
      <c r="D2249" s="1" t="s">
        <v>9307</v>
      </c>
      <c r="E2249" s="1" t="s">
        <v>9308</v>
      </c>
      <c r="F2249" s="1">
        <v>0</v>
      </c>
      <c r="G2249" s="1">
        <v>0</v>
      </c>
      <c r="H2249" s="1">
        <v>0</v>
      </c>
      <c r="I2249" s="1">
        <v>731</v>
      </c>
      <c r="J2249" s="1">
        <v>731</v>
      </c>
      <c r="K2249" s="1">
        <v>0</v>
      </c>
    </row>
    <row r="2250" spans="3:11" x14ac:dyDescent="0.25">
      <c r="C2250" s="1" t="s">
        <v>1191</v>
      </c>
      <c r="D2250" s="1" t="s">
        <v>1192</v>
      </c>
      <c r="E2250" s="1" t="s">
        <v>1193</v>
      </c>
      <c r="F2250" s="1">
        <v>0</v>
      </c>
      <c r="G2250" s="1">
        <v>0</v>
      </c>
      <c r="H2250" s="1">
        <v>0</v>
      </c>
      <c r="I2250" s="1">
        <v>721</v>
      </c>
      <c r="J2250" s="1">
        <v>721</v>
      </c>
      <c r="K2250" s="1">
        <v>0</v>
      </c>
    </row>
    <row r="2251" spans="3:11" x14ac:dyDescent="0.25">
      <c r="C2251" s="1" t="s">
        <v>2753</v>
      </c>
      <c r="D2251" s="1" t="s">
        <v>2754</v>
      </c>
      <c r="E2251" s="1" t="s">
        <v>2755</v>
      </c>
      <c r="F2251" s="1">
        <v>0</v>
      </c>
      <c r="G2251" s="1">
        <v>0</v>
      </c>
      <c r="H2251" s="1">
        <v>0</v>
      </c>
      <c r="I2251" s="1">
        <v>721</v>
      </c>
      <c r="J2251" s="1">
        <v>721</v>
      </c>
      <c r="K2251" s="1">
        <v>0</v>
      </c>
    </row>
    <row r="2252" spans="3:11" x14ac:dyDescent="0.25">
      <c r="C2252" s="1" t="s">
        <v>1194</v>
      </c>
      <c r="D2252" s="1" t="s">
        <v>1195</v>
      </c>
      <c r="E2252" s="1" t="s">
        <v>1196</v>
      </c>
      <c r="F2252" s="1">
        <v>0</v>
      </c>
      <c r="G2252" s="1">
        <v>0</v>
      </c>
      <c r="H2252" s="1">
        <v>0</v>
      </c>
      <c r="I2252" s="1">
        <v>720</v>
      </c>
      <c r="J2252" s="1">
        <v>720</v>
      </c>
      <c r="K2252" s="1">
        <v>0</v>
      </c>
    </row>
    <row r="2253" spans="3:11" x14ac:dyDescent="0.25">
      <c r="C2253" s="1" t="s">
        <v>1243</v>
      </c>
      <c r="D2253" s="1" t="s">
        <v>119</v>
      </c>
      <c r="E2253" s="1" t="s">
        <v>1244</v>
      </c>
      <c r="F2253" s="1">
        <v>0</v>
      </c>
      <c r="G2253" s="1">
        <v>0</v>
      </c>
      <c r="H2253" s="1">
        <v>0</v>
      </c>
      <c r="I2253" s="1">
        <v>688</v>
      </c>
      <c r="J2253" s="1">
        <v>688</v>
      </c>
      <c r="K2253" s="1">
        <v>0</v>
      </c>
    </row>
    <row r="2254" spans="3:11" x14ac:dyDescent="0.25">
      <c r="C2254" s="1" t="s">
        <v>1205</v>
      </c>
      <c r="D2254" s="1" t="s">
        <v>1206</v>
      </c>
      <c r="E2254" s="1" t="s">
        <v>1207</v>
      </c>
      <c r="F2254" s="1">
        <v>0</v>
      </c>
      <c r="G2254" s="1">
        <v>0</v>
      </c>
      <c r="H2254" s="1">
        <v>0</v>
      </c>
      <c r="I2254" s="1">
        <v>670</v>
      </c>
      <c r="J2254" s="1">
        <v>670</v>
      </c>
      <c r="K2254" s="1">
        <v>0</v>
      </c>
    </row>
    <row r="2255" spans="3:11" x14ac:dyDescent="0.25">
      <c r="C2255" s="1" t="s">
        <v>2789</v>
      </c>
      <c r="D2255" s="1" t="s">
        <v>603</v>
      </c>
      <c r="E2255" s="1" t="s">
        <v>2790</v>
      </c>
      <c r="F2255" s="1">
        <v>0</v>
      </c>
      <c r="G2255" s="1">
        <v>0</v>
      </c>
      <c r="H2255" s="1">
        <v>0</v>
      </c>
      <c r="I2255" s="1">
        <v>669</v>
      </c>
      <c r="J2255" s="1">
        <v>669</v>
      </c>
      <c r="K2255" s="1">
        <v>0</v>
      </c>
    </row>
    <row r="2256" spans="3:11" x14ac:dyDescent="0.25">
      <c r="C2256" s="1" t="s">
        <v>9309</v>
      </c>
      <c r="D2256" s="1" t="s">
        <v>9310</v>
      </c>
      <c r="E2256" s="1" t="s">
        <v>9311</v>
      </c>
      <c r="F2256" s="1">
        <v>0</v>
      </c>
      <c r="G2256" s="1">
        <v>0</v>
      </c>
      <c r="H2256" s="1">
        <v>0</v>
      </c>
      <c r="I2256" s="1">
        <v>659</v>
      </c>
      <c r="J2256" s="1">
        <v>659</v>
      </c>
      <c r="K2256" s="1">
        <v>0</v>
      </c>
    </row>
    <row r="2257" spans="3:11" x14ac:dyDescent="0.25">
      <c r="C2257" s="1" t="s">
        <v>9312</v>
      </c>
      <c r="D2257" s="1" t="s">
        <v>9313</v>
      </c>
      <c r="E2257" s="1" t="s">
        <v>9314</v>
      </c>
      <c r="F2257" s="1">
        <v>0</v>
      </c>
      <c r="G2257" s="1">
        <v>0</v>
      </c>
      <c r="H2257" s="1">
        <v>0</v>
      </c>
      <c r="I2257" s="1">
        <v>642</v>
      </c>
      <c r="J2257" s="1">
        <v>642</v>
      </c>
      <c r="K2257" s="1">
        <v>0</v>
      </c>
    </row>
    <row r="2258" spans="3:11" x14ac:dyDescent="0.25">
      <c r="C2258" s="1" t="s">
        <v>1218</v>
      </c>
      <c r="D2258" s="1" t="s">
        <v>1219</v>
      </c>
      <c r="E2258" s="1" t="s">
        <v>1220</v>
      </c>
      <c r="F2258" s="1">
        <v>0</v>
      </c>
      <c r="G2258" s="1">
        <v>0</v>
      </c>
      <c r="H2258" s="1">
        <v>0</v>
      </c>
      <c r="I2258" s="1">
        <v>641</v>
      </c>
      <c r="J2258" s="1">
        <v>641</v>
      </c>
      <c r="K2258" s="1">
        <v>0</v>
      </c>
    </row>
    <row r="2259" spans="3:11" x14ac:dyDescent="0.25">
      <c r="C2259" s="1" t="s">
        <v>1223</v>
      </c>
      <c r="D2259" s="1" t="s">
        <v>1224</v>
      </c>
      <c r="E2259" s="1" t="s">
        <v>1225</v>
      </c>
      <c r="F2259" s="1">
        <v>0</v>
      </c>
      <c r="G2259" s="1">
        <v>0</v>
      </c>
      <c r="H2259" s="1">
        <v>0</v>
      </c>
      <c r="I2259" s="1">
        <v>637</v>
      </c>
      <c r="J2259" s="1">
        <v>637</v>
      </c>
      <c r="K2259" s="1">
        <v>0</v>
      </c>
    </row>
    <row r="2260" spans="3:11" x14ac:dyDescent="0.25">
      <c r="C2260" s="1" t="s">
        <v>2816</v>
      </c>
      <c r="D2260" s="1" t="s">
        <v>2817</v>
      </c>
      <c r="E2260" s="1" t="s">
        <v>2818</v>
      </c>
      <c r="F2260" s="1">
        <v>0</v>
      </c>
      <c r="G2260" s="1">
        <v>0</v>
      </c>
      <c r="H2260" s="1">
        <v>0</v>
      </c>
      <c r="I2260" s="1">
        <v>602</v>
      </c>
      <c r="J2260" s="1">
        <v>602</v>
      </c>
      <c r="K2260" s="1">
        <v>0</v>
      </c>
    </row>
    <row r="2261" spans="3:11" x14ac:dyDescent="0.25">
      <c r="C2261" s="1" t="s">
        <v>1237</v>
      </c>
      <c r="D2261" s="1" t="s">
        <v>1238</v>
      </c>
      <c r="E2261" s="1" t="s">
        <v>1239</v>
      </c>
      <c r="F2261" s="1">
        <v>0</v>
      </c>
      <c r="G2261" s="1">
        <v>0</v>
      </c>
      <c r="H2261" s="1">
        <v>0</v>
      </c>
      <c r="I2261" s="1">
        <v>601</v>
      </c>
      <c r="J2261" s="1">
        <v>601</v>
      </c>
      <c r="K2261" s="1">
        <v>0</v>
      </c>
    </row>
    <row r="2262" spans="3:11" x14ac:dyDescent="0.25">
      <c r="C2262" s="1" t="s">
        <v>2825</v>
      </c>
      <c r="D2262" s="1" t="s">
        <v>2826</v>
      </c>
      <c r="E2262" s="1" t="s">
        <v>2827</v>
      </c>
      <c r="F2262" s="1">
        <v>0</v>
      </c>
      <c r="G2262" s="1">
        <v>0</v>
      </c>
      <c r="H2262" s="1">
        <v>0</v>
      </c>
      <c r="I2262" s="1">
        <v>582</v>
      </c>
      <c r="J2262" s="1">
        <v>582</v>
      </c>
      <c r="K2262" s="1">
        <v>0</v>
      </c>
    </row>
    <row r="2263" spans="3:11" x14ac:dyDescent="0.25">
      <c r="C2263" s="1" t="s">
        <v>2344</v>
      </c>
      <c r="D2263" s="1" t="s">
        <v>2343</v>
      </c>
      <c r="E2263" s="1" t="s">
        <v>2345</v>
      </c>
      <c r="F2263" s="1">
        <v>0</v>
      </c>
      <c r="G2263" s="1">
        <v>0</v>
      </c>
      <c r="H2263" s="1">
        <v>0</v>
      </c>
      <c r="I2263" s="1">
        <v>576</v>
      </c>
      <c r="J2263" s="1">
        <v>576</v>
      </c>
      <c r="K2263" s="1">
        <v>0</v>
      </c>
    </row>
    <row r="2264" spans="3:11" x14ac:dyDescent="0.25">
      <c r="C2264" s="1" t="s">
        <v>1284</v>
      </c>
      <c r="D2264" s="1" t="s">
        <v>1285</v>
      </c>
      <c r="E2264" s="1" t="s">
        <v>1286</v>
      </c>
      <c r="F2264" s="1">
        <v>0</v>
      </c>
      <c r="G2264" s="1">
        <v>0</v>
      </c>
      <c r="H2264" s="1">
        <v>0</v>
      </c>
      <c r="I2264" s="1">
        <v>571</v>
      </c>
      <c r="J2264" s="1">
        <v>571</v>
      </c>
      <c r="K2264" s="1">
        <v>0</v>
      </c>
    </row>
    <row r="2265" spans="3:11" x14ac:dyDescent="0.25">
      <c r="C2265" s="1" t="s">
        <v>1259</v>
      </c>
      <c r="D2265" s="1" t="s">
        <v>1260</v>
      </c>
      <c r="E2265" s="1" t="s">
        <v>1261</v>
      </c>
      <c r="F2265" s="1">
        <v>0</v>
      </c>
      <c r="G2265" s="1">
        <v>0</v>
      </c>
      <c r="H2265" s="1">
        <v>0</v>
      </c>
      <c r="I2265" s="1">
        <v>555</v>
      </c>
      <c r="J2265" s="1">
        <v>555</v>
      </c>
      <c r="K2265" s="1">
        <v>0</v>
      </c>
    </row>
    <row r="2266" spans="3:11" x14ac:dyDescent="0.25">
      <c r="C2266" s="1" t="s">
        <v>9315</v>
      </c>
      <c r="D2266" s="1" t="s">
        <v>9316</v>
      </c>
      <c r="E2266" s="1" t="s">
        <v>9317</v>
      </c>
      <c r="F2266" s="1">
        <v>0</v>
      </c>
      <c r="G2266" s="1">
        <v>0</v>
      </c>
      <c r="H2266" s="1">
        <v>0</v>
      </c>
      <c r="I2266" s="1">
        <v>550</v>
      </c>
      <c r="J2266" s="1">
        <v>550</v>
      </c>
      <c r="K2266" s="1">
        <v>0</v>
      </c>
    </row>
    <row r="2267" spans="3:11" x14ac:dyDescent="0.25">
      <c r="C2267" s="1" t="s">
        <v>1266</v>
      </c>
      <c r="D2267" s="1" t="s">
        <v>1267</v>
      </c>
      <c r="E2267" s="1" t="s">
        <v>1268</v>
      </c>
      <c r="F2267" s="1">
        <v>0</v>
      </c>
      <c r="G2267" s="1">
        <v>0</v>
      </c>
      <c r="H2267" s="1">
        <v>0</v>
      </c>
      <c r="I2267" s="1">
        <v>547</v>
      </c>
      <c r="J2267" s="1">
        <v>547</v>
      </c>
      <c r="K2267" s="1">
        <v>0</v>
      </c>
    </row>
    <row r="2268" spans="3:11" x14ac:dyDescent="0.25">
      <c r="C2268" s="1" t="s">
        <v>1269</v>
      </c>
      <c r="D2268" s="1" t="s">
        <v>123</v>
      </c>
      <c r="E2268" s="1" t="s">
        <v>1270</v>
      </c>
      <c r="F2268" s="1">
        <v>0</v>
      </c>
      <c r="G2268" s="1">
        <v>0</v>
      </c>
      <c r="H2268" s="1">
        <v>0</v>
      </c>
      <c r="I2268" s="1">
        <v>544</v>
      </c>
      <c r="J2268" s="1">
        <v>544</v>
      </c>
      <c r="K2268" s="1">
        <v>0</v>
      </c>
    </row>
    <row r="2269" spans="3:11" x14ac:dyDescent="0.25">
      <c r="C2269" s="1" t="s">
        <v>9318</v>
      </c>
      <c r="D2269" s="1" t="s">
        <v>9319</v>
      </c>
      <c r="E2269" s="1" t="s">
        <v>9320</v>
      </c>
      <c r="F2269" s="1">
        <v>0</v>
      </c>
      <c r="G2269" s="1">
        <v>0</v>
      </c>
      <c r="H2269" s="1">
        <v>0</v>
      </c>
      <c r="I2269" s="1">
        <v>535</v>
      </c>
      <c r="J2269" s="1">
        <v>535</v>
      </c>
      <c r="K2269" s="1">
        <v>0</v>
      </c>
    </row>
    <row r="2270" spans="3:11" x14ac:dyDescent="0.25">
      <c r="C2270" s="1" t="s">
        <v>2881</v>
      </c>
      <c r="D2270" s="1" t="s">
        <v>2172</v>
      </c>
      <c r="E2270" s="1" t="s">
        <v>2882</v>
      </c>
      <c r="F2270" s="1">
        <v>0</v>
      </c>
      <c r="G2270" s="1">
        <v>0</v>
      </c>
      <c r="H2270" s="1">
        <v>0</v>
      </c>
      <c r="I2270" s="1">
        <v>527</v>
      </c>
      <c r="J2270" s="1">
        <v>527</v>
      </c>
      <c r="K2270" s="1">
        <v>0</v>
      </c>
    </row>
    <row r="2271" spans="3:11" x14ac:dyDescent="0.25">
      <c r="C2271" s="1" t="s">
        <v>2863</v>
      </c>
      <c r="D2271" s="1" t="s">
        <v>2864</v>
      </c>
      <c r="E2271" s="1" t="s">
        <v>2865</v>
      </c>
      <c r="F2271" s="1">
        <v>0</v>
      </c>
      <c r="G2271" s="1">
        <v>0</v>
      </c>
      <c r="H2271" s="1">
        <v>0</v>
      </c>
      <c r="I2271" s="1">
        <v>518</v>
      </c>
      <c r="J2271" s="1">
        <v>518</v>
      </c>
      <c r="K2271" s="1">
        <v>0</v>
      </c>
    </row>
    <row r="2272" spans="3:11" x14ac:dyDescent="0.25">
      <c r="C2272" s="1" t="s">
        <v>2866</v>
      </c>
      <c r="D2272" s="1" t="s">
        <v>2867</v>
      </c>
      <c r="E2272" s="1" t="s">
        <v>2868</v>
      </c>
      <c r="F2272" s="1">
        <v>0</v>
      </c>
      <c r="G2272" s="1">
        <v>0</v>
      </c>
      <c r="H2272" s="1">
        <v>0</v>
      </c>
      <c r="I2272" s="1">
        <v>517</v>
      </c>
      <c r="J2272" s="1">
        <v>517</v>
      </c>
      <c r="K2272" s="1">
        <v>0</v>
      </c>
    </row>
    <row r="2273" spans="3:11" x14ac:dyDescent="0.25">
      <c r="C2273" s="1" t="s">
        <v>9321</v>
      </c>
      <c r="D2273" s="1" t="s">
        <v>9322</v>
      </c>
      <c r="E2273" s="1" t="s">
        <v>9323</v>
      </c>
      <c r="F2273" s="1">
        <v>0</v>
      </c>
      <c r="G2273" s="1">
        <v>0</v>
      </c>
      <c r="H2273" s="1">
        <v>0</v>
      </c>
      <c r="I2273" s="1">
        <v>516</v>
      </c>
      <c r="J2273" s="1">
        <v>516</v>
      </c>
      <c r="K2273" s="1">
        <v>0</v>
      </c>
    </row>
    <row r="2274" spans="3:11" x14ac:dyDescent="0.25">
      <c r="C2274" s="1" t="s">
        <v>1637</v>
      </c>
      <c r="D2274" s="1" t="s">
        <v>1638</v>
      </c>
      <c r="E2274" s="1" t="s">
        <v>1639</v>
      </c>
      <c r="F2274" s="1">
        <v>0</v>
      </c>
      <c r="G2274" s="1">
        <v>0</v>
      </c>
      <c r="H2274" s="1">
        <v>0</v>
      </c>
      <c r="I2274" s="1">
        <v>516</v>
      </c>
      <c r="J2274" s="1">
        <v>516</v>
      </c>
      <c r="K2274" s="1">
        <v>0</v>
      </c>
    </row>
    <row r="2275" spans="3:11" x14ac:dyDescent="0.25">
      <c r="C2275" s="1" t="s">
        <v>9324</v>
      </c>
      <c r="D2275" s="1" t="s">
        <v>9325</v>
      </c>
      <c r="E2275" s="1" t="s">
        <v>9324</v>
      </c>
      <c r="F2275" s="1">
        <v>0</v>
      </c>
      <c r="G2275" s="1">
        <v>0</v>
      </c>
      <c r="H2275" s="1">
        <v>0</v>
      </c>
      <c r="I2275" s="1">
        <v>510</v>
      </c>
      <c r="J2275" s="1">
        <v>510</v>
      </c>
      <c r="K2275" s="1">
        <v>0</v>
      </c>
    </row>
    <row r="2276" spans="3:11" x14ac:dyDescent="0.25">
      <c r="C2276" s="1" t="s">
        <v>9326</v>
      </c>
      <c r="D2276" s="1" t="s">
        <v>9327</v>
      </c>
      <c r="E2276" s="1" t="s">
        <v>9328</v>
      </c>
      <c r="F2276" s="1">
        <v>0</v>
      </c>
      <c r="G2276" s="1">
        <v>0</v>
      </c>
      <c r="H2276" s="1">
        <v>0</v>
      </c>
      <c r="I2276" s="1">
        <v>510</v>
      </c>
      <c r="J2276" s="1">
        <v>510</v>
      </c>
      <c r="K2276" s="1">
        <v>0</v>
      </c>
    </row>
    <row r="2277" spans="3:11" x14ac:dyDescent="0.25">
      <c r="C2277" s="1" t="s">
        <v>2885</v>
      </c>
      <c r="D2277" s="1" t="s">
        <v>2886</v>
      </c>
      <c r="E2277" s="1" t="s">
        <v>2887</v>
      </c>
      <c r="F2277" s="1">
        <v>0</v>
      </c>
      <c r="G2277" s="1">
        <v>0</v>
      </c>
      <c r="H2277" s="1">
        <v>0</v>
      </c>
      <c r="I2277" s="1">
        <v>486</v>
      </c>
      <c r="J2277" s="1">
        <v>486</v>
      </c>
      <c r="K2277" s="1">
        <v>0</v>
      </c>
    </row>
    <row r="2278" spans="3:11" x14ac:dyDescent="0.25">
      <c r="C2278" s="1" t="s">
        <v>2040</v>
      </c>
      <c r="D2278" s="1" t="s">
        <v>2041</v>
      </c>
      <c r="E2278" s="1" t="s">
        <v>2042</v>
      </c>
      <c r="F2278" s="1">
        <v>0</v>
      </c>
      <c r="G2278" s="1">
        <v>0</v>
      </c>
      <c r="H2278" s="1">
        <v>0</v>
      </c>
      <c r="I2278" s="1">
        <v>480</v>
      </c>
      <c r="J2278" s="1">
        <v>480</v>
      </c>
      <c r="K2278" s="1">
        <v>0</v>
      </c>
    </row>
    <row r="2279" spans="3:11" x14ac:dyDescent="0.25">
      <c r="C2279" s="1" t="s">
        <v>2185</v>
      </c>
      <c r="D2279" s="1" t="s">
        <v>2186</v>
      </c>
      <c r="E2279" s="1" t="s">
        <v>2187</v>
      </c>
      <c r="F2279" s="1">
        <v>0</v>
      </c>
      <c r="G2279" s="1">
        <v>0</v>
      </c>
      <c r="H2279" s="1">
        <v>0</v>
      </c>
      <c r="I2279" s="1">
        <v>480</v>
      </c>
      <c r="J2279" s="1">
        <v>480</v>
      </c>
      <c r="K2279" s="1">
        <v>0</v>
      </c>
    </row>
    <row r="2280" spans="3:11" x14ac:dyDescent="0.25">
      <c r="C2280" s="1" t="s">
        <v>1298</v>
      </c>
      <c r="D2280" s="1" t="s">
        <v>1299</v>
      </c>
      <c r="E2280" s="1" t="s">
        <v>1300</v>
      </c>
      <c r="F2280" s="1">
        <v>0</v>
      </c>
      <c r="G2280" s="1">
        <v>0</v>
      </c>
      <c r="H2280" s="1">
        <v>0</v>
      </c>
      <c r="I2280" s="1">
        <v>476</v>
      </c>
      <c r="J2280" s="1">
        <v>476</v>
      </c>
      <c r="K2280" s="1">
        <v>0</v>
      </c>
    </row>
    <row r="2281" spans="3:11" x14ac:dyDescent="0.25">
      <c r="C2281" s="1" t="s">
        <v>1301</v>
      </c>
      <c r="D2281" s="1" t="s">
        <v>1302</v>
      </c>
      <c r="E2281" s="1" t="s">
        <v>1303</v>
      </c>
      <c r="F2281" s="1">
        <v>0</v>
      </c>
      <c r="G2281" s="1">
        <v>0</v>
      </c>
      <c r="H2281" s="1">
        <v>0</v>
      </c>
      <c r="I2281" s="1">
        <v>476</v>
      </c>
      <c r="J2281" s="1">
        <v>476</v>
      </c>
      <c r="K2281" s="1">
        <v>0</v>
      </c>
    </row>
    <row r="2282" spans="3:11" x14ac:dyDescent="0.25">
      <c r="C2282" s="1" t="s">
        <v>2892</v>
      </c>
      <c r="D2282" s="1" t="s">
        <v>2893</v>
      </c>
      <c r="E2282" s="1" t="s">
        <v>2894</v>
      </c>
      <c r="F2282" s="1">
        <v>0</v>
      </c>
      <c r="G2282" s="1">
        <v>0</v>
      </c>
      <c r="H2282" s="1">
        <v>0</v>
      </c>
      <c r="I2282" s="1">
        <v>474</v>
      </c>
      <c r="J2282" s="1">
        <v>474</v>
      </c>
      <c r="K2282" s="1">
        <v>0</v>
      </c>
    </row>
    <row r="2283" spans="3:11" x14ac:dyDescent="0.25">
      <c r="C2283" s="1" t="s">
        <v>2895</v>
      </c>
      <c r="D2283" s="1" t="s">
        <v>811</v>
      </c>
      <c r="E2283" s="1" t="s">
        <v>2896</v>
      </c>
      <c r="F2283" s="1">
        <v>0</v>
      </c>
      <c r="G2283" s="1">
        <v>0</v>
      </c>
      <c r="H2283" s="1">
        <v>0</v>
      </c>
      <c r="I2283" s="1">
        <v>474</v>
      </c>
      <c r="J2283" s="1">
        <v>474</v>
      </c>
      <c r="K2283" s="1">
        <v>0</v>
      </c>
    </row>
    <row r="2284" spans="3:11" x14ac:dyDescent="0.25">
      <c r="C2284" s="1" t="s">
        <v>9329</v>
      </c>
      <c r="D2284" s="1" t="s">
        <v>9330</v>
      </c>
      <c r="E2284" s="1" t="s">
        <v>9331</v>
      </c>
      <c r="F2284" s="1">
        <v>0</v>
      </c>
      <c r="G2284" s="1">
        <v>0</v>
      </c>
      <c r="H2284" s="1">
        <v>0</v>
      </c>
      <c r="I2284" s="1">
        <v>455</v>
      </c>
      <c r="J2284" s="1">
        <v>455</v>
      </c>
      <c r="K2284" s="1">
        <v>0</v>
      </c>
    </row>
    <row r="2285" spans="3:11" x14ac:dyDescent="0.25">
      <c r="C2285" s="1" t="s">
        <v>2183</v>
      </c>
      <c r="D2285" s="1" t="s">
        <v>2055</v>
      </c>
      <c r="E2285" s="1" t="s">
        <v>2184</v>
      </c>
      <c r="F2285" s="1">
        <v>0</v>
      </c>
      <c r="G2285" s="1">
        <v>0</v>
      </c>
      <c r="H2285" s="1">
        <v>0</v>
      </c>
      <c r="I2285" s="1">
        <v>448</v>
      </c>
      <c r="J2285" s="1">
        <v>448</v>
      </c>
      <c r="K2285" s="1">
        <v>0</v>
      </c>
    </row>
    <row r="2286" spans="3:11" x14ac:dyDescent="0.25">
      <c r="C2286" s="1" t="s">
        <v>2910</v>
      </c>
      <c r="D2286" s="1" t="s">
        <v>2911</v>
      </c>
      <c r="E2286" s="1" t="s">
        <v>2912</v>
      </c>
      <c r="F2286" s="1">
        <v>0</v>
      </c>
      <c r="G2286" s="1">
        <v>0</v>
      </c>
      <c r="H2286" s="1">
        <v>0</v>
      </c>
      <c r="I2286" s="1">
        <v>443</v>
      </c>
      <c r="J2286" s="1">
        <v>443</v>
      </c>
      <c r="K2286" s="1">
        <v>0</v>
      </c>
    </row>
    <row r="2287" spans="3:11" x14ac:dyDescent="0.25">
      <c r="C2287" s="1" t="s">
        <v>1325</v>
      </c>
      <c r="D2287" s="1" t="s">
        <v>1326</v>
      </c>
      <c r="E2287" s="1" t="s">
        <v>1327</v>
      </c>
      <c r="F2287" s="1">
        <v>0</v>
      </c>
      <c r="G2287" s="1">
        <v>0</v>
      </c>
      <c r="H2287" s="1">
        <v>0</v>
      </c>
      <c r="I2287" s="1">
        <v>443</v>
      </c>
      <c r="J2287" s="1">
        <v>443</v>
      </c>
      <c r="K2287" s="1">
        <v>0</v>
      </c>
    </row>
    <row r="2288" spans="3:11" x14ac:dyDescent="0.25">
      <c r="C2288" s="1" t="s">
        <v>9332</v>
      </c>
      <c r="D2288" s="1" t="s">
        <v>9333</v>
      </c>
      <c r="E2288" s="1" t="s">
        <v>9334</v>
      </c>
      <c r="F2288" s="1">
        <v>0</v>
      </c>
      <c r="G2288" s="1">
        <v>0</v>
      </c>
      <c r="H2288" s="1">
        <v>0</v>
      </c>
      <c r="I2288" s="1">
        <v>440</v>
      </c>
      <c r="J2288" s="1">
        <v>440</v>
      </c>
      <c r="K2288" s="1">
        <v>0</v>
      </c>
    </row>
    <row r="2289" spans="3:11" x14ac:dyDescent="0.25">
      <c r="C2289" s="1" t="s">
        <v>2148</v>
      </c>
      <c r="D2289" s="1" t="s">
        <v>2149</v>
      </c>
      <c r="E2289" s="1" t="s">
        <v>2150</v>
      </c>
      <c r="F2289" s="1">
        <v>0</v>
      </c>
      <c r="G2289" s="1">
        <v>0</v>
      </c>
      <c r="H2289" s="1">
        <v>0</v>
      </c>
      <c r="I2289" s="1">
        <v>426</v>
      </c>
      <c r="J2289" s="1">
        <v>426</v>
      </c>
      <c r="K2289" s="1">
        <v>0</v>
      </c>
    </row>
    <row r="2290" spans="3:11" x14ac:dyDescent="0.25">
      <c r="C2290" s="1" t="s">
        <v>1328</v>
      </c>
      <c r="D2290" s="1" t="s">
        <v>1329</v>
      </c>
      <c r="E2290" s="1" t="s">
        <v>1328</v>
      </c>
      <c r="F2290" s="1">
        <v>0</v>
      </c>
      <c r="G2290" s="1">
        <v>0</v>
      </c>
      <c r="H2290" s="1">
        <v>0</v>
      </c>
      <c r="I2290" s="1">
        <v>422</v>
      </c>
      <c r="J2290" s="1">
        <v>422</v>
      </c>
      <c r="K2290" s="1">
        <v>0</v>
      </c>
    </row>
    <row r="2291" spans="3:11" x14ac:dyDescent="0.25">
      <c r="C2291" s="1" t="s">
        <v>2929</v>
      </c>
      <c r="D2291" s="1" t="s">
        <v>2930</v>
      </c>
      <c r="E2291" s="1" t="s">
        <v>2931</v>
      </c>
      <c r="F2291" s="1">
        <v>0</v>
      </c>
      <c r="G2291" s="1">
        <v>0</v>
      </c>
      <c r="H2291" s="1">
        <v>0</v>
      </c>
      <c r="I2291" s="1">
        <v>415</v>
      </c>
      <c r="J2291" s="1">
        <v>415</v>
      </c>
      <c r="K2291" s="1">
        <v>0</v>
      </c>
    </row>
    <row r="2292" spans="3:11" x14ac:dyDescent="0.25">
      <c r="C2292" s="1" t="s">
        <v>2932</v>
      </c>
      <c r="D2292" s="1" t="s">
        <v>2933</v>
      </c>
      <c r="E2292" s="1" t="s">
        <v>2934</v>
      </c>
      <c r="F2292" s="1">
        <v>0</v>
      </c>
      <c r="G2292" s="1">
        <v>0</v>
      </c>
      <c r="H2292" s="1">
        <v>0</v>
      </c>
      <c r="I2292" s="1">
        <v>408</v>
      </c>
      <c r="J2292" s="1">
        <v>408</v>
      </c>
      <c r="K2292" s="1">
        <v>0</v>
      </c>
    </row>
    <row r="2293" spans="3:11" x14ac:dyDescent="0.25">
      <c r="C2293" s="1" t="s">
        <v>9335</v>
      </c>
      <c r="D2293" s="1" t="s">
        <v>9336</v>
      </c>
      <c r="E2293" s="1" t="s">
        <v>9337</v>
      </c>
      <c r="F2293" s="1">
        <v>0</v>
      </c>
      <c r="G2293" s="1">
        <v>0</v>
      </c>
      <c r="H2293" s="1">
        <v>0</v>
      </c>
      <c r="I2293" s="1">
        <v>407</v>
      </c>
      <c r="J2293" s="1">
        <v>407</v>
      </c>
      <c r="K2293" s="1">
        <v>0</v>
      </c>
    </row>
    <row r="2294" spans="3:11" x14ac:dyDescent="0.25">
      <c r="C2294" s="1" t="s">
        <v>2937</v>
      </c>
      <c r="D2294" s="1" t="s">
        <v>2938</v>
      </c>
      <c r="E2294" s="1" t="s">
        <v>2939</v>
      </c>
      <c r="F2294" s="1">
        <v>0</v>
      </c>
      <c r="G2294" s="1">
        <v>0</v>
      </c>
      <c r="H2294" s="1">
        <v>0</v>
      </c>
      <c r="I2294" s="1">
        <v>404</v>
      </c>
      <c r="J2294" s="1">
        <v>404</v>
      </c>
      <c r="K2294" s="1">
        <v>0</v>
      </c>
    </row>
    <row r="2295" spans="3:11" x14ac:dyDescent="0.25">
      <c r="C2295" s="1" t="s">
        <v>2940</v>
      </c>
      <c r="D2295" s="1" t="s">
        <v>702</v>
      </c>
      <c r="E2295" s="1" t="s">
        <v>2941</v>
      </c>
      <c r="F2295" s="1">
        <v>0</v>
      </c>
      <c r="G2295" s="1">
        <v>0</v>
      </c>
      <c r="H2295" s="1">
        <v>0</v>
      </c>
      <c r="I2295" s="1">
        <v>404</v>
      </c>
      <c r="J2295" s="1">
        <v>404</v>
      </c>
      <c r="K2295" s="1">
        <v>0</v>
      </c>
    </row>
    <row r="2296" spans="3:11" x14ac:dyDescent="0.25">
      <c r="C2296" s="1" t="s">
        <v>9338</v>
      </c>
      <c r="D2296" s="1" t="s">
        <v>9339</v>
      </c>
      <c r="E2296" s="1" t="s">
        <v>9340</v>
      </c>
      <c r="F2296" s="1">
        <v>0</v>
      </c>
      <c r="G2296" s="1">
        <v>0</v>
      </c>
      <c r="H2296" s="1">
        <v>0</v>
      </c>
      <c r="I2296" s="1">
        <v>403</v>
      </c>
      <c r="J2296" s="1">
        <v>403</v>
      </c>
      <c r="K2296" s="1">
        <v>0</v>
      </c>
    </row>
    <row r="2297" spans="3:11" x14ac:dyDescent="0.25">
      <c r="C2297" s="1" t="s">
        <v>2942</v>
      </c>
      <c r="D2297" s="1" t="s">
        <v>2943</v>
      </c>
      <c r="E2297" s="1" t="s">
        <v>2944</v>
      </c>
      <c r="F2297" s="1">
        <v>0</v>
      </c>
      <c r="G2297" s="1">
        <v>0</v>
      </c>
      <c r="H2297" s="1">
        <v>0</v>
      </c>
      <c r="I2297" s="1">
        <v>403</v>
      </c>
      <c r="J2297" s="1">
        <v>403</v>
      </c>
      <c r="K2297" s="1">
        <v>0</v>
      </c>
    </row>
    <row r="2298" spans="3:11" x14ac:dyDescent="0.25">
      <c r="C2298" s="1" t="s">
        <v>9341</v>
      </c>
      <c r="D2298" s="1" t="s">
        <v>9342</v>
      </c>
      <c r="E2298" s="1" t="s">
        <v>9343</v>
      </c>
      <c r="F2298" s="1">
        <v>0</v>
      </c>
      <c r="G2298" s="1">
        <v>0</v>
      </c>
      <c r="H2298" s="1">
        <v>0</v>
      </c>
      <c r="I2298" s="1">
        <v>400</v>
      </c>
      <c r="J2298" s="1">
        <v>400</v>
      </c>
      <c r="K2298" s="1">
        <v>0</v>
      </c>
    </row>
    <row r="2299" spans="3:11" x14ac:dyDescent="0.25">
      <c r="C2299" s="1" t="s">
        <v>4389</v>
      </c>
      <c r="D2299" s="1" t="s">
        <v>4386</v>
      </c>
      <c r="E2299" s="1" t="s">
        <v>4390</v>
      </c>
      <c r="F2299" s="1">
        <v>0</v>
      </c>
      <c r="G2299" s="1">
        <v>0</v>
      </c>
      <c r="H2299" s="1">
        <v>0</v>
      </c>
      <c r="I2299" s="1">
        <v>400</v>
      </c>
      <c r="J2299" s="1">
        <v>400</v>
      </c>
      <c r="K2299" s="1">
        <v>0</v>
      </c>
    </row>
    <row r="2300" spans="3:11" x14ac:dyDescent="0.25">
      <c r="C2300" s="1" t="s">
        <v>2959</v>
      </c>
      <c r="D2300" s="1" t="s">
        <v>815</v>
      </c>
      <c r="E2300" s="1" t="s">
        <v>2960</v>
      </c>
      <c r="F2300" s="1">
        <v>0</v>
      </c>
      <c r="G2300" s="1">
        <v>0</v>
      </c>
      <c r="H2300" s="1">
        <v>0</v>
      </c>
      <c r="I2300" s="1">
        <v>393</v>
      </c>
      <c r="J2300" s="1">
        <v>393</v>
      </c>
      <c r="K2300" s="1">
        <v>0</v>
      </c>
    </row>
    <row r="2301" spans="3:11" x14ac:dyDescent="0.25">
      <c r="C2301" s="1" t="s">
        <v>1521</v>
      </c>
      <c r="D2301" s="1" t="s">
        <v>159</v>
      </c>
      <c r="E2301" s="1" t="s">
        <v>1522</v>
      </c>
      <c r="F2301" s="1">
        <v>0</v>
      </c>
      <c r="G2301" s="1">
        <v>0</v>
      </c>
      <c r="H2301" s="1">
        <v>0</v>
      </c>
      <c r="I2301" s="1">
        <v>386</v>
      </c>
      <c r="J2301" s="1">
        <v>386</v>
      </c>
      <c r="K2301" s="1">
        <v>0</v>
      </c>
    </row>
    <row r="2302" spans="3:11" x14ac:dyDescent="0.25">
      <c r="C2302" s="1" t="s">
        <v>9344</v>
      </c>
      <c r="D2302" s="1" t="s">
        <v>9345</v>
      </c>
      <c r="E2302" s="1" t="s">
        <v>9346</v>
      </c>
      <c r="F2302" s="1">
        <v>0</v>
      </c>
      <c r="G2302" s="1">
        <v>0</v>
      </c>
      <c r="H2302" s="1">
        <v>0</v>
      </c>
      <c r="I2302" s="1">
        <v>380</v>
      </c>
      <c r="J2302" s="1">
        <v>380</v>
      </c>
      <c r="K2302" s="1">
        <v>0</v>
      </c>
    </row>
    <row r="2303" spans="3:11" x14ac:dyDescent="0.25">
      <c r="C2303" s="1" t="s">
        <v>2964</v>
      </c>
      <c r="D2303" s="1" t="s">
        <v>2965</v>
      </c>
      <c r="E2303" s="1" t="s">
        <v>2966</v>
      </c>
      <c r="F2303" s="1">
        <v>0</v>
      </c>
      <c r="G2303" s="1">
        <v>0</v>
      </c>
      <c r="H2303" s="1">
        <v>0</v>
      </c>
      <c r="I2303" s="1">
        <v>378</v>
      </c>
      <c r="J2303" s="1">
        <v>378</v>
      </c>
      <c r="K2303" s="1">
        <v>0</v>
      </c>
    </row>
    <row r="2304" spans="3:11" x14ac:dyDescent="0.25">
      <c r="C2304" s="1" t="s">
        <v>1357</v>
      </c>
      <c r="D2304" s="1" t="s">
        <v>1358</v>
      </c>
      <c r="E2304" s="1" t="s">
        <v>1359</v>
      </c>
      <c r="F2304" s="1">
        <v>0</v>
      </c>
      <c r="G2304" s="1">
        <v>0</v>
      </c>
      <c r="H2304" s="1">
        <v>0</v>
      </c>
      <c r="I2304" s="1">
        <v>376</v>
      </c>
      <c r="J2304" s="1">
        <v>376</v>
      </c>
      <c r="K2304" s="1">
        <v>0</v>
      </c>
    </row>
    <row r="2305" spans="3:11" x14ac:dyDescent="0.25">
      <c r="C2305" s="1" t="s">
        <v>2252</v>
      </c>
      <c r="D2305" s="1" t="s">
        <v>2253</v>
      </c>
      <c r="E2305" s="1" t="s">
        <v>2254</v>
      </c>
      <c r="F2305" s="1">
        <v>0</v>
      </c>
      <c r="G2305" s="1">
        <v>0</v>
      </c>
      <c r="H2305" s="1">
        <v>0</v>
      </c>
      <c r="I2305" s="1">
        <v>375</v>
      </c>
      <c r="J2305" s="1">
        <v>375</v>
      </c>
      <c r="K2305" s="1">
        <v>0</v>
      </c>
    </row>
    <row r="2306" spans="3:11" x14ac:dyDescent="0.25">
      <c r="C2306" s="1" t="s">
        <v>1370</v>
      </c>
      <c r="D2306" s="1" t="s">
        <v>1371</v>
      </c>
      <c r="E2306" s="1" t="s">
        <v>1372</v>
      </c>
      <c r="F2306" s="1">
        <v>0</v>
      </c>
      <c r="G2306" s="1">
        <v>0</v>
      </c>
      <c r="H2306" s="1">
        <v>0</v>
      </c>
      <c r="I2306" s="1">
        <v>364</v>
      </c>
      <c r="J2306" s="1">
        <v>364</v>
      </c>
      <c r="K2306" s="1">
        <v>0</v>
      </c>
    </row>
    <row r="2307" spans="3:11" x14ac:dyDescent="0.25">
      <c r="C2307" s="1" t="s">
        <v>1373</v>
      </c>
      <c r="D2307" s="1" t="s">
        <v>1374</v>
      </c>
      <c r="E2307" s="1" t="s">
        <v>1375</v>
      </c>
      <c r="F2307" s="1">
        <v>0</v>
      </c>
      <c r="G2307" s="1">
        <v>0</v>
      </c>
      <c r="H2307" s="1">
        <v>0</v>
      </c>
      <c r="I2307" s="1">
        <v>364</v>
      </c>
      <c r="J2307" s="1">
        <v>364</v>
      </c>
      <c r="K2307" s="1">
        <v>0</v>
      </c>
    </row>
    <row r="2308" spans="3:11" x14ac:dyDescent="0.25">
      <c r="C2308" s="1" t="s">
        <v>1376</v>
      </c>
      <c r="D2308" s="1" t="s">
        <v>1377</v>
      </c>
      <c r="E2308" s="1" t="s">
        <v>1378</v>
      </c>
      <c r="F2308" s="1">
        <v>0</v>
      </c>
      <c r="G2308" s="1">
        <v>0</v>
      </c>
      <c r="H2308" s="1">
        <v>0</v>
      </c>
      <c r="I2308" s="1">
        <v>364</v>
      </c>
      <c r="J2308" s="1">
        <v>364</v>
      </c>
      <c r="K2308" s="1">
        <v>0</v>
      </c>
    </row>
    <row r="2309" spans="3:11" x14ac:dyDescent="0.25">
      <c r="C2309" s="1" t="s">
        <v>1379</v>
      </c>
      <c r="D2309" s="1" t="s">
        <v>1380</v>
      </c>
      <c r="E2309" s="1" t="s">
        <v>1381</v>
      </c>
      <c r="F2309" s="1">
        <v>0</v>
      </c>
      <c r="G2309" s="1">
        <v>0</v>
      </c>
      <c r="H2309" s="1">
        <v>0</v>
      </c>
      <c r="I2309" s="1">
        <v>363</v>
      </c>
      <c r="J2309" s="1">
        <v>363</v>
      </c>
      <c r="K2309" s="1">
        <v>0</v>
      </c>
    </row>
    <row r="2310" spans="3:11" x14ac:dyDescent="0.25">
      <c r="C2310" s="1" t="s">
        <v>9347</v>
      </c>
      <c r="D2310" s="1" t="s">
        <v>9348</v>
      </c>
      <c r="E2310" s="1" t="s">
        <v>9349</v>
      </c>
      <c r="F2310" s="1">
        <v>0</v>
      </c>
      <c r="G2310" s="1">
        <v>0</v>
      </c>
      <c r="H2310" s="1">
        <v>0</v>
      </c>
      <c r="I2310" s="1">
        <v>362</v>
      </c>
      <c r="J2310" s="1">
        <v>362</v>
      </c>
      <c r="K2310" s="1">
        <v>0</v>
      </c>
    </row>
    <row r="2311" spans="3:11" x14ac:dyDescent="0.25">
      <c r="C2311" s="1" t="s">
        <v>9350</v>
      </c>
      <c r="D2311" s="1" t="s">
        <v>9351</v>
      </c>
      <c r="E2311" s="1" t="s">
        <v>9352</v>
      </c>
      <c r="F2311" s="1">
        <v>0</v>
      </c>
      <c r="G2311" s="1">
        <v>0</v>
      </c>
      <c r="H2311" s="1">
        <v>0</v>
      </c>
      <c r="I2311" s="1">
        <v>360</v>
      </c>
      <c r="J2311" s="1">
        <v>360</v>
      </c>
      <c r="K2311" s="1">
        <v>0</v>
      </c>
    </row>
    <row r="2312" spans="3:11" x14ac:dyDescent="0.25">
      <c r="C2312" s="1" t="s">
        <v>9353</v>
      </c>
      <c r="D2312" s="1" t="s">
        <v>9354</v>
      </c>
      <c r="E2312" s="1" t="s">
        <v>9355</v>
      </c>
      <c r="F2312" s="1">
        <v>0</v>
      </c>
      <c r="G2312" s="1">
        <v>0</v>
      </c>
      <c r="H2312" s="1">
        <v>0</v>
      </c>
      <c r="I2312" s="1">
        <v>360</v>
      </c>
      <c r="J2312" s="1">
        <v>360</v>
      </c>
      <c r="K2312" s="1">
        <v>0</v>
      </c>
    </row>
    <row r="2313" spans="3:11" x14ac:dyDescent="0.25">
      <c r="C2313" s="1" t="s">
        <v>2985</v>
      </c>
      <c r="D2313" s="1" t="s">
        <v>2986</v>
      </c>
      <c r="E2313" s="1" t="s">
        <v>2985</v>
      </c>
      <c r="F2313" s="1">
        <v>0</v>
      </c>
      <c r="G2313" s="1">
        <v>0</v>
      </c>
      <c r="H2313" s="1">
        <v>0</v>
      </c>
      <c r="I2313" s="1">
        <v>359</v>
      </c>
      <c r="J2313" s="1">
        <v>359</v>
      </c>
      <c r="K2313" s="1">
        <v>0</v>
      </c>
    </row>
    <row r="2314" spans="3:11" x14ac:dyDescent="0.25">
      <c r="C2314" s="1" t="s">
        <v>9356</v>
      </c>
      <c r="D2314" s="1" t="s">
        <v>9357</v>
      </c>
      <c r="E2314" s="1" t="s">
        <v>9358</v>
      </c>
      <c r="F2314" s="1">
        <v>0</v>
      </c>
      <c r="G2314" s="1">
        <v>0</v>
      </c>
      <c r="H2314" s="1">
        <v>0</v>
      </c>
      <c r="I2314" s="1">
        <v>353</v>
      </c>
      <c r="J2314" s="1">
        <v>353</v>
      </c>
      <c r="K2314" s="1">
        <v>0</v>
      </c>
    </row>
    <row r="2315" spans="3:11" x14ac:dyDescent="0.25">
      <c r="C2315" s="1" t="s">
        <v>3004</v>
      </c>
      <c r="D2315" s="1" t="s">
        <v>3005</v>
      </c>
      <c r="E2315" s="1" t="s">
        <v>3006</v>
      </c>
      <c r="F2315" s="1">
        <v>0</v>
      </c>
      <c r="G2315" s="1">
        <v>0</v>
      </c>
      <c r="H2315" s="1">
        <v>0</v>
      </c>
      <c r="I2315" s="1">
        <v>337</v>
      </c>
      <c r="J2315" s="1">
        <v>337</v>
      </c>
      <c r="K2315" s="1">
        <v>0</v>
      </c>
    </row>
    <row r="2316" spans="3:11" x14ac:dyDescent="0.25">
      <c r="C2316" s="1" t="s">
        <v>1423</v>
      </c>
      <c r="D2316" s="1" t="s">
        <v>1424</v>
      </c>
      <c r="E2316" s="1" t="s">
        <v>1425</v>
      </c>
      <c r="F2316" s="1">
        <v>0</v>
      </c>
      <c r="G2316" s="1">
        <v>0</v>
      </c>
      <c r="H2316" s="1">
        <v>0</v>
      </c>
      <c r="I2316" s="1">
        <v>335</v>
      </c>
      <c r="J2316" s="1">
        <v>335</v>
      </c>
      <c r="K2316" s="1">
        <v>0</v>
      </c>
    </row>
    <row r="2317" spans="3:11" x14ac:dyDescent="0.25">
      <c r="C2317" s="1" t="s">
        <v>3007</v>
      </c>
      <c r="D2317" s="1" t="s">
        <v>3008</v>
      </c>
      <c r="E2317" s="1" t="s">
        <v>3009</v>
      </c>
      <c r="F2317" s="1">
        <v>0</v>
      </c>
      <c r="G2317" s="1">
        <v>0</v>
      </c>
      <c r="H2317" s="1">
        <v>0</v>
      </c>
      <c r="I2317" s="1">
        <v>331</v>
      </c>
      <c r="J2317" s="1">
        <v>331</v>
      </c>
      <c r="K2317" s="1">
        <v>0</v>
      </c>
    </row>
    <row r="2318" spans="3:11" x14ac:dyDescent="0.25">
      <c r="C2318" s="1" t="s">
        <v>9359</v>
      </c>
      <c r="D2318" s="1" t="s">
        <v>9360</v>
      </c>
      <c r="E2318" s="1" t="s">
        <v>9361</v>
      </c>
      <c r="F2318" s="1">
        <v>0</v>
      </c>
      <c r="G2318" s="1">
        <v>0</v>
      </c>
      <c r="H2318" s="1">
        <v>0</v>
      </c>
      <c r="I2318" s="1">
        <v>328</v>
      </c>
      <c r="J2318" s="1">
        <v>328</v>
      </c>
      <c r="K2318" s="1">
        <v>0</v>
      </c>
    </row>
    <row r="2319" spans="3:11" x14ac:dyDescent="0.25">
      <c r="C2319" s="1" t="s">
        <v>1401</v>
      </c>
      <c r="D2319" s="1" t="s">
        <v>1402</v>
      </c>
      <c r="E2319" s="1" t="s">
        <v>1403</v>
      </c>
      <c r="F2319" s="1">
        <v>0</v>
      </c>
      <c r="G2319" s="1">
        <v>0</v>
      </c>
      <c r="H2319" s="1">
        <v>0</v>
      </c>
      <c r="I2319" s="1">
        <v>328</v>
      </c>
      <c r="J2319" s="1">
        <v>328</v>
      </c>
      <c r="K2319" s="1">
        <v>0</v>
      </c>
    </row>
    <row r="2320" spans="3:11" x14ac:dyDescent="0.25">
      <c r="C2320" s="1" t="s">
        <v>1407</v>
      </c>
      <c r="D2320" s="1" t="s">
        <v>1408</v>
      </c>
      <c r="E2320" s="1" t="s">
        <v>1409</v>
      </c>
      <c r="F2320" s="1">
        <v>0</v>
      </c>
      <c r="G2320" s="1">
        <v>0</v>
      </c>
      <c r="H2320" s="1">
        <v>0</v>
      </c>
      <c r="I2320" s="1">
        <v>327</v>
      </c>
      <c r="J2320" s="1">
        <v>327</v>
      </c>
      <c r="K2320" s="1">
        <v>0</v>
      </c>
    </row>
    <row r="2321" spans="3:11" x14ac:dyDescent="0.25">
      <c r="C2321" s="1" t="s">
        <v>9362</v>
      </c>
      <c r="D2321" s="1" t="s">
        <v>9363</v>
      </c>
      <c r="E2321" s="1" t="s">
        <v>9364</v>
      </c>
      <c r="F2321" s="1">
        <v>0</v>
      </c>
      <c r="G2321" s="1">
        <v>0</v>
      </c>
      <c r="H2321" s="1">
        <v>0</v>
      </c>
      <c r="I2321" s="1">
        <v>325</v>
      </c>
      <c r="J2321" s="1">
        <v>325</v>
      </c>
      <c r="K2321" s="1">
        <v>0</v>
      </c>
    </row>
    <row r="2322" spans="3:11" x14ac:dyDescent="0.25">
      <c r="C2322" s="1" t="s">
        <v>1410</v>
      </c>
      <c r="D2322" s="1" t="s">
        <v>1411</v>
      </c>
      <c r="E2322" s="1" t="s">
        <v>1412</v>
      </c>
      <c r="F2322" s="1">
        <v>0</v>
      </c>
      <c r="G2322" s="1">
        <v>0</v>
      </c>
      <c r="H2322" s="1">
        <v>0</v>
      </c>
      <c r="I2322" s="1">
        <v>320</v>
      </c>
      <c r="J2322" s="1">
        <v>320</v>
      </c>
      <c r="K2322" s="1">
        <v>0</v>
      </c>
    </row>
    <row r="2323" spans="3:11" x14ac:dyDescent="0.25">
      <c r="C2323" s="1" t="s">
        <v>9365</v>
      </c>
      <c r="D2323" s="1" t="s">
        <v>9366</v>
      </c>
      <c r="E2323" s="1" t="s">
        <v>9367</v>
      </c>
      <c r="F2323" s="1">
        <v>0</v>
      </c>
      <c r="G2323" s="1">
        <v>0</v>
      </c>
      <c r="H2323" s="1">
        <v>0</v>
      </c>
      <c r="I2323" s="1">
        <v>320</v>
      </c>
      <c r="J2323" s="1">
        <v>320</v>
      </c>
      <c r="K2323" s="1">
        <v>0</v>
      </c>
    </row>
    <row r="2324" spans="3:11" x14ac:dyDescent="0.25">
      <c r="C2324" s="1" t="s">
        <v>9368</v>
      </c>
      <c r="D2324" s="1" t="s">
        <v>9369</v>
      </c>
      <c r="E2324" s="1" t="s">
        <v>9370</v>
      </c>
      <c r="F2324" s="1">
        <v>0</v>
      </c>
      <c r="G2324" s="1">
        <v>0</v>
      </c>
      <c r="H2324" s="1">
        <v>0</v>
      </c>
      <c r="I2324" s="1">
        <v>310</v>
      </c>
      <c r="J2324" s="1">
        <v>310</v>
      </c>
      <c r="K2324" s="1">
        <v>0</v>
      </c>
    </row>
    <row r="2325" spans="3:11" x14ac:dyDescent="0.25">
      <c r="C2325" s="1" t="s">
        <v>3029</v>
      </c>
      <c r="D2325" s="1" t="s">
        <v>709</v>
      </c>
      <c r="E2325" s="1" t="s">
        <v>3030</v>
      </c>
      <c r="F2325" s="1">
        <v>0</v>
      </c>
      <c r="G2325" s="1">
        <v>0</v>
      </c>
      <c r="H2325" s="1">
        <v>0</v>
      </c>
      <c r="I2325" s="1">
        <v>308</v>
      </c>
      <c r="J2325" s="1">
        <v>308</v>
      </c>
      <c r="K2325" s="1">
        <v>0</v>
      </c>
    </row>
    <row r="2326" spans="3:11" x14ac:dyDescent="0.25">
      <c r="C2326" s="1" t="s">
        <v>1428</v>
      </c>
      <c r="D2326" s="1" t="s">
        <v>143</v>
      </c>
      <c r="E2326" s="1" t="s">
        <v>1429</v>
      </c>
      <c r="F2326" s="1">
        <v>0</v>
      </c>
      <c r="G2326" s="1">
        <v>0</v>
      </c>
      <c r="H2326" s="1">
        <v>0</v>
      </c>
      <c r="I2326" s="1">
        <v>308</v>
      </c>
      <c r="J2326" s="1">
        <v>308</v>
      </c>
      <c r="K2326" s="1">
        <v>0</v>
      </c>
    </row>
    <row r="2327" spans="3:11" x14ac:dyDescent="0.25">
      <c r="C2327" s="1" t="s">
        <v>3033</v>
      </c>
      <c r="D2327" s="1" t="s">
        <v>2224</v>
      </c>
      <c r="E2327" s="1" t="s">
        <v>3034</v>
      </c>
      <c r="F2327" s="1">
        <v>0</v>
      </c>
      <c r="G2327" s="1">
        <v>0</v>
      </c>
      <c r="H2327" s="1">
        <v>0</v>
      </c>
      <c r="I2327" s="1">
        <v>307</v>
      </c>
      <c r="J2327" s="1">
        <v>307</v>
      </c>
      <c r="K2327" s="1">
        <v>0</v>
      </c>
    </row>
    <row r="2328" spans="3:11" x14ac:dyDescent="0.25">
      <c r="C2328" s="1" t="s">
        <v>9371</v>
      </c>
      <c r="D2328" s="1" t="s">
        <v>9372</v>
      </c>
      <c r="E2328" s="1" t="s">
        <v>9373</v>
      </c>
      <c r="F2328" s="1">
        <v>0</v>
      </c>
      <c r="G2328" s="1">
        <v>0</v>
      </c>
      <c r="H2328" s="1">
        <v>0</v>
      </c>
      <c r="I2328" s="1">
        <v>298</v>
      </c>
      <c r="J2328" s="1">
        <v>298</v>
      </c>
      <c r="K2328" s="1">
        <v>0</v>
      </c>
    </row>
    <row r="2329" spans="3:11" x14ac:dyDescent="0.25">
      <c r="C2329" s="1" t="s">
        <v>1446</v>
      </c>
      <c r="D2329" s="1" t="s">
        <v>1447</v>
      </c>
      <c r="E2329" s="1" t="s">
        <v>1448</v>
      </c>
      <c r="F2329" s="1">
        <v>0</v>
      </c>
      <c r="G2329" s="1">
        <v>0</v>
      </c>
      <c r="H2329" s="1">
        <v>0</v>
      </c>
      <c r="I2329" s="1">
        <v>294</v>
      </c>
      <c r="J2329" s="1">
        <v>294</v>
      </c>
      <c r="K2329" s="1">
        <v>0</v>
      </c>
    </row>
    <row r="2330" spans="3:11" x14ac:dyDescent="0.25">
      <c r="C2330" s="1" t="s">
        <v>9374</v>
      </c>
      <c r="D2330" s="1" t="s">
        <v>9375</v>
      </c>
      <c r="E2330" s="1" t="s">
        <v>9374</v>
      </c>
      <c r="F2330" s="1">
        <v>0</v>
      </c>
      <c r="G2330" s="1">
        <v>0</v>
      </c>
      <c r="H2330" s="1">
        <v>0</v>
      </c>
      <c r="I2330" s="1">
        <v>284</v>
      </c>
      <c r="J2330" s="1">
        <v>284</v>
      </c>
      <c r="K2330" s="1">
        <v>0</v>
      </c>
    </row>
    <row r="2331" spans="3:11" x14ac:dyDescent="0.25">
      <c r="C2331" s="1" t="s">
        <v>9376</v>
      </c>
      <c r="D2331" s="1" t="s">
        <v>9377</v>
      </c>
      <c r="E2331" s="1" t="s">
        <v>9378</v>
      </c>
      <c r="F2331" s="1">
        <v>0</v>
      </c>
      <c r="G2331" s="1">
        <v>0</v>
      </c>
      <c r="H2331" s="1">
        <v>0</v>
      </c>
      <c r="I2331" s="1">
        <v>282</v>
      </c>
      <c r="J2331" s="1">
        <v>282</v>
      </c>
      <c r="K2331" s="1">
        <v>0</v>
      </c>
    </row>
    <row r="2332" spans="3:11" x14ac:dyDescent="0.25">
      <c r="C2332" s="1" t="s">
        <v>1553</v>
      </c>
      <c r="D2332" s="1" t="s">
        <v>1554</v>
      </c>
      <c r="E2332" s="1" t="s">
        <v>1555</v>
      </c>
      <c r="F2332" s="1">
        <v>0</v>
      </c>
      <c r="G2332" s="1">
        <v>0</v>
      </c>
      <c r="H2332" s="1">
        <v>0</v>
      </c>
      <c r="I2332" s="1">
        <v>282</v>
      </c>
      <c r="J2332" s="1">
        <v>282</v>
      </c>
      <c r="K2332" s="1">
        <v>0</v>
      </c>
    </row>
    <row r="2333" spans="3:11" x14ac:dyDescent="0.25">
      <c r="C2333" s="1" t="s">
        <v>3049</v>
      </c>
      <c r="D2333" s="1" t="s">
        <v>3050</v>
      </c>
      <c r="E2333" s="1" t="s">
        <v>3051</v>
      </c>
      <c r="F2333" s="1">
        <v>0</v>
      </c>
      <c r="G2333" s="1">
        <v>0</v>
      </c>
      <c r="H2333" s="1">
        <v>0</v>
      </c>
      <c r="I2333" s="1">
        <v>282</v>
      </c>
      <c r="J2333" s="1">
        <v>282</v>
      </c>
      <c r="K2333" s="1">
        <v>0</v>
      </c>
    </row>
    <row r="2334" spans="3:11" x14ac:dyDescent="0.25">
      <c r="C2334" s="1" t="s">
        <v>1483</v>
      </c>
      <c r="D2334" s="1" t="s">
        <v>155</v>
      </c>
      <c r="E2334" s="1" t="s">
        <v>1484</v>
      </c>
      <c r="F2334" s="1">
        <v>0</v>
      </c>
      <c r="G2334" s="1">
        <v>0</v>
      </c>
      <c r="H2334" s="1">
        <v>0</v>
      </c>
      <c r="I2334" s="1">
        <v>280</v>
      </c>
      <c r="J2334" s="1">
        <v>280</v>
      </c>
      <c r="K2334" s="1">
        <v>0</v>
      </c>
    </row>
    <row r="2335" spans="3:11" x14ac:dyDescent="0.25">
      <c r="C2335" s="1" t="s">
        <v>9379</v>
      </c>
      <c r="D2335" s="1" t="s">
        <v>9380</v>
      </c>
      <c r="E2335" s="1" t="s">
        <v>9381</v>
      </c>
      <c r="F2335" s="1">
        <v>0</v>
      </c>
      <c r="G2335" s="1">
        <v>0</v>
      </c>
      <c r="H2335" s="1">
        <v>0</v>
      </c>
      <c r="I2335" s="1">
        <v>279</v>
      </c>
      <c r="J2335" s="1">
        <v>279</v>
      </c>
      <c r="K2335" s="1">
        <v>0</v>
      </c>
    </row>
    <row r="2336" spans="3:11" x14ac:dyDescent="0.25">
      <c r="C2336" s="1" t="s">
        <v>9382</v>
      </c>
      <c r="D2336" s="1" t="s">
        <v>9383</v>
      </c>
      <c r="E2336" s="1" t="s">
        <v>9384</v>
      </c>
      <c r="F2336" s="1">
        <v>0</v>
      </c>
      <c r="G2336" s="1">
        <v>0</v>
      </c>
      <c r="H2336" s="1">
        <v>0</v>
      </c>
      <c r="I2336" s="1">
        <v>278</v>
      </c>
      <c r="J2336" s="1">
        <v>278</v>
      </c>
      <c r="K2336" s="1">
        <v>0</v>
      </c>
    </row>
    <row r="2337" spans="3:11" x14ac:dyDescent="0.25">
      <c r="C2337" s="1" t="s">
        <v>1488</v>
      </c>
      <c r="D2337" s="1" t="s">
        <v>166</v>
      </c>
      <c r="E2337" s="1" t="s">
        <v>1489</v>
      </c>
      <c r="F2337" s="1">
        <v>0</v>
      </c>
      <c r="G2337" s="1">
        <v>0</v>
      </c>
      <c r="H2337" s="1">
        <v>0</v>
      </c>
      <c r="I2337" s="1">
        <v>265</v>
      </c>
      <c r="J2337" s="1">
        <v>265</v>
      </c>
      <c r="K2337" s="1">
        <v>0</v>
      </c>
    </row>
    <row r="2338" spans="3:11" x14ac:dyDescent="0.25">
      <c r="C2338" s="1" t="s">
        <v>1492</v>
      </c>
      <c r="D2338" s="1" t="s">
        <v>1493</v>
      </c>
      <c r="E2338" s="1" t="s">
        <v>1494</v>
      </c>
      <c r="F2338" s="1">
        <v>0</v>
      </c>
      <c r="G2338" s="1">
        <v>0</v>
      </c>
      <c r="H2338" s="1">
        <v>0</v>
      </c>
      <c r="I2338" s="1">
        <v>258</v>
      </c>
      <c r="J2338" s="1">
        <v>258</v>
      </c>
      <c r="K2338" s="1">
        <v>0</v>
      </c>
    </row>
    <row r="2339" spans="3:11" x14ac:dyDescent="0.25">
      <c r="C2339" s="1" t="s">
        <v>2219</v>
      </c>
      <c r="D2339" s="1" t="s">
        <v>2220</v>
      </c>
      <c r="E2339" s="1" t="s">
        <v>2221</v>
      </c>
      <c r="F2339" s="1">
        <v>0</v>
      </c>
      <c r="G2339" s="1">
        <v>0</v>
      </c>
      <c r="H2339" s="1">
        <v>0</v>
      </c>
      <c r="I2339" s="1">
        <v>255</v>
      </c>
      <c r="J2339" s="1">
        <v>255</v>
      </c>
      <c r="K2339" s="1">
        <v>0</v>
      </c>
    </row>
    <row r="2340" spans="3:11" x14ac:dyDescent="0.25">
      <c r="C2340" s="1" t="s">
        <v>2112</v>
      </c>
      <c r="D2340" s="1" t="s">
        <v>2113</v>
      </c>
      <c r="E2340" s="1" t="s">
        <v>2114</v>
      </c>
      <c r="F2340" s="1">
        <v>0</v>
      </c>
      <c r="G2340" s="1">
        <v>0</v>
      </c>
      <c r="H2340" s="1">
        <v>0</v>
      </c>
      <c r="I2340" s="1">
        <v>253</v>
      </c>
      <c r="J2340" s="1">
        <v>253</v>
      </c>
      <c r="K2340" s="1">
        <v>0</v>
      </c>
    </row>
    <row r="2341" spans="3:11" x14ac:dyDescent="0.25">
      <c r="C2341" s="1" t="s">
        <v>9385</v>
      </c>
      <c r="D2341" s="1" t="s">
        <v>9386</v>
      </c>
      <c r="E2341" s="1" t="s">
        <v>9387</v>
      </c>
      <c r="F2341" s="1">
        <v>0</v>
      </c>
      <c r="G2341" s="1">
        <v>0</v>
      </c>
      <c r="H2341" s="1">
        <v>0</v>
      </c>
      <c r="I2341" s="1">
        <v>249</v>
      </c>
      <c r="J2341" s="1">
        <v>249</v>
      </c>
      <c r="K2341" s="1">
        <v>0</v>
      </c>
    </row>
    <row r="2342" spans="3:11" x14ac:dyDescent="0.25">
      <c r="C2342" s="1" t="s">
        <v>3090</v>
      </c>
      <c r="D2342" s="1" t="s">
        <v>3091</v>
      </c>
      <c r="E2342" s="1" t="s">
        <v>3092</v>
      </c>
      <c r="F2342" s="1">
        <v>0</v>
      </c>
      <c r="G2342" s="1">
        <v>0</v>
      </c>
      <c r="H2342" s="1">
        <v>0</v>
      </c>
      <c r="I2342" s="1">
        <v>245</v>
      </c>
      <c r="J2342" s="1">
        <v>245</v>
      </c>
      <c r="K2342" s="1">
        <v>0</v>
      </c>
    </row>
    <row r="2343" spans="3:11" x14ac:dyDescent="0.25">
      <c r="C2343" s="1" t="s">
        <v>1518</v>
      </c>
      <c r="D2343" s="1" t="s">
        <v>1519</v>
      </c>
      <c r="E2343" s="1" t="s">
        <v>1520</v>
      </c>
      <c r="F2343" s="1">
        <v>0</v>
      </c>
      <c r="G2343" s="1">
        <v>0</v>
      </c>
      <c r="H2343" s="1">
        <v>0</v>
      </c>
      <c r="I2343" s="1">
        <v>245</v>
      </c>
      <c r="J2343" s="1">
        <v>245</v>
      </c>
      <c r="K2343" s="1">
        <v>0</v>
      </c>
    </row>
    <row r="2344" spans="3:11" x14ac:dyDescent="0.25">
      <c r="C2344" s="1" t="s">
        <v>3104</v>
      </c>
      <c r="D2344" s="1" t="s">
        <v>3105</v>
      </c>
      <c r="E2344" s="1" t="s">
        <v>3106</v>
      </c>
      <c r="F2344" s="1">
        <v>0</v>
      </c>
      <c r="G2344" s="1">
        <v>0</v>
      </c>
      <c r="H2344" s="1">
        <v>0</v>
      </c>
      <c r="I2344" s="1">
        <v>241</v>
      </c>
      <c r="J2344" s="1">
        <v>241</v>
      </c>
      <c r="K2344" s="1">
        <v>0</v>
      </c>
    </row>
    <row r="2345" spans="3:11" x14ac:dyDescent="0.25">
      <c r="C2345" s="1" t="s">
        <v>9388</v>
      </c>
      <c r="D2345" s="1" t="s">
        <v>9389</v>
      </c>
      <c r="E2345" s="1" t="s">
        <v>9390</v>
      </c>
      <c r="F2345" s="1">
        <v>0</v>
      </c>
      <c r="G2345" s="1">
        <v>0</v>
      </c>
      <c r="H2345" s="1">
        <v>0</v>
      </c>
      <c r="I2345" s="1">
        <v>240</v>
      </c>
      <c r="J2345" s="1">
        <v>240</v>
      </c>
      <c r="K2345" s="1">
        <v>0</v>
      </c>
    </row>
    <row r="2346" spans="3:11" x14ac:dyDescent="0.25">
      <c r="C2346" s="1" t="s">
        <v>1504</v>
      </c>
      <c r="D2346" s="1" t="s">
        <v>1505</v>
      </c>
      <c r="E2346" s="1" t="s">
        <v>1506</v>
      </c>
      <c r="F2346" s="1">
        <v>0</v>
      </c>
      <c r="G2346" s="1">
        <v>0</v>
      </c>
      <c r="H2346" s="1">
        <v>0</v>
      </c>
      <c r="I2346" s="1">
        <v>240</v>
      </c>
      <c r="J2346" s="1">
        <v>240</v>
      </c>
      <c r="K2346" s="1">
        <v>0</v>
      </c>
    </row>
    <row r="2347" spans="3:11" x14ac:dyDescent="0.25">
      <c r="C2347" s="1" t="s">
        <v>3107</v>
      </c>
      <c r="D2347" s="1" t="s">
        <v>3108</v>
      </c>
      <c r="E2347" s="1" t="s">
        <v>3109</v>
      </c>
      <c r="F2347" s="1">
        <v>0</v>
      </c>
      <c r="G2347" s="1">
        <v>0</v>
      </c>
      <c r="H2347" s="1">
        <v>0</v>
      </c>
      <c r="I2347" s="1">
        <v>240</v>
      </c>
      <c r="J2347" s="1">
        <v>240</v>
      </c>
      <c r="K2347" s="1">
        <v>0</v>
      </c>
    </row>
    <row r="2348" spans="3:11" x14ac:dyDescent="0.25">
      <c r="C2348" s="1" t="s">
        <v>1511</v>
      </c>
      <c r="D2348" s="1" t="s">
        <v>1512</v>
      </c>
      <c r="E2348" s="1" t="s">
        <v>1513</v>
      </c>
      <c r="F2348" s="1">
        <v>0</v>
      </c>
      <c r="G2348" s="1">
        <v>0</v>
      </c>
      <c r="H2348" s="1">
        <v>0</v>
      </c>
      <c r="I2348" s="1">
        <v>239</v>
      </c>
      <c r="J2348" s="1">
        <v>239</v>
      </c>
      <c r="K2348" s="1">
        <v>0</v>
      </c>
    </row>
    <row r="2349" spans="3:11" x14ac:dyDescent="0.25">
      <c r="C2349" s="1" t="s">
        <v>3112</v>
      </c>
      <c r="D2349" s="1" t="s">
        <v>3113</v>
      </c>
      <c r="E2349" s="1" t="s">
        <v>3114</v>
      </c>
      <c r="F2349" s="1">
        <v>0</v>
      </c>
      <c r="G2349" s="1">
        <v>0</v>
      </c>
      <c r="H2349" s="1">
        <v>0</v>
      </c>
      <c r="I2349" s="1">
        <v>237</v>
      </c>
      <c r="J2349" s="1">
        <v>237</v>
      </c>
      <c r="K2349" s="1">
        <v>0</v>
      </c>
    </row>
    <row r="2350" spans="3:11" x14ac:dyDescent="0.25">
      <c r="C2350" s="1" t="s">
        <v>9391</v>
      </c>
      <c r="D2350" s="1" t="s">
        <v>9392</v>
      </c>
      <c r="E2350" s="1" t="s">
        <v>9391</v>
      </c>
      <c r="F2350" s="1">
        <v>0</v>
      </c>
      <c r="G2350" s="1">
        <v>0</v>
      </c>
      <c r="H2350" s="1">
        <v>0</v>
      </c>
      <c r="I2350" s="1">
        <v>236</v>
      </c>
      <c r="J2350" s="1">
        <v>236</v>
      </c>
      <c r="K2350" s="1">
        <v>0</v>
      </c>
    </row>
    <row r="2351" spans="3:11" x14ac:dyDescent="0.25">
      <c r="C2351" s="1" t="s">
        <v>1516</v>
      </c>
      <c r="D2351" s="1" t="s">
        <v>158</v>
      </c>
      <c r="E2351" s="1" t="s">
        <v>1517</v>
      </c>
      <c r="F2351" s="1">
        <v>0</v>
      </c>
      <c r="G2351" s="1">
        <v>0</v>
      </c>
      <c r="H2351" s="1">
        <v>0</v>
      </c>
      <c r="I2351" s="1">
        <v>236</v>
      </c>
      <c r="J2351" s="1">
        <v>236</v>
      </c>
      <c r="K2351" s="1">
        <v>0</v>
      </c>
    </row>
    <row r="2352" spans="3:11" x14ac:dyDescent="0.25">
      <c r="C2352" s="1" t="s">
        <v>9393</v>
      </c>
      <c r="D2352" s="1" t="s">
        <v>9394</v>
      </c>
      <c r="E2352" s="1" t="s">
        <v>9395</v>
      </c>
      <c r="F2352" s="1">
        <v>0</v>
      </c>
      <c r="G2352" s="1">
        <v>0</v>
      </c>
      <c r="H2352" s="1">
        <v>0</v>
      </c>
      <c r="I2352" s="1">
        <v>232</v>
      </c>
      <c r="J2352" s="1">
        <v>232</v>
      </c>
      <c r="K2352" s="1">
        <v>0</v>
      </c>
    </row>
    <row r="2353" spans="3:11" x14ac:dyDescent="0.25">
      <c r="C2353" s="1" t="s">
        <v>3120</v>
      </c>
      <c r="D2353" s="1" t="s">
        <v>3121</v>
      </c>
      <c r="E2353" s="1" t="s">
        <v>3122</v>
      </c>
      <c r="F2353" s="1">
        <v>0</v>
      </c>
      <c r="G2353" s="1">
        <v>0</v>
      </c>
      <c r="H2353" s="1">
        <v>0</v>
      </c>
      <c r="I2353" s="1">
        <v>232</v>
      </c>
      <c r="J2353" s="1">
        <v>232</v>
      </c>
      <c r="K2353" s="1">
        <v>0</v>
      </c>
    </row>
    <row r="2354" spans="3:11" x14ac:dyDescent="0.25">
      <c r="C2354" s="1" t="s">
        <v>9396</v>
      </c>
      <c r="D2354" s="1" t="s">
        <v>9397</v>
      </c>
      <c r="E2354" s="1" t="s">
        <v>9398</v>
      </c>
      <c r="F2354" s="1">
        <v>0</v>
      </c>
      <c r="G2354" s="1">
        <v>0</v>
      </c>
      <c r="H2354" s="1">
        <v>0</v>
      </c>
      <c r="I2354" s="1">
        <v>229</v>
      </c>
      <c r="J2354" s="1">
        <v>229</v>
      </c>
      <c r="K2354" s="1">
        <v>0</v>
      </c>
    </row>
    <row r="2355" spans="3:11" x14ac:dyDescent="0.25">
      <c r="C2355" s="1" t="s">
        <v>3128</v>
      </c>
      <c r="D2355" s="1" t="s">
        <v>718</v>
      </c>
      <c r="E2355" s="1" t="s">
        <v>3129</v>
      </c>
      <c r="F2355" s="1">
        <v>0</v>
      </c>
      <c r="G2355" s="1">
        <v>0</v>
      </c>
      <c r="H2355" s="1">
        <v>0</v>
      </c>
      <c r="I2355" s="1">
        <v>226</v>
      </c>
      <c r="J2355" s="1">
        <v>226</v>
      </c>
      <c r="K2355" s="1">
        <v>0</v>
      </c>
    </row>
    <row r="2356" spans="3:11" x14ac:dyDescent="0.25">
      <c r="C2356" s="1" t="s">
        <v>9399</v>
      </c>
      <c r="D2356" s="1" t="s">
        <v>9400</v>
      </c>
      <c r="E2356" s="1" t="s">
        <v>9401</v>
      </c>
      <c r="F2356" s="1">
        <v>0</v>
      </c>
      <c r="G2356" s="1">
        <v>0</v>
      </c>
      <c r="H2356" s="1">
        <v>0</v>
      </c>
      <c r="I2356" s="1">
        <v>225</v>
      </c>
      <c r="J2356" s="1">
        <v>225</v>
      </c>
      <c r="K2356" s="1">
        <v>0</v>
      </c>
    </row>
    <row r="2357" spans="3:11" x14ac:dyDescent="0.25">
      <c r="C2357" s="1" t="s">
        <v>1523</v>
      </c>
      <c r="D2357" s="1" t="s">
        <v>1524</v>
      </c>
      <c r="E2357" s="1" t="s">
        <v>1525</v>
      </c>
      <c r="F2357" s="1">
        <v>0</v>
      </c>
      <c r="G2357" s="1">
        <v>0</v>
      </c>
      <c r="H2357" s="1">
        <v>0</v>
      </c>
      <c r="I2357" s="1">
        <v>224</v>
      </c>
      <c r="J2357" s="1">
        <v>224</v>
      </c>
      <c r="K2357" s="1">
        <v>0</v>
      </c>
    </row>
    <row r="2358" spans="3:11" x14ac:dyDescent="0.25">
      <c r="C2358" s="1" t="s">
        <v>3142</v>
      </c>
      <c r="D2358" s="1" t="s">
        <v>672</v>
      </c>
      <c r="E2358" s="1" t="s">
        <v>3143</v>
      </c>
      <c r="F2358" s="1">
        <v>0</v>
      </c>
      <c r="G2358" s="1">
        <v>0</v>
      </c>
      <c r="H2358" s="1">
        <v>0</v>
      </c>
      <c r="I2358" s="1">
        <v>222</v>
      </c>
      <c r="J2358" s="1">
        <v>222</v>
      </c>
      <c r="K2358" s="1">
        <v>0</v>
      </c>
    </row>
    <row r="2359" spans="3:11" x14ac:dyDescent="0.25">
      <c r="C2359" s="1" t="s">
        <v>3144</v>
      </c>
      <c r="D2359" s="1" t="s">
        <v>3145</v>
      </c>
      <c r="E2359" s="1" t="s">
        <v>3146</v>
      </c>
      <c r="F2359" s="1">
        <v>0</v>
      </c>
      <c r="G2359" s="1">
        <v>0</v>
      </c>
      <c r="H2359" s="1">
        <v>0</v>
      </c>
      <c r="I2359" s="1">
        <v>220</v>
      </c>
      <c r="J2359" s="1">
        <v>220</v>
      </c>
      <c r="K2359" s="1">
        <v>0</v>
      </c>
    </row>
    <row r="2360" spans="3:11" x14ac:dyDescent="0.25">
      <c r="C2360" s="1" t="s">
        <v>4275</v>
      </c>
      <c r="D2360" s="1" t="s">
        <v>4276</v>
      </c>
      <c r="E2360" s="1" t="s">
        <v>4277</v>
      </c>
      <c r="F2360" s="1">
        <v>0</v>
      </c>
      <c r="G2360" s="1">
        <v>0</v>
      </c>
      <c r="H2360" s="1">
        <v>0</v>
      </c>
      <c r="I2360" s="1">
        <v>220</v>
      </c>
      <c r="J2360" s="1">
        <v>220</v>
      </c>
      <c r="K2360" s="1">
        <v>0</v>
      </c>
    </row>
    <row r="2361" spans="3:11" x14ac:dyDescent="0.25">
      <c r="C2361" s="1" t="s">
        <v>1536</v>
      </c>
      <c r="D2361" s="1" t="s">
        <v>164</v>
      </c>
      <c r="E2361" s="1" t="s">
        <v>1537</v>
      </c>
      <c r="F2361" s="1">
        <v>0</v>
      </c>
      <c r="G2361" s="1">
        <v>0</v>
      </c>
      <c r="H2361" s="1">
        <v>0</v>
      </c>
      <c r="I2361" s="1">
        <v>219</v>
      </c>
      <c r="J2361" s="1">
        <v>219</v>
      </c>
      <c r="K2361" s="1">
        <v>0</v>
      </c>
    </row>
    <row r="2362" spans="3:11" x14ac:dyDescent="0.25">
      <c r="C2362" s="1" t="s">
        <v>9402</v>
      </c>
      <c r="D2362" s="1" t="s">
        <v>9403</v>
      </c>
      <c r="E2362" s="1" t="s">
        <v>9404</v>
      </c>
      <c r="F2362" s="1">
        <v>0</v>
      </c>
      <c r="G2362" s="1">
        <v>0</v>
      </c>
      <c r="H2362" s="1">
        <v>0</v>
      </c>
      <c r="I2362" s="1">
        <v>218</v>
      </c>
      <c r="J2362" s="1">
        <v>218</v>
      </c>
      <c r="K2362" s="1">
        <v>0</v>
      </c>
    </row>
    <row r="2363" spans="3:11" x14ac:dyDescent="0.25">
      <c r="C2363" s="1" t="s">
        <v>1540</v>
      </c>
      <c r="D2363" s="1" t="s">
        <v>163</v>
      </c>
      <c r="E2363" s="1" t="s">
        <v>1541</v>
      </c>
      <c r="F2363" s="1">
        <v>0</v>
      </c>
      <c r="G2363" s="1">
        <v>0</v>
      </c>
      <c r="H2363" s="1">
        <v>0</v>
      </c>
      <c r="I2363" s="1">
        <v>216</v>
      </c>
      <c r="J2363" s="1">
        <v>216</v>
      </c>
      <c r="K2363" s="1">
        <v>0</v>
      </c>
    </row>
    <row r="2364" spans="3:11" x14ac:dyDescent="0.25">
      <c r="C2364" s="1" t="s">
        <v>1542</v>
      </c>
      <c r="D2364" s="1" t="s">
        <v>165</v>
      </c>
      <c r="E2364" s="1" t="s">
        <v>1543</v>
      </c>
      <c r="F2364" s="1">
        <v>0</v>
      </c>
      <c r="G2364" s="1">
        <v>0</v>
      </c>
      <c r="H2364" s="1">
        <v>0</v>
      </c>
      <c r="I2364" s="1">
        <v>216</v>
      </c>
      <c r="J2364" s="1">
        <v>216</v>
      </c>
      <c r="K2364" s="1">
        <v>0</v>
      </c>
    </row>
    <row r="2365" spans="3:11" x14ac:dyDescent="0.25">
      <c r="C2365" s="1" t="s">
        <v>3154</v>
      </c>
      <c r="D2365" s="1" t="s">
        <v>3155</v>
      </c>
      <c r="E2365" s="1" t="s">
        <v>3156</v>
      </c>
      <c r="F2365" s="1">
        <v>0</v>
      </c>
      <c r="G2365" s="1">
        <v>0</v>
      </c>
      <c r="H2365" s="1">
        <v>0</v>
      </c>
      <c r="I2365" s="1">
        <v>211</v>
      </c>
      <c r="J2365" s="1">
        <v>211</v>
      </c>
      <c r="K2365" s="1">
        <v>0</v>
      </c>
    </row>
    <row r="2366" spans="3:11" x14ac:dyDescent="0.25">
      <c r="C2366" s="1" t="s">
        <v>3163</v>
      </c>
      <c r="D2366" s="1" t="s">
        <v>3164</v>
      </c>
      <c r="E2366" s="1" t="s">
        <v>3165</v>
      </c>
      <c r="F2366" s="1">
        <v>0</v>
      </c>
      <c r="G2366" s="1">
        <v>0</v>
      </c>
      <c r="H2366" s="1">
        <v>0</v>
      </c>
      <c r="I2366" s="1">
        <v>210</v>
      </c>
      <c r="J2366" s="1">
        <v>210</v>
      </c>
      <c r="K2366" s="1">
        <v>0</v>
      </c>
    </row>
    <row r="2367" spans="3:11" x14ac:dyDescent="0.25">
      <c r="C2367" s="1" t="s">
        <v>9405</v>
      </c>
      <c r="D2367" s="1" t="s">
        <v>9406</v>
      </c>
      <c r="E2367" s="1" t="s">
        <v>9405</v>
      </c>
      <c r="F2367" s="1">
        <v>0</v>
      </c>
      <c r="G2367" s="1">
        <v>0</v>
      </c>
      <c r="H2367" s="1">
        <v>0</v>
      </c>
      <c r="I2367" s="1">
        <v>208</v>
      </c>
      <c r="J2367" s="1">
        <v>208</v>
      </c>
      <c r="K2367" s="1">
        <v>0</v>
      </c>
    </row>
    <row r="2368" spans="3:11" x14ac:dyDescent="0.25">
      <c r="C2368" s="1" t="s">
        <v>3178</v>
      </c>
      <c r="D2368" s="1" t="s">
        <v>719</v>
      </c>
      <c r="E2368" s="1" t="s">
        <v>3179</v>
      </c>
      <c r="F2368" s="1">
        <v>0</v>
      </c>
      <c r="G2368" s="1">
        <v>0</v>
      </c>
      <c r="H2368" s="1">
        <v>0</v>
      </c>
      <c r="I2368" s="1">
        <v>208</v>
      </c>
      <c r="J2368" s="1">
        <v>208</v>
      </c>
      <c r="K2368" s="1">
        <v>0</v>
      </c>
    </row>
    <row r="2369" spans="3:11" x14ac:dyDescent="0.25">
      <c r="C2369" s="1" t="s">
        <v>9407</v>
      </c>
      <c r="D2369" s="1" t="s">
        <v>9408</v>
      </c>
      <c r="E2369" s="1" t="s">
        <v>9409</v>
      </c>
      <c r="F2369" s="1">
        <v>0</v>
      </c>
      <c r="G2369" s="1">
        <v>0</v>
      </c>
      <c r="H2369" s="1">
        <v>0</v>
      </c>
      <c r="I2369" s="1">
        <v>207</v>
      </c>
      <c r="J2369" s="1">
        <v>207</v>
      </c>
      <c r="K2369" s="1">
        <v>0</v>
      </c>
    </row>
    <row r="2370" spans="3:11" x14ac:dyDescent="0.25">
      <c r="C2370" s="1" t="s">
        <v>1547</v>
      </c>
      <c r="D2370" s="1" t="s">
        <v>1548</v>
      </c>
      <c r="E2370" s="1" t="s">
        <v>1549</v>
      </c>
      <c r="F2370" s="1">
        <v>0</v>
      </c>
      <c r="G2370" s="1">
        <v>0</v>
      </c>
      <c r="H2370" s="1">
        <v>0</v>
      </c>
      <c r="I2370" s="1">
        <v>206</v>
      </c>
      <c r="J2370" s="1">
        <v>206</v>
      </c>
      <c r="K2370" s="1">
        <v>0</v>
      </c>
    </row>
    <row r="2371" spans="3:11" x14ac:dyDescent="0.25">
      <c r="C2371" s="1" t="s">
        <v>9410</v>
      </c>
      <c r="D2371" s="1" t="s">
        <v>9411</v>
      </c>
      <c r="E2371" s="1" t="s">
        <v>9412</v>
      </c>
      <c r="F2371" s="1">
        <v>0</v>
      </c>
      <c r="G2371" s="1">
        <v>0</v>
      </c>
      <c r="H2371" s="1">
        <v>0</v>
      </c>
      <c r="I2371" s="1">
        <v>205</v>
      </c>
      <c r="J2371" s="1">
        <v>205</v>
      </c>
      <c r="K2371" s="1">
        <v>0</v>
      </c>
    </row>
    <row r="2372" spans="3:11" x14ac:dyDescent="0.25">
      <c r="C2372" s="1" t="s">
        <v>3174</v>
      </c>
      <c r="D2372" s="1" t="s">
        <v>3175</v>
      </c>
      <c r="E2372" s="1" t="s">
        <v>3174</v>
      </c>
      <c r="F2372" s="1">
        <v>0</v>
      </c>
      <c r="G2372" s="1">
        <v>0</v>
      </c>
      <c r="H2372" s="1">
        <v>0</v>
      </c>
      <c r="I2372" s="1">
        <v>205</v>
      </c>
      <c r="J2372" s="1">
        <v>205</v>
      </c>
      <c r="K2372" s="1">
        <v>0</v>
      </c>
    </row>
    <row r="2373" spans="3:11" x14ac:dyDescent="0.25">
      <c r="C2373" s="1" t="s">
        <v>1559</v>
      </c>
      <c r="D2373" s="1" t="s">
        <v>1560</v>
      </c>
      <c r="E2373" s="1" t="s">
        <v>1559</v>
      </c>
      <c r="F2373" s="1">
        <v>0</v>
      </c>
      <c r="G2373" s="1">
        <v>0</v>
      </c>
      <c r="H2373" s="1">
        <v>0</v>
      </c>
      <c r="I2373" s="1">
        <v>203</v>
      </c>
      <c r="J2373" s="1">
        <v>203</v>
      </c>
      <c r="K2373" s="1">
        <v>0</v>
      </c>
    </row>
    <row r="2374" spans="3:11" x14ac:dyDescent="0.25">
      <c r="C2374" s="1" t="s">
        <v>3180</v>
      </c>
      <c r="D2374" s="1" t="s">
        <v>3181</v>
      </c>
      <c r="E2374" s="1" t="s">
        <v>3182</v>
      </c>
      <c r="F2374" s="1">
        <v>0</v>
      </c>
      <c r="G2374" s="1">
        <v>0</v>
      </c>
      <c r="H2374" s="1">
        <v>0</v>
      </c>
      <c r="I2374" s="1">
        <v>194</v>
      </c>
      <c r="J2374" s="1">
        <v>194</v>
      </c>
      <c r="K2374" s="1">
        <v>0</v>
      </c>
    </row>
    <row r="2375" spans="3:11" x14ac:dyDescent="0.25">
      <c r="C2375" s="1" t="s">
        <v>3183</v>
      </c>
      <c r="D2375" s="1" t="s">
        <v>3184</v>
      </c>
      <c r="E2375" s="1" t="s">
        <v>3185</v>
      </c>
      <c r="F2375" s="1">
        <v>0</v>
      </c>
      <c r="G2375" s="1">
        <v>0</v>
      </c>
      <c r="H2375" s="1">
        <v>0</v>
      </c>
      <c r="I2375" s="1">
        <v>193</v>
      </c>
      <c r="J2375" s="1">
        <v>193</v>
      </c>
      <c r="K2375" s="1">
        <v>0</v>
      </c>
    </row>
    <row r="2376" spans="3:11" x14ac:dyDescent="0.25">
      <c r="C2376" s="1" t="s">
        <v>3187</v>
      </c>
      <c r="D2376" s="1" t="s">
        <v>3188</v>
      </c>
      <c r="E2376" s="1" t="s">
        <v>3189</v>
      </c>
      <c r="F2376" s="1">
        <v>0</v>
      </c>
      <c r="G2376" s="1">
        <v>0</v>
      </c>
      <c r="H2376" s="1">
        <v>0</v>
      </c>
      <c r="I2376" s="1">
        <v>192</v>
      </c>
      <c r="J2376" s="1">
        <v>192</v>
      </c>
      <c r="K2376" s="1">
        <v>0</v>
      </c>
    </row>
    <row r="2377" spans="3:11" x14ac:dyDescent="0.25">
      <c r="D2377" s="1" t="s">
        <v>9413</v>
      </c>
      <c r="E2377" s="1" t="s">
        <v>9414</v>
      </c>
      <c r="F2377" s="1">
        <v>0</v>
      </c>
      <c r="G2377" s="1">
        <v>0</v>
      </c>
      <c r="H2377" s="1">
        <v>0</v>
      </c>
      <c r="I2377" s="1">
        <v>191</v>
      </c>
      <c r="J2377" s="1">
        <v>191</v>
      </c>
      <c r="K2377" s="1">
        <v>0</v>
      </c>
    </row>
    <row r="2378" spans="3:11" x14ac:dyDescent="0.25">
      <c r="C2378" s="1" t="s">
        <v>1583</v>
      </c>
      <c r="D2378" s="1" t="s">
        <v>1584</v>
      </c>
      <c r="E2378" s="1" t="s">
        <v>1585</v>
      </c>
      <c r="F2378" s="1">
        <v>0</v>
      </c>
      <c r="G2378" s="1">
        <v>0</v>
      </c>
      <c r="H2378" s="1">
        <v>0</v>
      </c>
      <c r="I2378" s="1">
        <v>186</v>
      </c>
      <c r="J2378" s="1">
        <v>186</v>
      </c>
      <c r="K2378" s="1">
        <v>0</v>
      </c>
    </row>
    <row r="2379" spans="3:11" x14ac:dyDescent="0.25">
      <c r="C2379" s="1" t="s">
        <v>3190</v>
      </c>
      <c r="D2379" s="1" t="s">
        <v>720</v>
      </c>
      <c r="E2379" s="1" t="s">
        <v>3191</v>
      </c>
      <c r="F2379" s="1">
        <v>0</v>
      </c>
      <c r="G2379" s="1">
        <v>0</v>
      </c>
      <c r="H2379" s="1">
        <v>0</v>
      </c>
      <c r="I2379" s="1">
        <v>186</v>
      </c>
      <c r="J2379" s="1">
        <v>186</v>
      </c>
      <c r="K2379" s="1">
        <v>0</v>
      </c>
    </row>
    <row r="2380" spans="3:11" x14ac:dyDescent="0.25">
      <c r="C2380" s="1" t="s">
        <v>1586</v>
      </c>
      <c r="D2380" s="1" t="s">
        <v>168</v>
      </c>
      <c r="E2380" s="1" t="s">
        <v>1587</v>
      </c>
      <c r="F2380" s="1">
        <v>0</v>
      </c>
      <c r="G2380" s="1">
        <v>0</v>
      </c>
      <c r="H2380" s="1">
        <v>0</v>
      </c>
      <c r="I2380" s="1">
        <v>185</v>
      </c>
      <c r="J2380" s="1">
        <v>185</v>
      </c>
      <c r="K2380" s="1">
        <v>0</v>
      </c>
    </row>
    <row r="2381" spans="3:11" x14ac:dyDescent="0.25">
      <c r="C2381" s="1" t="s">
        <v>3208</v>
      </c>
      <c r="D2381" s="1" t="s">
        <v>3209</v>
      </c>
      <c r="E2381" s="1" t="s">
        <v>3210</v>
      </c>
      <c r="F2381" s="1">
        <v>0</v>
      </c>
      <c r="G2381" s="1">
        <v>0</v>
      </c>
      <c r="H2381" s="1">
        <v>0</v>
      </c>
      <c r="I2381" s="1">
        <v>185</v>
      </c>
      <c r="J2381" s="1">
        <v>185</v>
      </c>
      <c r="K2381" s="1">
        <v>0</v>
      </c>
    </row>
    <row r="2382" spans="3:11" x14ac:dyDescent="0.25">
      <c r="C2382" s="1" t="s">
        <v>3197</v>
      </c>
      <c r="D2382" s="1" t="s">
        <v>3198</v>
      </c>
      <c r="E2382" s="1" t="s">
        <v>3199</v>
      </c>
      <c r="F2382" s="1">
        <v>0</v>
      </c>
      <c r="G2382" s="1">
        <v>0</v>
      </c>
      <c r="H2382" s="1">
        <v>0</v>
      </c>
      <c r="I2382" s="1">
        <v>180</v>
      </c>
      <c r="J2382" s="1">
        <v>180</v>
      </c>
      <c r="K2382" s="1">
        <v>0</v>
      </c>
    </row>
    <row r="2383" spans="3:11" x14ac:dyDescent="0.25">
      <c r="C2383" s="1" t="s">
        <v>9415</v>
      </c>
      <c r="D2383" s="1" t="s">
        <v>9416</v>
      </c>
      <c r="E2383" s="1" t="s">
        <v>9417</v>
      </c>
      <c r="F2383" s="1">
        <v>0</v>
      </c>
      <c r="G2383" s="1">
        <v>0</v>
      </c>
      <c r="H2383" s="1">
        <v>0</v>
      </c>
      <c r="I2383" s="1">
        <v>179</v>
      </c>
      <c r="J2383" s="1">
        <v>179</v>
      </c>
      <c r="K2383" s="1">
        <v>0</v>
      </c>
    </row>
    <row r="2384" spans="3:11" x14ac:dyDescent="0.25">
      <c r="C2384" s="1" t="s">
        <v>1597</v>
      </c>
      <c r="D2384" s="1" t="s">
        <v>1598</v>
      </c>
      <c r="E2384" s="1" t="s">
        <v>1599</v>
      </c>
      <c r="F2384" s="1">
        <v>0</v>
      </c>
      <c r="G2384" s="1">
        <v>0</v>
      </c>
      <c r="H2384" s="1">
        <v>0</v>
      </c>
      <c r="I2384" s="1">
        <v>175</v>
      </c>
      <c r="J2384" s="1">
        <v>175</v>
      </c>
      <c r="K2384" s="1">
        <v>0</v>
      </c>
    </row>
    <row r="2385" spans="3:11" x14ac:dyDescent="0.25">
      <c r="C2385" s="1" t="s">
        <v>3214</v>
      </c>
      <c r="D2385" s="1" t="s">
        <v>626</v>
      </c>
      <c r="E2385" s="1" t="s">
        <v>627</v>
      </c>
      <c r="F2385" s="1">
        <v>0</v>
      </c>
      <c r="G2385" s="1">
        <v>0</v>
      </c>
      <c r="H2385" s="1">
        <v>0</v>
      </c>
      <c r="I2385" s="1">
        <v>172</v>
      </c>
      <c r="J2385" s="1">
        <v>172</v>
      </c>
      <c r="K2385" s="1">
        <v>0</v>
      </c>
    </row>
    <row r="2386" spans="3:11" x14ac:dyDescent="0.25">
      <c r="C2386" s="1" t="s">
        <v>9418</v>
      </c>
      <c r="D2386" s="1" t="s">
        <v>9419</v>
      </c>
      <c r="E2386" s="1" t="s">
        <v>9418</v>
      </c>
      <c r="F2386" s="1">
        <v>0</v>
      </c>
      <c r="G2386" s="1">
        <v>0</v>
      </c>
      <c r="H2386" s="1">
        <v>0</v>
      </c>
      <c r="I2386" s="1">
        <v>170</v>
      </c>
      <c r="J2386" s="1">
        <v>170</v>
      </c>
      <c r="K2386" s="1">
        <v>0</v>
      </c>
    </row>
    <row r="2387" spans="3:11" x14ac:dyDescent="0.25">
      <c r="C2387" s="1" t="s">
        <v>1628</v>
      </c>
      <c r="D2387" s="1" t="s">
        <v>1629</v>
      </c>
      <c r="E2387" s="1" t="s">
        <v>1630</v>
      </c>
      <c r="F2387" s="1">
        <v>0</v>
      </c>
      <c r="G2387" s="1">
        <v>0</v>
      </c>
      <c r="H2387" s="1">
        <v>0</v>
      </c>
      <c r="I2387" s="1">
        <v>166</v>
      </c>
      <c r="J2387" s="1">
        <v>166</v>
      </c>
      <c r="K2387" s="1">
        <v>0</v>
      </c>
    </row>
    <row r="2388" spans="3:11" x14ac:dyDescent="0.25">
      <c r="C2388" s="1" t="s">
        <v>3220</v>
      </c>
      <c r="D2388" s="1" t="s">
        <v>3221</v>
      </c>
      <c r="E2388" s="1" t="s">
        <v>3222</v>
      </c>
      <c r="F2388" s="1">
        <v>0</v>
      </c>
      <c r="G2388" s="1">
        <v>0</v>
      </c>
      <c r="H2388" s="1">
        <v>0</v>
      </c>
      <c r="I2388" s="1">
        <v>165</v>
      </c>
      <c r="J2388" s="1">
        <v>165</v>
      </c>
      <c r="K2388" s="1">
        <v>0</v>
      </c>
    </row>
    <row r="2389" spans="3:11" x14ac:dyDescent="0.25">
      <c r="C2389" s="1" t="s">
        <v>9420</v>
      </c>
      <c r="D2389" s="1" t="s">
        <v>9421</v>
      </c>
      <c r="E2389" s="1" t="s">
        <v>9420</v>
      </c>
      <c r="F2389" s="1">
        <v>0</v>
      </c>
      <c r="G2389" s="1">
        <v>0</v>
      </c>
      <c r="H2389" s="1">
        <v>0</v>
      </c>
      <c r="I2389" s="1">
        <v>160</v>
      </c>
      <c r="J2389" s="1">
        <v>160</v>
      </c>
      <c r="K2389" s="1">
        <v>0</v>
      </c>
    </row>
    <row r="2390" spans="3:11" x14ac:dyDescent="0.25">
      <c r="C2390" s="1" t="s">
        <v>1640</v>
      </c>
      <c r="D2390" s="1" t="s">
        <v>1641</v>
      </c>
      <c r="E2390" s="1" t="s">
        <v>1642</v>
      </c>
      <c r="F2390" s="1">
        <v>0</v>
      </c>
      <c r="G2390" s="1">
        <v>0</v>
      </c>
      <c r="H2390" s="1">
        <v>0</v>
      </c>
      <c r="I2390" s="1">
        <v>154</v>
      </c>
      <c r="J2390" s="1">
        <v>154</v>
      </c>
      <c r="K2390" s="1">
        <v>0</v>
      </c>
    </row>
    <row r="2391" spans="3:11" x14ac:dyDescent="0.25">
      <c r="C2391" s="1" t="s">
        <v>9422</v>
      </c>
      <c r="D2391" s="1" t="s">
        <v>9423</v>
      </c>
      <c r="E2391" s="1" t="s">
        <v>9422</v>
      </c>
      <c r="F2391" s="1">
        <v>0</v>
      </c>
      <c r="G2391" s="1">
        <v>0</v>
      </c>
      <c r="H2391" s="1">
        <v>0</v>
      </c>
      <c r="I2391" s="1">
        <v>153</v>
      </c>
      <c r="J2391" s="1">
        <v>153</v>
      </c>
      <c r="K2391" s="1">
        <v>0</v>
      </c>
    </row>
    <row r="2392" spans="3:11" x14ac:dyDescent="0.25">
      <c r="C2392" s="1" t="s">
        <v>9424</v>
      </c>
      <c r="D2392" s="1" t="s">
        <v>9425</v>
      </c>
      <c r="E2392" s="1" t="s">
        <v>9426</v>
      </c>
      <c r="F2392" s="1">
        <v>0</v>
      </c>
      <c r="G2392" s="1">
        <v>0</v>
      </c>
      <c r="H2392" s="1">
        <v>0</v>
      </c>
      <c r="I2392" s="1">
        <v>151</v>
      </c>
      <c r="J2392" s="1">
        <v>151</v>
      </c>
      <c r="K2392" s="1">
        <v>0</v>
      </c>
    </row>
    <row r="2393" spans="3:11" x14ac:dyDescent="0.25">
      <c r="C2393" s="1" t="s">
        <v>1625</v>
      </c>
      <c r="D2393" s="1" t="s">
        <v>1626</v>
      </c>
      <c r="E2393" s="1" t="s">
        <v>1627</v>
      </c>
      <c r="F2393" s="1">
        <v>0</v>
      </c>
      <c r="G2393" s="1">
        <v>0</v>
      </c>
      <c r="H2393" s="1">
        <v>0</v>
      </c>
      <c r="I2393" s="1">
        <v>151</v>
      </c>
      <c r="J2393" s="1">
        <v>151</v>
      </c>
      <c r="K2393" s="1">
        <v>0</v>
      </c>
    </row>
    <row r="2394" spans="3:11" x14ac:dyDescent="0.25">
      <c r="C2394" s="1" t="s">
        <v>3262</v>
      </c>
      <c r="D2394" s="1" t="s">
        <v>3263</v>
      </c>
      <c r="E2394" s="1" t="s">
        <v>3264</v>
      </c>
      <c r="F2394" s="1">
        <v>0</v>
      </c>
      <c r="G2394" s="1">
        <v>0</v>
      </c>
      <c r="H2394" s="1">
        <v>0</v>
      </c>
      <c r="I2394" s="1">
        <v>149</v>
      </c>
      <c r="J2394" s="1">
        <v>149</v>
      </c>
      <c r="K2394" s="1">
        <v>0</v>
      </c>
    </row>
    <row r="2395" spans="3:11" x14ac:dyDescent="0.25">
      <c r="C2395" s="1" t="s">
        <v>1634</v>
      </c>
      <c r="D2395" s="1" t="s">
        <v>1635</v>
      </c>
      <c r="E2395" s="1" t="s">
        <v>1636</v>
      </c>
      <c r="F2395" s="1">
        <v>0</v>
      </c>
      <c r="G2395" s="1">
        <v>0</v>
      </c>
      <c r="H2395" s="1">
        <v>0</v>
      </c>
      <c r="I2395" s="1">
        <v>141</v>
      </c>
      <c r="J2395" s="1">
        <v>141</v>
      </c>
      <c r="K2395" s="1">
        <v>0</v>
      </c>
    </row>
    <row r="2396" spans="3:11" x14ac:dyDescent="0.25">
      <c r="C2396" s="1" t="s">
        <v>3265</v>
      </c>
      <c r="D2396" s="1" t="s">
        <v>3266</v>
      </c>
      <c r="E2396" s="1" t="s">
        <v>3265</v>
      </c>
      <c r="F2396" s="1">
        <v>0</v>
      </c>
      <c r="G2396" s="1">
        <v>0</v>
      </c>
      <c r="H2396" s="1">
        <v>0</v>
      </c>
      <c r="I2396" s="1">
        <v>140</v>
      </c>
      <c r="J2396" s="1">
        <v>140</v>
      </c>
      <c r="K2396" s="1">
        <v>0</v>
      </c>
    </row>
    <row r="2397" spans="3:11" x14ac:dyDescent="0.25">
      <c r="C2397" s="1" t="s">
        <v>1737</v>
      </c>
      <c r="D2397" s="1" t="s">
        <v>1738</v>
      </c>
      <c r="E2397" s="1" t="s">
        <v>1739</v>
      </c>
      <c r="F2397" s="1">
        <v>0</v>
      </c>
      <c r="G2397" s="1">
        <v>0</v>
      </c>
      <c r="H2397" s="1">
        <v>0</v>
      </c>
      <c r="I2397" s="1">
        <v>137</v>
      </c>
      <c r="J2397" s="1">
        <v>137</v>
      </c>
      <c r="K2397" s="1">
        <v>0</v>
      </c>
    </row>
    <row r="2398" spans="3:11" x14ac:dyDescent="0.25">
      <c r="C2398" s="1" t="s">
        <v>3271</v>
      </c>
      <c r="D2398" s="1" t="s">
        <v>3272</v>
      </c>
      <c r="E2398" s="1" t="s">
        <v>3273</v>
      </c>
      <c r="F2398" s="1">
        <v>0</v>
      </c>
      <c r="G2398" s="1">
        <v>0</v>
      </c>
      <c r="H2398" s="1">
        <v>0</v>
      </c>
      <c r="I2398" s="1">
        <v>136</v>
      </c>
      <c r="J2398" s="1">
        <v>136</v>
      </c>
      <c r="K2398" s="1">
        <v>0</v>
      </c>
    </row>
    <row r="2399" spans="3:11" x14ac:dyDescent="0.25">
      <c r="C2399" s="1" t="s">
        <v>3276</v>
      </c>
      <c r="D2399" s="1" t="s">
        <v>3277</v>
      </c>
      <c r="E2399" s="1" t="s">
        <v>3278</v>
      </c>
      <c r="F2399" s="1">
        <v>0</v>
      </c>
      <c r="G2399" s="1">
        <v>0</v>
      </c>
      <c r="H2399" s="1">
        <v>0</v>
      </c>
      <c r="I2399" s="1">
        <v>135</v>
      </c>
      <c r="J2399" s="1">
        <v>135</v>
      </c>
      <c r="K2399" s="1">
        <v>0</v>
      </c>
    </row>
    <row r="2400" spans="3:11" x14ac:dyDescent="0.25">
      <c r="C2400" s="1" t="s">
        <v>3285</v>
      </c>
      <c r="D2400" s="1" t="s">
        <v>3286</v>
      </c>
      <c r="E2400" s="1" t="s">
        <v>3285</v>
      </c>
      <c r="F2400" s="1">
        <v>0</v>
      </c>
      <c r="G2400" s="1">
        <v>0</v>
      </c>
      <c r="H2400" s="1">
        <v>0</v>
      </c>
      <c r="I2400" s="1">
        <v>133</v>
      </c>
      <c r="J2400" s="1">
        <v>133</v>
      </c>
      <c r="K2400" s="1">
        <v>0</v>
      </c>
    </row>
    <row r="2401" spans="3:11" x14ac:dyDescent="0.25">
      <c r="C2401" s="1" t="s">
        <v>3293</v>
      </c>
      <c r="D2401" s="1" t="s">
        <v>854</v>
      </c>
      <c r="E2401" s="1" t="s">
        <v>3294</v>
      </c>
      <c r="F2401" s="1">
        <v>0</v>
      </c>
      <c r="G2401" s="1">
        <v>0</v>
      </c>
      <c r="H2401" s="1">
        <v>0</v>
      </c>
      <c r="I2401" s="1">
        <v>131</v>
      </c>
      <c r="J2401" s="1">
        <v>131</v>
      </c>
      <c r="K2401" s="1">
        <v>0</v>
      </c>
    </row>
    <row r="2402" spans="3:11" x14ac:dyDescent="0.25">
      <c r="C2402" s="1" t="s">
        <v>3298</v>
      </c>
      <c r="D2402" s="1" t="s">
        <v>853</v>
      </c>
      <c r="E2402" s="1" t="s">
        <v>3299</v>
      </c>
      <c r="F2402" s="1">
        <v>0</v>
      </c>
      <c r="G2402" s="1">
        <v>0</v>
      </c>
      <c r="H2402" s="1">
        <v>0</v>
      </c>
      <c r="I2402" s="1">
        <v>130</v>
      </c>
      <c r="J2402" s="1">
        <v>130</v>
      </c>
      <c r="K2402" s="1">
        <v>0</v>
      </c>
    </row>
    <row r="2403" spans="3:11" x14ac:dyDescent="0.25">
      <c r="C2403" s="1" t="s">
        <v>3303</v>
      </c>
      <c r="D2403" s="1" t="s">
        <v>852</v>
      </c>
      <c r="E2403" s="1" t="s">
        <v>3304</v>
      </c>
      <c r="F2403" s="1">
        <v>0</v>
      </c>
      <c r="G2403" s="1">
        <v>0</v>
      </c>
      <c r="H2403" s="1">
        <v>0</v>
      </c>
      <c r="I2403" s="1">
        <v>125</v>
      </c>
      <c r="J2403" s="1">
        <v>125</v>
      </c>
      <c r="K2403" s="1">
        <v>0</v>
      </c>
    </row>
    <row r="2404" spans="3:11" x14ac:dyDescent="0.25">
      <c r="C2404" s="1" t="s">
        <v>3305</v>
      </c>
      <c r="D2404" s="1" t="s">
        <v>821</v>
      </c>
      <c r="E2404" s="1" t="s">
        <v>3306</v>
      </c>
      <c r="F2404" s="1">
        <v>0</v>
      </c>
      <c r="G2404" s="1">
        <v>0</v>
      </c>
      <c r="H2404" s="1">
        <v>0</v>
      </c>
      <c r="I2404" s="1">
        <v>125</v>
      </c>
      <c r="J2404" s="1">
        <v>125</v>
      </c>
      <c r="K2404" s="1">
        <v>0</v>
      </c>
    </row>
    <row r="2405" spans="3:11" x14ac:dyDescent="0.25">
      <c r="C2405" s="1" t="s">
        <v>1659</v>
      </c>
      <c r="D2405" s="1" t="s">
        <v>1660</v>
      </c>
      <c r="E2405" s="1" t="s">
        <v>1661</v>
      </c>
      <c r="F2405" s="1">
        <v>0</v>
      </c>
      <c r="G2405" s="1">
        <v>0</v>
      </c>
      <c r="H2405" s="1">
        <v>0</v>
      </c>
      <c r="I2405" s="1">
        <v>124</v>
      </c>
      <c r="J2405" s="1">
        <v>124</v>
      </c>
      <c r="K2405" s="1">
        <v>0</v>
      </c>
    </row>
    <row r="2406" spans="3:11" x14ac:dyDescent="0.25">
      <c r="C2406" s="1" t="s">
        <v>1665</v>
      </c>
      <c r="D2406" s="1" t="s">
        <v>1666</v>
      </c>
      <c r="E2406" s="1" t="s">
        <v>1667</v>
      </c>
      <c r="F2406" s="1">
        <v>0</v>
      </c>
      <c r="G2406" s="1">
        <v>0</v>
      </c>
      <c r="H2406" s="1">
        <v>0</v>
      </c>
      <c r="I2406" s="1">
        <v>122</v>
      </c>
      <c r="J2406" s="1">
        <v>122</v>
      </c>
      <c r="K2406" s="1">
        <v>0</v>
      </c>
    </row>
    <row r="2407" spans="3:11" x14ac:dyDescent="0.25">
      <c r="C2407" s="1" t="s">
        <v>1673</v>
      </c>
      <c r="D2407" s="1" t="s">
        <v>1674</v>
      </c>
      <c r="E2407" s="1" t="s">
        <v>1675</v>
      </c>
      <c r="F2407" s="1">
        <v>0</v>
      </c>
      <c r="G2407" s="1">
        <v>0</v>
      </c>
      <c r="H2407" s="1">
        <v>0</v>
      </c>
      <c r="I2407" s="1">
        <v>120</v>
      </c>
      <c r="J2407" s="1">
        <v>120</v>
      </c>
      <c r="K2407" s="1">
        <v>0</v>
      </c>
    </row>
    <row r="2408" spans="3:11" x14ac:dyDescent="0.25">
      <c r="C2408" s="1" t="s">
        <v>9427</v>
      </c>
      <c r="D2408" s="1" t="s">
        <v>9428</v>
      </c>
      <c r="E2408" s="1" t="s">
        <v>9429</v>
      </c>
      <c r="F2408" s="1">
        <v>0</v>
      </c>
      <c r="G2408" s="1">
        <v>0</v>
      </c>
      <c r="H2408" s="1">
        <v>0</v>
      </c>
      <c r="I2408" s="1">
        <v>120</v>
      </c>
      <c r="J2408" s="1">
        <v>120</v>
      </c>
      <c r="K2408" s="1">
        <v>0</v>
      </c>
    </row>
    <row r="2409" spans="3:11" x14ac:dyDescent="0.25">
      <c r="C2409" s="1" t="s">
        <v>9430</v>
      </c>
      <c r="D2409" s="1" t="s">
        <v>9431</v>
      </c>
      <c r="E2409" s="1" t="s">
        <v>9432</v>
      </c>
      <c r="F2409" s="1">
        <v>0</v>
      </c>
      <c r="G2409" s="1">
        <v>0</v>
      </c>
      <c r="H2409" s="1">
        <v>0</v>
      </c>
      <c r="I2409" s="1">
        <v>116</v>
      </c>
      <c r="J2409" s="1">
        <v>116</v>
      </c>
      <c r="K2409" s="1">
        <v>0</v>
      </c>
    </row>
    <row r="2410" spans="3:11" x14ac:dyDescent="0.25">
      <c r="C2410" s="1" t="s">
        <v>3343</v>
      </c>
      <c r="D2410" s="1" t="s">
        <v>3344</v>
      </c>
      <c r="E2410" s="1" t="s">
        <v>3345</v>
      </c>
      <c r="F2410" s="1">
        <v>0</v>
      </c>
      <c r="G2410" s="1">
        <v>0</v>
      </c>
      <c r="H2410" s="1">
        <v>0</v>
      </c>
      <c r="I2410" s="1">
        <v>115</v>
      </c>
      <c r="J2410" s="1">
        <v>115</v>
      </c>
      <c r="K2410" s="1">
        <v>0</v>
      </c>
    </row>
    <row r="2411" spans="3:11" x14ac:dyDescent="0.25">
      <c r="C2411" s="1" t="s">
        <v>9433</v>
      </c>
      <c r="D2411" s="1" t="s">
        <v>9434</v>
      </c>
      <c r="E2411" s="1" t="s">
        <v>9435</v>
      </c>
      <c r="F2411" s="1">
        <v>0</v>
      </c>
      <c r="G2411" s="1">
        <v>0</v>
      </c>
      <c r="H2411" s="1">
        <v>0</v>
      </c>
      <c r="I2411" s="1">
        <v>111</v>
      </c>
      <c r="J2411" s="1">
        <v>111</v>
      </c>
      <c r="K2411" s="1">
        <v>0</v>
      </c>
    </row>
    <row r="2412" spans="3:11" x14ac:dyDescent="0.25">
      <c r="C2412" s="1" t="s">
        <v>9436</v>
      </c>
      <c r="D2412" s="1" t="s">
        <v>9437</v>
      </c>
      <c r="E2412" s="1" t="s">
        <v>9438</v>
      </c>
      <c r="F2412" s="1">
        <v>0</v>
      </c>
      <c r="G2412" s="1">
        <v>0</v>
      </c>
      <c r="H2412" s="1">
        <v>0</v>
      </c>
      <c r="I2412" s="1">
        <v>110</v>
      </c>
      <c r="J2412" s="1">
        <v>110</v>
      </c>
      <c r="K2412" s="1">
        <v>0</v>
      </c>
    </row>
    <row r="2413" spans="3:11" x14ac:dyDescent="0.25">
      <c r="C2413" s="1" t="s">
        <v>3353</v>
      </c>
      <c r="D2413" s="1" t="s">
        <v>3354</v>
      </c>
      <c r="E2413" s="1" t="s">
        <v>3355</v>
      </c>
      <c r="F2413" s="1">
        <v>0</v>
      </c>
      <c r="G2413" s="1">
        <v>0</v>
      </c>
      <c r="H2413" s="1">
        <v>0</v>
      </c>
      <c r="I2413" s="1">
        <v>107</v>
      </c>
      <c r="J2413" s="1">
        <v>107</v>
      </c>
      <c r="K2413" s="1">
        <v>0</v>
      </c>
    </row>
    <row r="2414" spans="3:11" x14ac:dyDescent="0.25">
      <c r="C2414" s="1" t="s">
        <v>3361</v>
      </c>
      <c r="D2414" s="1" t="s">
        <v>3362</v>
      </c>
      <c r="E2414" s="1" t="s">
        <v>3363</v>
      </c>
      <c r="F2414" s="1">
        <v>0</v>
      </c>
      <c r="G2414" s="1">
        <v>0</v>
      </c>
      <c r="H2414" s="1">
        <v>0</v>
      </c>
      <c r="I2414" s="1">
        <v>105</v>
      </c>
      <c r="J2414" s="1">
        <v>105</v>
      </c>
      <c r="K2414" s="1">
        <v>0</v>
      </c>
    </row>
    <row r="2415" spans="3:11" x14ac:dyDescent="0.25">
      <c r="C2415" s="1" t="s">
        <v>1716</v>
      </c>
      <c r="D2415" s="1" t="s">
        <v>1717</v>
      </c>
      <c r="E2415" s="1" t="s">
        <v>1718</v>
      </c>
      <c r="F2415" s="1">
        <v>0</v>
      </c>
      <c r="G2415" s="1">
        <v>0</v>
      </c>
      <c r="H2415" s="1">
        <v>0</v>
      </c>
      <c r="I2415" s="1">
        <v>103</v>
      </c>
      <c r="J2415" s="1">
        <v>103</v>
      </c>
      <c r="K2415" s="1">
        <v>0</v>
      </c>
    </row>
    <row r="2416" spans="3:11" x14ac:dyDescent="0.25">
      <c r="C2416" s="1" t="s">
        <v>3366</v>
      </c>
      <c r="D2416" s="1" t="s">
        <v>3367</v>
      </c>
      <c r="E2416" s="1" t="s">
        <v>3366</v>
      </c>
      <c r="F2416" s="1">
        <v>0</v>
      </c>
      <c r="G2416" s="1">
        <v>0</v>
      </c>
      <c r="H2416" s="1">
        <v>0</v>
      </c>
      <c r="I2416" s="1">
        <v>103</v>
      </c>
      <c r="J2416" s="1">
        <v>103</v>
      </c>
      <c r="K2416" s="1">
        <v>0</v>
      </c>
    </row>
    <row r="2417" spans="3:11" x14ac:dyDescent="0.25">
      <c r="C2417" s="1" t="s">
        <v>3380</v>
      </c>
      <c r="D2417" s="1" t="s">
        <v>3381</v>
      </c>
      <c r="E2417" s="1" t="s">
        <v>3382</v>
      </c>
      <c r="F2417" s="1">
        <v>0</v>
      </c>
      <c r="G2417" s="1">
        <v>0</v>
      </c>
      <c r="H2417" s="1">
        <v>0</v>
      </c>
      <c r="I2417" s="1">
        <v>100</v>
      </c>
      <c r="J2417" s="1">
        <v>100</v>
      </c>
      <c r="K2417" s="1">
        <v>0</v>
      </c>
    </row>
    <row r="2418" spans="3:11" x14ac:dyDescent="0.25">
      <c r="C2418" s="1" t="s">
        <v>3385</v>
      </c>
      <c r="D2418" s="1" t="s">
        <v>3386</v>
      </c>
      <c r="E2418" s="1" t="s">
        <v>3387</v>
      </c>
      <c r="F2418" s="1">
        <v>0</v>
      </c>
      <c r="G2418" s="1">
        <v>0</v>
      </c>
      <c r="H2418" s="1">
        <v>0</v>
      </c>
      <c r="I2418" s="1">
        <v>99</v>
      </c>
      <c r="J2418" s="1">
        <v>99</v>
      </c>
      <c r="K2418" s="1">
        <v>0</v>
      </c>
    </row>
    <row r="2419" spans="3:11" x14ac:dyDescent="0.25">
      <c r="C2419" s="1" t="s">
        <v>3388</v>
      </c>
      <c r="D2419" s="1" t="s">
        <v>3389</v>
      </c>
      <c r="E2419" s="1" t="s">
        <v>3390</v>
      </c>
      <c r="F2419" s="1">
        <v>0</v>
      </c>
      <c r="G2419" s="1">
        <v>0</v>
      </c>
      <c r="H2419" s="1">
        <v>0</v>
      </c>
      <c r="I2419" s="1">
        <v>98</v>
      </c>
      <c r="J2419" s="1">
        <v>98</v>
      </c>
      <c r="K2419" s="1">
        <v>0</v>
      </c>
    </row>
    <row r="2420" spans="3:11" x14ac:dyDescent="0.25">
      <c r="C2420" s="1" t="s">
        <v>1971</v>
      </c>
      <c r="D2420" s="1" t="s">
        <v>1972</v>
      </c>
      <c r="E2420" s="1" t="s">
        <v>1973</v>
      </c>
      <c r="F2420" s="1">
        <v>0</v>
      </c>
      <c r="G2420" s="1">
        <v>0</v>
      </c>
      <c r="H2420" s="1">
        <v>0</v>
      </c>
      <c r="I2420" s="1">
        <v>97</v>
      </c>
      <c r="J2420" s="1">
        <v>97</v>
      </c>
      <c r="K2420" s="1">
        <v>0</v>
      </c>
    </row>
    <row r="2421" spans="3:11" x14ac:dyDescent="0.25">
      <c r="C2421" s="1" t="s">
        <v>9439</v>
      </c>
      <c r="D2421" s="1" t="s">
        <v>9440</v>
      </c>
      <c r="E2421" s="1" t="s">
        <v>9441</v>
      </c>
      <c r="F2421" s="1">
        <v>0</v>
      </c>
      <c r="G2421" s="1">
        <v>0</v>
      </c>
      <c r="H2421" s="1">
        <v>0</v>
      </c>
      <c r="I2421" s="1">
        <v>95</v>
      </c>
      <c r="J2421" s="1">
        <v>95</v>
      </c>
      <c r="K2421" s="1">
        <v>0</v>
      </c>
    </row>
    <row r="2422" spans="3:11" x14ac:dyDescent="0.25">
      <c r="C2422" s="1" t="s">
        <v>1731</v>
      </c>
      <c r="D2422" s="1" t="s">
        <v>1732</v>
      </c>
      <c r="E2422" s="1" t="s">
        <v>1733</v>
      </c>
      <c r="F2422" s="1">
        <v>0</v>
      </c>
      <c r="G2422" s="1">
        <v>0</v>
      </c>
      <c r="H2422" s="1">
        <v>0</v>
      </c>
      <c r="I2422" s="1">
        <v>95</v>
      </c>
      <c r="J2422" s="1">
        <v>95</v>
      </c>
      <c r="K2422" s="1">
        <v>0</v>
      </c>
    </row>
    <row r="2423" spans="3:11" x14ac:dyDescent="0.25">
      <c r="C2423" s="1" t="s">
        <v>3405</v>
      </c>
      <c r="D2423" s="1" t="s">
        <v>3406</v>
      </c>
      <c r="E2423" s="1" t="s">
        <v>3407</v>
      </c>
      <c r="F2423" s="1">
        <v>0</v>
      </c>
      <c r="G2423" s="1">
        <v>0</v>
      </c>
      <c r="H2423" s="1">
        <v>0</v>
      </c>
      <c r="I2423" s="1">
        <v>95</v>
      </c>
      <c r="J2423" s="1">
        <v>95</v>
      </c>
      <c r="K2423" s="1">
        <v>0</v>
      </c>
    </row>
    <row r="2424" spans="3:11" x14ac:dyDescent="0.25">
      <c r="C2424" s="1" t="s">
        <v>3418</v>
      </c>
      <c r="D2424" s="1" t="s">
        <v>3419</v>
      </c>
      <c r="E2424" s="1" t="s">
        <v>3420</v>
      </c>
      <c r="F2424" s="1">
        <v>0</v>
      </c>
      <c r="G2424" s="1">
        <v>0</v>
      </c>
      <c r="H2424" s="1">
        <v>0</v>
      </c>
      <c r="I2424" s="1">
        <v>94</v>
      </c>
      <c r="J2424" s="1">
        <v>94</v>
      </c>
      <c r="K2424" s="1">
        <v>0</v>
      </c>
    </row>
    <row r="2425" spans="3:11" x14ac:dyDescent="0.25">
      <c r="C2425" s="1" t="s">
        <v>3421</v>
      </c>
      <c r="D2425" s="1" t="s">
        <v>729</v>
      </c>
      <c r="E2425" s="1" t="s">
        <v>3422</v>
      </c>
      <c r="F2425" s="1">
        <v>0</v>
      </c>
      <c r="G2425" s="1">
        <v>0</v>
      </c>
      <c r="H2425" s="1">
        <v>0</v>
      </c>
      <c r="I2425" s="1">
        <v>93</v>
      </c>
      <c r="J2425" s="1">
        <v>93</v>
      </c>
      <c r="K2425" s="1">
        <v>0</v>
      </c>
    </row>
    <row r="2426" spans="3:11" x14ac:dyDescent="0.25">
      <c r="C2426" s="1" t="s">
        <v>1899</v>
      </c>
      <c r="D2426" s="1" t="s">
        <v>1900</v>
      </c>
      <c r="E2426" s="1" t="s">
        <v>1901</v>
      </c>
      <c r="F2426" s="1">
        <v>0</v>
      </c>
      <c r="G2426" s="1">
        <v>0</v>
      </c>
      <c r="H2426" s="1">
        <v>0</v>
      </c>
      <c r="I2426" s="1">
        <v>89</v>
      </c>
      <c r="J2426" s="1">
        <v>89</v>
      </c>
      <c r="K2426" s="1">
        <v>0</v>
      </c>
    </row>
    <row r="2427" spans="3:11" x14ac:dyDescent="0.25">
      <c r="C2427" s="1" t="s">
        <v>1752</v>
      </c>
      <c r="D2427" s="1" t="s">
        <v>1753</v>
      </c>
      <c r="E2427" s="1" t="s">
        <v>1754</v>
      </c>
      <c r="F2427" s="1">
        <v>0</v>
      </c>
      <c r="G2427" s="1">
        <v>0</v>
      </c>
      <c r="H2427" s="1">
        <v>0</v>
      </c>
      <c r="I2427" s="1">
        <v>87</v>
      </c>
      <c r="J2427" s="1">
        <v>87</v>
      </c>
      <c r="K2427" s="1">
        <v>0</v>
      </c>
    </row>
    <row r="2428" spans="3:11" x14ac:dyDescent="0.25">
      <c r="C2428" s="1" t="s">
        <v>3455</v>
      </c>
      <c r="D2428" s="1" t="s">
        <v>3456</v>
      </c>
      <c r="E2428" s="1" t="s">
        <v>3457</v>
      </c>
      <c r="F2428" s="1">
        <v>0</v>
      </c>
      <c r="G2428" s="1">
        <v>0</v>
      </c>
      <c r="H2428" s="1">
        <v>0</v>
      </c>
      <c r="I2428" s="1">
        <v>86</v>
      </c>
      <c r="J2428" s="1">
        <v>86</v>
      </c>
      <c r="K2428" s="1">
        <v>0</v>
      </c>
    </row>
    <row r="2429" spans="3:11" x14ac:dyDescent="0.25">
      <c r="C2429" s="1" t="s">
        <v>9442</v>
      </c>
      <c r="D2429" s="1" t="s">
        <v>9443</v>
      </c>
      <c r="E2429" s="1" t="s">
        <v>9444</v>
      </c>
      <c r="F2429" s="1">
        <v>0</v>
      </c>
      <c r="G2429" s="1">
        <v>0</v>
      </c>
      <c r="H2429" s="1">
        <v>0</v>
      </c>
      <c r="I2429" s="1">
        <v>85</v>
      </c>
      <c r="J2429" s="1">
        <v>85</v>
      </c>
      <c r="K2429" s="1">
        <v>0</v>
      </c>
    </row>
    <row r="2430" spans="3:11" x14ac:dyDescent="0.25">
      <c r="C2430" s="1" t="s">
        <v>3464</v>
      </c>
      <c r="D2430" s="1" t="s">
        <v>3465</v>
      </c>
      <c r="E2430" s="1" t="s">
        <v>3466</v>
      </c>
      <c r="F2430" s="1">
        <v>0</v>
      </c>
      <c r="G2430" s="1">
        <v>0</v>
      </c>
      <c r="H2430" s="1">
        <v>0</v>
      </c>
      <c r="I2430" s="1">
        <v>82</v>
      </c>
      <c r="J2430" s="1">
        <v>82</v>
      </c>
      <c r="K2430" s="1">
        <v>0</v>
      </c>
    </row>
    <row r="2431" spans="3:11" x14ac:dyDescent="0.25">
      <c r="C2431" s="1" t="s">
        <v>2340</v>
      </c>
      <c r="D2431" s="1" t="s">
        <v>2341</v>
      </c>
      <c r="E2431" s="1" t="s">
        <v>2342</v>
      </c>
      <c r="F2431" s="1">
        <v>0</v>
      </c>
      <c r="G2431" s="1">
        <v>0</v>
      </c>
      <c r="H2431" s="1">
        <v>0</v>
      </c>
      <c r="I2431" s="1">
        <v>82</v>
      </c>
      <c r="J2431" s="1">
        <v>82</v>
      </c>
      <c r="K2431" s="1">
        <v>0</v>
      </c>
    </row>
    <row r="2432" spans="3:11" x14ac:dyDescent="0.25">
      <c r="C2432" s="1" t="s">
        <v>9445</v>
      </c>
      <c r="D2432" s="1" t="s">
        <v>9446</v>
      </c>
      <c r="E2432" s="1" t="s">
        <v>9445</v>
      </c>
      <c r="F2432" s="1">
        <v>0</v>
      </c>
      <c r="G2432" s="1">
        <v>0</v>
      </c>
      <c r="H2432" s="1">
        <v>0</v>
      </c>
      <c r="I2432" s="1">
        <v>81</v>
      </c>
      <c r="J2432" s="1">
        <v>81</v>
      </c>
      <c r="K2432" s="1">
        <v>0</v>
      </c>
    </row>
    <row r="2433" spans="3:11" x14ac:dyDescent="0.25">
      <c r="C2433" s="1" t="s">
        <v>3469</v>
      </c>
      <c r="D2433" s="1" t="s">
        <v>856</v>
      </c>
      <c r="E2433" s="1" t="s">
        <v>3470</v>
      </c>
      <c r="F2433" s="1">
        <v>0</v>
      </c>
      <c r="G2433" s="1">
        <v>0</v>
      </c>
      <c r="H2433" s="1">
        <v>0</v>
      </c>
      <c r="I2433" s="1">
        <v>81</v>
      </c>
      <c r="J2433" s="1">
        <v>81</v>
      </c>
      <c r="K2433" s="1">
        <v>0</v>
      </c>
    </row>
    <row r="2434" spans="3:11" x14ac:dyDescent="0.25">
      <c r="C2434" s="1" t="s">
        <v>9447</v>
      </c>
      <c r="D2434" s="1" t="s">
        <v>9448</v>
      </c>
      <c r="E2434" s="1" t="s">
        <v>9449</v>
      </c>
      <c r="F2434" s="1">
        <v>0</v>
      </c>
      <c r="G2434" s="1">
        <v>0</v>
      </c>
      <c r="H2434" s="1">
        <v>0</v>
      </c>
      <c r="I2434" s="1">
        <v>80</v>
      </c>
      <c r="J2434" s="1">
        <v>80</v>
      </c>
      <c r="K2434" s="1">
        <v>0</v>
      </c>
    </row>
    <row r="2435" spans="3:11" x14ac:dyDescent="0.25">
      <c r="C2435" s="1" t="s">
        <v>9450</v>
      </c>
      <c r="D2435" s="1" t="s">
        <v>9451</v>
      </c>
      <c r="E2435" s="1" t="s">
        <v>9452</v>
      </c>
      <c r="F2435" s="1">
        <v>0</v>
      </c>
      <c r="G2435" s="1">
        <v>0</v>
      </c>
      <c r="H2435" s="1">
        <v>0</v>
      </c>
      <c r="I2435" s="1">
        <v>79</v>
      </c>
      <c r="J2435" s="1">
        <v>79</v>
      </c>
      <c r="K2435" s="1">
        <v>0</v>
      </c>
    </row>
    <row r="2436" spans="3:11" x14ac:dyDescent="0.25">
      <c r="C2436" s="1" t="s">
        <v>3476</v>
      </c>
      <c r="D2436" s="1" t="s">
        <v>3477</v>
      </c>
      <c r="E2436" s="1" t="s">
        <v>3478</v>
      </c>
      <c r="F2436" s="1">
        <v>0</v>
      </c>
      <c r="G2436" s="1">
        <v>0</v>
      </c>
      <c r="H2436" s="1">
        <v>0</v>
      </c>
      <c r="I2436" s="1">
        <v>79</v>
      </c>
      <c r="J2436" s="1">
        <v>79</v>
      </c>
      <c r="K2436" s="1">
        <v>0</v>
      </c>
    </row>
    <row r="2437" spans="3:11" x14ac:dyDescent="0.25">
      <c r="C2437" s="1" t="s">
        <v>1770</v>
      </c>
      <c r="D2437" s="1" t="s">
        <v>1771</v>
      </c>
      <c r="E2437" s="1" t="s">
        <v>1772</v>
      </c>
      <c r="F2437" s="1">
        <v>0</v>
      </c>
      <c r="G2437" s="1">
        <v>0</v>
      </c>
      <c r="H2437" s="1">
        <v>0</v>
      </c>
      <c r="I2437" s="1">
        <v>77</v>
      </c>
      <c r="J2437" s="1">
        <v>77</v>
      </c>
      <c r="K2437" s="1">
        <v>0</v>
      </c>
    </row>
    <row r="2438" spans="3:11" x14ac:dyDescent="0.25">
      <c r="C2438" s="1" t="s">
        <v>3491</v>
      </c>
      <c r="D2438" s="1" t="s">
        <v>3492</v>
      </c>
      <c r="E2438" s="1" t="s">
        <v>3493</v>
      </c>
      <c r="F2438" s="1">
        <v>0</v>
      </c>
      <c r="G2438" s="1">
        <v>0</v>
      </c>
      <c r="H2438" s="1">
        <v>0</v>
      </c>
      <c r="I2438" s="1">
        <v>77</v>
      </c>
      <c r="J2438" s="1">
        <v>77</v>
      </c>
      <c r="K2438" s="1">
        <v>0</v>
      </c>
    </row>
    <row r="2439" spans="3:11" x14ac:dyDescent="0.25">
      <c r="C2439" s="1" t="s">
        <v>3497</v>
      </c>
      <c r="D2439" s="1" t="s">
        <v>3498</v>
      </c>
      <c r="E2439" s="1" t="s">
        <v>3499</v>
      </c>
      <c r="F2439" s="1">
        <v>0</v>
      </c>
      <c r="G2439" s="1">
        <v>0</v>
      </c>
      <c r="H2439" s="1">
        <v>0</v>
      </c>
      <c r="I2439" s="1">
        <v>76</v>
      </c>
      <c r="J2439" s="1">
        <v>76</v>
      </c>
      <c r="K2439" s="1">
        <v>0</v>
      </c>
    </row>
    <row r="2440" spans="3:11" x14ac:dyDescent="0.25">
      <c r="C2440" s="1" t="s">
        <v>1773</v>
      </c>
      <c r="D2440" s="1" t="s">
        <v>1774</v>
      </c>
      <c r="E2440" s="1" t="s">
        <v>1775</v>
      </c>
      <c r="F2440" s="1">
        <v>0</v>
      </c>
      <c r="G2440" s="1">
        <v>0</v>
      </c>
      <c r="H2440" s="1">
        <v>0</v>
      </c>
      <c r="I2440" s="1">
        <v>75</v>
      </c>
      <c r="J2440" s="1">
        <v>75</v>
      </c>
      <c r="K2440" s="1">
        <v>0</v>
      </c>
    </row>
    <row r="2441" spans="3:11" x14ac:dyDescent="0.25">
      <c r="C2441" s="1" t="s">
        <v>9453</v>
      </c>
      <c r="D2441" s="1" t="s">
        <v>9454</v>
      </c>
      <c r="E2441" s="1" t="s">
        <v>9453</v>
      </c>
      <c r="F2441" s="1">
        <v>0</v>
      </c>
      <c r="G2441" s="1">
        <v>0</v>
      </c>
      <c r="H2441" s="1">
        <v>0</v>
      </c>
      <c r="I2441" s="1">
        <v>74</v>
      </c>
      <c r="J2441" s="1">
        <v>74</v>
      </c>
      <c r="K2441" s="1">
        <v>0</v>
      </c>
    </row>
    <row r="2442" spans="3:11" x14ac:dyDescent="0.25">
      <c r="C2442" s="1" t="s">
        <v>1776</v>
      </c>
      <c r="D2442" s="1" t="s">
        <v>1777</v>
      </c>
      <c r="E2442" s="1" t="s">
        <v>1778</v>
      </c>
      <c r="F2442" s="1">
        <v>0</v>
      </c>
      <c r="G2442" s="1">
        <v>0</v>
      </c>
      <c r="H2442" s="1">
        <v>0</v>
      </c>
      <c r="I2442" s="1">
        <v>74</v>
      </c>
      <c r="J2442" s="1">
        <v>74</v>
      </c>
      <c r="K2442" s="1">
        <v>0</v>
      </c>
    </row>
    <row r="2443" spans="3:11" x14ac:dyDescent="0.25">
      <c r="C2443" s="1" t="s">
        <v>3647</v>
      </c>
      <c r="D2443" s="1" t="s">
        <v>3648</v>
      </c>
      <c r="E2443" s="1" t="s">
        <v>3649</v>
      </c>
      <c r="F2443" s="1">
        <v>0</v>
      </c>
      <c r="G2443" s="1">
        <v>0</v>
      </c>
      <c r="H2443" s="1">
        <v>0</v>
      </c>
      <c r="I2443" s="1">
        <v>73</v>
      </c>
      <c r="J2443" s="1">
        <v>73</v>
      </c>
      <c r="K2443" s="1">
        <v>0</v>
      </c>
    </row>
    <row r="2444" spans="3:11" x14ac:dyDescent="0.25">
      <c r="C2444" s="1" t="s">
        <v>9455</v>
      </c>
      <c r="D2444" s="1" t="s">
        <v>9456</v>
      </c>
      <c r="E2444" s="1" t="s">
        <v>9457</v>
      </c>
      <c r="F2444" s="1">
        <v>0</v>
      </c>
      <c r="G2444" s="1">
        <v>0</v>
      </c>
      <c r="H2444" s="1">
        <v>0</v>
      </c>
      <c r="I2444" s="1">
        <v>72</v>
      </c>
      <c r="J2444" s="1">
        <v>72</v>
      </c>
      <c r="K2444" s="1">
        <v>0</v>
      </c>
    </row>
    <row r="2445" spans="3:11" x14ac:dyDescent="0.25">
      <c r="C2445" s="1" t="s">
        <v>9458</v>
      </c>
      <c r="D2445" s="1" t="s">
        <v>9459</v>
      </c>
      <c r="E2445" s="1" t="s">
        <v>9460</v>
      </c>
      <c r="F2445" s="1">
        <v>0</v>
      </c>
      <c r="G2445" s="1">
        <v>0</v>
      </c>
      <c r="H2445" s="1">
        <v>0</v>
      </c>
      <c r="I2445" s="1">
        <v>72</v>
      </c>
      <c r="J2445" s="1">
        <v>72</v>
      </c>
      <c r="K2445" s="1">
        <v>0</v>
      </c>
    </row>
    <row r="2446" spans="3:11" x14ac:dyDescent="0.25">
      <c r="C2446" s="1" t="s">
        <v>9461</v>
      </c>
      <c r="D2446" s="1" t="s">
        <v>9462</v>
      </c>
      <c r="E2446" s="1" t="s">
        <v>9463</v>
      </c>
      <c r="F2446" s="1">
        <v>0</v>
      </c>
      <c r="G2446" s="1">
        <v>0</v>
      </c>
      <c r="H2446" s="1">
        <v>0</v>
      </c>
      <c r="I2446" s="1">
        <v>72</v>
      </c>
      <c r="J2446" s="1">
        <v>72</v>
      </c>
      <c r="K2446" s="1">
        <v>0</v>
      </c>
    </row>
    <row r="2447" spans="3:11" x14ac:dyDescent="0.25">
      <c r="C2447" s="1" t="s">
        <v>3513</v>
      </c>
      <c r="D2447" s="1" t="s">
        <v>3514</v>
      </c>
      <c r="E2447" s="1" t="s">
        <v>3515</v>
      </c>
      <c r="F2447" s="1">
        <v>0</v>
      </c>
      <c r="G2447" s="1">
        <v>0</v>
      </c>
      <c r="H2447" s="1">
        <v>0</v>
      </c>
      <c r="I2447" s="1">
        <v>72</v>
      </c>
      <c r="J2447" s="1">
        <v>72</v>
      </c>
      <c r="K2447" s="1">
        <v>0</v>
      </c>
    </row>
    <row r="2448" spans="3:11" x14ac:dyDescent="0.25">
      <c r="C2448" s="1" t="s">
        <v>3519</v>
      </c>
      <c r="D2448" s="1" t="s">
        <v>824</v>
      </c>
      <c r="E2448" s="1" t="s">
        <v>3520</v>
      </c>
      <c r="F2448" s="1">
        <v>0</v>
      </c>
      <c r="G2448" s="1">
        <v>0</v>
      </c>
      <c r="H2448" s="1">
        <v>0</v>
      </c>
      <c r="I2448" s="1">
        <v>72</v>
      </c>
      <c r="J2448" s="1">
        <v>72</v>
      </c>
      <c r="K2448" s="1">
        <v>0</v>
      </c>
    </row>
    <row r="2449" spans="3:11" x14ac:dyDescent="0.25">
      <c r="C2449" s="1" t="s">
        <v>9464</v>
      </c>
      <c r="D2449" s="1" t="s">
        <v>9465</v>
      </c>
      <c r="E2449" s="1" t="s">
        <v>9466</v>
      </c>
      <c r="F2449" s="1">
        <v>0</v>
      </c>
      <c r="G2449" s="1">
        <v>0</v>
      </c>
      <c r="H2449" s="1">
        <v>0</v>
      </c>
      <c r="I2449" s="1">
        <v>70</v>
      </c>
      <c r="J2449" s="1">
        <v>70</v>
      </c>
      <c r="K2449" s="1">
        <v>0</v>
      </c>
    </row>
    <row r="2450" spans="3:11" x14ac:dyDescent="0.25">
      <c r="C2450" s="1" t="s">
        <v>1786</v>
      </c>
      <c r="D2450" s="1" t="s">
        <v>1787</v>
      </c>
      <c r="E2450" s="1" t="s">
        <v>1788</v>
      </c>
      <c r="F2450" s="1">
        <v>0</v>
      </c>
      <c r="G2450" s="1">
        <v>0</v>
      </c>
      <c r="H2450" s="1">
        <v>0</v>
      </c>
      <c r="I2450" s="1">
        <v>70</v>
      </c>
      <c r="J2450" s="1">
        <v>70</v>
      </c>
      <c r="K2450" s="1">
        <v>0</v>
      </c>
    </row>
    <row r="2451" spans="3:11" x14ac:dyDescent="0.25">
      <c r="C2451" s="1" t="s">
        <v>3585</v>
      </c>
      <c r="D2451" s="1" t="s">
        <v>3586</v>
      </c>
      <c r="E2451" s="1" t="s">
        <v>3587</v>
      </c>
      <c r="F2451" s="1">
        <v>0</v>
      </c>
      <c r="G2451" s="1">
        <v>0</v>
      </c>
      <c r="H2451" s="1">
        <v>0</v>
      </c>
      <c r="I2451" s="1">
        <v>70</v>
      </c>
      <c r="J2451" s="1">
        <v>70</v>
      </c>
      <c r="K2451" s="1">
        <v>0</v>
      </c>
    </row>
    <row r="2452" spans="3:11" x14ac:dyDescent="0.25">
      <c r="C2452" s="1" t="s">
        <v>9467</v>
      </c>
      <c r="D2452" s="1" t="s">
        <v>9468</v>
      </c>
      <c r="E2452" s="1" t="s">
        <v>9467</v>
      </c>
      <c r="F2452" s="1">
        <v>0</v>
      </c>
      <c r="G2452" s="1">
        <v>0</v>
      </c>
      <c r="H2452" s="1">
        <v>0</v>
      </c>
      <c r="I2452" s="1">
        <v>68</v>
      </c>
      <c r="J2452" s="1">
        <v>68</v>
      </c>
      <c r="K2452" s="1">
        <v>0</v>
      </c>
    </row>
    <row r="2453" spans="3:11" x14ac:dyDescent="0.25">
      <c r="C2453" s="1" t="s">
        <v>3543</v>
      </c>
      <c r="D2453" s="1" t="s">
        <v>3544</v>
      </c>
      <c r="E2453" s="1" t="s">
        <v>3545</v>
      </c>
      <c r="F2453" s="1">
        <v>0</v>
      </c>
      <c r="G2453" s="1">
        <v>0</v>
      </c>
      <c r="H2453" s="1">
        <v>0</v>
      </c>
      <c r="I2453" s="1">
        <v>66</v>
      </c>
      <c r="J2453" s="1">
        <v>66</v>
      </c>
      <c r="K2453" s="1">
        <v>0</v>
      </c>
    </row>
    <row r="2454" spans="3:11" x14ac:dyDescent="0.25">
      <c r="C2454" s="1" t="s">
        <v>3552</v>
      </c>
      <c r="D2454" s="1" t="s">
        <v>734</v>
      </c>
      <c r="E2454" s="1" t="s">
        <v>3553</v>
      </c>
      <c r="F2454" s="1">
        <v>0</v>
      </c>
      <c r="G2454" s="1">
        <v>0</v>
      </c>
      <c r="H2454" s="1">
        <v>0</v>
      </c>
      <c r="I2454" s="1">
        <v>65</v>
      </c>
      <c r="J2454" s="1">
        <v>65</v>
      </c>
      <c r="K2454" s="1">
        <v>0</v>
      </c>
    </row>
    <row r="2455" spans="3:11" x14ac:dyDescent="0.25">
      <c r="C2455" s="1" t="s">
        <v>9469</v>
      </c>
      <c r="D2455" s="1" t="s">
        <v>9470</v>
      </c>
      <c r="E2455" s="1" t="s">
        <v>9471</v>
      </c>
      <c r="F2455" s="1">
        <v>0</v>
      </c>
      <c r="G2455" s="1">
        <v>0</v>
      </c>
      <c r="H2455" s="1">
        <v>0</v>
      </c>
      <c r="I2455" s="1">
        <v>64</v>
      </c>
      <c r="J2455" s="1">
        <v>64</v>
      </c>
      <c r="K2455" s="1">
        <v>0</v>
      </c>
    </row>
    <row r="2456" spans="3:11" x14ac:dyDescent="0.25">
      <c r="C2456" s="1" t="s">
        <v>9472</v>
      </c>
      <c r="D2456" s="1" t="s">
        <v>9473</v>
      </c>
      <c r="E2456" s="1" t="s">
        <v>9472</v>
      </c>
      <c r="F2456" s="1">
        <v>0</v>
      </c>
      <c r="G2456" s="1">
        <v>0</v>
      </c>
      <c r="H2456" s="1">
        <v>0</v>
      </c>
      <c r="I2456" s="1">
        <v>64</v>
      </c>
      <c r="J2456" s="1">
        <v>64</v>
      </c>
      <c r="K2456" s="1">
        <v>0</v>
      </c>
    </row>
    <row r="2457" spans="3:11" x14ac:dyDescent="0.25">
      <c r="C2457" s="1" t="s">
        <v>9474</v>
      </c>
      <c r="D2457" s="1" t="s">
        <v>9475</v>
      </c>
      <c r="E2457" s="1" t="s">
        <v>9476</v>
      </c>
      <c r="F2457" s="1">
        <v>0</v>
      </c>
      <c r="G2457" s="1">
        <v>0</v>
      </c>
      <c r="H2457" s="1">
        <v>0</v>
      </c>
      <c r="I2457" s="1">
        <v>64</v>
      </c>
      <c r="J2457" s="1">
        <v>64</v>
      </c>
      <c r="K2457" s="1">
        <v>0</v>
      </c>
    </row>
    <row r="2458" spans="3:11" x14ac:dyDescent="0.25">
      <c r="C2458" s="1" t="s">
        <v>9477</v>
      </c>
      <c r="D2458" s="1" t="s">
        <v>9478</v>
      </c>
      <c r="E2458" s="1" t="s">
        <v>9479</v>
      </c>
      <c r="F2458" s="1">
        <v>0</v>
      </c>
      <c r="G2458" s="1">
        <v>0</v>
      </c>
      <c r="H2458" s="1">
        <v>0</v>
      </c>
      <c r="I2458" s="1">
        <v>63</v>
      </c>
      <c r="J2458" s="1">
        <v>63</v>
      </c>
      <c r="K2458" s="1">
        <v>0</v>
      </c>
    </row>
    <row r="2459" spans="3:11" x14ac:dyDescent="0.25">
      <c r="C2459" s="1" t="s">
        <v>9480</v>
      </c>
      <c r="D2459" s="1" t="s">
        <v>9481</v>
      </c>
      <c r="E2459" s="1" t="s">
        <v>9482</v>
      </c>
      <c r="F2459" s="1">
        <v>0</v>
      </c>
      <c r="G2459" s="1">
        <v>0</v>
      </c>
      <c r="H2459" s="1">
        <v>0</v>
      </c>
      <c r="I2459" s="1">
        <v>63</v>
      </c>
      <c r="J2459" s="1">
        <v>63</v>
      </c>
      <c r="K2459" s="1">
        <v>0</v>
      </c>
    </row>
    <row r="2460" spans="3:11" x14ac:dyDescent="0.25">
      <c r="C2460" s="1" t="s">
        <v>9483</v>
      </c>
      <c r="D2460" s="1" t="s">
        <v>9484</v>
      </c>
      <c r="E2460" s="1" t="s">
        <v>9485</v>
      </c>
      <c r="F2460" s="1">
        <v>0</v>
      </c>
      <c r="G2460" s="1">
        <v>0</v>
      </c>
      <c r="H2460" s="1">
        <v>0</v>
      </c>
      <c r="I2460" s="1">
        <v>62</v>
      </c>
      <c r="J2460" s="1">
        <v>62</v>
      </c>
      <c r="K2460" s="1">
        <v>0</v>
      </c>
    </row>
    <row r="2461" spans="3:11" x14ac:dyDescent="0.25">
      <c r="C2461" s="1" t="s">
        <v>9486</v>
      </c>
      <c r="D2461" s="1" t="s">
        <v>9487</v>
      </c>
      <c r="E2461" s="1" t="s">
        <v>9488</v>
      </c>
      <c r="F2461" s="1">
        <v>0</v>
      </c>
      <c r="G2461" s="1">
        <v>0</v>
      </c>
      <c r="H2461" s="1">
        <v>0</v>
      </c>
      <c r="I2461" s="1">
        <v>62</v>
      </c>
      <c r="J2461" s="1">
        <v>62</v>
      </c>
      <c r="K2461" s="1">
        <v>0</v>
      </c>
    </row>
    <row r="2462" spans="3:11" x14ac:dyDescent="0.25">
      <c r="C2462" s="1" t="s">
        <v>3579</v>
      </c>
      <c r="D2462" s="1" t="s">
        <v>3580</v>
      </c>
      <c r="E2462" s="1" t="s">
        <v>3581</v>
      </c>
      <c r="F2462" s="1">
        <v>0</v>
      </c>
      <c r="G2462" s="1">
        <v>0</v>
      </c>
      <c r="H2462" s="1">
        <v>0</v>
      </c>
      <c r="I2462" s="1">
        <v>62</v>
      </c>
      <c r="J2462" s="1">
        <v>62</v>
      </c>
      <c r="K2462" s="1">
        <v>0</v>
      </c>
    </row>
    <row r="2463" spans="3:11" x14ac:dyDescent="0.25">
      <c r="C2463" s="1" t="s">
        <v>3588</v>
      </c>
      <c r="D2463" s="1" t="s">
        <v>3589</v>
      </c>
      <c r="E2463" s="1" t="s">
        <v>3590</v>
      </c>
      <c r="F2463" s="1">
        <v>0</v>
      </c>
      <c r="G2463" s="1">
        <v>0</v>
      </c>
      <c r="H2463" s="1">
        <v>0</v>
      </c>
      <c r="I2463" s="1">
        <v>61</v>
      </c>
      <c r="J2463" s="1">
        <v>61</v>
      </c>
      <c r="K2463" s="1">
        <v>0</v>
      </c>
    </row>
    <row r="2464" spans="3:11" x14ac:dyDescent="0.25">
      <c r="C2464" s="1" t="s">
        <v>9489</v>
      </c>
      <c r="D2464" s="1" t="s">
        <v>9490</v>
      </c>
      <c r="E2464" s="1" t="s">
        <v>9491</v>
      </c>
      <c r="F2464" s="1">
        <v>0</v>
      </c>
      <c r="G2464" s="1">
        <v>0</v>
      </c>
      <c r="H2464" s="1">
        <v>0</v>
      </c>
      <c r="I2464" s="1">
        <v>60</v>
      </c>
      <c r="J2464" s="1">
        <v>60</v>
      </c>
      <c r="K2464" s="1">
        <v>0</v>
      </c>
    </row>
    <row r="2465" spans="3:11" x14ac:dyDescent="0.25">
      <c r="C2465" s="1" t="s">
        <v>3591</v>
      </c>
      <c r="D2465" s="1" t="s">
        <v>3592</v>
      </c>
      <c r="E2465" s="1" t="s">
        <v>3593</v>
      </c>
      <c r="F2465" s="1">
        <v>0</v>
      </c>
      <c r="G2465" s="1">
        <v>0</v>
      </c>
      <c r="H2465" s="1">
        <v>0</v>
      </c>
      <c r="I2465" s="1">
        <v>60</v>
      </c>
      <c r="J2465" s="1">
        <v>60</v>
      </c>
      <c r="K2465" s="1">
        <v>0</v>
      </c>
    </row>
    <row r="2466" spans="3:11" x14ac:dyDescent="0.25">
      <c r="C2466" s="1" t="s">
        <v>9492</v>
      </c>
      <c r="D2466" s="1" t="s">
        <v>9493</v>
      </c>
      <c r="E2466" s="1" t="s">
        <v>9492</v>
      </c>
      <c r="F2466" s="1">
        <v>0</v>
      </c>
      <c r="G2466" s="1">
        <v>0</v>
      </c>
      <c r="H2466" s="1">
        <v>0</v>
      </c>
      <c r="I2466" s="1">
        <v>59</v>
      </c>
      <c r="J2466" s="1">
        <v>59</v>
      </c>
      <c r="K2466" s="1">
        <v>0</v>
      </c>
    </row>
    <row r="2467" spans="3:11" x14ac:dyDescent="0.25">
      <c r="C2467" s="1" t="s">
        <v>3661</v>
      </c>
      <c r="D2467" s="1" t="s">
        <v>3662</v>
      </c>
      <c r="E2467" s="1" t="s">
        <v>3663</v>
      </c>
      <c r="F2467" s="1">
        <v>0</v>
      </c>
      <c r="G2467" s="1">
        <v>0</v>
      </c>
      <c r="H2467" s="1">
        <v>0</v>
      </c>
      <c r="I2467" s="1">
        <v>59</v>
      </c>
      <c r="J2467" s="1">
        <v>59</v>
      </c>
      <c r="K2467" s="1">
        <v>0</v>
      </c>
    </row>
    <row r="2468" spans="3:11" x14ac:dyDescent="0.25">
      <c r="C2468" s="1" t="s">
        <v>1815</v>
      </c>
      <c r="D2468" s="1" t="s">
        <v>1816</v>
      </c>
      <c r="E2468" s="1" t="s">
        <v>1817</v>
      </c>
      <c r="F2468" s="1">
        <v>0</v>
      </c>
      <c r="G2468" s="1">
        <v>0</v>
      </c>
      <c r="H2468" s="1">
        <v>0</v>
      </c>
      <c r="I2468" s="1">
        <v>58</v>
      </c>
      <c r="J2468" s="1">
        <v>58</v>
      </c>
      <c r="K2468" s="1">
        <v>0</v>
      </c>
    </row>
    <row r="2469" spans="3:11" x14ac:dyDescent="0.25">
      <c r="C2469" s="1" t="s">
        <v>3608</v>
      </c>
      <c r="D2469" s="1" t="s">
        <v>3609</v>
      </c>
      <c r="E2469" s="1" t="s">
        <v>3610</v>
      </c>
      <c r="F2469" s="1">
        <v>0</v>
      </c>
      <c r="G2469" s="1">
        <v>0</v>
      </c>
      <c r="H2469" s="1">
        <v>0</v>
      </c>
      <c r="I2469" s="1">
        <v>58</v>
      </c>
      <c r="J2469" s="1">
        <v>58</v>
      </c>
      <c r="K2469" s="1">
        <v>0</v>
      </c>
    </row>
    <row r="2470" spans="3:11" x14ac:dyDescent="0.25">
      <c r="C2470" s="1" t="s">
        <v>3611</v>
      </c>
      <c r="D2470" s="1" t="s">
        <v>3612</v>
      </c>
      <c r="E2470" s="1" t="s">
        <v>3613</v>
      </c>
      <c r="F2470" s="1">
        <v>0</v>
      </c>
      <c r="G2470" s="1">
        <v>0</v>
      </c>
      <c r="H2470" s="1">
        <v>0</v>
      </c>
      <c r="I2470" s="1">
        <v>56</v>
      </c>
      <c r="J2470" s="1">
        <v>56</v>
      </c>
      <c r="K2470" s="1">
        <v>0</v>
      </c>
    </row>
    <row r="2471" spans="3:11" x14ac:dyDescent="0.25">
      <c r="C2471" s="1" t="s">
        <v>3614</v>
      </c>
      <c r="D2471" s="1" t="s">
        <v>3615</v>
      </c>
      <c r="E2471" s="1" t="s">
        <v>3616</v>
      </c>
      <c r="F2471" s="1">
        <v>0</v>
      </c>
      <c r="G2471" s="1">
        <v>0</v>
      </c>
      <c r="H2471" s="1">
        <v>0</v>
      </c>
      <c r="I2471" s="1">
        <v>56</v>
      </c>
      <c r="J2471" s="1">
        <v>56</v>
      </c>
      <c r="K2471" s="1">
        <v>0</v>
      </c>
    </row>
    <row r="2472" spans="3:11" x14ac:dyDescent="0.25">
      <c r="C2472" s="1" t="s">
        <v>3620</v>
      </c>
      <c r="D2472" s="1" t="s">
        <v>738</v>
      </c>
      <c r="E2472" s="1" t="s">
        <v>3621</v>
      </c>
      <c r="F2472" s="1">
        <v>0</v>
      </c>
      <c r="G2472" s="1">
        <v>0</v>
      </c>
      <c r="H2472" s="1">
        <v>0</v>
      </c>
      <c r="I2472" s="1">
        <v>55</v>
      </c>
      <c r="J2472" s="1">
        <v>55</v>
      </c>
      <c r="K2472" s="1">
        <v>0</v>
      </c>
    </row>
    <row r="2473" spans="3:11" x14ac:dyDescent="0.25">
      <c r="C2473" s="1" t="s">
        <v>9494</v>
      </c>
      <c r="D2473" s="1" t="s">
        <v>9495</v>
      </c>
      <c r="E2473" s="1" t="s">
        <v>9496</v>
      </c>
      <c r="F2473" s="1">
        <v>0</v>
      </c>
      <c r="G2473" s="1">
        <v>0</v>
      </c>
      <c r="H2473" s="1">
        <v>0</v>
      </c>
      <c r="I2473" s="1">
        <v>54</v>
      </c>
      <c r="J2473" s="1">
        <v>54</v>
      </c>
      <c r="K2473" s="1">
        <v>0</v>
      </c>
    </row>
    <row r="2474" spans="3:11" x14ac:dyDescent="0.25">
      <c r="C2474" s="1" t="s">
        <v>9497</v>
      </c>
      <c r="D2474" s="1" t="s">
        <v>9498</v>
      </c>
      <c r="E2474" s="1" t="s">
        <v>9499</v>
      </c>
      <c r="F2474" s="1">
        <v>0</v>
      </c>
      <c r="G2474" s="1">
        <v>0</v>
      </c>
      <c r="H2474" s="1">
        <v>0</v>
      </c>
      <c r="I2474" s="1">
        <v>52</v>
      </c>
      <c r="J2474" s="1">
        <v>52</v>
      </c>
      <c r="K2474" s="1">
        <v>0</v>
      </c>
    </row>
    <row r="2475" spans="3:11" x14ac:dyDescent="0.25">
      <c r="C2475" s="1" t="s">
        <v>9500</v>
      </c>
      <c r="D2475" s="1" t="s">
        <v>9501</v>
      </c>
      <c r="E2475" s="1" t="s">
        <v>9502</v>
      </c>
      <c r="F2475" s="1">
        <v>0</v>
      </c>
      <c r="G2475" s="1">
        <v>0</v>
      </c>
      <c r="H2475" s="1">
        <v>0</v>
      </c>
      <c r="I2475" s="1">
        <v>51</v>
      </c>
      <c r="J2475" s="1">
        <v>51</v>
      </c>
      <c r="K2475" s="1">
        <v>0</v>
      </c>
    </row>
    <row r="2476" spans="3:11" x14ac:dyDescent="0.25">
      <c r="C2476" s="1" t="s">
        <v>9503</v>
      </c>
      <c r="D2476" s="1" t="s">
        <v>9504</v>
      </c>
      <c r="E2476" s="1" t="s">
        <v>9505</v>
      </c>
      <c r="F2476" s="1">
        <v>0</v>
      </c>
      <c r="G2476" s="1">
        <v>0</v>
      </c>
      <c r="H2476" s="1">
        <v>0</v>
      </c>
      <c r="I2476" s="1">
        <v>51</v>
      </c>
      <c r="J2476" s="1">
        <v>51</v>
      </c>
      <c r="K2476" s="1">
        <v>0</v>
      </c>
    </row>
    <row r="2477" spans="3:11" x14ac:dyDescent="0.25">
      <c r="C2477" s="1" t="s">
        <v>9506</v>
      </c>
      <c r="D2477" s="1" t="s">
        <v>9507</v>
      </c>
      <c r="E2477" s="1" t="s">
        <v>9508</v>
      </c>
      <c r="F2477" s="1">
        <v>0</v>
      </c>
      <c r="G2477" s="1">
        <v>0</v>
      </c>
      <c r="H2477" s="1">
        <v>0</v>
      </c>
      <c r="I2477" s="1">
        <v>51</v>
      </c>
      <c r="J2477" s="1">
        <v>51</v>
      </c>
      <c r="K2477" s="1">
        <v>0</v>
      </c>
    </row>
    <row r="2478" spans="3:11" x14ac:dyDescent="0.25">
      <c r="C2478" s="1" t="s">
        <v>3664</v>
      </c>
      <c r="D2478" s="1" t="s">
        <v>3665</v>
      </c>
      <c r="E2478" s="1" t="s">
        <v>3666</v>
      </c>
      <c r="F2478" s="1">
        <v>0</v>
      </c>
      <c r="G2478" s="1">
        <v>0</v>
      </c>
      <c r="H2478" s="1">
        <v>0</v>
      </c>
      <c r="I2478" s="1">
        <v>51</v>
      </c>
      <c r="J2478" s="1">
        <v>51</v>
      </c>
      <c r="K2478" s="1">
        <v>0</v>
      </c>
    </row>
    <row r="2479" spans="3:11" x14ac:dyDescent="0.25">
      <c r="C2479" s="1" t="s">
        <v>9509</v>
      </c>
      <c r="D2479" s="1" t="s">
        <v>9510</v>
      </c>
      <c r="E2479" s="1" t="s">
        <v>9509</v>
      </c>
      <c r="F2479" s="1">
        <v>0</v>
      </c>
      <c r="G2479" s="1">
        <v>0</v>
      </c>
      <c r="H2479" s="1">
        <v>0</v>
      </c>
      <c r="I2479" s="1">
        <v>50</v>
      </c>
      <c r="J2479" s="1">
        <v>50</v>
      </c>
      <c r="K2479" s="1">
        <v>0</v>
      </c>
    </row>
    <row r="2480" spans="3:11" x14ac:dyDescent="0.25">
      <c r="C2480" s="1" t="s">
        <v>3667</v>
      </c>
      <c r="D2480" s="1" t="s">
        <v>3668</v>
      </c>
      <c r="E2480" s="1" t="s">
        <v>3669</v>
      </c>
      <c r="F2480" s="1">
        <v>0</v>
      </c>
      <c r="G2480" s="1">
        <v>0</v>
      </c>
      <c r="H2480" s="1">
        <v>0</v>
      </c>
      <c r="I2480" s="1">
        <v>50</v>
      </c>
      <c r="J2480" s="1">
        <v>50</v>
      </c>
      <c r="K2480" s="1">
        <v>0</v>
      </c>
    </row>
    <row r="2481" spans="3:11" x14ac:dyDescent="0.25">
      <c r="C2481" s="1" t="s">
        <v>9511</v>
      </c>
      <c r="D2481" s="1" t="s">
        <v>9512</v>
      </c>
      <c r="E2481" s="1" t="s">
        <v>9513</v>
      </c>
      <c r="F2481" s="1">
        <v>0</v>
      </c>
      <c r="G2481" s="1">
        <v>0</v>
      </c>
      <c r="H2481" s="1">
        <v>0</v>
      </c>
      <c r="I2481" s="1">
        <v>49</v>
      </c>
      <c r="J2481" s="1">
        <v>49</v>
      </c>
      <c r="K2481" s="1">
        <v>0</v>
      </c>
    </row>
    <row r="2482" spans="3:11" x14ac:dyDescent="0.25">
      <c r="C2482" s="1" t="s">
        <v>9514</v>
      </c>
      <c r="D2482" s="1" t="s">
        <v>9515</v>
      </c>
      <c r="E2482" s="1" t="s">
        <v>9516</v>
      </c>
      <c r="F2482" s="1">
        <v>0</v>
      </c>
      <c r="G2482" s="1">
        <v>0</v>
      </c>
      <c r="H2482" s="1">
        <v>0</v>
      </c>
      <c r="I2482" s="1">
        <v>49</v>
      </c>
      <c r="J2482" s="1">
        <v>49</v>
      </c>
      <c r="K2482" s="1">
        <v>0</v>
      </c>
    </row>
    <row r="2483" spans="3:11" x14ac:dyDescent="0.25">
      <c r="C2483" s="1" t="s">
        <v>9517</v>
      </c>
      <c r="D2483" s="1" t="s">
        <v>9518</v>
      </c>
      <c r="E2483" s="1" t="s">
        <v>9519</v>
      </c>
      <c r="F2483" s="1">
        <v>0</v>
      </c>
      <c r="G2483" s="1">
        <v>0</v>
      </c>
      <c r="H2483" s="1">
        <v>0</v>
      </c>
      <c r="I2483" s="1">
        <v>48</v>
      </c>
      <c r="J2483" s="1">
        <v>48</v>
      </c>
      <c r="K2483" s="1">
        <v>0</v>
      </c>
    </row>
    <row r="2484" spans="3:11" x14ac:dyDescent="0.25">
      <c r="C2484" s="1" t="s">
        <v>9520</v>
      </c>
      <c r="D2484" s="1" t="s">
        <v>9521</v>
      </c>
      <c r="E2484" s="1" t="s">
        <v>9522</v>
      </c>
      <c r="F2484" s="1">
        <v>0</v>
      </c>
      <c r="G2484" s="1">
        <v>0</v>
      </c>
      <c r="H2484" s="1">
        <v>0</v>
      </c>
      <c r="I2484" s="1">
        <v>48</v>
      </c>
      <c r="J2484" s="1">
        <v>48</v>
      </c>
      <c r="K2484" s="1">
        <v>0</v>
      </c>
    </row>
    <row r="2485" spans="3:11" x14ac:dyDescent="0.25">
      <c r="C2485" s="1" t="s">
        <v>9523</v>
      </c>
      <c r="D2485" s="1" t="s">
        <v>9524</v>
      </c>
      <c r="E2485" s="1" t="s">
        <v>9525</v>
      </c>
      <c r="F2485" s="1">
        <v>0</v>
      </c>
      <c r="G2485" s="1">
        <v>0</v>
      </c>
      <c r="H2485" s="1">
        <v>0</v>
      </c>
      <c r="I2485" s="1">
        <v>48</v>
      </c>
      <c r="J2485" s="1">
        <v>48</v>
      </c>
      <c r="K2485" s="1">
        <v>0</v>
      </c>
    </row>
    <row r="2486" spans="3:11" x14ac:dyDescent="0.25">
      <c r="C2486" s="1" t="s">
        <v>3679</v>
      </c>
      <c r="D2486" s="1" t="s">
        <v>3680</v>
      </c>
      <c r="E2486" s="1" t="s">
        <v>3679</v>
      </c>
      <c r="F2486" s="1">
        <v>0</v>
      </c>
      <c r="G2486" s="1">
        <v>0</v>
      </c>
      <c r="H2486" s="1">
        <v>0</v>
      </c>
      <c r="I2486" s="1">
        <v>48</v>
      </c>
      <c r="J2486" s="1">
        <v>48</v>
      </c>
      <c r="K2486" s="1">
        <v>0</v>
      </c>
    </row>
    <row r="2487" spans="3:11" x14ac:dyDescent="0.25">
      <c r="C2487" s="1" t="s">
        <v>2067</v>
      </c>
      <c r="D2487" s="1" t="s">
        <v>2068</v>
      </c>
      <c r="E2487" s="1" t="s">
        <v>2069</v>
      </c>
      <c r="F2487" s="1">
        <v>0</v>
      </c>
      <c r="G2487" s="1">
        <v>0</v>
      </c>
      <c r="H2487" s="1">
        <v>0</v>
      </c>
      <c r="I2487" s="1">
        <v>48</v>
      </c>
      <c r="J2487" s="1">
        <v>48</v>
      </c>
      <c r="K2487" s="1">
        <v>0</v>
      </c>
    </row>
    <row r="2488" spans="3:11" x14ac:dyDescent="0.25">
      <c r="C2488" s="1" t="s">
        <v>3681</v>
      </c>
      <c r="D2488" s="1" t="s">
        <v>3682</v>
      </c>
      <c r="E2488" s="1" t="s">
        <v>3683</v>
      </c>
      <c r="F2488" s="1">
        <v>0</v>
      </c>
      <c r="G2488" s="1">
        <v>0</v>
      </c>
      <c r="H2488" s="1">
        <v>0</v>
      </c>
      <c r="I2488" s="1">
        <v>47</v>
      </c>
      <c r="J2488" s="1">
        <v>47</v>
      </c>
      <c r="K2488" s="1">
        <v>0</v>
      </c>
    </row>
    <row r="2489" spans="3:11" x14ac:dyDescent="0.25">
      <c r="C2489" s="1" t="s">
        <v>9526</v>
      </c>
      <c r="D2489" s="1" t="s">
        <v>9527</v>
      </c>
      <c r="E2489" s="1" t="s">
        <v>9528</v>
      </c>
      <c r="F2489" s="1">
        <v>0</v>
      </c>
      <c r="G2489" s="1">
        <v>0</v>
      </c>
      <c r="H2489" s="1">
        <v>0</v>
      </c>
      <c r="I2489" s="1">
        <v>46</v>
      </c>
      <c r="J2489" s="1">
        <v>46</v>
      </c>
      <c r="K2489" s="1">
        <v>0</v>
      </c>
    </row>
    <row r="2490" spans="3:11" x14ac:dyDescent="0.25">
      <c r="C2490" s="1" t="s">
        <v>3693</v>
      </c>
      <c r="D2490" s="1" t="s">
        <v>3694</v>
      </c>
      <c r="E2490" s="1" t="s">
        <v>3695</v>
      </c>
      <c r="F2490" s="1">
        <v>0</v>
      </c>
      <c r="G2490" s="1">
        <v>0</v>
      </c>
      <c r="H2490" s="1">
        <v>0</v>
      </c>
      <c r="I2490" s="1">
        <v>46</v>
      </c>
      <c r="J2490" s="1">
        <v>46</v>
      </c>
      <c r="K2490" s="1">
        <v>0</v>
      </c>
    </row>
    <row r="2491" spans="3:11" x14ac:dyDescent="0.25">
      <c r="C2491" s="1" t="s">
        <v>3699</v>
      </c>
      <c r="D2491" s="1" t="s">
        <v>3700</v>
      </c>
      <c r="E2491" s="1" t="s">
        <v>3701</v>
      </c>
      <c r="F2491" s="1">
        <v>0</v>
      </c>
      <c r="G2491" s="1">
        <v>0</v>
      </c>
      <c r="H2491" s="1">
        <v>0</v>
      </c>
      <c r="I2491" s="1">
        <v>46</v>
      </c>
      <c r="J2491" s="1">
        <v>46</v>
      </c>
      <c r="K2491" s="1">
        <v>0</v>
      </c>
    </row>
    <row r="2492" spans="3:11" x14ac:dyDescent="0.25">
      <c r="C2492" s="1" t="s">
        <v>9529</v>
      </c>
      <c r="D2492" s="1" t="s">
        <v>9530</v>
      </c>
      <c r="E2492" s="1" t="s">
        <v>9531</v>
      </c>
      <c r="F2492" s="1">
        <v>0</v>
      </c>
      <c r="G2492" s="1">
        <v>0</v>
      </c>
      <c r="H2492" s="1">
        <v>0</v>
      </c>
      <c r="I2492" s="1">
        <v>44</v>
      </c>
      <c r="J2492" s="1">
        <v>44</v>
      </c>
      <c r="K2492" s="1">
        <v>0</v>
      </c>
    </row>
    <row r="2493" spans="3:11" x14ac:dyDescent="0.25">
      <c r="C2493" s="1" t="s">
        <v>1866</v>
      </c>
      <c r="D2493" s="1" t="s">
        <v>1867</v>
      </c>
      <c r="E2493" s="1" t="s">
        <v>1868</v>
      </c>
      <c r="F2493" s="1">
        <v>0</v>
      </c>
      <c r="G2493" s="1">
        <v>0</v>
      </c>
      <c r="H2493" s="1">
        <v>0</v>
      </c>
      <c r="I2493" s="1">
        <v>44</v>
      </c>
      <c r="J2493" s="1">
        <v>44</v>
      </c>
      <c r="K2493" s="1">
        <v>0</v>
      </c>
    </row>
    <row r="2494" spans="3:11" x14ac:dyDescent="0.25">
      <c r="C2494" s="1" t="s">
        <v>3711</v>
      </c>
      <c r="D2494" s="1" t="s">
        <v>3712</v>
      </c>
      <c r="E2494" s="1" t="s">
        <v>3713</v>
      </c>
      <c r="F2494" s="1">
        <v>0</v>
      </c>
      <c r="G2494" s="1">
        <v>0</v>
      </c>
      <c r="H2494" s="1">
        <v>0</v>
      </c>
      <c r="I2494" s="1">
        <v>44</v>
      </c>
      <c r="J2494" s="1">
        <v>44</v>
      </c>
      <c r="K2494" s="1">
        <v>0</v>
      </c>
    </row>
    <row r="2495" spans="3:11" x14ac:dyDescent="0.25">
      <c r="C2495" s="1" t="s">
        <v>9532</v>
      </c>
      <c r="D2495" s="1" t="s">
        <v>9533</v>
      </c>
      <c r="E2495" s="1" t="s">
        <v>9534</v>
      </c>
      <c r="F2495" s="1">
        <v>0</v>
      </c>
      <c r="G2495" s="1">
        <v>0</v>
      </c>
      <c r="H2495" s="1">
        <v>0</v>
      </c>
      <c r="I2495" s="1">
        <v>42</v>
      </c>
      <c r="J2495" s="1">
        <v>42</v>
      </c>
      <c r="K2495" s="1">
        <v>0</v>
      </c>
    </row>
    <row r="2496" spans="3:11" x14ac:dyDescent="0.25">
      <c r="C2496" s="1" t="s">
        <v>9535</v>
      </c>
      <c r="D2496" s="1" t="s">
        <v>9536</v>
      </c>
      <c r="E2496" s="1" t="s">
        <v>9535</v>
      </c>
      <c r="F2496" s="1">
        <v>0</v>
      </c>
      <c r="G2496" s="1">
        <v>0</v>
      </c>
      <c r="H2496" s="1">
        <v>0</v>
      </c>
      <c r="I2496" s="1">
        <v>42</v>
      </c>
      <c r="J2496" s="1">
        <v>42</v>
      </c>
      <c r="K2496" s="1">
        <v>0</v>
      </c>
    </row>
    <row r="2497" spans="3:11" x14ac:dyDescent="0.25">
      <c r="C2497" s="1" t="s">
        <v>9537</v>
      </c>
      <c r="D2497" s="1" t="s">
        <v>9538</v>
      </c>
      <c r="E2497" s="1" t="s">
        <v>9539</v>
      </c>
      <c r="F2497" s="1">
        <v>0</v>
      </c>
      <c r="G2497" s="1">
        <v>0</v>
      </c>
      <c r="H2497" s="1">
        <v>0</v>
      </c>
      <c r="I2497" s="1">
        <v>42</v>
      </c>
      <c r="J2497" s="1">
        <v>42</v>
      </c>
      <c r="K2497" s="1">
        <v>0</v>
      </c>
    </row>
    <row r="2498" spans="3:11" x14ac:dyDescent="0.25">
      <c r="C2498" s="1" t="s">
        <v>1871</v>
      </c>
      <c r="D2498" s="1" t="s">
        <v>1872</v>
      </c>
      <c r="E2498" s="1" t="s">
        <v>1873</v>
      </c>
      <c r="F2498" s="1">
        <v>0</v>
      </c>
      <c r="G2498" s="1">
        <v>0</v>
      </c>
      <c r="H2498" s="1">
        <v>0</v>
      </c>
      <c r="I2498" s="1">
        <v>41</v>
      </c>
      <c r="J2498" s="1">
        <v>41</v>
      </c>
      <c r="K2498" s="1">
        <v>0</v>
      </c>
    </row>
    <row r="2499" spans="3:11" x14ac:dyDescent="0.25">
      <c r="C2499" s="1" t="s">
        <v>9540</v>
      </c>
      <c r="D2499" s="1" t="s">
        <v>9541</v>
      </c>
      <c r="E2499" s="1" t="s">
        <v>9540</v>
      </c>
      <c r="F2499" s="1">
        <v>0</v>
      </c>
      <c r="G2499" s="1">
        <v>0</v>
      </c>
      <c r="H2499" s="1">
        <v>0</v>
      </c>
      <c r="I2499" s="1">
        <v>40</v>
      </c>
      <c r="J2499" s="1">
        <v>40</v>
      </c>
      <c r="K2499" s="1">
        <v>0</v>
      </c>
    </row>
    <row r="2500" spans="3:11" x14ac:dyDescent="0.25">
      <c r="C2500" s="1" t="s">
        <v>3755</v>
      </c>
      <c r="D2500" s="1" t="s">
        <v>3756</v>
      </c>
      <c r="E2500" s="1" t="s">
        <v>3757</v>
      </c>
      <c r="F2500" s="1">
        <v>0</v>
      </c>
      <c r="G2500" s="1">
        <v>0</v>
      </c>
      <c r="H2500" s="1">
        <v>0</v>
      </c>
      <c r="I2500" s="1">
        <v>40</v>
      </c>
      <c r="J2500" s="1">
        <v>40</v>
      </c>
      <c r="K2500" s="1">
        <v>0</v>
      </c>
    </row>
    <row r="2501" spans="3:11" x14ac:dyDescent="0.25">
      <c r="C2501" s="1" t="s">
        <v>9542</v>
      </c>
      <c r="D2501" s="1" t="s">
        <v>9543</v>
      </c>
      <c r="E2501" s="1" t="s">
        <v>9544</v>
      </c>
      <c r="F2501" s="1">
        <v>0</v>
      </c>
      <c r="G2501" s="1">
        <v>0</v>
      </c>
      <c r="H2501" s="1">
        <v>0</v>
      </c>
      <c r="I2501" s="1">
        <v>39</v>
      </c>
      <c r="J2501" s="1">
        <v>39</v>
      </c>
      <c r="K2501" s="1">
        <v>0</v>
      </c>
    </row>
    <row r="2502" spans="3:11" x14ac:dyDescent="0.25">
      <c r="C2502" s="1" t="s">
        <v>3878</v>
      </c>
      <c r="D2502" s="1" t="s">
        <v>3879</v>
      </c>
      <c r="E2502" s="1" t="s">
        <v>3880</v>
      </c>
      <c r="F2502" s="1">
        <v>0</v>
      </c>
      <c r="G2502" s="1">
        <v>0</v>
      </c>
      <c r="H2502" s="1">
        <v>0</v>
      </c>
      <c r="I2502" s="1">
        <v>39</v>
      </c>
      <c r="J2502" s="1">
        <v>39</v>
      </c>
      <c r="K2502" s="1">
        <v>0</v>
      </c>
    </row>
    <row r="2503" spans="3:11" x14ac:dyDescent="0.25">
      <c r="C2503" s="1" t="s">
        <v>9545</v>
      </c>
      <c r="D2503" s="1" t="s">
        <v>9546</v>
      </c>
      <c r="E2503" s="1" t="s">
        <v>9547</v>
      </c>
      <c r="F2503" s="1">
        <v>0</v>
      </c>
      <c r="G2503" s="1">
        <v>0</v>
      </c>
      <c r="H2503" s="1">
        <v>0</v>
      </c>
      <c r="I2503" s="1">
        <v>38</v>
      </c>
      <c r="J2503" s="1">
        <v>38</v>
      </c>
      <c r="K2503" s="1">
        <v>0</v>
      </c>
    </row>
    <row r="2504" spans="3:11" x14ac:dyDescent="0.25">
      <c r="C2504" s="1" t="s">
        <v>3770</v>
      </c>
      <c r="D2504" s="1" t="s">
        <v>3771</v>
      </c>
      <c r="E2504" s="1" t="s">
        <v>3772</v>
      </c>
      <c r="F2504" s="1">
        <v>0</v>
      </c>
      <c r="G2504" s="1">
        <v>0</v>
      </c>
      <c r="H2504" s="1">
        <v>0</v>
      </c>
      <c r="I2504" s="1">
        <v>38</v>
      </c>
      <c r="J2504" s="1">
        <v>38</v>
      </c>
      <c r="K2504" s="1">
        <v>0</v>
      </c>
    </row>
    <row r="2505" spans="3:11" x14ac:dyDescent="0.25">
      <c r="C2505" s="1" t="s">
        <v>9548</v>
      </c>
      <c r="D2505" s="1" t="s">
        <v>9549</v>
      </c>
      <c r="E2505" s="1" t="s">
        <v>9548</v>
      </c>
      <c r="F2505" s="1">
        <v>0</v>
      </c>
      <c r="G2505" s="1">
        <v>0</v>
      </c>
      <c r="H2505" s="1">
        <v>0</v>
      </c>
      <c r="I2505" s="1">
        <v>37</v>
      </c>
      <c r="J2505" s="1">
        <v>37</v>
      </c>
      <c r="K2505" s="1">
        <v>0</v>
      </c>
    </row>
    <row r="2506" spans="3:11" x14ac:dyDescent="0.25">
      <c r="C2506" s="1" t="s">
        <v>9550</v>
      </c>
      <c r="D2506" s="1" t="s">
        <v>9551</v>
      </c>
      <c r="E2506" s="1" t="s">
        <v>9552</v>
      </c>
      <c r="F2506" s="1">
        <v>0</v>
      </c>
      <c r="G2506" s="1">
        <v>0</v>
      </c>
      <c r="H2506" s="1">
        <v>0</v>
      </c>
      <c r="I2506" s="1">
        <v>37</v>
      </c>
      <c r="J2506" s="1">
        <v>37</v>
      </c>
      <c r="K2506" s="1">
        <v>0</v>
      </c>
    </row>
    <row r="2507" spans="3:11" x14ac:dyDescent="0.25">
      <c r="C2507" s="1" t="s">
        <v>3785</v>
      </c>
      <c r="D2507" s="1" t="s">
        <v>3786</v>
      </c>
      <c r="E2507" s="1" t="s">
        <v>3787</v>
      </c>
      <c r="F2507" s="1">
        <v>0</v>
      </c>
      <c r="G2507" s="1">
        <v>0</v>
      </c>
      <c r="H2507" s="1">
        <v>0</v>
      </c>
      <c r="I2507" s="1">
        <v>37</v>
      </c>
      <c r="J2507" s="1">
        <v>37</v>
      </c>
      <c r="K2507" s="1">
        <v>0</v>
      </c>
    </row>
    <row r="2508" spans="3:11" x14ac:dyDescent="0.25">
      <c r="C2508" s="1" t="s">
        <v>3788</v>
      </c>
      <c r="D2508" s="1" t="s">
        <v>3789</v>
      </c>
      <c r="E2508" s="1" t="s">
        <v>3790</v>
      </c>
      <c r="F2508" s="1">
        <v>0</v>
      </c>
      <c r="G2508" s="1">
        <v>0</v>
      </c>
      <c r="H2508" s="1">
        <v>0</v>
      </c>
      <c r="I2508" s="1">
        <v>37</v>
      </c>
      <c r="J2508" s="1">
        <v>37</v>
      </c>
      <c r="K2508" s="1">
        <v>0</v>
      </c>
    </row>
    <row r="2509" spans="3:11" x14ac:dyDescent="0.25">
      <c r="C2509" s="1" t="s">
        <v>3797</v>
      </c>
      <c r="D2509" s="1" t="s">
        <v>3798</v>
      </c>
      <c r="E2509" s="1" t="s">
        <v>3799</v>
      </c>
      <c r="F2509" s="1">
        <v>0</v>
      </c>
      <c r="G2509" s="1">
        <v>0</v>
      </c>
      <c r="H2509" s="1">
        <v>0</v>
      </c>
      <c r="I2509" s="1">
        <v>37</v>
      </c>
      <c r="J2509" s="1">
        <v>37</v>
      </c>
      <c r="K2509" s="1">
        <v>0</v>
      </c>
    </row>
    <row r="2510" spans="3:11" x14ac:dyDescent="0.25">
      <c r="C2510" s="1" t="s">
        <v>9553</v>
      </c>
      <c r="D2510" s="1" t="s">
        <v>9554</v>
      </c>
      <c r="E2510" s="1" t="s">
        <v>9553</v>
      </c>
      <c r="F2510" s="1">
        <v>0</v>
      </c>
      <c r="G2510" s="1">
        <v>0</v>
      </c>
      <c r="H2510" s="1">
        <v>0</v>
      </c>
      <c r="I2510" s="1">
        <v>36</v>
      </c>
      <c r="J2510" s="1">
        <v>36</v>
      </c>
      <c r="K2510" s="1">
        <v>0</v>
      </c>
    </row>
    <row r="2511" spans="3:11" x14ac:dyDescent="0.25">
      <c r="C2511" s="1" t="s">
        <v>3806</v>
      </c>
      <c r="D2511" s="1" t="s">
        <v>3807</v>
      </c>
      <c r="E2511" s="1" t="s">
        <v>3808</v>
      </c>
      <c r="F2511" s="1">
        <v>0</v>
      </c>
      <c r="G2511" s="1">
        <v>0</v>
      </c>
      <c r="H2511" s="1">
        <v>0</v>
      </c>
      <c r="I2511" s="1">
        <v>36</v>
      </c>
      <c r="J2511" s="1">
        <v>36</v>
      </c>
      <c r="K2511" s="1">
        <v>0</v>
      </c>
    </row>
    <row r="2512" spans="3:11" x14ac:dyDescent="0.25">
      <c r="C2512" s="1" t="s">
        <v>3809</v>
      </c>
      <c r="D2512" s="1" t="s">
        <v>3810</v>
      </c>
      <c r="E2512" s="1" t="s">
        <v>3811</v>
      </c>
      <c r="F2512" s="1">
        <v>0</v>
      </c>
      <c r="G2512" s="1">
        <v>0</v>
      </c>
      <c r="H2512" s="1">
        <v>0</v>
      </c>
      <c r="I2512" s="1">
        <v>36</v>
      </c>
      <c r="J2512" s="1">
        <v>36</v>
      </c>
      <c r="K2512" s="1">
        <v>0</v>
      </c>
    </row>
    <row r="2513" spans="3:11" x14ac:dyDescent="0.25">
      <c r="C2513" s="1" t="s">
        <v>3830</v>
      </c>
      <c r="D2513" s="1" t="s">
        <v>3831</v>
      </c>
      <c r="E2513" s="1" t="s">
        <v>3832</v>
      </c>
      <c r="F2513" s="1">
        <v>0</v>
      </c>
      <c r="G2513" s="1">
        <v>0</v>
      </c>
      <c r="H2513" s="1">
        <v>0</v>
      </c>
      <c r="I2513" s="1">
        <v>34</v>
      </c>
      <c r="J2513" s="1">
        <v>34</v>
      </c>
      <c r="K2513" s="1">
        <v>0</v>
      </c>
    </row>
    <row r="2514" spans="3:11" x14ac:dyDescent="0.25">
      <c r="C2514" s="1" t="s">
        <v>3833</v>
      </c>
      <c r="D2514" s="1" t="s">
        <v>3834</v>
      </c>
      <c r="E2514" s="1" t="s">
        <v>3835</v>
      </c>
      <c r="F2514" s="1">
        <v>0</v>
      </c>
      <c r="G2514" s="1">
        <v>0</v>
      </c>
      <c r="H2514" s="1">
        <v>0</v>
      </c>
      <c r="I2514" s="1">
        <v>33</v>
      </c>
      <c r="J2514" s="1">
        <v>33</v>
      </c>
      <c r="K2514" s="1">
        <v>0</v>
      </c>
    </row>
    <row r="2515" spans="3:11" x14ac:dyDescent="0.25">
      <c r="C2515" s="1" t="s">
        <v>3845</v>
      </c>
      <c r="D2515" s="1" t="s">
        <v>3846</v>
      </c>
      <c r="E2515" s="1" t="s">
        <v>3847</v>
      </c>
      <c r="F2515" s="1">
        <v>0</v>
      </c>
      <c r="G2515" s="1">
        <v>0</v>
      </c>
      <c r="H2515" s="1">
        <v>0</v>
      </c>
      <c r="I2515" s="1">
        <v>33</v>
      </c>
      <c r="J2515" s="1">
        <v>33</v>
      </c>
      <c r="K2515" s="1">
        <v>0</v>
      </c>
    </row>
    <row r="2516" spans="3:11" x14ac:dyDescent="0.25">
      <c r="C2516" s="1" t="s">
        <v>9555</v>
      </c>
      <c r="D2516" s="1" t="s">
        <v>9556</v>
      </c>
      <c r="E2516" s="1" t="s">
        <v>9557</v>
      </c>
      <c r="F2516" s="1">
        <v>0</v>
      </c>
      <c r="G2516" s="1">
        <v>0</v>
      </c>
      <c r="H2516" s="1">
        <v>0</v>
      </c>
      <c r="I2516" s="1">
        <v>32</v>
      </c>
      <c r="J2516" s="1">
        <v>32</v>
      </c>
      <c r="K2516" s="1">
        <v>0</v>
      </c>
    </row>
    <row r="2517" spans="3:11" x14ac:dyDescent="0.25">
      <c r="C2517" s="1" t="s">
        <v>3854</v>
      </c>
      <c r="D2517" s="1" t="s">
        <v>3855</v>
      </c>
      <c r="E2517" s="1" t="s">
        <v>3856</v>
      </c>
      <c r="F2517" s="1">
        <v>0</v>
      </c>
      <c r="G2517" s="1">
        <v>0</v>
      </c>
      <c r="H2517" s="1">
        <v>0</v>
      </c>
      <c r="I2517" s="1">
        <v>32</v>
      </c>
      <c r="J2517" s="1">
        <v>32</v>
      </c>
      <c r="K2517" s="1">
        <v>0</v>
      </c>
    </row>
    <row r="2518" spans="3:11" x14ac:dyDescent="0.25">
      <c r="C2518" s="1" t="s">
        <v>9558</v>
      </c>
      <c r="D2518" s="1" t="s">
        <v>9559</v>
      </c>
      <c r="E2518" s="1" t="s">
        <v>9560</v>
      </c>
      <c r="F2518" s="1">
        <v>0</v>
      </c>
      <c r="G2518" s="1">
        <v>0</v>
      </c>
      <c r="H2518" s="1">
        <v>0</v>
      </c>
      <c r="I2518" s="1">
        <v>30</v>
      </c>
      <c r="J2518" s="1">
        <v>30</v>
      </c>
      <c r="K2518" s="1">
        <v>0</v>
      </c>
    </row>
    <row r="2519" spans="3:11" x14ac:dyDescent="0.25">
      <c r="C2519" s="1" t="s">
        <v>1897</v>
      </c>
      <c r="D2519" s="1" t="s">
        <v>1898</v>
      </c>
      <c r="E2519" s="1" t="s">
        <v>1897</v>
      </c>
      <c r="F2519" s="1">
        <v>0</v>
      </c>
      <c r="G2519" s="1">
        <v>0</v>
      </c>
      <c r="H2519" s="1">
        <v>0</v>
      </c>
      <c r="I2519" s="1">
        <v>30</v>
      </c>
      <c r="J2519" s="1">
        <v>30</v>
      </c>
      <c r="K2519" s="1">
        <v>0</v>
      </c>
    </row>
    <row r="2520" spans="3:11" x14ac:dyDescent="0.25">
      <c r="C2520" s="1" t="s">
        <v>3863</v>
      </c>
      <c r="D2520" s="1" t="s">
        <v>3864</v>
      </c>
      <c r="E2520" s="1" t="s">
        <v>3865</v>
      </c>
      <c r="F2520" s="1">
        <v>0</v>
      </c>
      <c r="G2520" s="1">
        <v>0</v>
      </c>
      <c r="H2520" s="1">
        <v>0</v>
      </c>
      <c r="I2520" s="1">
        <v>30</v>
      </c>
      <c r="J2520" s="1">
        <v>30</v>
      </c>
      <c r="K2520" s="1">
        <v>0</v>
      </c>
    </row>
    <row r="2521" spans="3:11" x14ac:dyDescent="0.25">
      <c r="C2521" s="1" t="s">
        <v>3872</v>
      </c>
      <c r="D2521" s="1" t="s">
        <v>3873</v>
      </c>
      <c r="E2521" s="1" t="s">
        <v>3874</v>
      </c>
      <c r="F2521" s="1">
        <v>0</v>
      </c>
      <c r="G2521" s="1">
        <v>0</v>
      </c>
      <c r="H2521" s="1">
        <v>0</v>
      </c>
      <c r="I2521" s="1">
        <v>30</v>
      </c>
      <c r="J2521" s="1">
        <v>30</v>
      </c>
      <c r="K2521" s="1">
        <v>0</v>
      </c>
    </row>
    <row r="2522" spans="3:11" x14ac:dyDescent="0.25">
      <c r="C2522" s="1" t="s">
        <v>3887</v>
      </c>
      <c r="D2522" s="1" t="s">
        <v>3888</v>
      </c>
      <c r="E2522" s="1" t="s">
        <v>3889</v>
      </c>
      <c r="F2522" s="1">
        <v>0</v>
      </c>
      <c r="G2522" s="1">
        <v>0</v>
      </c>
      <c r="H2522" s="1">
        <v>0</v>
      </c>
      <c r="I2522" s="1">
        <v>29</v>
      </c>
      <c r="J2522" s="1">
        <v>29</v>
      </c>
      <c r="K2522" s="1">
        <v>0</v>
      </c>
    </row>
    <row r="2523" spans="3:11" x14ac:dyDescent="0.25">
      <c r="C2523" s="1" t="s">
        <v>9561</v>
      </c>
      <c r="D2523" s="1" t="s">
        <v>9562</v>
      </c>
      <c r="E2523" s="1" t="s">
        <v>9563</v>
      </c>
      <c r="F2523" s="1">
        <v>0</v>
      </c>
      <c r="G2523" s="1">
        <v>0</v>
      </c>
      <c r="H2523" s="1">
        <v>0</v>
      </c>
      <c r="I2523" s="1">
        <v>28</v>
      </c>
      <c r="J2523" s="1">
        <v>28</v>
      </c>
      <c r="K2523" s="1">
        <v>0</v>
      </c>
    </row>
    <row r="2524" spans="3:11" x14ac:dyDescent="0.25">
      <c r="C2524" s="1" t="s">
        <v>9564</v>
      </c>
      <c r="D2524" s="1" t="s">
        <v>9565</v>
      </c>
      <c r="E2524" s="1" t="s">
        <v>9564</v>
      </c>
      <c r="F2524" s="1">
        <v>0</v>
      </c>
      <c r="G2524" s="1">
        <v>0</v>
      </c>
      <c r="H2524" s="1">
        <v>0</v>
      </c>
      <c r="I2524" s="1">
        <v>28</v>
      </c>
      <c r="J2524" s="1">
        <v>28</v>
      </c>
      <c r="K2524" s="1">
        <v>0</v>
      </c>
    </row>
    <row r="2525" spans="3:11" x14ac:dyDescent="0.25">
      <c r="C2525" s="1" t="s">
        <v>1908</v>
      </c>
      <c r="D2525" s="1" t="s">
        <v>1909</v>
      </c>
      <c r="E2525" s="1" t="s">
        <v>1910</v>
      </c>
      <c r="F2525" s="1">
        <v>0</v>
      </c>
      <c r="G2525" s="1">
        <v>0</v>
      </c>
      <c r="H2525" s="1">
        <v>0</v>
      </c>
      <c r="I2525" s="1">
        <v>28</v>
      </c>
      <c r="J2525" s="1">
        <v>28</v>
      </c>
      <c r="K2525" s="1">
        <v>0</v>
      </c>
    </row>
    <row r="2526" spans="3:11" x14ac:dyDescent="0.25">
      <c r="C2526" s="1" t="s">
        <v>3890</v>
      </c>
      <c r="D2526" s="1" t="s">
        <v>861</v>
      </c>
      <c r="E2526" s="1" t="s">
        <v>3891</v>
      </c>
      <c r="F2526" s="1">
        <v>0</v>
      </c>
      <c r="G2526" s="1">
        <v>0</v>
      </c>
      <c r="H2526" s="1">
        <v>0</v>
      </c>
      <c r="I2526" s="1">
        <v>28</v>
      </c>
      <c r="J2526" s="1">
        <v>28</v>
      </c>
      <c r="K2526" s="1">
        <v>0</v>
      </c>
    </row>
    <row r="2527" spans="3:11" x14ac:dyDescent="0.25">
      <c r="C2527" s="1" t="s">
        <v>1917</v>
      </c>
      <c r="D2527" s="1" t="s">
        <v>1918</v>
      </c>
      <c r="E2527" s="1" t="s">
        <v>1919</v>
      </c>
      <c r="F2527" s="1">
        <v>0</v>
      </c>
      <c r="G2527" s="1">
        <v>0</v>
      </c>
      <c r="H2527" s="1">
        <v>0</v>
      </c>
      <c r="I2527" s="1">
        <v>28</v>
      </c>
      <c r="J2527" s="1">
        <v>28</v>
      </c>
      <c r="K2527" s="1">
        <v>0</v>
      </c>
    </row>
    <row r="2528" spans="3:11" x14ac:dyDescent="0.25">
      <c r="C2528" s="1" t="s">
        <v>9566</v>
      </c>
      <c r="D2528" s="1" t="s">
        <v>9567</v>
      </c>
      <c r="E2528" s="1" t="s">
        <v>9566</v>
      </c>
      <c r="F2528" s="1">
        <v>0</v>
      </c>
      <c r="G2528" s="1">
        <v>0</v>
      </c>
      <c r="H2528" s="1">
        <v>0</v>
      </c>
      <c r="I2528" s="1">
        <v>27</v>
      </c>
      <c r="J2528" s="1">
        <v>27</v>
      </c>
      <c r="K2528" s="1">
        <v>0</v>
      </c>
    </row>
    <row r="2529" spans="3:11" x14ac:dyDescent="0.25">
      <c r="C2529" s="1" t="s">
        <v>9568</v>
      </c>
      <c r="D2529" s="1" t="s">
        <v>9569</v>
      </c>
      <c r="E2529" s="1" t="s">
        <v>9568</v>
      </c>
      <c r="F2529" s="1">
        <v>0</v>
      </c>
      <c r="G2529" s="1">
        <v>0</v>
      </c>
      <c r="H2529" s="1">
        <v>0</v>
      </c>
      <c r="I2529" s="1">
        <v>27</v>
      </c>
      <c r="J2529" s="1">
        <v>27</v>
      </c>
      <c r="K2529" s="1">
        <v>0</v>
      </c>
    </row>
    <row r="2530" spans="3:11" x14ac:dyDescent="0.25">
      <c r="C2530" s="1" t="s">
        <v>3892</v>
      </c>
      <c r="D2530" s="1" t="s">
        <v>3893</v>
      </c>
      <c r="E2530" s="1" t="s">
        <v>3894</v>
      </c>
      <c r="F2530" s="1">
        <v>0</v>
      </c>
      <c r="G2530" s="1">
        <v>0</v>
      </c>
      <c r="H2530" s="1">
        <v>0</v>
      </c>
      <c r="I2530" s="1">
        <v>27</v>
      </c>
      <c r="J2530" s="1">
        <v>27</v>
      </c>
      <c r="K2530" s="1">
        <v>0</v>
      </c>
    </row>
    <row r="2531" spans="3:11" x14ac:dyDescent="0.25">
      <c r="C2531" s="1" t="s">
        <v>2093</v>
      </c>
      <c r="D2531" s="1" t="s">
        <v>2094</v>
      </c>
      <c r="E2531" s="1" t="s">
        <v>2095</v>
      </c>
      <c r="F2531" s="1">
        <v>0</v>
      </c>
      <c r="G2531" s="1">
        <v>0</v>
      </c>
      <c r="H2531" s="1">
        <v>0</v>
      </c>
      <c r="I2531" s="1">
        <v>27</v>
      </c>
      <c r="J2531" s="1">
        <v>27</v>
      </c>
      <c r="K2531" s="1">
        <v>0</v>
      </c>
    </row>
    <row r="2532" spans="3:11" x14ac:dyDescent="0.25">
      <c r="C2532" s="1" t="s">
        <v>9570</v>
      </c>
      <c r="D2532" s="1" t="s">
        <v>9571</v>
      </c>
      <c r="E2532" s="1" t="s">
        <v>9572</v>
      </c>
      <c r="F2532" s="1">
        <v>0</v>
      </c>
      <c r="G2532" s="1">
        <v>0</v>
      </c>
      <c r="H2532" s="1">
        <v>0</v>
      </c>
      <c r="I2532" s="1">
        <v>26</v>
      </c>
      <c r="J2532" s="1">
        <v>26</v>
      </c>
      <c r="K2532" s="1">
        <v>0</v>
      </c>
    </row>
    <row r="2533" spans="3:11" x14ac:dyDescent="0.25">
      <c r="C2533" s="1" t="s">
        <v>9573</v>
      </c>
      <c r="D2533" s="1" t="s">
        <v>9574</v>
      </c>
      <c r="E2533" s="1" t="s">
        <v>9575</v>
      </c>
      <c r="F2533" s="1">
        <v>0</v>
      </c>
      <c r="G2533" s="1">
        <v>0</v>
      </c>
      <c r="H2533" s="1">
        <v>0</v>
      </c>
      <c r="I2533" s="1">
        <v>26</v>
      </c>
      <c r="J2533" s="1">
        <v>26</v>
      </c>
      <c r="K2533" s="1">
        <v>0</v>
      </c>
    </row>
    <row r="2534" spans="3:11" x14ac:dyDescent="0.25">
      <c r="C2534" s="1" t="s">
        <v>9576</v>
      </c>
      <c r="D2534" s="1" t="s">
        <v>9577</v>
      </c>
      <c r="E2534" s="1" t="s">
        <v>9576</v>
      </c>
      <c r="F2534" s="1">
        <v>0</v>
      </c>
      <c r="G2534" s="1">
        <v>0</v>
      </c>
      <c r="H2534" s="1">
        <v>0</v>
      </c>
      <c r="I2534" s="1">
        <v>25</v>
      </c>
      <c r="J2534" s="1">
        <v>25</v>
      </c>
      <c r="K2534" s="1">
        <v>0</v>
      </c>
    </row>
    <row r="2535" spans="3:11" x14ac:dyDescent="0.25">
      <c r="C2535" s="1" t="s">
        <v>3904</v>
      </c>
      <c r="D2535" s="1" t="s">
        <v>3905</v>
      </c>
      <c r="E2535" s="1" t="s">
        <v>3906</v>
      </c>
      <c r="F2535" s="1">
        <v>0</v>
      </c>
      <c r="G2535" s="1">
        <v>0</v>
      </c>
      <c r="H2535" s="1">
        <v>0</v>
      </c>
      <c r="I2535" s="1">
        <v>25</v>
      </c>
      <c r="J2535" s="1">
        <v>25</v>
      </c>
      <c r="K2535" s="1">
        <v>0</v>
      </c>
    </row>
    <row r="2536" spans="3:11" x14ac:dyDescent="0.25">
      <c r="C2536" s="1" t="s">
        <v>9578</v>
      </c>
      <c r="D2536" s="1" t="s">
        <v>9579</v>
      </c>
      <c r="E2536" s="1" t="s">
        <v>9580</v>
      </c>
      <c r="F2536" s="1">
        <v>0</v>
      </c>
      <c r="G2536" s="1">
        <v>0</v>
      </c>
      <c r="H2536" s="1">
        <v>0</v>
      </c>
      <c r="I2536" s="1">
        <v>24</v>
      </c>
      <c r="J2536" s="1">
        <v>24</v>
      </c>
      <c r="K2536" s="1">
        <v>0</v>
      </c>
    </row>
    <row r="2537" spans="3:11" x14ac:dyDescent="0.25">
      <c r="C2537" s="1" t="s">
        <v>9581</v>
      </c>
      <c r="D2537" s="1" t="s">
        <v>9582</v>
      </c>
      <c r="E2537" s="1" t="s">
        <v>9583</v>
      </c>
      <c r="F2537" s="1">
        <v>0</v>
      </c>
      <c r="G2537" s="1">
        <v>0</v>
      </c>
      <c r="H2537" s="1">
        <v>0</v>
      </c>
      <c r="I2537" s="1">
        <v>24</v>
      </c>
      <c r="J2537" s="1">
        <v>24</v>
      </c>
      <c r="K2537" s="1">
        <v>0</v>
      </c>
    </row>
    <row r="2538" spans="3:11" x14ac:dyDescent="0.25">
      <c r="C2538" s="1" t="s">
        <v>9584</v>
      </c>
      <c r="D2538" s="1" t="s">
        <v>9585</v>
      </c>
      <c r="E2538" s="1" t="s">
        <v>9586</v>
      </c>
      <c r="F2538" s="1">
        <v>0</v>
      </c>
      <c r="G2538" s="1">
        <v>0</v>
      </c>
      <c r="H2538" s="1">
        <v>0</v>
      </c>
      <c r="I2538" s="1">
        <v>24</v>
      </c>
      <c r="J2538" s="1">
        <v>24</v>
      </c>
      <c r="K2538" s="1">
        <v>0</v>
      </c>
    </row>
    <row r="2539" spans="3:11" x14ac:dyDescent="0.25">
      <c r="C2539" s="1" t="s">
        <v>3924</v>
      </c>
      <c r="D2539" s="1" t="s">
        <v>3925</v>
      </c>
      <c r="E2539" s="1" t="s">
        <v>3926</v>
      </c>
      <c r="F2539" s="1">
        <v>0</v>
      </c>
      <c r="G2539" s="1">
        <v>0</v>
      </c>
      <c r="H2539" s="1">
        <v>0</v>
      </c>
      <c r="I2539" s="1">
        <v>24</v>
      </c>
      <c r="J2539" s="1">
        <v>24</v>
      </c>
      <c r="K2539" s="1">
        <v>0</v>
      </c>
    </row>
    <row r="2540" spans="3:11" x14ac:dyDescent="0.25">
      <c r="C2540" s="1" t="s">
        <v>2090</v>
      </c>
      <c r="D2540" s="1" t="s">
        <v>2091</v>
      </c>
      <c r="E2540" s="1" t="s">
        <v>2092</v>
      </c>
      <c r="F2540" s="1">
        <v>0</v>
      </c>
      <c r="G2540" s="1">
        <v>0</v>
      </c>
      <c r="H2540" s="1">
        <v>0</v>
      </c>
      <c r="I2540" s="1">
        <v>24</v>
      </c>
      <c r="J2540" s="1">
        <v>24</v>
      </c>
      <c r="K2540" s="1">
        <v>0</v>
      </c>
    </row>
    <row r="2541" spans="3:11" x14ac:dyDescent="0.25">
      <c r="C2541" s="1" t="s">
        <v>9587</v>
      </c>
      <c r="D2541" s="1" t="s">
        <v>9588</v>
      </c>
      <c r="E2541" s="1" t="s">
        <v>9587</v>
      </c>
      <c r="F2541" s="1">
        <v>0</v>
      </c>
      <c r="G2541" s="1">
        <v>0</v>
      </c>
      <c r="H2541" s="1">
        <v>0</v>
      </c>
      <c r="I2541" s="1">
        <v>24</v>
      </c>
      <c r="J2541" s="1">
        <v>24</v>
      </c>
      <c r="K2541" s="1">
        <v>0</v>
      </c>
    </row>
    <row r="2542" spans="3:11" x14ac:dyDescent="0.25">
      <c r="C2542" s="1" t="s">
        <v>9589</v>
      </c>
      <c r="D2542" s="1" t="s">
        <v>9590</v>
      </c>
      <c r="E2542" s="1" t="s">
        <v>9591</v>
      </c>
      <c r="F2542" s="1">
        <v>0</v>
      </c>
      <c r="G2542" s="1">
        <v>0</v>
      </c>
      <c r="H2542" s="1">
        <v>0</v>
      </c>
      <c r="I2542" s="1">
        <v>23</v>
      </c>
      <c r="J2542" s="1">
        <v>23</v>
      </c>
      <c r="K2542" s="1">
        <v>0</v>
      </c>
    </row>
    <row r="2543" spans="3:11" x14ac:dyDescent="0.25">
      <c r="C2543" s="1" t="s">
        <v>9592</v>
      </c>
      <c r="D2543" s="1" t="s">
        <v>9593</v>
      </c>
      <c r="E2543" s="1" t="s">
        <v>9594</v>
      </c>
      <c r="F2543" s="1">
        <v>0</v>
      </c>
      <c r="G2543" s="1">
        <v>0</v>
      </c>
      <c r="H2543" s="1">
        <v>0</v>
      </c>
      <c r="I2543" s="1">
        <v>23</v>
      </c>
      <c r="J2543" s="1">
        <v>23</v>
      </c>
      <c r="K2543" s="1">
        <v>0</v>
      </c>
    </row>
    <row r="2544" spans="3:11" x14ac:dyDescent="0.25">
      <c r="C2544" s="1" t="s">
        <v>1947</v>
      </c>
      <c r="D2544" s="1" t="s">
        <v>1948</v>
      </c>
      <c r="E2544" s="1" t="s">
        <v>1949</v>
      </c>
      <c r="F2544" s="1">
        <v>0</v>
      </c>
      <c r="G2544" s="1">
        <v>0</v>
      </c>
      <c r="H2544" s="1">
        <v>0</v>
      </c>
      <c r="I2544" s="1">
        <v>23</v>
      </c>
      <c r="J2544" s="1">
        <v>23</v>
      </c>
      <c r="K2544" s="1">
        <v>0</v>
      </c>
    </row>
    <row r="2545" spans="3:11" x14ac:dyDescent="0.25">
      <c r="C2545" s="1" t="s">
        <v>9595</v>
      </c>
      <c r="D2545" s="1" t="s">
        <v>9596</v>
      </c>
      <c r="E2545" s="1" t="s">
        <v>9597</v>
      </c>
      <c r="F2545" s="1">
        <v>0</v>
      </c>
      <c r="G2545" s="1">
        <v>0</v>
      </c>
      <c r="H2545" s="1">
        <v>0</v>
      </c>
      <c r="I2545" s="1">
        <v>22</v>
      </c>
      <c r="J2545" s="1">
        <v>22</v>
      </c>
      <c r="K2545" s="1">
        <v>0</v>
      </c>
    </row>
    <row r="2546" spans="3:11" x14ac:dyDescent="0.25">
      <c r="C2546" s="1" t="s">
        <v>9598</v>
      </c>
      <c r="D2546" s="1" t="s">
        <v>9599</v>
      </c>
      <c r="E2546" s="1" t="s">
        <v>9600</v>
      </c>
      <c r="F2546" s="1">
        <v>0</v>
      </c>
      <c r="G2546" s="1">
        <v>0</v>
      </c>
      <c r="H2546" s="1">
        <v>0</v>
      </c>
      <c r="I2546" s="1">
        <v>22</v>
      </c>
      <c r="J2546" s="1">
        <v>22</v>
      </c>
      <c r="K2546" s="1">
        <v>0</v>
      </c>
    </row>
    <row r="2547" spans="3:11" x14ac:dyDescent="0.25">
      <c r="C2547" s="1" t="s">
        <v>2033</v>
      </c>
      <c r="D2547" s="1" t="s">
        <v>2034</v>
      </c>
      <c r="E2547" s="1" t="s">
        <v>2035</v>
      </c>
      <c r="F2547" s="1">
        <v>0</v>
      </c>
      <c r="G2547" s="1">
        <v>0</v>
      </c>
      <c r="H2547" s="1">
        <v>0</v>
      </c>
      <c r="I2547" s="1">
        <v>22</v>
      </c>
      <c r="J2547" s="1">
        <v>22</v>
      </c>
      <c r="K2547" s="1">
        <v>0</v>
      </c>
    </row>
    <row r="2548" spans="3:11" x14ac:dyDescent="0.25">
      <c r="C2548" s="1" t="s">
        <v>3964</v>
      </c>
      <c r="D2548" s="1" t="s">
        <v>3965</v>
      </c>
      <c r="E2548" s="1" t="s">
        <v>3966</v>
      </c>
      <c r="F2548" s="1">
        <v>0</v>
      </c>
      <c r="G2548" s="1">
        <v>0</v>
      </c>
      <c r="H2548" s="1">
        <v>0</v>
      </c>
      <c r="I2548" s="1">
        <v>22</v>
      </c>
      <c r="J2548" s="1">
        <v>22</v>
      </c>
      <c r="K2548" s="1">
        <v>0</v>
      </c>
    </row>
    <row r="2549" spans="3:11" x14ac:dyDescent="0.25">
      <c r="C2549" s="1" t="s">
        <v>9601</v>
      </c>
      <c r="D2549" s="1" t="s">
        <v>9602</v>
      </c>
      <c r="E2549" s="1" t="s">
        <v>9603</v>
      </c>
      <c r="F2549" s="1">
        <v>0</v>
      </c>
      <c r="G2549" s="1">
        <v>0</v>
      </c>
      <c r="H2549" s="1">
        <v>0</v>
      </c>
      <c r="I2549" s="1">
        <v>21</v>
      </c>
      <c r="J2549" s="1">
        <v>21</v>
      </c>
      <c r="K2549" s="1">
        <v>0</v>
      </c>
    </row>
    <row r="2550" spans="3:11" x14ac:dyDescent="0.25">
      <c r="C2550" s="1" t="s">
        <v>9604</v>
      </c>
      <c r="D2550" s="1" t="s">
        <v>9605</v>
      </c>
      <c r="E2550" s="1" t="s">
        <v>9606</v>
      </c>
      <c r="F2550" s="1">
        <v>0</v>
      </c>
      <c r="G2550" s="1">
        <v>0</v>
      </c>
      <c r="H2550" s="1">
        <v>0</v>
      </c>
      <c r="I2550" s="1">
        <v>21</v>
      </c>
      <c r="J2550" s="1">
        <v>21</v>
      </c>
      <c r="K2550" s="1">
        <v>0</v>
      </c>
    </row>
    <row r="2551" spans="3:11" x14ac:dyDescent="0.25">
      <c r="C2551" s="1" t="s">
        <v>9607</v>
      </c>
      <c r="D2551" s="1" t="s">
        <v>9608</v>
      </c>
      <c r="E2551" s="1" t="s">
        <v>9607</v>
      </c>
      <c r="F2551" s="1">
        <v>0</v>
      </c>
      <c r="G2551" s="1">
        <v>0</v>
      </c>
      <c r="H2551" s="1">
        <v>0</v>
      </c>
      <c r="I2551" s="1">
        <v>21</v>
      </c>
      <c r="J2551" s="1">
        <v>21</v>
      </c>
      <c r="K2551" s="1">
        <v>0</v>
      </c>
    </row>
    <row r="2552" spans="3:11" x14ac:dyDescent="0.25">
      <c r="C2552" s="1" t="s">
        <v>3981</v>
      </c>
      <c r="D2552" s="1" t="s">
        <v>3982</v>
      </c>
      <c r="E2552" s="1" t="s">
        <v>3983</v>
      </c>
      <c r="F2552" s="1">
        <v>0</v>
      </c>
      <c r="G2552" s="1">
        <v>0</v>
      </c>
      <c r="H2552" s="1">
        <v>0</v>
      </c>
      <c r="I2552" s="1">
        <v>20</v>
      </c>
      <c r="J2552" s="1">
        <v>20</v>
      </c>
      <c r="K2552" s="1">
        <v>0</v>
      </c>
    </row>
    <row r="2553" spans="3:11" x14ac:dyDescent="0.25">
      <c r="C2553" s="1" t="s">
        <v>9609</v>
      </c>
      <c r="D2553" s="1" t="s">
        <v>9610</v>
      </c>
      <c r="E2553" s="1" t="s">
        <v>9609</v>
      </c>
      <c r="F2553" s="1">
        <v>0</v>
      </c>
      <c r="G2553" s="1">
        <v>0</v>
      </c>
      <c r="H2553" s="1">
        <v>0</v>
      </c>
      <c r="I2553" s="1">
        <v>20</v>
      </c>
      <c r="J2553" s="1">
        <v>20</v>
      </c>
      <c r="K2553" s="1">
        <v>0</v>
      </c>
    </row>
    <row r="2554" spans="3:11" x14ac:dyDescent="0.25">
      <c r="C2554" s="1" t="s">
        <v>3992</v>
      </c>
      <c r="D2554" s="1" t="s">
        <v>3993</v>
      </c>
      <c r="E2554" s="1" t="s">
        <v>3994</v>
      </c>
      <c r="F2554" s="1">
        <v>0</v>
      </c>
      <c r="G2554" s="1">
        <v>0</v>
      </c>
      <c r="H2554" s="1">
        <v>0</v>
      </c>
      <c r="I2554" s="1">
        <v>20</v>
      </c>
      <c r="J2554" s="1">
        <v>20</v>
      </c>
      <c r="K2554" s="1">
        <v>0</v>
      </c>
    </row>
    <row r="2555" spans="3:11" x14ac:dyDescent="0.25">
      <c r="C2555" s="1" t="s">
        <v>4093</v>
      </c>
      <c r="D2555" s="1" t="s">
        <v>4094</v>
      </c>
      <c r="E2555" s="1" t="s">
        <v>4095</v>
      </c>
      <c r="F2555" s="1">
        <v>0</v>
      </c>
      <c r="G2555" s="1">
        <v>0</v>
      </c>
      <c r="H2555" s="1">
        <v>0</v>
      </c>
      <c r="I2555" s="1">
        <v>20</v>
      </c>
      <c r="J2555" s="1">
        <v>20</v>
      </c>
      <c r="K2555" s="1">
        <v>0</v>
      </c>
    </row>
    <row r="2556" spans="3:11" x14ac:dyDescent="0.25">
      <c r="C2556" s="1" t="s">
        <v>3995</v>
      </c>
      <c r="D2556" s="1" t="s">
        <v>3996</v>
      </c>
      <c r="E2556" s="1" t="s">
        <v>3997</v>
      </c>
      <c r="F2556" s="1">
        <v>0</v>
      </c>
      <c r="G2556" s="1">
        <v>0</v>
      </c>
      <c r="H2556" s="1">
        <v>0</v>
      </c>
      <c r="I2556" s="1">
        <v>20</v>
      </c>
      <c r="J2556" s="1">
        <v>20</v>
      </c>
      <c r="K2556" s="1">
        <v>0</v>
      </c>
    </row>
    <row r="2557" spans="3:11" x14ac:dyDescent="0.25">
      <c r="C2557" s="1" t="s">
        <v>9611</v>
      </c>
      <c r="D2557" s="1" t="s">
        <v>9612</v>
      </c>
      <c r="E2557" s="1" t="s">
        <v>9613</v>
      </c>
      <c r="F2557" s="1">
        <v>0</v>
      </c>
      <c r="G2557" s="1">
        <v>0</v>
      </c>
      <c r="H2557" s="1">
        <v>0</v>
      </c>
      <c r="I2557" s="1">
        <v>19</v>
      </c>
      <c r="J2557" s="1">
        <v>19</v>
      </c>
      <c r="K2557" s="1">
        <v>0</v>
      </c>
    </row>
    <row r="2558" spans="3:11" x14ac:dyDescent="0.25">
      <c r="C2558" s="1" t="s">
        <v>1968</v>
      </c>
      <c r="D2558" s="1" t="s">
        <v>1969</v>
      </c>
      <c r="E2558" s="1" t="s">
        <v>1970</v>
      </c>
      <c r="F2558" s="1">
        <v>0</v>
      </c>
      <c r="G2558" s="1">
        <v>0</v>
      </c>
      <c r="H2558" s="1">
        <v>0</v>
      </c>
      <c r="I2558" s="1">
        <v>19</v>
      </c>
      <c r="J2558" s="1">
        <v>19</v>
      </c>
      <c r="K2558" s="1">
        <v>0</v>
      </c>
    </row>
    <row r="2559" spans="3:11" x14ac:dyDescent="0.25">
      <c r="C2559" s="1" t="s">
        <v>9614</v>
      </c>
      <c r="D2559" s="1" t="s">
        <v>9615</v>
      </c>
      <c r="E2559" s="1" t="s">
        <v>9616</v>
      </c>
      <c r="F2559" s="1">
        <v>0</v>
      </c>
      <c r="G2559" s="1">
        <v>0</v>
      </c>
      <c r="H2559" s="1">
        <v>0</v>
      </c>
      <c r="I2559" s="1">
        <v>18</v>
      </c>
      <c r="J2559" s="1">
        <v>18</v>
      </c>
      <c r="K2559" s="1">
        <v>0</v>
      </c>
    </row>
    <row r="2560" spans="3:11" x14ac:dyDescent="0.25">
      <c r="C2560" s="1" t="s">
        <v>9617</v>
      </c>
      <c r="D2560" s="1" t="s">
        <v>9618</v>
      </c>
      <c r="E2560" s="1" t="s">
        <v>9619</v>
      </c>
      <c r="F2560" s="1">
        <v>0</v>
      </c>
      <c r="G2560" s="1">
        <v>0</v>
      </c>
      <c r="H2560" s="1">
        <v>0</v>
      </c>
      <c r="I2560" s="1">
        <v>18</v>
      </c>
      <c r="J2560" s="1">
        <v>18</v>
      </c>
      <c r="K2560" s="1">
        <v>0</v>
      </c>
    </row>
    <row r="2561" spans="3:11" x14ac:dyDescent="0.25">
      <c r="C2561" s="1" t="s">
        <v>9620</v>
      </c>
      <c r="D2561" s="1" t="s">
        <v>9621</v>
      </c>
      <c r="E2561" s="1" t="s">
        <v>9622</v>
      </c>
      <c r="F2561" s="1">
        <v>0</v>
      </c>
      <c r="G2561" s="1">
        <v>0</v>
      </c>
      <c r="H2561" s="1">
        <v>0</v>
      </c>
      <c r="I2561" s="1">
        <v>18</v>
      </c>
      <c r="J2561" s="1">
        <v>18</v>
      </c>
      <c r="K2561" s="1">
        <v>0</v>
      </c>
    </row>
    <row r="2562" spans="3:11" x14ac:dyDescent="0.25">
      <c r="C2562" s="1" t="s">
        <v>4006</v>
      </c>
      <c r="D2562" s="1" t="s">
        <v>4007</v>
      </c>
      <c r="E2562" s="1" t="s">
        <v>4008</v>
      </c>
      <c r="F2562" s="1">
        <v>0</v>
      </c>
      <c r="G2562" s="1">
        <v>0</v>
      </c>
      <c r="H2562" s="1">
        <v>0</v>
      </c>
      <c r="I2562" s="1">
        <v>18</v>
      </c>
      <c r="J2562" s="1">
        <v>18</v>
      </c>
      <c r="K2562" s="1">
        <v>0</v>
      </c>
    </row>
    <row r="2563" spans="3:11" x14ac:dyDescent="0.25">
      <c r="C2563" s="1" t="s">
        <v>9623</v>
      </c>
      <c r="D2563" s="1" t="s">
        <v>9624</v>
      </c>
      <c r="E2563" s="1" t="s">
        <v>9625</v>
      </c>
      <c r="F2563" s="1">
        <v>0</v>
      </c>
      <c r="G2563" s="1">
        <v>0</v>
      </c>
      <c r="H2563" s="1">
        <v>0</v>
      </c>
      <c r="I2563" s="1">
        <v>17</v>
      </c>
      <c r="J2563" s="1">
        <v>17</v>
      </c>
      <c r="K2563" s="1">
        <v>0</v>
      </c>
    </row>
    <row r="2564" spans="3:11" x14ac:dyDescent="0.25">
      <c r="C2564" s="1" t="s">
        <v>9626</v>
      </c>
      <c r="D2564" s="1" t="s">
        <v>9627</v>
      </c>
      <c r="E2564" s="1" t="s">
        <v>9628</v>
      </c>
      <c r="F2564" s="1">
        <v>0</v>
      </c>
      <c r="G2564" s="1">
        <v>0</v>
      </c>
      <c r="H2564" s="1">
        <v>0</v>
      </c>
      <c r="I2564" s="1">
        <v>16</v>
      </c>
      <c r="J2564" s="1">
        <v>16</v>
      </c>
      <c r="K2564" s="1">
        <v>0</v>
      </c>
    </row>
    <row r="2565" spans="3:11" x14ac:dyDescent="0.25">
      <c r="C2565" s="1" t="s">
        <v>4015</v>
      </c>
      <c r="D2565" s="1" t="s">
        <v>4016</v>
      </c>
      <c r="E2565" s="1" t="s">
        <v>4017</v>
      </c>
      <c r="F2565" s="1">
        <v>0</v>
      </c>
      <c r="G2565" s="1">
        <v>0</v>
      </c>
      <c r="H2565" s="1">
        <v>0</v>
      </c>
      <c r="I2565" s="1">
        <v>16</v>
      </c>
      <c r="J2565" s="1">
        <v>16</v>
      </c>
      <c r="K2565" s="1">
        <v>0</v>
      </c>
    </row>
    <row r="2566" spans="3:11" x14ac:dyDescent="0.25">
      <c r="C2566" s="1" t="s">
        <v>4018</v>
      </c>
      <c r="D2566" s="1" t="s">
        <v>4019</v>
      </c>
      <c r="E2566" s="1" t="s">
        <v>4020</v>
      </c>
      <c r="F2566" s="1">
        <v>0</v>
      </c>
      <c r="G2566" s="1">
        <v>0</v>
      </c>
      <c r="H2566" s="1">
        <v>0</v>
      </c>
      <c r="I2566" s="1">
        <v>16</v>
      </c>
      <c r="J2566" s="1">
        <v>16</v>
      </c>
      <c r="K2566" s="1">
        <v>0</v>
      </c>
    </row>
    <row r="2567" spans="3:11" x14ac:dyDescent="0.25">
      <c r="C2567" s="1" t="s">
        <v>9629</v>
      </c>
      <c r="D2567" s="1" t="s">
        <v>9630</v>
      </c>
      <c r="E2567" s="1" t="s">
        <v>9631</v>
      </c>
      <c r="F2567" s="1">
        <v>0</v>
      </c>
      <c r="G2567" s="1">
        <v>0</v>
      </c>
      <c r="H2567" s="1">
        <v>0</v>
      </c>
      <c r="I2567" s="1">
        <v>16</v>
      </c>
      <c r="J2567" s="1">
        <v>16</v>
      </c>
      <c r="K2567" s="1">
        <v>0</v>
      </c>
    </row>
    <row r="2568" spans="3:11" x14ac:dyDescent="0.25">
      <c r="C2568" s="1" t="s">
        <v>9632</v>
      </c>
      <c r="D2568" s="1" t="s">
        <v>9633</v>
      </c>
      <c r="E2568" s="1" t="s">
        <v>9634</v>
      </c>
      <c r="F2568" s="1">
        <v>0</v>
      </c>
      <c r="G2568" s="1">
        <v>0</v>
      </c>
      <c r="H2568" s="1">
        <v>0</v>
      </c>
      <c r="I2568" s="1">
        <v>15</v>
      </c>
      <c r="J2568" s="1">
        <v>15</v>
      </c>
      <c r="K2568" s="1">
        <v>0</v>
      </c>
    </row>
    <row r="2569" spans="3:11" x14ac:dyDescent="0.25">
      <c r="C2569" s="1" t="s">
        <v>4027</v>
      </c>
      <c r="D2569" s="1" t="s">
        <v>4028</v>
      </c>
      <c r="E2569" s="1" t="s">
        <v>4029</v>
      </c>
      <c r="F2569" s="1">
        <v>0</v>
      </c>
      <c r="G2569" s="1">
        <v>0</v>
      </c>
      <c r="H2569" s="1">
        <v>0</v>
      </c>
      <c r="I2569" s="1">
        <v>15</v>
      </c>
      <c r="J2569" s="1">
        <v>15</v>
      </c>
      <c r="K2569" s="1">
        <v>0</v>
      </c>
    </row>
    <row r="2570" spans="3:11" x14ac:dyDescent="0.25">
      <c r="C2570" s="1" t="s">
        <v>4030</v>
      </c>
      <c r="D2570" s="1" t="s">
        <v>4031</v>
      </c>
      <c r="E2570" s="1" t="s">
        <v>4032</v>
      </c>
      <c r="F2570" s="1">
        <v>0</v>
      </c>
      <c r="G2570" s="1">
        <v>0</v>
      </c>
      <c r="H2570" s="1">
        <v>0</v>
      </c>
      <c r="I2570" s="1">
        <v>15</v>
      </c>
      <c r="J2570" s="1">
        <v>15</v>
      </c>
      <c r="K2570" s="1">
        <v>0</v>
      </c>
    </row>
    <row r="2571" spans="3:11" x14ac:dyDescent="0.25">
      <c r="C2571" s="1" t="s">
        <v>9635</v>
      </c>
      <c r="D2571" s="1" t="s">
        <v>9636</v>
      </c>
      <c r="E2571" s="1" t="s">
        <v>9637</v>
      </c>
      <c r="F2571" s="1">
        <v>0</v>
      </c>
      <c r="G2571" s="1">
        <v>0</v>
      </c>
      <c r="H2571" s="1">
        <v>0</v>
      </c>
      <c r="I2571" s="1">
        <v>13</v>
      </c>
      <c r="J2571" s="1">
        <v>13</v>
      </c>
      <c r="K2571" s="1">
        <v>0</v>
      </c>
    </row>
    <row r="2572" spans="3:11" x14ac:dyDescent="0.25">
      <c r="C2572" s="1" t="s">
        <v>4051</v>
      </c>
      <c r="D2572" s="1" t="s">
        <v>4052</v>
      </c>
      <c r="E2572" s="1" t="s">
        <v>4053</v>
      </c>
      <c r="F2572" s="1">
        <v>0</v>
      </c>
      <c r="G2572" s="1">
        <v>0</v>
      </c>
      <c r="H2572" s="1">
        <v>0</v>
      </c>
      <c r="I2572" s="1">
        <v>13</v>
      </c>
      <c r="J2572" s="1">
        <v>13</v>
      </c>
      <c r="K2572" s="1">
        <v>0</v>
      </c>
    </row>
    <row r="2573" spans="3:11" x14ac:dyDescent="0.25">
      <c r="C2573" s="1" t="s">
        <v>9638</v>
      </c>
      <c r="D2573" s="1" t="s">
        <v>9639</v>
      </c>
      <c r="E2573" s="1" t="s">
        <v>9640</v>
      </c>
      <c r="F2573" s="1">
        <v>0</v>
      </c>
      <c r="G2573" s="1">
        <v>0</v>
      </c>
      <c r="H2573" s="1">
        <v>0</v>
      </c>
      <c r="I2573" s="1">
        <v>12</v>
      </c>
      <c r="J2573" s="1">
        <v>12</v>
      </c>
      <c r="K2573" s="1">
        <v>0</v>
      </c>
    </row>
    <row r="2574" spans="3:11" x14ac:dyDescent="0.25">
      <c r="C2574" s="1" t="s">
        <v>4057</v>
      </c>
      <c r="D2574" s="1" t="s">
        <v>4058</v>
      </c>
      <c r="E2574" s="1" t="s">
        <v>4059</v>
      </c>
      <c r="F2574" s="1">
        <v>0</v>
      </c>
      <c r="G2574" s="1">
        <v>0</v>
      </c>
      <c r="H2574" s="1">
        <v>0</v>
      </c>
      <c r="I2574" s="1">
        <v>12</v>
      </c>
      <c r="J2574" s="1">
        <v>12</v>
      </c>
      <c r="K2574" s="1">
        <v>0</v>
      </c>
    </row>
    <row r="2575" spans="3:11" x14ac:dyDescent="0.25">
      <c r="C2575" s="1" t="s">
        <v>4060</v>
      </c>
      <c r="D2575" s="1" t="s">
        <v>4061</v>
      </c>
      <c r="E2575" s="1" t="s">
        <v>4062</v>
      </c>
      <c r="F2575" s="1">
        <v>0</v>
      </c>
      <c r="G2575" s="1">
        <v>0</v>
      </c>
      <c r="H2575" s="1">
        <v>0</v>
      </c>
      <c r="I2575" s="1">
        <v>12</v>
      </c>
      <c r="J2575" s="1">
        <v>12</v>
      </c>
      <c r="K2575" s="1">
        <v>0</v>
      </c>
    </row>
    <row r="2576" spans="3:11" x14ac:dyDescent="0.25">
      <c r="C2576" s="1" t="s">
        <v>2064</v>
      </c>
      <c r="D2576" s="1" t="s">
        <v>2065</v>
      </c>
      <c r="E2576" s="1" t="s">
        <v>2066</v>
      </c>
      <c r="F2576" s="1">
        <v>0</v>
      </c>
      <c r="G2576" s="1">
        <v>0</v>
      </c>
      <c r="H2576" s="1">
        <v>0</v>
      </c>
      <c r="I2576" s="1">
        <v>12</v>
      </c>
      <c r="J2576" s="1">
        <v>12</v>
      </c>
      <c r="K2576" s="1">
        <v>0</v>
      </c>
    </row>
    <row r="2577" spans="3:11" x14ac:dyDescent="0.25">
      <c r="C2577" s="1" t="s">
        <v>9641</v>
      </c>
      <c r="D2577" s="1" t="s">
        <v>9642</v>
      </c>
      <c r="E2577" s="1" t="s">
        <v>9643</v>
      </c>
      <c r="F2577" s="1">
        <v>0</v>
      </c>
      <c r="G2577" s="1">
        <v>0</v>
      </c>
      <c r="H2577" s="1">
        <v>0</v>
      </c>
      <c r="I2577" s="1">
        <v>11</v>
      </c>
      <c r="J2577" s="1">
        <v>11</v>
      </c>
      <c r="K2577" s="1">
        <v>0</v>
      </c>
    </row>
    <row r="2578" spans="3:11" x14ac:dyDescent="0.25">
      <c r="C2578" s="1" t="s">
        <v>9644</v>
      </c>
      <c r="D2578" s="1" t="s">
        <v>9645</v>
      </c>
      <c r="E2578" s="1" t="s">
        <v>9646</v>
      </c>
      <c r="F2578" s="1">
        <v>0</v>
      </c>
      <c r="G2578" s="1">
        <v>0</v>
      </c>
      <c r="H2578" s="1">
        <v>0</v>
      </c>
      <c r="I2578" s="1">
        <v>11</v>
      </c>
      <c r="J2578" s="1">
        <v>11</v>
      </c>
      <c r="K2578" s="1">
        <v>0</v>
      </c>
    </row>
    <row r="2579" spans="3:11" x14ac:dyDescent="0.25">
      <c r="C2579" s="1" t="s">
        <v>1974</v>
      </c>
      <c r="D2579" s="1" t="s">
        <v>1975</v>
      </c>
      <c r="E2579" s="1" t="s">
        <v>1976</v>
      </c>
      <c r="F2579" s="1">
        <v>0</v>
      </c>
      <c r="G2579" s="1">
        <v>0</v>
      </c>
      <c r="H2579" s="1">
        <v>0</v>
      </c>
      <c r="I2579" s="1">
        <v>11</v>
      </c>
      <c r="J2579" s="1">
        <v>11</v>
      </c>
      <c r="K2579" s="1">
        <v>0</v>
      </c>
    </row>
    <row r="2580" spans="3:11" x14ac:dyDescent="0.25">
      <c r="C2580" s="1" t="s">
        <v>4069</v>
      </c>
      <c r="D2580" s="1" t="s">
        <v>4070</v>
      </c>
      <c r="E2580" s="1" t="s">
        <v>4071</v>
      </c>
      <c r="F2580" s="1">
        <v>0</v>
      </c>
      <c r="G2580" s="1">
        <v>0</v>
      </c>
      <c r="H2580" s="1">
        <v>0</v>
      </c>
      <c r="I2580" s="1">
        <v>11</v>
      </c>
      <c r="J2580" s="1">
        <v>11</v>
      </c>
      <c r="K2580" s="1">
        <v>0</v>
      </c>
    </row>
    <row r="2581" spans="3:11" x14ac:dyDescent="0.25">
      <c r="C2581" s="1" t="s">
        <v>4075</v>
      </c>
      <c r="D2581" s="1" t="s">
        <v>4076</v>
      </c>
      <c r="E2581" s="1" t="s">
        <v>4077</v>
      </c>
      <c r="F2581" s="1">
        <v>0</v>
      </c>
      <c r="G2581" s="1">
        <v>0</v>
      </c>
      <c r="H2581" s="1">
        <v>0</v>
      </c>
      <c r="I2581" s="1">
        <v>11</v>
      </c>
      <c r="J2581" s="1">
        <v>11</v>
      </c>
      <c r="K2581" s="1">
        <v>0</v>
      </c>
    </row>
    <row r="2582" spans="3:11" x14ac:dyDescent="0.25">
      <c r="C2582" s="1" t="s">
        <v>9647</v>
      </c>
      <c r="D2582" s="1" t="s">
        <v>9648</v>
      </c>
      <c r="E2582" s="1" t="s">
        <v>9649</v>
      </c>
      <c r="F2582" s="1">
        <v>0</v>
      </c>
      <c r="G2582" s="1">
        <v>0</v>
      </c>
      <c r="H2582" s="1">
        <v>0</v>
      </c>
      <c r="I2582" s="1">
        <v>10</v>
      </c>
      <c r="J2582" s="1">
        <v>10</v>
      </c>
      <c r="K2582" s="1">
        <v>0</v>
      </c>
    </row>
    <row r="2583" spans="3:11" x14ac:dyDescent="0.25">
      <c r="D2583" s="1" t="s">
        <v>9650</v>
      </c>
      <c r="E2583" s="1" t="s">
        <v>9651</v>
      </c>
      <c r="F2583" s="1">
        <v>0</v>
      </c>
      <c r="G2583" s="1">
        <v>0</v>
      </c>
      <c r="H2583" s="1">
        <v>0</v>
      </c>
      <c r="I2583" s="1">
        <v>10</v>
      </c>
      <c r="J2583" s="1">
        <v>10</v>
      </c>
      <c r="K2583" s="1">
        <v>0</v>
      </c>
    </row>
    <row r="2584" spans="3:11" x14ac:dyDescent="0.25">
      <c r="C2584" s="1" t="s">
        <v>1983</v>
      </c>
      <c r="D2584" s="1" t="s">
        <v>1984</v>
      </c>
      <c r="E2584" s="1" t="s">
        <v>1985</v>
      </c>
      <c r="F2584" s="1">
        <v>0</v>
      </c>
      <c r="G2584" s="1">
        <v>0</v>
      </c>
      <c r="H2584" s="1">
        <v>0</v>
      </c>
      <c r="I2584" s="1">
        <v>10</v>
      </c>
      <c r="J2584" s="1">
        <v>10</v>
      </c>
      <c r="K2584" s="1">
        <v>0</v>
      </c>
    </row>
    <row r="2585" spans="3:11" x14ac:dyDescent="0.25">
      <c r="C2585" s="1" t="s">
        <v>4078</v>
      </c>
      <c r="D2585" s="1" t="s">
        <v>4079</v>
      </c>
      <c r="E2585" s="1" t="s">
        <v>4080</v>
      </c>
      <c r="F2585" s="1">
        <v>0</v>
      </c>
      <c r="G2585" s="1">
        <v>0</v>
      </c>
      <c r="H2585" s="1">
        <v>0</v>
      </c>
      <c r="I2585" s="1">
        <v>10</v>
      </c>
      <c r="J2585" s="1">
        <v>10</v>
      </c>
      <c r="K2585" s="1">
        <v>0</v>
      </c>
    </row>
    <row r="2586" spans="3:11" x14ac:dyDescent="0.25">
      <c r="C2586" s="1" t="s">
        <v>4248</v>
      </c>
      <c r="D2586" s="1" t="s">
        <v>4249</v>
      </c>
      <c r="E2586" s="1" t="s">
        <v>4250</v>
      </c>
      <c r="F2586" s="1">
        <v>0</v>
      </c>
      <c r="G2586" s="1">
        <v>0</v>
      </c>
      <c r="H2586" s="1">
        <v>0</v>
      </c>
      <c r="I2586" s="1">
        <v>10</v>
      </c>
      <c r="J2586" s="1">
        <v>10</v>
      </c>
      <c r="K2586" s="1">
        <v>0</v>
      </c>
    </row>
    <row r="2587" spans="3:11" x14ac:dyDescent="0.25">
      <c r="C2587" s="1" t="s">
        <v>9652</v>
      </c>
      <c r="D2587" s="1" t="s">
        <v>9653</v>
      </c>
      <c r="E2587" s="1" t="s">
        <v>9654</v>
      </c>
      <c r="F2587" s="1">
        <v>0</v>
      </c>
      <c r="G2587" s="1">
        <v>0</v>
      </c>
      <c r="H2587" s="1">
        <v>0</v>
      </c>
      <c r="I2587" s="1">
        <v>9</v>
      </c>
      <c r="J2587" s="1">
        <v>9</v>
      </c>
      <c r="K2587" s="1">
        <v>0</v>
      </c>
    </row>
    <row r="2588" spans="3:11" x14ac:dyDescent="0.25">
      <c r="C2588" s="1" t="s">
        <v>9655</v>
      </c>
      <c r="D2588" s="1" t="s">
        <v>9656</v>
      </c>
      <c r="E2588" s="1" t="s">
        <v>9657</v>
      </c>
      <c r="F2588" s="1">
        <v>0</v>
      </c>
      <c r="G2588" s="1">
        <v>0</v>
      </c>
      <c r="H2588" s="1">
        <v>0</v>
      </c>
      <c r="I2588" s="1">
        <v>9</v>
      </c>
      <c r="J2588" s="1">
        <v>9</v>
      </c>
      <c r="K2588" s="1">
        <v>0</v>
      </c>
    </row>
    <row r="2589" spans="3:11" x14ac:dyDescent="0.25">
      <c r="C2589" s="1" t="s">
        <v>9658</v>
      </c>
      <c r="D2589" s="1" t="s">
        <v>9659</v>
      </c>
      <c r="E2589" s="1" t="s">
        <v>9660</v>
      </c>
      <c r="F2589" s="1">
        <v>0</v>
      </c>
      <c r="G2589" s="1">
        <v>0</v>
      </c>
      <c r="H2589" s="1">
        <v>0</v>
      </c>
      <c r="I2589" s="1">
        <v>9</v>
      </c>
      <c r="J2589" s="1">
        <v>9</v>
      </c>
      <c r="K2589" s="1">
        <v>0</v>
      </c>
    </row>
    <row r="2590" spans="3:11" x14ac:dyDescent="0.25">
      <c r="C2590" s="1" t="s">
        <v>4099</v>
      </c>
      <c r="D2590" s="1" t="s">
        <v>4100</v>
      </c>
      <c r="E2590" s="1" t="s">
        <v>4101</v>
      </c>
      <c r="F2590" s="1">
        <v>0</v>
      </c>
      <c r="G2590" s="1">
        <v>0</v>
      </c>
      <c r="H2590" s="1">
        <v>0</v>
      </c>
      <c r="I2590" s="1">
        <v>9</v>
      </c>
      <c r="J2590" s="1">
        <v>9</v>
      </c>
      <c r="K2590" s="1">
        <v>0</v>
      </c>
    </row>
    <row r="2591" spans="3:11" x14ac:dyDescent="0.25">
      <c r="C2591" s="1" t="s">
        <v>4102</v>
      </c>
      <c r="D2591" s="1" t="s">
        <v>4103</v>
      </c>
      <c r="E2591" s="1" t="s">
        <v>4104</v>
      </c>
      <c r="F2591" s="1">
        <v>0</v>
      </c>
      <c r="G2591" s="1">
        <v>0</v>
      </c>
      <c r="H2591" s="1">
        <v>0</v>
      </c>
      <c r="I2591" s="1">
        <v>9</v>
      </c>
      <c r="J2591" s="1">
        <v>9</v>
      </c>
      <c r="K2591" s="1">
        <v>0</v>
      </c>
    </row>
    <row r="2592" spans="3:11" x14ac:dyDescent="0.25">
      <c r="C2592" s="1" t="s">
        <v>9661</v>
      </c>
      <c r="D2592" s="1" t="s">
        <v>9662</v>
      </c>
      <c r="E2592" s="1" t="s">
        <v>9663</v>
      </c>
      <c r="F2592" s="1">
        <v>0</v>
      </c>
      <c r="G2592" s="1">
        <v>0</v>
      </c>
      <c r="H2592" s="1">
        <v>0</v>
      </c>
      <c r="I2592" s="1">
        <v>8</v>
      </c>
      <c r="J2592" s="1">
        <v>8</v>
      </c>
      <c r="K2592" s="1">
        <v>0</v>
      </c>
    </row>
    <row r="2593" spans="3:11" x14ac:dyDescent="0.25">
      <c r="C2593" s="1" t="s">
        <v>9664</v>
      </c>
      <c r="D2593" s="1" t="s">
        <v>9665</v>
      </c>
      <c r="E2593" s="1" t="s">
        <v>9666</v>
      </c>
      <c r="F2593" s="1">
        <v>0</v>
      </c>
      <c r="G2593" s="1">
        <v>0</v>
      </c>
      <c r="H2593" s="1">
        <v>0</v>
      </c>
      <c r="I2593" s="1">
        <v>8</v>
      </c>
      <c r="J2593" s="1">
        <v>8</v>
      </c>
      <c r="K2593" s="1">
        <v>0</v>
      </c>
    </row>
    <row r="2594" spans="3:11" x14ac:dyDescent="0.25">
      <c r="C2594" s="1" t="s">
        <v>9667</v>
      </c>
      <c r="D2594" s="1" t="s">
        <v>9668</v>
      </c>
      <c r="E2594" s="1" t="s">
        <v>9669</v>
      </c>
      <c r="F2594" s="1">
        <v>0</v>
      </c>
      <c r="G2594" s="1">
        <v>0</v>
      </c>
      <c r="H2594" s="1">
        <v>0</v>
      </c>
      <c r="I2594" s="1">
        <v>8</v>
      </c>
      <c r="J2594" s="1">
        <v>8</v>
      </c>
      <c r="K2594" s="1">
        <v>0</v>
      </c>
    </row>
    <row r="2595" spans="3:11" x14ac:dyDescent="0.25">
      <c r="C2595" s="1" t="s">
        <v>1993</v>
      </c>
      <c r="D2595" s="1" t="s">
        <v>1994</v>
      </c>
      <c r="E2595" s="1" t="s">
        <v>1995</v>
      </c>
      <c r="F2595" s="1">
        <v>0</v>
      </c>
      <c r="G2595" s="1">
        <v>0</v>
      </c>
      <c r="H2595" s="1">
        <v>0</v>
      </c>
      <c r="I2595" s="1">
        <v>8</v>
      </c>
      <c r="J2595" s="1">
        <v>8</v>
      </c>
      <c r="K2595" s="1">
        <v>0</v>
      </c>
    </row>
    <row r="2596" spans="3:11" x14ac:dyDescent="0.25">
      <c r="C2596" s="1" t="s">
        <v>4111</v>
      </c>
      <c r="D2596" s="1" t="s">
        <v>4112</v>
      </c>
      <c r="E2596" s="1" t="s">
        <v>4113</v>
      </c>
      <c r="F2596" s="1">
        <v>0</v>
      </c>
      <c r="G2596" s="1">
        <v>0</v>
      </c>
      <c r="H2596" s="1">
        <v>0</v>
      </c>
      <c r="I2596" s="1">
        <v>8</v>
      </c>
      <c r="J2596" s="1">
        <v>8</v>
      </c>
      <c r="K2596" s="1">
        <v>0</v>
      </c>
    </row>
    <row r="2597" spans="3:11" x14ac:dyDescent="0.25">
      <c r="C2597" s="1" t="s">
        <v>9670</v>
      </c>
      <c r="D2597" s="1" t="s">
        <v>9671</v>
      </c>
      <c r="E2597" s="1" t="s">
        <v>9672</v>
      </c>
      <c r="F2597" s="1">
        <v>0</v>
      </c>
      <c r="G2597" s="1">
        <v>0</v>
      </c>
      <c r="H2597" s="1">
        <v>0</v>
      </c>
      <c r="I2597" s="1">
        <v>8</v>
      </c>
      <c r="J2597" s="1">
        <v>8</v>
      </c>
      <c r="K2597" s="1">
        <v>0</v>
      </c>
    </row>
    <row r="2598" spans="3:11" x14ac:dyDescent="0.25">
      <c r="C2598" s="1" t="s">
        <v>4284</v>
      </c>
      <c r="D2598" s="1" t="s">
        <v>4285</v>
      </c>
      <c r="E2598" s="1" t="s">
        <v>4286</v>
      </c>
      <c r="F2598" s="1">
        <v>0</v>
      </c>
      <c r="G2598" s="1">
        <v>0</v>
      </c>
      <c r="H2598" s="1">
        <v>0</v>
      </c>
      <c r="I2598" s="1">
        <v>8</v>
      </c>
      <c r="J2598" s="1">
        <v>8</v>
      </c>
      <c r="K2598" s="1">
        <v>0</v>
      </c>
    </row>
    <row r="2599" spans="3:11" x14ac:dyDescent="0.25">
      <c r="C2599" s="1" t="s">
        <v>9673</v>
      </c>
      <c r="D2599" s="1" t="s">
        <v>9674</v>
      </c>
      <c r="E2599" s="1" t="s">
        <v>9675</v>
      </c>
      <c r="F2599" s="1">
        <v>0</v>
      </c>
      <c r="G2599" s="1">
        <v>0</v>
      </c>
      <c r="H2599" s="1">
        <v>0</v>
      </c>
      <c r="I2599" s="1">
        <v>7</v>
      </c>
      <c r="J2599" s="1">
        <v>7</v>
      </c>
      <c r="K2599" s="1">
        <v>0</v>
      </c>
    </row>
    <row r="2600" spans="3:11" x14ac:dyDescent="0.25">
      <c r="C2600" s="1" t="s">
        <v>9676</v>
      </c>
      <c r="D2600" s="1" t="s">
        <v>9677</v>
      </c>
      <c r="E2600" s="1" t="s">
        <v>9678</v>
      </c>
      <c r="F2600" s="1">
        <v>0</v>
      </c>
      <c r="G2600" s="1">
        <v>0</v>
      </c>
      <c r="H2600" s="1">
        <v>0</v>
      </c>
      <c r="I2600" s="1">
        <v>7</v>
      </c>
      <c r="J2600" s="1">
        <v>7</v>
      </c>
      <c r="K2600" s="1">
        <v>0</v>
      </c>
    </row>
    <row r="2601" spans="3:11" x14ac:dyDescent="0.25">
      <c r="C2601" s="1" t="s">
        <v>4117</v>
      </c>
      <c r="D2601" s="1" t="s">
        <v>4118</v>
      </c>
      <c r="E2601" s="1" t="s">
        <v>4117</v>
      </c>
      <c r="F2601" s="1">
        <v>0</v>
      </c>
      <c r="G2601" s="1">
        <v>0</v>
      </c>
      <c r="H2601" s="1">
        <v>0</v>
      </c>
      <c r="I2601" s="1">
        <v>7</v>
      </c>
      <c r="J2601" s="1">
        <v>7</v>
      </c>
      <c r="K2601" s="1">
        <v>0</v>
      </c>
    </row>
    <row r="2602" spans="3:11" x14ac:dyDescent="0.25">
      <c r="C2602" s="1" t="s">
        <v>4119</v>
      </c>
      <c r="D2602" s="1" t="s">
        <v>4120</v>
      </c>
      <c r="E2602" s="1" t="s">
        <v>4121</v>
      </c>
      <c r="F2602" s="1">
        <v>0</v>
      </c>
      <c r="G2602" s="1">
        <v>0</v>
      </c>
      <c r="H2602" s="1">
        <v>0</v>
      </c>
      <c r="I2602" s="1">
        <v>7</v>
      </c>
      <c r="J2602" s="1">
        <v>7</v>
      </c>
      <c r="K2602" s="1">
        <v>0</v>
      </c>
    </row>
    <row r="2603" spans="3:11" x14ac:dyDescent="0.25">
      <c r="C2603" s="1" t="s">
        <v>4122</v>
      </c>
      <c r="D2603" s="1" t="s">
        <v>4123</v>
      </c>
      <c r="E2603" s="1" t="s">
        <v>4124</v>
      </c>
      <c r="F2603" s="1">
        <v>0</v>
      </c>
      <c r="G2603" s="1">
        <v>0</v>
      </c>
      <c r="H2603" s="1">
        <v>0</v>
      </c>
      <c r="I2603" s="1">
        <v>7</v>
      </c>
      <c r="J2603" s="1">
        <v>7</v>
      </c>
      <c r="K2603" s="1">
        <v>0</v>
      </c>
    </row>
    <row r="2604" spans="3:11" x14ac:dyDescent="0.25">
      <c r="C2604" s="1" t="s">
        <v>4125</v>
      </c>
      <c r="D2604" s="1" t="s">
        <v>4126</v>
      </c>
      <c r="E2604" s="1" t="s">
        <v>4127</v>
      </c>
      <c r="F2604" s="1">
        <v>0</v>
      </c>
      <c r="G2604" s="1">
        <v>0</v>
      </c>
      <c r="H2604" s="1">
        <v>0</v>
      </c>
      <c r="I2604" s="1">
        <v>7</v>
      </c>
      <c r="J2604" s="1">
        <v>7</v>
      </c>
      <c r="K2604" s="1">
        <v>0</v>
      </c>
    </row>
    <row r="2605" spans="3:11" x14ac:dyDescent="0.25">
      <c r="C2605" s="1" t="s">
        <v>2001</v>
      </c>
      <c r="D2605" s="1" t="s">
        <v>2002</v>
      </c>
      <c r="E2605" s="1" t="s">
        <v>2003</v>
      </c>
      <c r="F2605" s="1">
        <v>0</v>
      </c>
      <c r="G2605" s="1">
        <v>0</v>
      </c>
      <c r="H2605" s="1">
        <v>0</v>
      </c>
      <c r="I2605" s="1">
        <v>6</v>
      </c>
      <c r="J2605" s="1">
        <v>6</v>
      </c>
      <c r="K2605" s="1">
        <v>0</v>
      </c>
    </row>
    <row r="2606" spans="3:11" x14ac:dyDescent="0.25">
      <c r="C2606" s="1" t="s">
        <v>4128</v>
      </c>
      <c r="D2606" s="1" t="s">
        <v>4129</v>
      </c>
      <c r="E2606" s="1" t="s">
        <v>4130</v>
      </c>
      <c r="F2606" s="1">
        <v>0</v>
      </c>
      <c r="G2606" s="1">
        <v>0</v>
      </c>
      <c r="H2606" s="1">
        <v>0</v>
      </c>
      <c r="I2606" s="1">
        <v>6</v>
      </c>
      <c r="J2606" s="1">
        <v>6</v>
      </c>
      <c r="K2606" s="1">
        <v>0</v>
      </c>
    </row>
    <row r="2607" spans="3:11" x14ac:dyDescent="0.25">
      <c r="C2607" s="1" t="s">
        <v>4131</v>
      </c>
      <c r="D2607" s="1" t="s">
        <v>4132</v>
      </c>
      <c r="E2607" s="1" t="s">
        <v>4133</v>
      </c>
      <c r="F2607" s="1">
        <v>0</v>
      </c>
      <c r="G2607" s="1">
        <v>0</v>
      </c>
      <c r="H2607" s="1">
        <v>0</v>
      </c>
      <c r="I2607" s="1">
        <v>6</v>
      </c>
      <c r="J2607" s="1">
        <v>6</v>
      </c>
      <c r="K2607" s="1">
        <v>0</v>
      </c>
    </row>
    <row r="2608" spans="3:11" x14ac:dyDescent="0.25">
      <c r="C2608" s="1" t="s">
        <v>4134</v>
      </c>
      <c r="D2608" s="1" t="s">
        <v>4135</v>
      </c>
      <c r="E2608" s="1" t="s">
        <v>4136</v>
      </c>
      <c r="F2608" s="1">
        <v>0</v>
      </c>
      <c r="G2608" s="1">
        <v>0</v>
      </c>
      <c r="H2608" s="1">
        <v>0</v>
      </c>
      <c r="I2608" s="1">
        <v>6</v>
      </c>
      <c r="J2608" s="1">
        <v>6</v>
      </c>
      <c r="K2608" s="1">
        <v>0</v>
      </c>
    </row>
    <row r="2609" spans="3:11" x14ac:dyDescent="0.25">
      <c r="C2609" s="1" t="s">
        <v>9679</v>
      </c>
      <c r="D2609" s="1" t="s">
        <v>9680</v>
      </c>
      <c r="E2609" s="1" t="s">
        <v>9681</v>
      </c>
      <c r="F2609" s="1">
        <v>0</v>
      </c>
      <c r="G2609" s="1">
        <v>0</v>
      </c>
      <c r="H2609" s="1">
        <v>0</v>
      </c>
      <c r="I2609" s="1">
        <v>5</v>
      </c>
      <c r="J2609" s="1">
        <v>5</v>
      </c>
      <c r="K2609" s="1">
        <v>0</v>
      </c>
    </row>
    <row r="2610" spans="3:11" x14ac:dyDescent="0.25">
      <c r="C2610" s="1" t="s">
        <v>9682</v>
      </c>
      <c r="D2610" s="1" t="s">
        <v>9683</v>
      </c>
      <c r="E2610" s="1" t="s">
        <v>9684</v>
      </c>
      <c r="F2610" s="1">
        <v>0</v>
      </c>
      <c r="G2610" s="1">
        <v>0</v>
      </c>
      <c r="H2610" s="1">
        <v>0</v>
      </c>
      <c r="I2610" s="1">
        <v>5</v>
      </c>
      <c r="J2610" s="1">
        <v>5</v>
      </c>
      <c r="K2610" s="1">
        <v>0</v>
      </c>
    </row>
    <row r="2611" spans="3:11" x14ac:dyDescent="0.25">
      <c r="C2611" s="1" t="s">
        <v>9685</v>
      </c>
      <c r="D2611" s="1" t="s">
        <v>9686</v>
      </c>
      <c r="E2611" s="1" t="s">
        <v>9687</v>
      </c>
      <c r="F2611" s="1">
        <v>0</v>
      </c>
      <c r="G2611" s="1">
        <v>0</v>
      </c>
      <c r="H2611" s="1">
        <v>0</v>
      </c>
      <c r="I2611" s="1">
        <v>5</v>
      </c>
      <c r="J2611" s="1">
        <v>5</v>
      </c>
      <c r="K2611" s="1">
        <v>0</v>
      </c>
    </row>
    <row r="2612" spans="3:11" x14ac:dyDescent="0.25">
      <c r="C2612" s="1" t="s">
        <v>4140</v>
      </c>
      <c r="D2612" s="1" t="s">
        <v>4141</v>
      </c>
      <c r="E2612" s="1" t="s">
        <v>4142</v>
      </c>
      <c r="F2612" s="1">
        <v>0</v>
      </c>
      <c r="G2612" s="1">
        <v>0</v>
      </c>
      <c r="H2612" s="1">
        <v>0</v>
      </c>
      <c r="I2612" s="1">
        <v>5</v>
      </c>
      <c r="J2612" s="1">
        <v>5</v>
      </c>
      <c r="K2612" s="1">
        <v>0</v>
      </c>
    </row>
    <row r="2613" spans="3:11" x14ac:dyDescent="0.25">
      <c r="C2613" s="1" t="s">
        <v>2004</v>
      </c>
      <c r="D2613" s="1" t="s">
        <v>2005</v>
      </c>
      <c r="E2613" s="1" t="s">
        <v>2006</v>
      </c>
      <c r="F2613" s="1">
        <v>0</v>
      </c>
      <c r="G2613" s="1">
        <v>0</v>
      </c>
      <c r="H2613" s="1">
        <v>0</v>
      </c>
      <c r="I2613" s="1">
        <v>5</v>
      </c>
      <c r="J2613" s="1">
        <v>5</v>
      </c>
      <c r="K2613" s="1">
        <v>0</v>
      </c>
    </row>
    <row r="2614" spans="3:11" x14ac:dyDescent="0.25">
      <c r="C2614" s="1" t="s">
        <v>9688</v>
      </c>
      <c r="D2614" s="1" t="s">
        <v>9689</v>
      </c>
      <c r="E2614" s="1" t="s">
        <v>9688</v>
      </c>
      <c r="F2614" s="1">
        <v>0</v>
      </c>
      <c r="G2614" s="1">
        <v>0</v>
      </c>
      <c r="H2614" s="1">
        <v>0</v>
      </c>
      <c r="I2614" s="1">
        <v>5</v>
      </c>
      <c r="J2614" s="1">
        <v>5</v>
      </c>
      <c r="K2614" s="1">
        <v>0</v>
      </c>
    </row>
    <row r="2615" spans="3:11" x14ac:dyDescent="0.25">
      <c r="C2615" s="1" t="s">
        <v>9690</v>
      </c>
      <c r="D2615" s="1" t="s">
        <v>9691</v>
      </c>
      <c r="E2615" s="1" t="s">
        <v>9692</v>
      </c>
      <c r="F2615" s="1">
        <v>0</v>
      </c>
      <c r="G2615" s="1">
        <v>0</v>
      </c>
      <c r="H2615" s="1">
        <v>0</v>
      </c>
      <c r="I2615" s="1">
        <v>5</v>
      </c>
      <c r="J2615" s="1">
        <v>5</v>
      </c>
      <c r="K2615" s="1">
        <v>0</v>
      </c>
    </row>
    <row r="2616" spans="3:11" x14ac:dyDescent="0.25">
      <c r="C2616" s="1" t="s">
        <v>9693</v>
      </c>
      <c r="D2616" s="1" t="s">
        <v>9694</v>
      </c>
      <c r="E2616" s="1" t="s">
        <v>9693</v>
      </c>
      <c r="F2616" s="1">
        <v>0</v>
      </c>
      <c r="G2616" s="1">
        <v>0</v>
      </c>
      <c r="H2616" s="1">
        <v>0</v>
      </c>
      <c r="I2616" s="1">
        <v>5</v>
      </c>
      <c r="J2616" s="1">
        <v>5</v>
      </c>
      <c r="K2616" s="1">
        <v>0</v>
      </c>
    </row>
    <row r="2617" spans="3:11" x14ac:dyDescent="0.25">
      <c r="C2617" s="1" t="s">
        <v>9695</v>
      </c>
      <c r="D2617" s="1" t="s">
        <v>9696</v>
      </c>
      <c r="E2617" s="1" t="s">
        <v>9695</v>
      </c>
      <c r="F2617" s="1">
        <v>0</v>
      </c>
      <c r="G2617" s="1">
        <v>0</v>
      </c>
      <c r="H2617" s="1">
        <v>0</v>
      </c>
      <c r="I2617" s="1">
        <v>5</v>
      </c>
      <c r="J2617" s="1">
        <v>5</v>
      </c>
      <c r="K2617" s="1">
        <v>0</v>
      </c>
    </row>
    <row r="2618" spans="3:11" x14ac:dyDescent="0.25">
      <c r="C2618" s="1" t="s">
        <v>9697</v>
      </c>
      <c r="D2618" s="1" t="s">
        <v>9698</v>
      </c>
      <c r="E2618" s="1" t="s">
        <v>9697</v>
      </c>
      <c r="F2618" s="1">
        <v>0</v>
      </c>
      <c r="G2618" s="1">
        <v>0</v>
      </c>
      <c r="H2618" s="1">
        <v>0</v>
      </c>
      <c r="I2618" s="1">
        <v>4</v>
      </c>
      <c r="J2618" s="1">
        <v>4</v>
      </c>
      <c r="K2618" s="1">
        <v>0</v>
      </c>
    </row>
    <row r="2619" spans="3:11" x14ac:dyDescent="0.25">
      <c r="C2619" s="1" t="s">
        <v>9699</v>
      </c>
      <c r="D2619" s="1" t="s">
        <v>9700</v>
      </c>
      <c r="E2619" s="1" t="s">
        <v>9701</v>
      </c>
      <c r="F2619" s="1">
        <v>0</v>
      </c>
      <c r="G2619" s="1">
        <v>0</v>
      </c>
      <c r="H2619" s="1">
        <v>0</v>
      </c>
      <c r="I2619" s="1">
        <v>4</v>
      </c>
      <c r="J2619" s="1">
        <v>4</v>
      </c>
      <c r="K2619" s="1">
        <v>0</v>
      </c>
    </row>
    <row r="2620" spans="3:11" x14ac:dyDescent="0.25">
      <c r="C2620" s="1" t="s">
        <v>9702</v>
      </c>
      <c r="D2620" s="1" t="s">
        <v>9703</v>
      </c>
      <c r="E2620" s="1" t="s">
        <v>9704</v>
      </c>
      <c r="F2620" s="1">
        <v>0</v>
      </c>
      <c r="G2620" s="1">
        <v>0</v>
      </c>
      <c r="H2620" s="1">
        <v>0</v>
      </c>
      <c r="I2620" s="1">
        <v>4</v>
      </c>
      <c r="J2620" s="1">
        <v>4</v>
      </c>
      <c r="K2620" s="1">
        <v>0</v>
      </c>
    </row>
    <row r="2621" spans="3:11" x14ac:dyDescent="0.25">
      <c r="C2621" s="1" t="s">
        <v>9705</v>
      </c>
      <c r="D2621" s="1" t="s">
        <v>9706</v>
      </c>
      <c r="E2621" s="1" t="s">
        <v>9705</v>
      </c>
      <c r="F2621" s="1">
        <v>0</v>
      </c>
      <c r="G2621" s="1">
        <v>0</v>
      </c>
      <c r="H2621" s="1">
        <v>0</v>
      </c>
      <c r="I2621" s="1">
        <v>4</v>
      </c>
      <c r="J2621" s="1">
        <v>4</v>
      </c>
      <c r="K2621" s="1">
        <v>0</v>
      </c>
    </row>
    <row r="2622" spans="3:11" x14ac:dyDescent="0.25">
      <c r="C2622" s="1" t="s">
        <v>4146</v>
      </c>
      <c r="D2622" s="1" t="s">
        <v>4147</v>
      </c>
      <c r="E2622" s="1" t="s">
        <v>4146</v>
      </c>
      <c r="F2622" s="1">
        <v>0</v>
      </c>
      <c r="G2622" s="1">
        <v>0</v>
      </c>
      <c r="H2622" s="1">
        <v>0</v>
      </c>
      <c r="I2622" s="1">
        <v>4</v>
      </c>
      <c r="J2622" s="1">
        <v>4</v>
      </c>
      <c r="K2622" s="1">
        <v>0</v>
      </c>
    </row>
    <row r="2623" spans="3:11" x14ac:dyDescent="0.25">
      <c r="C2623" s="1" t="s">
        <v>4148</v>
      </c>
      <c r="D2623" s="1" t="s">
        <v>4149</v>
      </c>
      <c r="E2623" s="1" t="s">
        <v>4150</v>
      </c>
      <c r="F2623" s="1">
        <v>0</v>
      </c>
      <c r="G2623" s="1">
        <v>0</v>
      </c>
      <c r="H2623" s="1">
        <v>0</v>
      </c>
      <c r="I2623" s="1">
        <v>4</v>
      </c>
      <c r="J2623" s="1">
        <v>4</v>
      </c>
      <c r="K2623" s="1">
        <v>0</v>
      </c>
    </row>
    <row r="2624" spans="3:11" x14ac:dyDescent="0.25">
      <c r="C2624" s="1" t="s">
        <v>4151</v>
      </c>
      <c r="D2624" s="1" t="s">
        <v>4152</v>
      </c>
      <c r="E2624" s="1" t="s">
        <v>4153</v>
      </c>
      <c r="F2624" s="1">
        <v>0</v>
      </c>
      <c r="G2624" s="1">
        <v>0</v>
      </c>
      <c r="H2624" s="1">
        <v>0</v>
      </c>
      <c r="I2624" s="1">
        <v>4</v>
      </c>
      <c r="J2624" s="1">
        <v>4</v>
      </c>
      <c r="K2624" s="1">
        <v>0</v>
      </c>
    </row>
    <row r="2625" spans="3:11" x14ac:dyDescent="0.25">
      <c r="C2625" s="1" t="s">
        <v>4154</v>
      </c>
      <c r="D2625" s="1" t="s">
        <v>4155</v>
      </c>
      <c r="E2625" s="1" t="s">
        <v>4154</v>
      </c>
      <c r="F2625" s="1">
        <v>0</v>
      </c>
      <c r="G2625" s="1">
        <v>0</v>
      </c>
      <c r="H2625" s="1">
        <v>0</v>
      </c>
      <c r="I2625" s="1">
        <v>4</v>
      </c>
      <c r="J2625" s="1">
        <v>4</v>
      </c>
      <c r="K2625" s="1">
        <v>0</v>
      </c>
    </row>
    <row r="2626" spans="3:11" x14ac:dyDescent="0.25">
      <c r="C2626" s="1" t="s">
        <v>4156</v>
      </c>
      <c r="D2626" s="1" t="s">
        <v>4157</v>
      </c>
      <c r="E2626" s="1" t="s">
        <v>4158</v>
      </c>
      <c r="F2626" s="1">
        <v>0</v>
      </c>
      <c r="G2626" s="1">
        <v>0</v>
      </c>
      <c r="H2626" s="1">
        <v>0</v>
      </c>
      <c r="I2626" s="1">
        <v>4</v>
      </c>
      <c r="J2626" s="1">
        <v>4</v>
      </c>
      <c r="K2626" s="1">
        <v>0</v>
      </c>
    </row>
    <row r="2627" spans="3:11" x14ac:dyDescent="0.25">
      <c r="C2627" s="1" t="s">
        <v>2071</v>
      </c>
      <c r="D2627" s="1" t="s">
        <v>2072</v>
      </c>
      <c r="E2627" s="1" t="s">
        <v>2073</v>
      </c>
      <c r="F2627" s="1">
        <v>0</v>
      </c>
      <c r="G2627" s="1">
        <v>0</v>
      </c>
      <c r="H2627" s="1">
        <v>0</v>
      </c>
      <c r="I2627" s="1">
        <v>4</v>
      </c>
      <c r="J2627" s="1">
        <v>4</v>
      </c>
      <c r="K2627" s="1">
        <v>0</v>
      </c>
    </row>
    <row r="2628" spans="3:11" x14ac:dyDescent="0.25">
      <c r="C2628" s="1" t="s">
        <v>9707</v>
      </c>
      <c r="D2628" s="1" t="s">
        <v>9708</v>
      </c>
      <c r="E2628" s="1" t="s">
        <v>9709</v>
      </c>
      <c r="F2628" s="1">
        <v>0</v>
      </c>
      <c r="G2628" s="1">
        <v>0</v>
      </c>
      <c r="H2628" s="1">
        <v>0</v>
      </c>
      <c r="I2628" s="1">
        <v>3</v>
      </c>
      <c r="J2628" s="1">
        <v>3</v>
      </c>
      <c r="K2628" s="1">
        <v>0</v>
      </c>
    </row>
    <row r="2629" spans="3:11" x14ac:dyDescent="0.25">
      <c r="C2629" s="1" t="s">
        <v>9710</v>
      </c>
      <c r="D2629" s="1" t="s">
        <v>9711</v>
      </c>
      <c r="E2629" s="1" t="s">
        <v>9712</v>
      </c>
      <c r="F2629" s="1">
        <v>0</v>
      </c>
      <c r="G2629" s="1">
        <v>0</v>
      </c>
      <c r="H2629" s="1">
        <v>0</v>
      </c>
      <c r="I2629" s="1">
        <v>3</v>
      </c>
      <c r="J2629" s="1">
        <v>3</v>
      </c>
      <c r="K2629" s="1">
        <v>0</v>
      </c>
    </row>
    <row r="2630" spans="3:11" x14ac:dyDescent="0.25">
      <c r="C2630" s="1" t="s">
        <v>9713</v>
      </c>
      <c r="D2630" s="1" t="s">
        <v>9714</v>
      </c>
      <c r="E2630" s="1" t="s">
        <v>9715</v>
      </c>
      <c r="F2630" s="1">
        <v>0</v>
      </c>
      <c r="G2630" s="1">
        <v>0</v>
      </c>
      <c r="H2630" s="1">
        <v>0</v>
      </c>
      <c r="I2630" s="1">
        <v>3</v>
      </c>
      <c r="J2630" s="1">
        <v>3</v>
      </c>
      <c r="K2630" s="1">
        <v>0</v>
      </c>
    </row>
    <row r="2631" spans="3:11" x14ac:dyDescent="0.25">
      <c r="C2631" s="1" t="s">
        <v>9716</v>
      </c>
      <c r="D2631" s="1" t="s">
        <v>9717</v>
      </c>
      <c r="E2631" s="1" t="s">
        <v>9716</v>
      </c>
      <c r="F2631" s="1">
        <v>0</v>
      </c>
      <c r="G2631" s="1">
        <v>0</v>
      </c>
      <c r="H2631" s="1">
        <v>0</v>
      </c>
      <c r="I2631" s="1">
        <v>3</v>
      </c>
      <c r="J2631" s="1">
        <v>3</v>
      </c>
      <c r="K2631" s="1">
        <v>0</v>
      </c>
    </row>
    <row r="2632" spans="3:11" x14ac:dyDescent="0.25">
      <c r="C2632" s="1" t="s">
        <v>9718</v>
      </c>
      <c r="D2632" s="1" t="s">
        <v>9719</v>
      </c>
      <c r="E2632" s="1" t="s">
        <v>9720</v>
      </c>
      <c r="F2632" s="1">
        <v>0</v>
      </c>
      <c r="G2632" s="1">
        <v>0</v>
      </c>
      <c r="H2632" s="1">
        <v>0</v>
      </c>
      <c r="I2632" s="1">
        <v>3</v>
      </c>
      <c r="J2632" s="1">
        <v>3</v>
      </c>
      <c r="K2632" s="1">
        <v>0</v>
      </c>
    </row>
    <row r="2633" spans="3:11" x14ac:dyDescent="0.25">
      <c r="C2633" s="1" t="s">
        <v>9721</v>
      </c>
      <c r="D2633" s="1" t="s">
        <v>9722</v>
      </c>
      <c r="E2633" s="1" t="s">
        <v>9723</v>
      </c>
      <c r="F2633" s="1">
        <v>0</v>
      </c>
      <c r="G2633" s="1">
        <v>0</v>
      </c>
      <c r="H2633" s="1">
        <v>0</v>
      </c>
      <c r="I2633" s="1">
        <v>2</v>
      </c>
      <c r="J2633" s="1">
        <v>2</v>
      </c>
      <c r="K2633" s="1">
        <v>0</v>
      </c>
    </row>
    <row r="2634" spans="3:11" x14ac:dyDescent="0.25">
      <c r="C2634" s="1" t="s">
        <v>9724</v>
      </c>
      <c r="D2634" s="1" t="s">
        <v>9725</v>
      </c>
      <c r="E2634" s="1" t="s">
        <v>9726</v>
      </c>
      <c r="F2634" s="1">
        <v>0</v>
      </c>
      <c r="G2634" s="1">
        <v>0</v>
      </c>
      <c r="H2634" s="1">
        <v>0</v>
      </c>
      <c r="I2634" s="1">
        <v>2</v>
      </c>
      <c r="J2634" s="1">
        <v>2</v>
      </c>
      <c r="K2634" s="1">
        <v>0</v>
      </c>
    </row>
    <row r="2635" spans="3:11" x14ac:dyDescent="0.25">
      <c r="C2635" s="1" t="s">
        <v>9727</v>
      </c>
      <c r="D2635" s="1" t="s">
        <v>9728</v>
      </c>
      <c r="E2635" s="1" t="s">
        <v>9727</v>
      </c>
      <c r="F2635" s="1">
        <v>0</v>
      </c>
      <c r="G2635" s="1">
        <v>0</v>
      </c>
      <c r="H2635" s="1">
        <v>0</v>
      </c>
      <c r="I2635" s="1">
        <v>2</v>
      </c>
      <c r="J2635" s="1">
        <v>2</v>
      </c>
      <c r="K2635" s="1">
        <v>0</v>
      </c>
    </row>
    <row r="2636" spans="3:11" x14ac:dyDescent="0.25">
      <c r="C2636" s="1" t="s">
        <v>9729</v>
      </c>
      <c r="D2636" s="1" t="s">
        <v>9730</v>
      </c>
      <c r="E2636" s="1" t="s">
        <v>9731</v>
      </c>
      <c r="F2636" s="1">
        <v>0</v>
      </c>
      <c r="G2636" s="1">
        <v>0</v>
      </c>
      <c r="H2636" s="1">
        <v>0</v>
      </c>
      <c r="I2636" s="1">
        <v>2</v>
      </c>
      <c r="J2636" s="1">
        <v>2</v>
      </c>
      <c r="K2636" s="1">
        <v>0</v>
      </c>
    </row>
    <row r="2637" spans="3:11" x14ac:dyDescent="0.25">
      <c r="C2637" s="1" t="s">
        <v>9732</v>
      </c>
      <c r="D2637" s="1" t="s">
        <v>9733</v>
      </c>
      <c r="E2637" s="1" t="s">
        <v>9732</v>
      </c>
      <c r="F2637" s="1">
        <v>0</v>
      </c>
      <c r="G2637" s="1">
        <v>0</v>
      </c>
      <c r="H2637" s="1">
        <v>0</v>
      </c>
      <c r="I2637" s="1">
        <v>2</v>
      </c>
      <c r="J2637" s="1">
        <v>2</v>
      </c>
      <c r="K2637" s="1">
        <v>0</v>
      </c>
    </row>
    <row r="2638" spans="3:11" x14ac:dyDescent="0.25">
      <c r="C2638" s="1" t="s">
        <v>9734</v>
      </c>
      <c r="D2638" s="1" t="s">
        <v>9735</v>
      </c>
      <c r="E2638" s="1" t="s">
        <v>9736</v>
      </c>
      <c r="F2638" s="1">
        <v>0</v>
      </c>
      <c r="G2638" s="1">
        <v>0</v>
      </c>
      <c r="H2638" s="1">
        <v>0</v>
      </c>
      <c r="I2638" s="1">
        <v>2</v>
      </c>
      <c r="J2638" s="1">
        <v>2</v>
      </c>
      <c r="K2638" s="1">
        <v>0</v>
      </c>
    </row>
    <row r="2639" spans="3:11" x14ac:dyDescent="0.25">
      <c r="C2639" s="1" t="s">
        <v>4180</v>
      </c>
      <c r="D2639" s="1" t="s">
        <v>4181</v>
      </c>
      <c r="E2639" s="1" t="s">
        <v>4182</v>
      </c>
      <c r="F2639" s="1">
        <v>0</v>
      </c>
      <c r="G2639" s="1">
        <v>0</v>
      </c>
      <c r="H2639" s="1">
        <v>0</v>
      </c>
      <c r="I2639" s="1">
        <v>2</v>
      </c>
      <c r="J2639" s="1">
        <v>2</v>
      </c>
      <c r="K2639" s="1">
        <v>0</v>
      </c>
    </row>
    <row r="2640" spans="3:11" x14ac:dyDescent="0.25">
      <c r="C2640" s="1" t="s">
        <v>9737</v>
      </c>
      <c r="D2640" s="1" t="s">
        <v>9738</v>
      </c>
      <c r="E2640" s="1" t="s">
        <v>9737</v>
      </c>
      <c r="F2640" s="1">
        <v>0</v>
      </c>
      <c r="G2640" s="1">
        <v>0</v>
      </c>
      <c r="H2640" s="1">
        <v>0</v>
      </c>
      <c r="I2640" s="1">
        <v>2</v>
      </c>
      <c r="J2640" s="1">
        <v>2</v>
      </c>
      <c r="K2640" s="1">
        <v>0</v>
      </c>
    </row>
    <row r="2641" spans="3:11" x14ac:dyDescent="0.25">
      <c r="C2641" s="1" t="s">
        <v>9739</v>
      </c>
      <c r="D2641" s="1" t="s">
        <v>9740</v>
      </c>
      <c r="E2641" s="1" t="s">
        <v>9739</v>
      </c>
      <c r="F2641" s="1">
        <v>0</v>
      </c>
      <c r="G2641" s="1">
        <v>0</v>
      </c>
      <c r="H2641" s="1">
        <v>0</v>
      </c>
      <c r="I2641" s="1">
        <v>2</v>
      </c>
      <c r="J2641" s="1">
        <v>2</v>
      </c>
      <c r="K2641" s="1">
        <v>0</v>
      </c>
    </row>
    <row r="2642" spans="3:11" x14ac:dyDescent="0.25">
      <c r="C2642" s="1" t="s">
        <v>2010</v>
      </c>
      <c r="D2642" s="1" t="s">
        <v>2011</v>
      </c>
      <c r="E2642" s="1" t="s">
        <v>2012</v>
      </c>
      <c r="F2642" s="1">
        <v>0</v>
      </c>
      <c r="G2642" s="1">
        <v>0</v>
      </c>
      <c r="H2642" s="1">
        <v>0</v>
      </c>
      <c r="I2642" s="1">
        <v>2</v>
      </c>
      <c r="J2642" s="1">
        <v>2</v>
      </c>
      <c r="K2642" s="1">
        <v>0</v>
      </c>
    </row>
    <row r="2643" spans="3:11" x14ac:dyDescent="0.25">
      <c r="C2643" s="1" t="s">
        <v>9741</v>
      </c>
      <c r="D2643" s="1" t="s">
        <v>9742</v>
      </c>
      <c r="E2643" s="1" t="s">
        <v>9743</v>
      </c>
      <c r="F2643" s="1">
        <v>0</v>
      </c>
      <c r="G2643" s="1">
        <v>0</v>
      </c>
      <c r="H2643" s="1">
        <v>0</v>
      </c>
      <c r="I2643" s="1">
        <v>2</v>
      </c>
      <c r="J2643" s="1">
        <v>2</v>
      </c>
      <c r="K2643" s="1">
        <v>0</v>
      </c>
    </row>
    <row r="2644" spans="3:11" x14ac:dyDescent="0.25">
      <c r="C2644" s="1" t="s">
        <v>4186</v>
      </c>
      <c r="D2644" s="1" t="s">
        <v>4187</v>
      </c>
      <c r="E2644" s="1" t="s">
        <v>4188</v>
      </c>
      <c r="F2644" s="1">
        <v>0</v>
      </c>
      <c r="G2644" s="1">
        <v>0</v>
      </c>
      <c r="H2644" s="1">
        <v>0</v>
      </c>
      <c r="I2644" s="1">
        <v>2</v>
      </c>
      <c r="J2644" s="1">
        <v>2</v>
      </c>
      <c r="K2644" s="1">
        <v>0</v>
      </c>
    </row>
    <row r="2645" spans="3:11" x14ac:dyDescent="0.25">
      <c r="C2645" s="1" t="s">
        <v>9744</v>
      </c>
      <c r="D2645" s="1" t="s">
        <v>9745</v>
      </c>
      <c r="E2645" s="1" t="s">
        <v>9746</v>
      </c>
      <c r="F2645" s="1">
        <v>0</v>
      </c>
      <c r="G2645" s="1">
        <v>0</v>
      </c>
      <c r="H2645" s="1">
        <v>0</v>
      </c>
      <c r="I2645" s="1">
        <v>1</v>
      </c>
      <c r="J2645" s="1">
        <v>1</v>
      </c>
      <c r="K2645" s="1">
        <v>0</v>
      </c>
    </row>
    <row r="2646" spans="3:11" x14ac:dyDescent="0.25">
      <c r="C2646" s="1" t="s">
        <v>9747</v>
      </c>
      <c r="D2646" s="1" t="s">
        <v>9748</v>
      </c>
      <c r="E2646" s="1" t="s">
        <v>9749</v>
      </c>
      <c r="F2646" s="1">
        <v>0</v>
      </c>
      <c r="G2646" s="1">
        <v>0</v>
      </c>
      <c r="H2646" s="1">
        <v>0</v>
      </c>
      <c r="I2646" s="1">
        <v>1</v>
      </c>
      <c r="J2646" s="1">
        <v>1</v>
      </c>
      <c r="K2646" s="1">
        <v>0</v>
      </c>
    </row>
    <row r="2647" spans="3:11" x14ac:dyDescent="0.25">
      <c r="C2647" s="1" t="s">
        <v>9750</v>
      </c>
      <c r="D2647" s="1" t="s">
        <v>9751</v>
      </c>
      <c r="E2647" s="1" t="s">
        <v>9752</v>
      </c>
      <c r="F2647" s="1">
        <v>0</v>
      </c>
      <c r="G2647" s="1">
        <v>0</v>
      </c>
      <c r="H2647" s="1">
        <v>0</v>
      </c>
      <c r="I2647" s="1">
        <v>1</v>
      </c>
      <c r="J2647" s="1">
        <v>1</v>
      </c>
      <c r="K2647" s="1">
        <v>0</v>
      </c>
    </row>
    <row r="2648" spans="3:11" x14ac:dyDescent="0.25">
      <c r="C2648" s="1" t="s">
        <v>9753</v>
      </c>
      <c r="D2648" s="1" t="s">
        <v>9754</v>
      </c>
      <c r="E2648" s="1" t="s">
        <v>9755</v>
      </c>
      <c r="F2648" s="1">
        <v>0</v>
      </c>
      <c r="G2648" s="1">
        <v>0</v>
      </c>
      <c r="H2648" s="1">
        <v>0</v>
      </c>
      <c r="I2648" s="1">
        <v>1</v>
      </c>
      <c r="J2648" s="1">
        <v>1</v>
      </c>
      <c r="K2648" s="1">
        <v>0</v>
      </c>
    </row>
    <row r="2649" spans="3:11" x14ac:dyDescent="0.25">
      <c r="C2649" s="1" t="s">
        <v>9756</v>
      </c>
      <c r="D2649" s="1" t="s">
        <v>9757</v>
      </c>
      <c r="E2649" s="1" t="s">
        <v>9758</v>
      </c>
      <c r="F2649" s="1">
        <v>0</v>
      </c>
      <c r="G2649" s="1">
        <v>0</v>
      </c>
      <c r="H2649" s="1">
        <v>0</v>
      </c>
      <c r="I2649" s="1">
        <v>1</v>
      </c>
      <c r="J2649" s="1">
        <v>1</v>
      </c>
      <c r="K2649" s="1">
        <v>0</v>
      </c>
    </row>
    <row r="2650" spans="3:11" x14ac:dyDescent="0.25">
      <c r="C2650" s="1" t="s">
        <v>9759</v>
      </c>
      <c r="D2650" s="1" t="s">
        <v>9760</v>
      </c>
      <c r="E2650" s="1" t="s">
        <v>9761</v>
      </c>
      <c r="F2650" s="1">
        <v>0</v>
      </c>
      <c r="G2650" s="1">
        <v>0</v>
      </c>
      <c r="H2650" s="1">
        <v>0</v>
      </c>
      <c r="I2650" s="1">
        <v>1</v>
      </c>
      <c r="J2650" s="1">
        <v>1</v>
      </c>
      <c r="K2650" s="1">
        <v>0</v>
      </c>
    </row>
    <row r="2651" spans="3:11" x14ac:dyDescent="0.25">
      <c r="C2651" s="1" t="s">
        <v>9762</v>
      </c>
      <c r="D2651" s="1" t="s">
        <v>9763</v>
      </c>
      <c r="E2651" s="1" t="s">
        <v>9764</v>
      </c>
      <c r="F2651" s="1">
        <v>0</v>
      </c>
      <c r="G2651" s="1">
        <v>0</v>
      </c>
      <c r="H2651" s="1">
        <v>0</v>
      </c>
      <c r="I2651" s="1">
        <v>1</v>
      </c>
      <c r="J2651" s="1">
        <v>1</v>
      </c>
      <c r="K2651" s="1">
        <v>0</v>
      </c>
    </row>
    <row r="2652" spans="3:11" x14ac:dyDescent="0.25">
      <c r="C2652" s="1" t="s">
        <v>9765</v>
      </c>
      <c r="D2652" s="1" t="s">
        <v>9766</v>
      </c>
      <c r="E2652" s="1" t="s">
        <v>9765</v>
      </c>
      <c r="F2652" s="1">
        <v>0</v>
      </c>
      <c r="G2652" s="1">
        <v>0</v>
      </c>
      <c r="H2652" s="1">
        <v>0</v>
      </c>
      <c r="I2652" s="1">
        <v>1</v>
      </c>
      <c r="J2652" s="1">
        <v>1</v>
      </c>
      <c r="K2652" s="1">
        <v>0</v>
      </c>
    </row>
    <row r="2653" spans="3:11" x14ac:dyDescent="0.25">
      <c r="C2653" s="1" t="s">
        <v>9767</v>
      </c>
      <c r="D2653" s="1" t="s">
        <v>9768</v>
      </c>
      <c r="E2653" s="1" t="s">
        <v>9769</v>
      </c>
      <c r="F2653" s="1">
        <v>0</v>
      </c>
      <c r="G2653" s="1">
        <v>0</v>
      </c>
      <c r="H2653" s="1">
        <v>0</v>
      </c>
      <c r="I2653" s="1">
        <v>1</v>
      </c>
      <c r="J2653" s="1">
        <v>1</v>
      </c>
      <c r="K2653" s="1">
        <v>0</v>
      </c>
    </row>
    <row r="2654" spans="3:11" x14ac:dyDescent="0.25">
      <c r="D2654" s="1" t="s">
        <v>9770</v>
      </c>
      <c r="E2654" s="1" t="s">
        <v>9771</v>
      </c>
      <c r="F2654" s="1">
        <v>0</v>
      </c>
      <c r="G2654" s="1">
        <v>0</v>
      </c>
      <c r="H2654" s="1">
        <v>0</v>
      </c>
      <c r="I2654" s="1">
        <v>1</v>
      </c>
      <c r="J2654" s="1">
        <v>1</v>
      </c>
      <c r="K2654" s="1">
        <v>0</v>
      </c>
    </row>
    <row r="2655" spans="3:11" x14ac:dyDescent="0.25">
      <c r="C2655" s="1" t="s">
        <v>9772</v>
      </c>
      <c r="D2655" s="1" t="s">
        <v>9773</v>
      </c>
      <c r="E2655" s="1" t="s">
        <v>9772</v>
      </c>
      <c r="F2655" s="1">
        <v>0</v>
      </c>
      <c r="G2655" s="1">
        <v>0</v>
      </c>
      <c r="H2655" s="1">
        <v>0</v>
      </c>
      <c r="I2655" s="1">
        <v>1</v>
      </c>
      <c r="J2655" s="1">
        <v>1</v>
      </c>
      <c r="K2655" s="1">
        <v>0</v>
      </c>
    </row>
    <row r="2656" spans="3:11" x14ac:dyDescent="0.25">
      <c r="D2656" s="1" t="s">
        <v>9774</v>
      </c>
      <c r="E2656" s="1" t="s">
        <v>9775</v>
      </c>
      <c r="F2656" s="1">
        <v>0</v>
      </c>
      <c r="G2656" s="1">
        <v>0</v>
      </c>
      <c r="H2656" s="1">
        <v>0</v>
      </c>
      <c r="I2656" s="1">
        <v>1</v>
      </c>
      <c r="J2656" s="1">
        <v>1</v>
      </c>
      <c r="K2656" s="1">
        <v>0</v>
      </c>
    </row>
    <row r="2657" spans="3:11" x14ac:dyDescent="0.25">
      <c r="C2657" s="1" t="s">
        <v>9776</v>
      </c>
      <c r="D2657" s="1" t="s">
        <v>9777</v>
      </c>
      <c r="E2657" s="1" t="s">
        <v>9778</v>
      </c>
      <c r="F2657" s="1">
        <v>0</v>
      </c>
      <c r="G2657" s="1">
        <v>0</v>
      </c>
      <c r="H2657" s="1">
        <v>0</v>
      </c>
      <c r="I2657" s="1">
        <v>1</v>
      </c>
      <c r="J2657" s="1">
        <v>1</v>
      </c>
      <c r="K2657" s="1">
        <v>0</v>
      </c>
    </row>
    <row r="2658" spans="3:11" x14ac:dyDescent="0.25">
      <c r="C2658" s="1" t="s">
        <v>9779</v>
      </c>
      <c r="D2658" s="1" t="s">
        <v>9780</v>
      </c>
      <c r="E2658" s="1" t="s">
        <v>9781</v>
      </c>
      <c r="F2658" s="1">
        <v>0</v>
      </c>
      <c r="G2658" s="1">
        <v>0</v>
      </c>
      <c r="H2658" s="1">
        <v>0</v>
      </c>
      <c r="I2658" s="1">
        <v>1</v>
      </c>
      <c r="J2658" s="1">
        <v>1</v>
      </c>
      <c r="K2658" s="1">
        <v>0</v>
      </c>
    </row>
    <row r="2659" spans="3:11" x14ac:dyDescent="0.25">
      <c r="C2659" s="1" t="s">
        <v>9782</v>
      </c>
      <c r="D2659" s="1" t="s">
        <v>9783</v>
      </c>
      <c r="E2659" s="1" t="s">
        <v>9782</v>
      </c>
      <c r="F2659" s="1">
        <v>0</v>
      </c>
      <c r="G2659" s="1">
        <v>0</v>
      </c>
      <c r="H2659" s="1">
        <v>0</v>
      </c>
      <c r="I2659" s="1">
        <v>1</v>
      </c>
      <c r="J2659" s="1">
        <v>1</v>
      </c>
      <c r="K2659" s="1">
        <v>0</v>
      </c>
    </row>
    <row r="2660" spans="3:11" x14ac:dyDescent="0.25">
      <c r="D2660" s="1" t="s">
        <v>9784</v>
      </c>
      <c r="E2660" s="1" t="s">
        <v>9785</v>
      </c>
      <c r="F2660" s="1">
        <v>0</v>
      </c>
      <c r="G2660" s="1">
        <v>0</v>
      </c>
      <c r="H2660" s="1">
        <v>0</v>
      </c>
      <c r="I2660" s="1">
        <v>1</v>
      </c>
      <c r="J2660" s="1">
        <v>1</v>
      </c>
      <c r="K2660" s="1">
        <v>0</v>
      </c>
    </row>
    <row r="2661" spans="3:11" x14ac:dyDescent="0.25">
      <c r="D2661" s="1" t="s">
        <v>9786</v>
      </c>
      <c r="E2661" s="1" t="s">
        <v>9787</v>
      </c>
      <c r="F2661" s="1">
        <v>0</v>
      </c>
      <c r="G2661" s="1">
        <v>0</v>
      </c>
      <c r="H2661" s="1">
        <v>0</v>
      </c>
      <c r="I2661" s="1">
        <v>1</v>
      </c>
      <c r="J2661" s="1">
        <v>1</v>
      </c>
      <c r="K2661" s="1">
        <v>0</v>
      </c>
    </row>
    <row r="2662" spans="3:11" x14ac:dyDescent="0.25">
      <c r="C2662" s="1" t="s">
        <v>9788</v>
      </c>
      <c r="D2662" s="1" t="s">
        <v>9789</v>
      </c>
      <c r="E2662" s="1" t="s">
        <v>9790</v>
      </c>
      <c r="F2662" s="1">
        <v>0</v>
      </c>
      <c r="G2662" s="1">
        <v>0</v>
      </c>
      <c r="H2662" s="1">
        <v>0</v>
      </c>
      <c r="I2662" s="1">
        <v>1</v>
      </c>
      <c r="J2662" s="1">
        <v>1</v>
      </c>
      <c r="K2662" s="1">
        <v>0</v>
      </c>
    </row>
    <row r="2663" spans="3:11" x14ac:dyDescent="0.25">
      <c r="D2663" s="1" t="s">
        <v>9791</v>
      </c>
      <c r="E2663" s="1" t="s">
        <v>9792</v>
      </c>
      <c r="F2663" s="1">
        <v>0</v>
      </c>
      <c r="G2663" s="1">
        <v>0</v>
      </c>
      <c r="H2663" s="1">
        <v>0</v>
      </c>
      <c r="I2663" s="1">
        <v>1</v>
      </c>
      <c r="J2663" s="1">
        <v>1</v>
      </c>
      <c r="K2663" s="1">
        <v>0</v>
      </c>
    </row>
    <row r="2664" spans="3:11" x14ac:dyDescent="0.25">
      <c r="D2664" s="1" t="s">
        <v>9793</v>
      </c>
      <c r="E2664" s="1" t="s">
        <v>9794</v>
      </c>
      <c r="F2664" s="1">
        <v>0</v>
      </c>
      <c r="G2664" s="1">
        <v>0</v>
      </c>
      <c r="H2664" s="1">
        <v>0</v>
      </c>
      <c r="I2664" s="1">
        <v>1</v>
      </c>
      <c r="J2664" s="1">
        <v>1</v>
      </c>
      <c r="K2664" s="1">
        <v>0</v>
      </c>
    </row>
    <row r="2665" spans="3:11" x14ac:dyDescent="0.25">
      <c r="D2665" s="1" t="s">
        <v>9795</v>
      </c>
      <c r="E2665" s="1" t="s">
        <v>9796</v>
      </c>
      <c r="F2665" s="1">
        <v>0</v>
      </c>
      <c r="G2665" s="1">
        <v>0</v>
      </c>
      <c r="H2665" s="1">
        <v>0</v>
      </c>
      <c r="I2665" s="1">
        <v>1</v>
      </c>
      <c r="J2665" s="1">
        <v>1</v>
      </c>
      <c r="K2665" s="1">
        <v>0</v>
      </c>
    </row>
    <row r="2666" spans="3:11" x14ac:dyDescent="0.25">
      <c r="D2666" s="1" t="s">
        <v>9797</v>
      </c>
      <c r="E2666" s="1" t="s">
        <v>9798</v>
      </c>
      <c r="F2666" s="1">
        <v>0</v>
      </c>
      <c r="G2666" s="1">
        <v>0</v>
      </c>
      <c r="H2666" s="1">
        <v>0</v>
      </c>
      <c r="I2666" s="1">
        <v>1</v>
      </c>
      <c r="J2666" s="1">
        <v>1</v>
      </c>
      <c r="K2666" s="1">
        <v>0</v>
      </c>
    </row>
    <row r="2667" spans="3:11" x14ac:dyDescent="0.25">
      <c r="C2667" s="1" t="s">
        <v>9799</v>
      </c>
      <c r="D2667" s="1" t="s">
        <v>9800</v>
      </c>
      <c r="E2667" s="1" t="s">
        <v>9801</v>
      </c>
      <c r="F2667" s="1">
        <v>0</v>
      </c>
      <c r="G2667" s="1">
        <v>0</v>
      </c>
      <c r="H2667" s="1">
        <v>0</v>
      </c>
      <c r="I2667" s="1">
        <v>1</v>
      </c>
      <c r="J2667" s="1">
        <v>1</v>
      </c>
      <c r="K2667" s="1">
        <v>0</v>
      </c>
    </row>
    <row r="2668" spans="3:11" x14ac:dyDescent="0.25">
      <c r="C2668" s="1" t="s">
        <v>9802</v>
      </c>
      <c r="D2668" s="1" t="s">
        <v>9803</v>
      </c>
      <c r="E2668" s="1" t="s">
        <v>9802</v>
      </c>
      <c r="F2668" s="1">
        <v>0</v>
      </c>
      <c r="G2668" s="1">
        <v>0</v>
      </c>
      <c r="H2668" s="1">
        <v>0</v>
      </c>
      <c r="I2668" s="1">
        <v>1</v>
      </c>
      <c r="J2668" s="1">
        <v>1</v>
      </c>
      <c r="K2668" s="1">
        <v>0</v>
      </c>
    </row>
    <row r="2669" spans="3:11" x14ac:dyDescent="0.25">
      <c r="C2669" s="1" t="s">
        <v>9804</v>
      </c>
      <c r="D2669" s="1" t="s">
        <v>9805</v>
      </c>
      <c r="E2669" s="1" t="s">
        <v>9806</v>
      </c>
      <c r="F2669" s="1">
        <v>0</v>
      </c>
      <c r="G2669" s="1">
        <v>0</v>
      </c>
      <c r="H2669" s="1">
        <v>0</v>
      </c>
      <c r="I2669" s="1">
        <v>1</v>
      </c>
      <c r="J2669" s="1">
        <v>1</v>
      </c>
      <c r="K2669" s="1">
        <v>0</v>
      </c>
    </row>
    <row r="2670" spans="3:11" x14ac:dyDescent="0.25">
      <c r="C2670" s="1" t="s">
        <v>9807</v>
      </c>
      <c r="D2670" s="1" t="s">
        <v>9808</v>
      </c>
      <c r="E2670" s="1" t="s">
        <v>9809</v>
      </c>
      <c r="F2670" s="1">
        <v>0</v>
      </c>
      <c r="G2670" s="1">
        <v>0</v>
      </c>
      <c r="H2670" s="1">
        <v>0</v>
      </c>
      <c r="I2670" s="1">
        <v>1</v>
      </c>
      <c r="J2670" s="1">
        <v>1</v>
      </c>
      <c r="K2670" s="1">
        <v>0</v>
      </c>
    </row>
    <row r="2671" spans="3:11" x14ac:dyDescent="0.25">
      <c r="C2671" s="1" t="s">
        <v>9810</v>
      </c>
      <c r="D2671" s="1" t="s">
        <v>9811</v>
      </c>
      <c r="E2671" s="1" t="s">
        <v>9812</v>
      </c>
      <c r="F2671" s="1">
        <v>0</v>
      </c>
      <c r="G2671" s="1">
        <v>0</v>
      </c>
      <c r="H2671" s="1">
        <v>0</v>
      </c>
      <c r="I2671" s="1">
        <v>1</v>
      </c>
      <c r="J2671" s="1">
        <v>1</v>
      </c>
      <c r="K2671" s="1">
        <v>0</v>
      </c>
    </row>
    <row r="2672" spans="3:11" x14ac:dyDescent="0.25">
      <c r="C2672" s="1" t="s">
        <v>9813</v>
      </c>
      <c r="D2672" s="1" t="s">
        <v>9814</v>
      </c>
      <c r="E2672" s="1" t="s">
        <v>9813</v>
      </c>
      <c r="F2672" s="1">
        <v>0</v>
      </c>
      <c r="G2672" s="1">
        <v>0</v>
      </c>
      <c r="H2672" s="1">
        <v>0</v>
      </c>
      <c r="I2672" s="1">
        <v>1</v>
      </c>
      <c r="J2672" s="1">
        <v>1</v>
      </c>
      <c r="K2672" s="1">
        <v>0</v>
      </c>
    </row>
    <row r="2673" spans="3:11" x14ac:dyDescent="0.25">
      <c r="C2673" s="1" t="s">
        <v>9815</v>
      </c>
      <c r="D2673" s="1" t="s">
        <v>9816</v>
      </c>
      <c r="E2673" s="1" t="s">
        <v>9815</v>
      </c>
      <c r="F2673" s="1">
        <v>0</v>
      </c>
      <c r="G2673" s="1">
        <v>0</v>
      </c>
      <c r="H2673" s="1">
        <v>0</v>
      </c>
      <c r="I2673" s="1">
        <v>1</v>
      </c>
      <c r="J2673" s="1">
        <v>1</v>
      </c>
      <c r="K2673" s="1">
        <v>0</v>
      </c>
    </row>
    <row r="2674" spans="3:11" x14ac:dyDescent="0.25">
      <c r="C2674" s="1" t="s">
        <v>9817</v>
      </c>
      <c r="D2674" s="1" t="s">
        <v>9818</v>
      </c>
      <c r="E2674" s="1" t="s">
        <v>9817</v>
      </c>
      <c r="F2674" s="1">
        <v>0</v>
      </c>
      <c r="G2674" s="1">
        <v>0</v>
      </c>
      <c r="H2674" s="1">
        <v>0</v>
      </c>
      <c r="I2674" s="1">
        <v>1</v>
      </c>
      <c r="J2674" s="1">
        <v>1</v>
      </c>
      <c r="K2674" s="1">
        <v>0</v>
      </c>
    </row>
    <row r="2675" spans="3:11" x14ac:dyDescent="0.25">
      <c r="C2675" s="1" t="s">
        <v>9819</v>
      </c>
      <c r="D2675" s="1" t="s">
        <v>9820</v>
      </c>
      <c r="E2675" s="1" t="s">
        <v>9819</v>
      </c>
      <c r="F2675" s="1">
        <v>0</v>
      </c>
      <c r="G2675" s="1">
        <v>0</v>
      </c>
      <c r="H2675" s="1">
        <v>0</v>
      </c>
      <c r="I2675" s="1">
        <v>1</v>
      </c>
      <c r="J2675" s="1">
        <v>1</v>
      </c>
      <c r="K2675" s="1">
        <v>0</v>
      </c>
    </row>
    <row r="2676" spans="3:11" x14ac:dyDescent="0.25">
      <c r="C2676" s="1" t="s">
        <v>9821</v>
      </c>
      <c r="D2676" s="1" t="s">
        <v>9822</v>
      </c>
      <c r="E2676" s="1" t="s">
        <v>9821</v>
      </c>
      <c r="F2676" s="1">
        <v>0</v>
      </c>
      <c r="G2676" s="1">
        <v>0</v>
      </c>
      <c r="H2676" s="1">
        <v>0</v>
      </c>
      <c r="I2676" s="1">
        <v>1</v>
      </c>
      <c r="J2676" s="1">
        <v>1</v>
      </c>
      <c r="K2676" s="1">
        <v>0</v>
      </c>
    </row>
    <row r="2677" spans="3:11" x14ac:dyDescent="0.25">
      <c r="C2677" s="1" t="s">
        <v>9823</v>
      </c>
      <c r="D2677" s="1" t="s">
        <v>9824</v>
      </c>
      <c r="E2677" s="1" t="s">
        <v>9823</v>
      </c>
      <c r="F2677" s="1">
        <v>0</v>
      </c>
      <c r="G2677" s="1">
        <v>0</v>
      </c>
      <c r="H2677" s="1">
        <v>0</v>
      </c>
      <c r="I2677" s="1">
        <v>1</v>
      </c>
      <c r="J2677" s="1">
        <v>1</v>
      </c>
      <c r="K2677" s="1">
        <v>0</v>
      </c>
    </row>
    <row r="2678" spans="3:11" x14ac:dyDescent="0.25">
      <c r="C2678" s="1" t="s">
        <v>4192</v>
      </c>
      <c r="D2678" s="1" t="s">
        <v>4193</v>
      </c>
      <c r="E2678" s="1" t="s">
        <v>4194</v>
      </c>
      <c r="F2678" s="1">
        <v>0</v>
      </c>
      <c r="G2678" s="1">
        <v>0</v>
      </c>
      <c r="H2678" s="1">
        <v>0</v>
      </c>
      <c r="I2678" s="1">
        <v>1</v>
      </c>
      <c r="J2678" s="1">
        <v>1</v>
      </c>
      <c r="K2678" s="1">
        <v>0</v>
      </c>
    </row>
    <row r="2679" spans="3:11" x14ac:dyDescent="0.25">
      <c r="C2679" s="1" t="s">
        <v>9825</v>
      </c>
      <c r="D2679" s="1" t="s">
        <v>9826</v>
      </c>
      <c r="E2679" s="1" t="s">
        <v>9825</v>
      </c>
      <c r="F2679" s="1">
        <v>0</v>
      </c>
      <c r="G2679" s="1">
        <v>0</v>
      </c>
      <c r="H2679" s="1">
        <v>0</v>
      </c>
      <c r="I2679" s="1">
        <v>1</v>
      </c>
      <c r="J2679" s="1">
        <v>1</v>
      </c>
      <c r="K2679" s="1">
        <v>0</v>
      </c>
    </row>
    <row r="2680" spans="3:11" x14ac:dyDescent="0.25">
      <c r="C2680" s="1" t="s">
        <v>4198</v>
      </c>
      <c r="D2680" s="1" t="s">
        <v>4199</v>
      </c>
      <c r="E2680" s="1" t="s">
        <v>4200</v>
      </c>
      <c r="F2680" s="1">
        <v>0</v>
      </c>
      <c r="G2680" s="1">
        <v>0</v>
      </c>
      <c r="H2680" s="1">
        <v>0</v>
      </c>
      <c r="I2680" s="1">
        <v>1</v>
      </c>
      <c r="J2680" s="1">
        <v>1</v>
      </c>
      <c r="K2680" s="1">
        <v>0</v>
      </c>
    </row>
    <row r="2681" spans="3:11" x14ac:dyDescent="0.25">
      <c r="C2681" s="1" t="s">
        <v>9827</v>
      </c>
      <c r="D2681" s="1" t="s">
        <v>9828</v>
      </c>
      <c r="E2681" s="1" t="s">
        <v>9827</v>
      </c>
      <c r="F2681" s="1">
        <v>0</v>
      </c>
      <c r="G2681" s="1">
        <v>0</v>
      </c>
      <c r="H2681" s="1">
        <v>0</v>
      </c>
      <c r="I2681" s="1">
        <v>1</v>
      </c>
      <c r="J2681" s="1">
        <v>1</v>
      </c>
      <c r="K2681" s="1">
        <v>0</v>
      </c>
    </row>
    <row r="2682" spans="3:11" x14ac:dyDescent="0.25">
      <c r="C2682" s="1" t="s">
        <v>4254</v>
      </c>
      <c r="D2682" s="1" t="s">
        <v>4255</v>
      </c>
      <c r="E2682" s="1" t="s">
        <v>4256</v>
      </c>
      <c r="F2682" s="1">
        <v>0</v>
      </c>
      <c r="G2682" s="1">
        <v>0</v>
      </c>
      <c r="H2682" s="1">
        <v>0</v>
      </c>
      <c r="I2682" s="1">
        <v>1</v>
      </c>
      <c r="J2682" s="1">
        <v>1</v>
      </c>
      <c r="K2682" s="1">
        <v>0</v>
      </c>
    </row>
    <row r="2683" spans="3:11" x14ac:dyDescent="0.25">
      <c r="C2683" s="1" t="s">
        <v>9829</v>
      </c>
      <c r="D2683" s="1" t="s">
        <v>9830</v>
      </c>
      <c r="E2683" s="1" t="s">
        <v>9831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</row>
    <row r="2684" spans="3:11" x14ac:dyDescent="0.25">
      <c r="C2684" s="1" t="s">
        <v>9832</v>
      </c>
      <c r="D2684" s="1" t="s">
        <v>9833</v>
      </c>
      <c r="E2684" s="1" t="s">
        <v>9834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</row>
    <row r="2685" spans="3:11" x14ac:dyDescent="0.25">
      <c r="C2685" s="1" t="s">
        <v>9835</v>
      </c>
      <c r="D2685" s="1" t="s">
        <v>9836</v>
      </c>
      <c r="E2685" s="1" t="s">
        <v>9837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3:11" x14ac:dyDescent="0.25">
      <c r="C2686" s="1" t="s">
        <v>9838</v>
      </c>
      <c r="D2686" s="1" t="s">
        <v>9839</v>
      </c>
      <c r="E2686" s="1" t="s">
        <v>9840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3:11" x14ac:dyDescent="0.25">
      <c r="C2687" s="1" t="s">
        <v>9841</v>
      </c>
      <c r="D2687" s="1" t="s">
        <v>9842</v>
      </c>
      <c r="E2687" s="1" t="s">
        <v>9843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</row>
    <row r="2688" spans="3:11" x14ac:dyDescent="0.25">
      <c r="C2688" s="1" t="s">
        <v>9844</v>
      </c>
      <c r="D2688" s="1" t="s">
        <v>9845</v>
      </c>
      <c r="E2688" s="1" t="s">
        <v>9846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</row>
    <row r="2689" spans="3:11" x14ac:dyDescent="0.25">
      <c r="C2689" s="1" t="s">
        <v>9847</v>
      </c>
      <c r="D2689" s="1" t="s">
        <v>9848</v>
      </c>
      <c r="E2689" s="1" t="s">
        <v>9849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</row>
    <row r="2690" spans="3:11" x14ac:dyDescent="0.25">
      <c r="C2690" s="1" t="s">
        <v>9850</v>
      </c>
      <c r="D2690" s="1" t="s">
        <v>9851</v>
      </c>
      <c r="E2690" s="1" t="s">
        <v>9852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3:11" x14ac:dyDescent="0.25">
      <c r="C2691" s="1" t="s">
        <v>9853</v>
      </c>
      <c r="D2691" s="1" t="s">
        <v>9854</v>
      </c>
      <c r="E2691" s="1" t="s">
        <v>9855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3:11" x14ac:dyDescent="0.25">
      <c r="C2692" s="1" t="s">
        <v>9856</v>
      </c>
      <c r="D2692" s="1" t="s">
        <v>9857</v>
      </c>
      <c r="E2692" s="1" t="s">
        <v>9858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</row>
    <row r="2693" spans="3:11" x14ac:dyDescent="0.25">
      <c r="C2693" s="1" t="s">
        <v>9859</v>
      </c>
      <c r="D2693" s="1" t="s">
        <v>9860</v>
      </c>
      <c r="E2693" s="1" t="s">
        <v>9861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3:11" x14ac:dyDescent="0.25">
      <c r="C2694" s="1" t="s">
        <v>9862</v>
      </c>
      <c r="D2694" s="1" t="s">
        <v>9863</v>
      </c>
      <c r="E2694" s="1" t="s">
        <v>9864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</row>
    <row r="2695" spans="3:11" x14ac:dyDescent="0.25">
      <c r="C2695" s="1" t="s">
        <v>9865</v>
      </c>
      <c r="D2695" s="1" t="s">
        <v>9866</v>
      </c>
      <c r="E2695" s="1" t="s">
        <v>9867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</row>
    <row r="2696" spans="3:11" x14ac:dyDescent="0.25">
      <c r="C2696" s="1" t="s">
        <v>9868</v>
      </c>
      <c r="D2696" s="1" t="s">
        <v>9869</v>
      </c>
      <c r="E2696" s="1" t="s">
        <v>9870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3:11" x14ac:dyDescent="0.25">
      <c r="C2697" s="1" t="s">
        <v>9871</v>
      </c>
      <c r="D2697" s="1" t="s">
        <v>9872</v>
      </c>
      <c r="E2697" s="1" t="s">
        <v>9873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3:11" x14ac:dyDescent="0.25">
      <c r="C2698" s="1" t="s">
        <v>9874</v>
      </c>
      <c r="D2698" s="1" t="s">
        <v>9875</v>
      </c>
      <c r="E2698" s="1" t="s">
        <v>9876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3:11" x14ac:dyDescent="0.25">
      <c r="C2699" s="1" t="s">
        <v>9877</v>
      </c>
      <c r="D2699" s="1" t="s">
        <v>9878</v>
      </c>
      <c r="E2699" s="1" t="s">
        <v>9879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</row>
    <row r="2700" spans="3:11" x14ac:dyDescent="0.25">
      <c r="C2700" s="1" t="s">
        <v>9880</v>
      </c>
      <c r="D2700" s="1" t="s">
        <v>9881</v>
      </c>
      <c r="E2700" s="1" t="s">
        <v>9882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</row>
    <row r="2701" spans="3:11" x14ac:dyDescent="0.25">
      <c r="C2701" s="1" t="s">
        <v>9883</v>
      </c>
      <c r="D2701" s="1" t="s">
        <v>9884</v>
      </c>
      <c r="E2701" s="1" t="s">
        <v>9885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3:11" x14ac:dyDescent="0.25">
      <c r="C2702" s="1" t="s">
        <v>9886</v>
      </c>
      <c r="D2702" s="1" t="s">
        <v>9887</v>
      </c>
      <c r="E2702" s="1" t="s">
        <v>9888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3:11" x14ac:dyDescent="0.25">
      <c r="C2703" s="1" t="s">
        <v>9889</v>
      </c>
      <c r="D2703" s="1" t="s">
        <v>9890</v>
      </c>
      <c r="E2703" s="1" t="s">
        <v>9891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3:11" x14ac:dyDescent="0.25">
      <c r="C2704" s="1" t="s">
        <v>9892</v>
      </c>
      <c r="D2704" s="1" t="s">
        <v>9893</v>
      </c>
      <c r="E2704" s="1" t="s">
        <v>9894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3:11" x14ac:dyDescent="0.25">
      <c r="C2705" s="1" t="s">
        <v>9895</v>
      </c>
      <c r="D2705" s="1" t="s">
        <v>9896</v>
      </c>
      <c r="E2705" s="1" t="s">
        <v>9897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3:11" x14ac:dyDescent="0.25">
      <c r="C2706" s="1" t="s">
        <v>9898</v>
      </c>
      <c r="D2706" s="1" t="s">
        <v>9899</v>
      </c>
      <c r="E2706" s="1" t="s">
        <v>9900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3:11" x14ac:dyDescent="0.25">
      <c r="C2707" s="1" t="s">
        <v>9901</v>
      </c>
      <c r="D2707" s="1" t="s">
        <v>9902</v>
      </c>
      <c r="E2707" s="1" t="s">
        <v>9903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3:11" x14ac:dyDescent="0.25">
      <c r="C2708" s="1" t="s">
        <v>9904</v>
      </c>
      <c r="D2708" s="1" t="s">
        <v>9905</v>
      </c>
      <c r="E2708" s="1" t="s">
        <v>9906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3:11" x14ac:dyDescent="0.25">
      <c r="C2709" s="1" t="s">
        <v>9907</v>
      </c>
      <c r="D2709" s="1" t="s">
        <v>9908</v>
      </c>
      <c r="E2709" s="1" t="s">
        <v>9909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3:11" x14ac:dyDescent="0.25">
      <c r="C2710" s="1" t="s">
        <v>9910</v>
      </c>
      <c r="D2710" s="1" t="s">
        <v>9911</v>
      </c>
      <c r="E2710" s="1" t="s">
        <v>9912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3:11" x14ac:dyDescent="0.25">
      <c r="C2711" s="1" t="s">
        <v>9913</v>
      </c>
      <c r="D2711" s="1" t="s">
        <v>9914</v>
      </c>
      <c r="E2711" s="1" t="s">
        <v>9915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3:11" x14ac:dyDescent="0.25">
      <c r="C2712" s="1" t="s">
        <v>9916</v>
      </c>
      <c r="D2712" s="1" t="s">
        <v>9917</v>
      </c>
      <c r="E2712" s="1" t="s">
        <v>9918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</row>
    <row r="2713" spans="3:11" x14ac:dyDescent="0.25">
      <c r="C2713" s="1" t="s">
        <v>9919</v>
      </c>
      <c r="D2713" s="1" t="s">
        <v>9920</v>
      </c>
      <c r="E2713" s="1" t="s">
        <v>9921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</row>
    <row r="2714" spans="3:11" x14ac:dyDescent="0.25">
      <c r="C2714" s="1" t="s">
        <v>9922</v>
      </c>
      <c r="D2714" s="1" t="s">
        <v>9923</v>
      </c>
      <c r="E2714" s="1" t="s">
        <v>9924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</row>
    <row r="2715" spans="3:11" x14ac:dyDescent="0.25">
      <c r="C2715" s="1" t="s">
        <v>9925</v>
      </c>
      <c r="D2715" s="1" t="s">
        <v>9926</v>
      </c>
      <c r="E2715" s="1" t="s">
        <v>9925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</row>
    <row r="2716" spans="3:11" x14ac:dyDescent="0.25">
      <c r="C2716" s="1" t="s">
        <v>9927</v>
      </c>
      <c r="D2716" s="1" t="s">
        <v>9928</v>
      </c>
      <c r="E2716" s="1" t="s">
        <v>9929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</row>
    <row r="2717" spans="3:11" x14ac:dyDescent="0.25">
      <c r="C2717" s="1" t="s">
        <v>9930</v>
      </c>
      <c r="D2717" s="1" t="s">
        <v>9931</v>
      </c>
      <c r="E2717" s="1" t="s">
        <v>9932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</row>
    <row r="2718" spans="3:11" x14ac:dyDescent="0.25">
      <c r="D2718" s="1" t="s">
        <v>9933</v>
      </c>
      <c r="E2718" s="1" t="s">
        <v>9934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</row>
    <row r="2719" spans="3:11" x14ac:dyDescent="0.25">
      <c r="C2719" s="1" t="s">
        <v>9935</v>
      </c>
      <c r="D2719" s="1" t="s">
        <v>9936</v>
      </c>
      <c r="E2719" s="1" t="s">
        <v>9935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</row>
    <row r="2720" spans="3:11" x14ac:dyDescent="0.25">
      <c r="D2720" s="1" t="s">
        <v>9937</v>
      </c>
      <c r="E2720" s="1" t="s">
        <v>9938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3:11" x14ac:dyDescent="0.25">
      <c r="D2721" s="1" t="s">
        <v>9939</v>
      </c>
      <c r="E2721" s="1" t="s">
        <v>9940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3:11" x14ac:dyDescent="0.25">
      <c r="D2722" s="1" t="s">
        <v>9941</v>
      </c>
      <c r="E2722" s="1" t="s">
        <v>9942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3:11" x14ac:dyDescent="0.25">
      <c r="D2723" s="1" t="s">
        <v>9943</v>
      </c>
      <c r="E2723" s="1" t="s">
        <v>9944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</row>
    <row r="2724" spans="3:11" x14ac:dyDescent="0.25">
      <c r="D2724" s="1" t="s">
        <v>9945</v>
      </c>
      <c r="E2724" s="1" t="s">
        <v>9946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</row>
    <row r="2725" spans="3:11" x14ac:dyDescent="0.25">
      <c r="D2725" s="1" t="s">
        <v>9947</v>
      </c>
      <c r="E2725" s="1" t="s">
        <v>9948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3:11" x14ac:dyDescent="0.25">
      <c r="D2726" s="1" t="s">
        <v>9949</v>
      </c>
      <c r="E2726" s="1" t="s">
        <v>9950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</row>
    <row r="2727" spans="3:11" x14ac:dyDescent="0.25">
      <c r="C2727" s="1" t="s">
        <v>9951</v>
      </c>
      <c r="D2727" s="1" t="s">
        <v>9952</v>
      </c>
      <c r="E2727" s="1" t="s">
        <v>9951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</row>
    <row r="2728" spans="3:11" x14ac:dyDescent="0.25">
      <c r="C2728" s="1" t="s">
        <v>9953</v>
      </c>
      <c r="D2728" s="1" t="s">
        <v>9954</v>
      </c>
      <c r="E2728" s="1" t="s">
        <v>9955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</row>
    <row r="2729" spans="3:11" x14ac:dyDescent="0.25">
      <c r="D2729" s="1" t="s">
        <v>9956</v>
      </c>
      <c r="E2729" s="1" t="s">
        <v>9957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</row>
    <row r="2730" spans="3:11" x14ac:dyDescent="0.25">
      <c r="D2730" s="1" t="s">
        <v>9958</v>
      </c>
      <c r="E2730" s="1" t="s">
        <v>9959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</row>
    <row r="2731" spans="3:11" x14ac:dyDescent="0.25">
      <c r="D2731" s="1" t="s">
        <v>9960</v>
      </c>
      <c r="E2731" s="1" t="s">
        <v>9961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3:11" x14ac:dyDescent="0.25">
      <c r="C2732" s="1" t="s">
        <v>9962</v>
      </c>
      <c r="D2732" s="1" t="s">
        <v>9963</v>
      </c>
      <c r="E2732" s="1" t="s">
        <v>9964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</row>
    <row r="2733" spans="3:11" x14ac:dyDescent="0.25">
      <c r="D2733" s="1" t="s">
        <v>9965</v>
      </c>
      <c r="E2733" s="1" t="s">
        <v>9966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3:11" x14ac:dyDescent="0.25">
      <c r="C2734" s="1" t="s">
        <v>9967</v>
      </c>
      <c r="D2734" s="1" t="s">
        <v>9968</v>
      </c>
      <c r="E2734" s="1" t="s">
        <v>9969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3:11" x14ac:dyDescent="0.25">
      <c r="C2735" s="1" t="s">
        <v>9970</v>
      </c>
      <c r="D2735" s="1" t="s">
        <v>9971</v>
      </c>
      <c r="E2735" s="1" t="s">
        <v>9972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3:11" x14ac:dyDescent="0.25">
      <c r="C2736" s="1" t="s">
        <v>9973</v>
      </c>
      <c r="D2736" s="1" t="s">
        <v>9974</v>
      </c>
      <c r="E2736" s="1" t="s">
        <v>9973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</row>
    <row r="2737" spans="3:11" x14ac:dyDescent="0.25">
      <c r="C2737" s="1" t="s">
        <v>9975</v>
      </c>
      <c r="D2737" s="1" t="s">
        <v>9976</v>
      </c>
      <c r="E2737" s="1" t="s">
        <v>9975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3:11" x14ac:dyDescent="0.25">
      <c r="C2738" s="1" t="s">
        <v>9977</v>
      </c>
      <c r="D2738" s="1" t="s">
        <v>9978</v>
      </c>
      <c r="E2738" s="1" t="s">
        <v>9977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</row>
    <row r="2739" spans="3:11" x14ac:dyDescent="0.25">
      <c r="C2739" s="1" t="s">
        <v>9979</v>
      </c>
      <c r="D2739" s="1" t="s">
        <v>9980</v>
      </c>
      <c r="E2739" s="1" t="s">
        <v>9979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</row>
    <row r="2740" spans="3:11" x14ac:dyDescent="0.25">
      <c r="D2740" s="1" t="s">
        <v>9981</v>
      </c>
      <c r="E2740" s="1" t="s">
        <v>9982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</row>
    <row r="2741" spans="3:11" x14ac:dyDescent="0.25">
      <c r="C2741" s="1" t="s">
        <v>9983</v>
      </c>
      <c r="D2741" s="1" t="s">
        <v>9984</v>
      </c>
      <c r="E2741" s="1" t="s">
        <v>4898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3:11" x14ac:dyDescent="0.25">
      <c r="D2742" s="1" t="s">
        <v>9985</v>
      </c>
      <c r="E2742" s="1" t="s">
        <v>9986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3:11" x14ac:dyDescent="0.25">
      <c r="D2743" s="1" t="s">
        <v>9987</v>
      </c>
      <c r="E2743" s="1" t="s">
        <v>9988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3:11" x14ac:dyDescent="0.25">
      <c r="D2744" s="1" t="s">
        <v>9989</v>
      </c>
      <c r="E2744" s="1" t="s">
        <v>9990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</row>
    <row r="2745" spans="3:11" x14ac:dyDescent="0.25">
      <c r="D2745" s="1" t="s">
        <v>9991</v>
      </c>
      <c r="E2745" s="1" t="s">
        <v>9992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3:11" x14ac:dyDescent="0.25">
      <c r="D2746" s="1" t="s">
        <v>9993</v>
      </c>
      <c r="E2746" s="1" t="s">
        <v>9994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3:11" x14ac:dyDescent="0.25">
      <c r="D2747" s="1" t="s">
        <v>9995</v>
      </c>
      <c r="E2747" s="1" t="s">
        <v>9996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3:11" x14ac:dyDescent="0.25">
      <c r="D2748" s="1" t="s">
        <v>9997</v>
      </c>
      <c r="E2748" s="1" t="s">
        <v>9998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</row>
    <row r="2749" spans="3:11" x14ac:dyDescent="0.25">
      <c r="D2749" s="1" t="s">
        <v>9999</v>
      </c>
      <c r="E2749" s="1" t="s">
        <v>10000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</row>
    <row r="2750" spans="3:11" x14ac:dyDescent="0.25">
      <c r="D2750" s="1" t="s">
        <v>10001</v>
      </c>
      <c r="E2750" s="1" t="s">
        <v>10002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3:11" x14ac:dyDescent="0.25">
      <c r="D2751" s="1" t="s">
        <v>10003</v>
      </c>
      <c r="E2751" s="1" t="s">
        <v>10004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3:11" x14ac:dyDescent="0.25">
      <c r="D2752" s="1" t="s">
        <v>10005</v>
      </c>
      <c r="E2752" s="1" t="s">
        <v>10006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3:11" x14ac:dyDescent="0.25">
      <c r="D2753" s="1" t="s">
        <v>10007</v>
      </c>
      <c r="E2753" s="1" t="s">
        <v>10008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3:11" x14ac:dyDescent="0.25">
      <c r="C2754" s="1" t="s">
        <v>10009</v>
      </c>
      <c r="D2754" s="1" t="s">
        <v>10010</v>
      </c>
      <c r="E2754" s="1" t="s">
        <v>10009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</row>
    <row r="2755" spans="3:11" x14ac:dyDescent="0.25">
      <c r="D2755" s="1" t="s">
        <v>10011</v>
      </c>
      <c r="E2755" s="1" t="s">
        <v>10012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</row>
    <row r="2756" spans="3:11" x14ac:dyDescent="0.25">
      <c r="D2756" s="1" t="s">
        <v>10013</v>
      </c>
      <c r="E2756" s="1" t="s">
        <v>10014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</row>
    <row r="2757" spans="3:11" x14ac:dyDescent="0.25">
      <c r="C2757" s="1" t="s">
        <v>10015</v>
      </c>
      <c r="D2757" s="1" t="s">
        <v>10016</v>
      </c>
      <c r="E2757" s="1" t="s">
        <v>10017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3:11" x14ac:dyDescent="0.25">
      <c r="C2758" s="1" t="s">
        <v>10018</v>
      </c>
      <c r="D2758" s="1" t="s">
        <v>10019</v>
      </c>
      <c r="E2758" s="1" t="s">
        <v>10020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</row>
    <row r="2759" spans="3:11" x14ac:dyDescent="0.25">
      <c r="D2759" s="1" t="s">
        <v>10021</v>
      </c>
      <c r="E2759" s="1" t="s">
        <v>10022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</row>
    <row r="2760" spans="3:11" x14ac:dyDescent="0.25">
      <c r="D2760" s="1" t="s">
        <v>10023</v>
      </c>
      <c r="E2760" s="1" t="s">
        <v>10024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3:11" x14ac:dyDescent="0.25">
      <c r="D2761" s="1" t="s">
        <v>10025</v>
      </c>
      <c r="E2761" s="1" t="s">
        <v>10026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3:11" x14ac:dyDescent="0.25">
      <c r="D2762" s="1" t="s">
        <v>10027</v>
      </c>
      <c r="E2762" s="1" t="s">
        <v>10028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3:11" x14ac:dyDescent="0.25">
      <c r="D2763" s="1" t="s">
        <v>10029</v>
      </c>
      <c r="E2763" s="1" t="s">
        <v>10030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</row>
    <row r="2764" spans="3:11" x14ac:dyDescent="0.25">
      <c r="D2764" s="1" t="s">
        <v>10031</v>
      </c>
      <c r="E2764" s="1" t="s">
        <v>10032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</row>
    <row r="2765" spans="3:11" x14ac:dyDescent="0.25">
      <c r="D2765" s="1" t="s">
        <v>10033</v>
      </c>
      <c r="E2765" s="1" t="s">
        <v>10034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3:11" x14ac:dyDescent="0.25">
      <c r="D2766" s="1" t="s">
        <v>10035</v>
      </c>
      <c r="E2766" s="1" t="s">
        <v>10036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3:11" x14ac:dyDescent="0.25">
      <c r="D2767" s="1" t="s">
        <v>10037</v>
      </c>
      <c r="E2767" s="1" t="s">
        <v>10038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3:11" x14ac:dyDescent="0.25">
      <c r="D2768" s="1" t="s">
        <v>10039</v>
      </c>
      <c r="E2768" s="1" t="s">
        <v>10040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3:11" x14ac:dyDescent="0.25">
      <c r="D2769" s="1" t="s">
        <v>10041</v>
      </c>
      <c r="E2769" s="1" t="s">
        <v>10042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3:11" x14ac:dyDescent="0.25">
      <c r="D2770" s="1" t="s">
        <v>10043</v>
      </c>
      <c r="E2770" s="1" t="s">
        <v>10044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3:11" x14ac:dyDescent="0.25">
      <c r="D2771" s="1" t="s">
        <v>10045</v>
      </c>
      <c r="E2771" s="1" t="s">
        <v>10046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3:11" x14ac:dyDescent="0.25">
      <c r="D2772" s="1" t="s">
        <v>10047</v>
      </c>
      <c r="E2772" s="1" t="s">
        <v>10048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3:11" x14ac:dyDescent="0.25">
      <c r="D2773" s="1" t="s">
        <v>10049</v>
      </c>
      <c r="E2773" s="1" t="s">
        <v>10050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</row>
    <row r="2774" spans="3:11" x14ac:dyDescent="0.25">
      <c r="D2774" s="1" t="s">
        <v>10051</v>
      </c>
      <c r="E2774" s="1" t="s">
        <v>10052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3:11" x14ac:dyDescent="0.25">
      <c r="D2775" s="1" t="s">
        <v>10053</v>
      </c>
      <c r="E2775" s="1" t="s">
        <v>10054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3:11" x14ac:dyDescent="0.25">
      <c r="D2776" s="1" t="s">
        <v>10055</v>
      </c>
      <c r="E2776" s="1" t="s">
        <v>10056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3:11" x14ac:dyDescent="0.25">
      <c r="D2777" s="1" t="s">
        <v>10057</v>
      </c>
      <c r="E2777" s="1" t="s">
        <v>10058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</row>
    <row r="2778" spans="3:11" x14ac:dyDescent="0.25">
      <c r="C2778" s="1" t="s">
        <v>10059</v>
      </c>
      <c r="D2778" s="1" t="s">
        <v>10060</v>
      </c>
      <c r="E2778" s="1" t="s">
        <v>10061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</row>
    <row r="2779" spans="3:11" x14ac:dyDescent="0.25">
      <c r="D2779" s="1" t="s">
        <v>10062</v>
      </c>
      <c r="E2779" s="1" t="s">
        <v>10063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3:11" x14ac:dyDescent="0.25">
      <c r="C2780" s="1" t="s">
        <v>10064</v>
      </c>
      <c r="D2780" s="1" t="s">
        <v>10065</v>
      </c>
      <c r="E2780" s="1" t="s">
        <v>10066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3:11" x14ac:dyDescent="0.25">
      <c r="C2781" s="1" t="s">
        <v>10067</v>
      </c>
      <c r="D2781" s="1" t="s">
        <v>10068</v>
      </c>
      <c r="E2781" s="1" t="s">
        <v>10069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</row>
    <row r="2782" spans="3:11" x14ac:dyDescent="0.25">
      <c r="D2782" s="1" t="s">
        <v>10070</v>
      </c>
      <c r="E2782" s="1" t="s">
        <v>10071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</row>
    <row r="2783" spans="3:11" x14ac:dyDescent="0.25">
      <c r="C2783" s="1" t="s">
        <v>10072</v>
      </c>
      <c r="D2783" s="1" t="s">
        <v>10073</v>
      </c>
      <c r="E2783" s="1" t="s">
        <v>10072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3:11" x14ac:dyDescent="0.25">
      <c r="C2784" s="1" t="s">
        <v>10074</v>
      </c>
      <c r="D2784" s="1" t="s">
        <v>10075</v>
      </c>
      <c r="E2784" s="1" t="s">
        <v>10074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3:11" x14ac:dyDescent="0.25">
      <c r="C2785" s="1" t="s">
        <v>10076</v>
      </c>
      <c r="D2785" s="1" t="s">
        <v>10077</v>
      </c>
      <c r="E2785" s="1" t="s">
        <v>10076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3:11" x14ac:dyDescent="0.25">
      <c r="C2786" s="1" t="s">
        <v>10078</v>
      </c>
      <c r="D2786" s="1" t="s">
        <v>10079</v>
      </c>
      <c r="E2786" s="1" t="s">
        <v>10078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3:11" x14ac:dyDescent="0.25">
      <c r="C2787" s="1" t="s">
        <v>10080</v>
      </c>
      <c r="D2787" s="1" t="s">
        <v>10081</v>
      </c>
      <c r="E2787" s="1" t="s">
        <v>10080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3:11" x14ac:dyDescent="0.25">
      <c r="C2788" s="1" t="s">
        <v>10082</v>
      </c>
      <c r="D2788" s="1" t="s">
        <v>10083</v>
      </c>
      <c r="E2788" s="1" t="s">
        <v>10082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3:11" x14ac:dyDescent="0.25">
      <c r="C2789" s="1" t="s">
        <v>10084</v>
      </c>
      <c r="D2789" s="1" t="s">
        <v>10085</v>
      </c>
      <c r="E2789" s="1" t="s">
        <v>10086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3:11" x14ac:dyDescent="0.25">
      <c r="C2790" s="1" t="s">
        <v>10087</v>
      </c>
      <c r="D2790" s="1" t="s">
        <v>10088</v>
      </c>
      <c r="E2790" s="1" t="s">
        <v>10087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3:11" x14ac:dyDescent="0.25">
      <c r="C2791" s="1" t="s">
        <v>10089</v>
      </c>
      <c r="D2791" s="1" t="s">
        <v>10090</v>
      </c>
      <c r="E2791" s="1" t="s">
        <v>10089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</row>
    <row r="2792" spans="3:11" x14ac:dyDescent="0.25">
      <c r="C2792" s="1" t="s">
        <v>10091</v>
      </c>
      <c r="D2792" s="1" t="s">
        <v>10092</v>
      </c>
      <c r="E2792" s="1" t="s">
        <v>10091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</row>
    <row r="2793" spans="3:11" x14ac:dyDescent="0.25">
      <c r="C2793" s="1" t="s">
        <v>10093</v>
      </c>
      <c r="D2793" s="1" t="s">
        <v>10094</v>
      </c>
      <c r="E2793" s="1" t="s">
        <v>10093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</row>
    <row r="2794" spans="3:11" x14ac:dyDescent="0.25">
      <c r="C2794" s="1" t="s">
        <v>10095</v>
      </c>
      <c r="D2794" s="1" t="s">
        <v>10096</v>
      </c>
      <c r="E2794" s="1" t="s">
        <v>10095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</row>
    <row r="2795" spans="3:11" x14ac:dyDescent="0.25">
      <c r="C2795" s="1" t="s">
        <v>10097</v>
      </c>
      <c r="D2795" s="1" t="s">
        <v>10098</v>
      </c>
      <c r="E2795" s="1" t="s">
        <v>10099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3:11" x14ac:dyDescent="0.25">
      <c r="C2796" s="1" t="s">
        <v>10100</v>
      </c>
      <c r="D2796" s="1" t="s">
        <v>10101</v>
      </c>
      <c r="E2796" s="1" t="s">
        <v>10100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3:11" x14ac:dyDescent="0.25">
      <c r="C2797" s="1" t="s">
        <v>10102</v>
      </c>
      <c r="D2797" s="1" t="s">
        <v>10103</v>
      </c>
      <c r="E2797" s="1" t="s">
        <v>10102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3:11" x14ac:dyDescent="0.25">
      <c r="C2798" s="1" t="s">
        <v>10104</v>
      </c>
      <c r="D2798" s="1" t="s">
        <v>10105</v>
      </c>
      <c r="E2798" s="1" t="s">
        <v>10104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3:11" x14ac:dyDescent="0.25">
      <c r="C2799" s="1" t="s">
        <v>10106</v>
      </c>
      <c r="D2799" s="1" t="s">
        <v>10107</v>
      </c>
      <c r="E2799" s="1" t="s">
        <v>10106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3:11" x14ac:dyDescent="0.25">
      <c r="C2800" s="1" t="s">
        <v>10108</v>
      </c>
      <c r="D2800" s="1" t="s">
        <v>10109</v>
      </c>
      <c r="E2800" s="1" t="s">
        <v>10108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</row>
    <row r="2801" spans="3:11" x14ac:dyDescent="0.25">
      <c r="C2801" s="1" t="s">
        <v>10110</v>
      </c>
      <c r="D2801" s="1" t="s">
        <v>10111</v>
      </c>
      <c r="E2801" s="1" t="s">
        <v>10110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3:11" x14ac:dyDescent="0.25">
      <c r="C2802" s="1" t="s">
        <v>10112</v>
      </c>
      <c r="D2802" s="1" t="s">
        <v>10113</v>
      </c>
      <c r="E2802" s="1" t="s">
        <v>10112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</row>
    <row r="2803" spans="3:11" x14ac:dyDescent="0.25">
      <c r="C2803" s="1" t="s">
        <v>10114</v>
      </c>
      <c r="D2803" s="1" t="s">
        <v>10115</v>
      </c>
      <c r="E2803" s="1" t="s">
        <v>10114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</row>
    <row r="2804" spans="3:11" x14ac:dyDescent="0.25">
      <c r="C2804" s="1" t="s">
        <v>10116</v>
      </c>
      <c r="D2804" s="1" t="s">
        <v>10117</v>
      </c>
      <c r="E2804" s="1" t="s">
        <v>10116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3:11" x14ac:dyDescent="0.25">
      <c r="C2805" s="1" t="s">
        <v>10118</v>
      </c>
      <c r="D2805" s="1" t="s">
        <v>10119</v>
      </c>
      <c r="E2805" s="1" t="s">
        <v>10120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</row>
    <row r="2806" spans="3:11" x14ac:dyDescent="0.25">
      <c r="C2806" s="1" t="s">
        <v>10121</v>
      </c>
      <c r="D2806" s="1" t="s">
        <v>10122</v>
      </c>
      <c r="E2806" s="1" t="s">
        <v>10121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</row>
    <row r="2807" spans="3:11" x14ac:dyDescent="0.25">
      <c r="C2807" s="1" t="s">
        <v>8188</v>
      </c>
      <c r="D2807" s="1" t="s">
        <v>10123</v>
      </c>
      <c r="E2807" s="1" t="s">
        <v>8189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</row>
    <row r="2808" spans="3:11" x14ac:dyDescent="0.25">
      <c r="D2808" s="1" t="s">
        <v>10124</v>
      </c>
      <c r="E2808" s="1" t="s">
        <v>10125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3:11" x14ac:dyDescent="0.25">
      <c r="D2809" s="1" t="s">
        <v>10126</v>
      </c>
      <c r="E2809" s="1" t="s">
        <v>10127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3:11" x14ac:dyDescent="0.25">
      <c r="D2810" s="1" t="s">
        <v>10128</v>
      </c>
      <c r="E2810" s="1" t="s">
        <v>10129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3:11" x14ac:dyDescent="0.25">
      <c r="D2811" s="1" t="s">
        <v>10130</v>
      </c>
      <c r="E2811" s="1" t="s">
        <v>10131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3:11" x14ac:dyDescent="0.25">
      <c r="C2812" s="1" t="s">
        <v>10132</v>
      </c>
      <c r="D2812" s="1" t="s">
        <v>10133</v>
      </c>
      <c r="E2812" s="1" t="s">
        <v>10132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</row>
    <row r="2813" spans="3:11" x14ac:dyDescent="0.25">
      <c r="C2813" s="1" t="s">
        <v>10134</v>
      </c>
      <c r="D2813" s="1" t="s">
        <v>10135</v>
      </c>
      <c r="E2813" s="1" t="s">
        <v>10136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</row>
    <row r="2814" spans="3:11" x14ac:dyDescent="0.25">
      <c r="D2814" s="1" t="s">
        <v>10137</v>
      </c>
      <c r="E2814" s="1" t="s">
        <v>10138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</row>
    <row r="2815" spans="3:11" x14ac:dyDescent="0.25">
      <c r="C2815" s="1" t="s">
        <v>10139</v>
      </c>
      <c r="D2815" s="1" t="s">
        <v>10140</v>
      </c>
      <c r="E2815" s="1" t="s">
        <v>10139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</row>
    <row r="2816" spans="3:11" x14ac:dyDescent="0.25">
      <c r="C2816" s="1" t="s">
        <v>10141</v>
      </c>
      <c r="D2816" s="1" t="s">
        <v>10142</v>
      </c>
      <c r="E2816" s="1" t="s">
        <v>10143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3:11" x14ac:dyDescent="0.25">
      <c r="C2817" s="1" t="s">
        <v>10144</v>
      </c>
      <c r="D2817" s="1" t="s">
        <v>10145</v>
      </c>
      <c r="E2817" s="1" t="s">
        <v>10146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</row>
    <row r="2818" spans="3:11" x14ac:dyDescent="0.25">
      <c r="D2818" s="1" t="s">
        <v>10147</v>
      </c>
      <c r="E2818" s="1" t="s">
        <v>10148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</row>
    <row r="2819" spans="3:11" x14ac:dyDescent="0.25">
      <c r="D2819" s="1" t="s">
        <v>10149</v>
      </c>
      <c r="E2819" s="1" t="s">
        <v>10150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</row>
    <row r="2820" spans="3:11" x14ac:dyDescent="0.25">
      <c r="C2820" s="1" t="s">
        <v>10151</v>
      </c>
      <c r="D2820" s="1" t="s">
        <v>10152</v>
      </c>
      <c r="E2820" s="1" t="s">
        <v>10151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</row>
    <row r="2821" spans="3:11" x14ac:dyDescent="0.25">
      <c r="C2821" s="1" t="s">
        <v>10153</v>
      </c>
      <c r="D2821" s="1" t="s">
        <v>10154</v>
      </c>
      <c r="E2821" s="1" t="s">
        <v>10155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3:11" x14ac:dyDescent="0.25">
      <c r="D2822" s="1" t="s">
        <v>10156</v>
      </c>
      <c r="E2822" s="1" t="s">
        <v>10157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3:11" x14ac:dyDescent="0.25">
      <c r="D2823" s="1" t="s">
        <v>10158</v>
      </c>
      <c r="E2823" s="1" t="s">
        <v>10159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</row>
    <row r="2824" spans="3:11" x14ac:dyDescent="0.25">
      <c r="D2824" s="1" t="s">
        <v>10160</v>
      </c>
      <c r="E2824" s="1" t="s">
        <v>10161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</row>
    <row r="2825" spans="3:11" x14ac:dyDescent="0.25">
      <c r="D2825" s="1" t="s">
        <v>10162</v>
      </c>
      <c r="E2825" s="1" t="s">
        <v>10163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</row>
    <row r="2826" spans="3:11" x14ac:dyDescent="0.25">
      <c r="D2826" s="1" t="s">
        <v>10164</v>
      </c>
      <c r="E2826" s="1" t="s">
        <v>10165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</row>
    <row r="2827" spans="3:11" x14ac:dyDescent="0.25">
      <c r="D2827" s="1" t="s">
        <v>10166</v>
      </c>
      <c r="E2827" s="1" t="s">
        <v>10167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</row>
    <row r="2828" spans="3:11" x14ac:dyDescent="0.25">
      <c r="D2828" s="1" t="s">
        <v>10168</v>
      </c>
      <c r="E2828" s="1" t="s">
        <v>10169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3:11" x14ac:dyDescent="0.25">
      <c r="C2829" s="1" t="s">
        <v>10170</v>
      </c>
      <c r="D2829" s="1" t="s">
        <v>10171</v>
      </c>
      <c r="E2829" s="1" t="s">
        <v>10172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</row>
    <row r="2830" spans="3:11" x14ac:dyDescent="0.25">
      <c r="C2830" s="1" t="s">
        <v>10173</v>
      </c>
      <c r="D2830" s="1" t="s">
        <v>10174</v>
      </c>
      <c r="E2830" s="1" t="s">
        <v>10175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3:11" x14ac:dyDescent="0.25">
      <c r="C2831" s="1" t="s">
        <v>10176</v>
      </c>
      <c r="D2831" s="1" t="s">
        <v>10177</v>
      </c>
      <c r="E2831" s="1" t="s">
        <v>10178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3:11" x14ac:dyDescent="0.25">
      <c r="C2832" s="1" t="s">
        <v>10179</v>
      </c>
      <c r="D2832" s="1" t="s">
        <v>10180</v>
      </c>
      <c r="E2832" s="1" t="s">
        <v>10181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3:11" x14ac:dyDescent="0.25">
      <c r="C2833" s="1" t="s">
        <v>10182</v>
      </c>
      <c r="D2833" s="1" t="s">
        <v>10183</v>
      </c>
      <c r="E2833" s="1" t="s">
        <v>10184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3:11" x14ac:dyDescent="0.25">
      <c r="C2834" s="1" t="s">
        <v>10185</v>
      </c>
      <c r="D2834" s="1" t="s">
        <v>10186</v>
      </c>
      <c r="E2834" s="1" t="s">
        <v>10187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3:11" x14ac:dyDescent="0.25">
      <c r="C2835" s="1" t="s">
        <v>10188</v>
      </c>
      <c r="D2835" s="1" t="s">
        <v>10189</v>
      </c>
      <c r="E2835" s="1" t="s">
        <v>10190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3:11" x14ac:dyDescent="0.25">
      <c r="C2836" s="1" t="s">
        <v>10191</v>
      </c>
      <c r="D2836" s="1" t="s">
        <v>10192</v>
      </c>
      <c r="E2836" s="1" t="s">
        <v>10193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3:11" x14ac:dyDescent="0.25">
      <c r="D2837" s="1" t="s">
        <v>10194</v>
      </c>
      <c r="E2837" s="1" t="s">
        <v>10195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3:11" x14ac:dyDescent="0.25">
      <c r="D2838" s="1" t="s">
        <v>10196</v>
      </c>
      <c r="E2838" s="1" t="s">
        <v>10197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3:11" x14ac:dyDescent="0.25">
      <c r="C2839" s="1" t="s">
        <v>10198</v>
      </c>
      <c r="D2839" s="1" t="s">
        <v>10199</v>
      </c>
      <c r="E2839" s="1" t="s">
        <v>10200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3:11" x14ac:dyDescent="0.25">
      <c r="C2840" s="1" t="s">
        <v>10201</v>
      </c>
      <c r="D2840" s="1" t="s">
        <v>10202</v>
      </c>
      <c r="E2840" s="1" t="s">
        <v>10203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</row>
    <row r="2841" spans="3:11" x14ac:dyDescent="0.25">
      <c r="D2841" s="1" t="s">
        <v>10204</v>
      </c>
      <c r="E2841" s="1" t="s">
        <v>10205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3:11" x14ac:dyDescent="0.25">
      <c r="C2842" s="1" t="s">
        <v>10206</v>
      </c>
      <c r="D2842" s="1" t="s">
        <v>10207</v>
      </c>
      <c r="E2842" s="1" t="s">
        <v>10208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3:11" x14ac:dyDescent="0.25">
      <c r="D2843" s="1" t="s">
        <v>10209</v>
      </c>
      <c r="E2843" s="1" t="s">
        <v>10210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</row>
    <row r="2844" spans="3:11" x14ac:dyDescent="0.25">
      <c r="D2844" s="1" t="s">
        <v>10211</v>
      </c>
      <c r="E2844" s="1" t="s">
        <v>10212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3:11" x14ac:dyDescent="0.25">
      <c r="D2845" s="1" t="s">
        <v>10213</v>
      </c>
      <c r="E2845" s="1" t="s">
        <v>10214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3:11" x14ac:dyDescent="0.25">
      <c r="D2846" s="1" t="s">
        <v>10215</v>
      </c>
      <c r="E2846" s="1" t="s">
        <v>10216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</row>
    <row r="2847" spans="3:11" x14ac:dyDescent="0.25">
      <c r="D2847" s="1" t="s">
        <v>10217</v>
      </c>
      <c r="E2847" s="1" t="s">
        <v>10218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3:11" x14ac:dyDescent="0.25">
      <c r="C2848" s="1" t="s">
        <v>10219</v>
      </c>
      <c r="D2848" s="1" t="s">
        <v>10220</v>
      </c>
      <c r="E2848" s="1" t="s">
        <v>10221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3:11" x14ac:dyDescent="0.25">
      <c r="D2849" s="1" t="s">
        <v>10222</v>
      </c>
      <c r="E2849" s="1" t="s">
        <v>10223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</row>
    <row r="2850" spans="3:11" x14ac:dyDescent="0.25">
      <c r="D2850" s="1" t="s">
        <v>10224</v>
      </c>
      <c r="E2850" s="1" t="s">
        <v>10225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</row>
    <row r="2851" spans="3:11" x14ac:dyDescent="0.25">
      <c r="D2851" s="1" t="s">
        <v>10226</v>
      </c>
      <c r="E2851" s="1" t="s">
        <v>10227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3:11" x14ac:dyDescent="0.25">
      <c r="D2852" s="1" t="s">
        <v>10228</v>
      </c>
      <c r="E2852" s="1" t="s">
        <v>6928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3:11" x14ac:dyDescent="0.25">
      <c r="D2853" s="1" t="s">
        <v>10229</v>
      </c>
      <c r="E2853" s="1" t="s">
        <v>10230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3:11" x14ac:dyDescent="0.25">
      <c r="C2854" s="1" t="s">
        <v>10231</v>
      </c>
      <c r="D2854" s="1" t="s">
        <v>10232</v>
      </c>
      <c r="E2854" s="1" t="s">
        <v>10233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</row>
    <row r="2855" spans="3:11" x14ac:dyDescent="0.25">
      <c r="C2855" s="1" t="s">
        <v>2013</v>
      </c>
      <c r="D2855" s="1" t="s">
        <v>2014</v>
      </c>
      <c r="E2855" s="1" t="s">
        <v>2015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</row>
    <row r="2856" spans="3:11" x14ac:dyDescent="0.25">
      <c r="C2856" s="1" t="s">
        <v>10234</v>
      </c>
      <c r="D2856" s="1" t="s">
        <v>10235</v>
      </c>
      <c r="E2856" s="1" t="s">
        <v>10236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</row>
    <row r="2857" spans="3:11" x14ac:dyDescent="0.25">
      <c r="C2857" s="1" t="s">
        <v>10237</v>
      </c>
      <c r="D2857" s="1" t="s">
        <v>10238</v>
      </c>
      <c r="E2857" s="1" t="s">
        <v>10239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3:11" x14ac:dyDescent="0.25">
      <c r="D2858" s="1" t="s">
        <v>10240</v>
      </c>
      <c r="E2858" s="1" t="s">
        <v>10241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</row>
    <row r="2859" spans="3:11" x14ac:dyDescent="0.25">
      <c r="D2859" s="1" t="s">
        <v>10242</v>
      </c>
      <c r="E2859" s="1" t="s">
        <v>10243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</row>
    <row r="2860" spans="3:11" x14ac:dyDescent="0.25">
      <c r="D2860" s="1" t="s">
        <v>10244</v>
      </c>
      <c r="E2860" s="1" t="s">
        <v>10245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</row>
    <row r="2861" spans="3:11" x14ac:dyDescent="0.25">
      <c r="D2861" s="1" t="s">
        <v>10246</v>
      </c>
      <c r="E2861" s="1" t="s">
        <v>10247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3:11" x14ac:dyDescent="0.25">
      <c r="C2862" s="1" t="s">
        <v>10248</v>
      </c>
      <c r="D2862" s="1" t="s">
        <v>10249</v>
      </c>
      <c r="E2862" s="1" t="s">
        <v>10250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3:11" x14ac:dyDescent="0.25">
      <c r="D2863" s="1" t="s">
        <v>10251</v>
      </c>
      <c r="E2863" s="1" t="s">
        <v>10252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3:11" x14ac:dyDescent="0.25">
      <c r="D2864" s="1" t="s">
        <v>10253</v>
      </c>
      <c r="E2864" s="1" t="s">
        <v>10254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3:11" x14ac:dyDescent="0.25">
      <c r="D2865" s="1" t="s">
        <v>10255</v>
      </c>
      <c r="E2865" s="1" t="s">
        <v>10256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3:11" x14ac:dyDescent="0.25">
      <c r="D2866" s="1" t="s">
        <v>10257</v>
      </c>
      <c r="E2866" s="1" t="s">
        <v>10258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3:11" x14ac:dyDescent="0.25">
      <c r="D2867" s="1" t="s">
        <v>10259</v>
      </c>
      <c r="E2867" s="1" t="s">
        <v>10260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3:11" x14ac:dyDescent="0.25">
      <c r="C2868" s="1" t="s">
        <v>10261</v>
      </c>
      <c r="D2868" s="1" t="s">
        <v>10262</v>
      </c>
      <c r="E2868" s="1" t="s">
        <v>10263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</row>
    <row r="2869" spans="3:11" x14ac:dyDescent="0.25">
      <c r="D2869" s="1" t="s">
        <v>10264</v>
      </c>
      <c r="E2869" s="1" t="s">
        <v>10265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3:11" x14ac:dyDescent="0.25">
      <c r="D2870" s="1" t="s">
        <v>10266</v>
      </c>
      <c r="E2870" s="1" t="s">
        <v>10267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</row>
    <row r="2871" spans="3:11" x14ac:dyDescent="0.25">
      <c r="C2871" s="1" t="s">
        <v>4204</v>
      </c>
      <c r="D2871" s="1" t="s">
        <v>4205</v>
      </c>
      <c r="E2871" s="1" t="s">
        <v>4206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3:11" x14ac:dyDescent="0.25">
      <c r="D2872" s="1" t="s">
        <v>10268</v>
      </c>
      <c r="E2872" s="1" t="s">
        <v>10269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3:11" x14ac:dyDescent="0.25">
      <c r="D2873" s="1" t="s">
        <v>10270</v>
      </c>
      <c r="E2873" s="1" t="s">
        <v>10271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</row>
    <row r="2874" spans="3:11" x14ac:dyDescent="0.25">
      <c r="D2874" s="1" t="s">
        <v>10272</v>
      </c>
      <c r="E2874" s="1" t="s">
        <v>10273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3:11" x14ac:dyDescent="0.25">
      <c r="D2875" s="1" t="s">
        <v>10274</v>
      </c>
      <c r="E2875" s="1" t="s">
        <v>10275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3:11" x14ac:dyDescent="0.25">
      <c r="C2876" s="1" t="s">
        <v>2016</v>
      </c>
      <c r="D2876" s="1" t="s">
        <v>2017</v>
      </c>
      <c r="E2876" s="1" t="s">
        <v>2018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3:11" x14ac:dyDescent="0.25">
      <c r="C2877" s="1" t="s">
        <v>4210</v>
      </c>
      <c r="D2877" s="1" t="s">
        <v>4211</v>
      </c>
      <c r="E2877" s="1" t="s">
        <v>4212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3:11" x14ac:dyDescent="0.25">
      <c r="C2878" s="1" t="s">
        <v>4213</v>
      </c>
      <c r="D2878" s="1" t="s">
        <v>4214</v>
      </c>
      <c r="E2878" s="1" t="s">
        <v>4215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3:11" x14ac:dyDescent="0.25">
      <c r="C2879" s="1" t="s">
        <v>4216</v>
      </c>
      <c r="D2879" s="1" t="s">
        <v>4217</v>
      </c>
      <c r="E2879" s="1" t="s">
        <v>4216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3:11" x14ac:dyDescent="0.25">
      <c r="C2880" s="1" t="s">
        <v>4218</v>
      </c>
      <c r="D2880" s="1" t="s">
        <v>4219</v>
      </c>
      <c r="E2880" s="1" t="s">
        <v>4220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</row>
    <row r="2881" spans="3:11" x14ac:dyDescent="0.25">
      <c r="C2881" s="1" t="s">
        <v>10276</v>
      </c>
      <c r="D2881" s="1" t="s">
        <v>10277</v>
      </c>
      <c r="E2881" s="1" t="s">
        <v>10276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3:11" x14ac:dyDescent="0.25">
      <c r="C2882" s="1" t="s">
        <v>4224</v>
      </c>
      <c r="D2882" s="1" t="s">
        <v>4225</v>
      </c>
      <c r="E2882" s="1" t="s">
        <v>4226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</row>
    <row r="2883" spans="3:11" x14ac:dyDescent="0.25">
      <c r="C2883" s="1" t="s">
        <v>10278</v>
      </c>
      <c r="D2883" s="1" t="s">
        <v>10279</v>
      </c>
      <c r="E2883" s="1" t="s">
        <v>10278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</row>
    <row r="2884" spans="3:11" x14ac:dyDescent="0.25">
      <c r="C2884" s="1" t="s">
        <v>10280</v>
      </c>
      <c r="D2884" s="1" t="s">
        <v>10281</v>
      </c>
      <c r="E2884" s="1" t="s">
        <v>10280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</row>
    <row r="2885" spans="3:11" x14ac:dyDescent="0.25">
      <c r="C2885" s="1" t="s">
        <v>2177</v>
      </c>
      <c r="D2885" s="1" t="s">
        <v>2178</v>
      </c>
      <c r="E2885" s="1" t="s">
        <v>2179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3:11" x14ac:dyDescent="0.25">
      <c r="C2886" s="1" t="s">
        <v>2328</v>
      </c>
      <c r="D2886" s="1" t="s">
        <v>2329</v>
      </c>
      <c r="E2886" s="1" t="s">
        <v>2330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3:11" x14ac:dyDescent="0.25">
      <c r="C2887" s="1" t="s">
        <v>4251</v>
      </c>
      <c r="D2887" s="1" t="s">
        <v>4252</v>
      </c>
      <c r="E2887" s="1" t="s">
        <v>4253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</row>
    <row r="2888" spans="3:11" x14ac:dyDescent="0.25">
      <c r="C2888" s="1" t="s">
        <v>882</v>
      </c>
      <c r="D2888" s="1" t="s">
        <v>10</v>
      </c>
      <c r="E2888" s="1" t="s">
        <v>883</v>
      </c>
      <c r="F2888" s="1">
        <v>1</v>
      </c>
      <c r="G2888" s="1">
        <v>1</v>
      </c>
      <c r="H2888" s="1">
        <v>0</v>
      </c>
      <c r="I2888" s="1">
        <v>8380</v>
      </c>
      <c r="J2888" s="1">
        <v>8379</v>
      </c>
      <c r="K2888" s="1">
        <v>1</v>
      </c>
    </row>
    <row r="2889" spans="3:11" x14ac:dyDescent="0.25">
      <c r="C2889" s="1" t="s">
        <v>10282</v>
      </c>
      <c r="D2889" s="1" t="s">
        <v>10283</v>
      </c>
      <c r="E2889" s="1" t="s">
        <v>10284</v>
      </c>
      <c r="F2889" s="1">
        <v>1</v>
      </c>
      <c r="G2889" s="1">
        <v>1</v>
      </c>
      <c r="H2889" s="1">
        <v>0</v>
      </c>
      <c r="I2889" s="1">
        <v>6068</v>
      </c>
      <c r="J2889" s="1">
        <v>6067</v>
      </c>
      <c r="K2889" s="1">
        <v>1</v>
      </c>
    </row>
    <row r="2890" spans="3:11" x14ac:dyDescent="0.25">
      <c r="C2890" s="1" t="s">
        <v>2387</v>
      </c>
      <c r="D2890" s="1" t="s">
        <v>28</v>
      </c>
      <c r="E2890" s="1" t="s">
        <v>2388</v>
      </c>
      <c r="F2890" s="1">
        <v>1</v>
      </c>
      <c r="G2890" s="1">
        <v>1</v>
      </c>
      <c r="H2890" s="1">
        <v>0</v>
      </c>
      <c r="I2890" s="1">
        <v>4712</v>
      </c>
      <c r="J2890" s="1">
        <v>4711</v>
      </c>
      <c r="K2890" s="1">
        <v>1</v>
      </c>
    </row>
    <row r="2891" spans="3:11" x14ac:dyDescent="0.25">
      <c r="C2891" s="1" t="s">
        <v>2440</v>
      </c>
      <c r="D2891" s="1" t="s">
        <v>429</v>
      </c>
      <c r="E2891" s="1" t="s">
        <v>2441</v>
      </c>
      <c r="F2891" s="1">
        <v>1</v>
      </c>
      <c r="G2891" s="1">
        <v>1</v>
      </c>
      <c r="H2891" s="1">
        <v>0</v>
      </c>
      <c r="I2891" s="1">
        <v>3161</v>
      </c>
      <c r="J2891" s="1">
        <v>3160</v>
      </c>
      <c r="K2891" s="1">
        <v>1</v>
      </c>
    </row>
    <row r="2892" spans="3:11" x14ac:dyDescent="0.25">
      <c r="C2892" s="1" t="s">
        <v>2444</v>
      </c>
      <c r="D2892" s="1" t="s">
        <v>2445</v>
      </c>
      <c r="E2892" s="1" t="s">
        <v>2446</v>
      </c>
      <c r="F2892" s="1">
        <v>1</v>
      </c>
      <c r="G2892" s="1">
        <v>1</v>
      </c>
      <c r="H2892" s="1">
        <v>0</v>
      </c>
      <c r="I2892" s="1">
        <v>3001</v>
      </c>
      <c r="J2892" s="1">
        <v>3000</v>
      </c>
      <c r="K2892" s="1">
        <v>1</v>
      </c>
    </row>
    <row r="2893" spans="3:11" x14ac:dyDescent="0.25">
      <c r="C2893" s="1" t="s">
        <v>10285</v>
      </c>
      <c r="D2893" s="1" t="s">
        <v>10286</v>
      </c>
      <c r="E2893" s="1" t="s">
        <v>10287</v>
      </c>
      <c r="F2893" s="1">
        <v>1</v>
      </c>
      <c r="G2893" s="1">
        <v>1</v>
      </c>
      <c r="H2893" s="1">
        <v>0</v>
      </c>
      <c r="I2893" s="1">
        <v>2838</v>
      </c>
      <c r="J2893" s="1">
        <v>2837</v>
      </c>
      <c r="K2893" s="1">
        <v>1</v>
      </c>
    </row>
    <row r="2894" spans="3:11" x14ac:dyDescent="0.25">
      <c r="C2894" s="1" t="s">
        <v>940</v>
      </c>
      <c r="D2894" s="1" t="s">
        <v>941</v>
      </c>
      <c r="E2894" s="1" t="s">
        <v>942</v>
      </c>
      <c r="F2894" s="1">
        <v>1</v>
      </c>
      <c r="G2894" s="1">
        <v>1</v>
      </c>
      <c r="H2894" s="1">
        <v>0</v>
      </c>
      <c r="I2894" s="1">
        <v>2790</v>
      </c>
      <c r="J2894" s="1">
        <v>2789</v>
      </c>
      <c r="K2894" s="1">
        <v>1</v>
      </c>
    </row>
    <row r="2895" spans="3:11" x14ac:dyDescent="0.25">
      <c r="C2895" s="1" t="s">
        <v>2482</v>
      </c>
      <c r="D2895" s="1" t="s">
        <v>686</v>
      </c>
      <c r="E2895" s="1" t="s">
        <v>2483</v>
      </c>
      <c r="F2895" s="1">
        <v>1</v>
      </c>
      <c r="G2895" s="1">
        <v>1</v>
      </c>
      <c r="H2895" s="1">
        <v>0</v>
      </c>
      <c r="I2895" s="1">
        <v>2251</v>
      </c>
      <c r="J2895" s="1">
        <v>2250</v>
      </c>
      <c r="K2895" s="1">
        <v>1</v>
      </c>
    </row>
    <row r="2896" spans="3:11" x14ac:dyDescent="0.25">
      <c r="C2896" s="1" t="s">
        <v>10288</v>
      </c>
      <c r="D2896" s="1" t="s">
        <v>10289</v>
      </c>
      <c r="E2896" s="1" t="s">
        <v>10290</v>
      </c>
      <c r="F2896" s="1">
        <v>1</v>
      </c>
      <c r="G2896" s="1">
        <v>1</v>
      </c>
      <c r="H2896" s="1">
        <v>0</v>
      </c>
      <c r="I2896" s="1">
        <v>2166</v>
      </c>
      <c r="J2896" s="1">
        <v>2165</v>
      </c>
      <c r="K2896" s="1">
        <v>1</v>
      </c>
    </row>
    <row r="2897" spans="3:11" x14ac:dyDescent="0.25">
      <c r="C2897" s="1" t="s">
        <v>10291</v>
      </c>
      <c r="D2897" s="1" t="s">
        <v>10292</v>
      </c>
      <c r="E2897" s="1" t="s">
        <v>10293</v>
      </c>
      <c r="F2897" s="1">
        <v>1</v>
      </c>
      <c r="G2897" s="1">
        <v>1</v>
      </c>
      <c r="H2897" s="1">
        <v>0</v>
      </c>
      <c r="I2897" s="1">
        <v>1636</v>
      </c>
      <c r="J2897" s="1">
        <v>1635</v>
      </c>
      <c r="K2897" s="1">
        <v>1</v>
      </c>
    </row>
    <row r="2898" spans="3:11" x14ac:dyDescent="0.25">
      <c r="C2898" s="1" t="s">
        <v>2537</v>
      </c>
      <c r="D2898" s="1" t="s">
        <v>436</v>
      </c>
      <c r="E2898" s="1" t="s">
        <v>2538</v>
      </c>
      <c r="F2898" s="1">
        <v>1</v>
      </c>
      <c r="G2898" s="1">
        <v>1</v>
      </c>
      <c r="H2898" s="1">
        <v>0</v>
      </c>
      <c r="I2898" s="1">
        <v>1617</v>
      </c>
      <c r="J2898" s="1">
        <v>1616</v>
      </c>
      <c r="K2898" s="1">
        <v>1</v>
      </c>
    </row>
    <row r="2899" spans="3:11" x14ac:dyDescent="0.25">
      <c r="C2899" s="1" t="s">
        <v>2545</v>
      </c>
      <c r="D2899" s="1" t="s">
        <v>437</v>
      </c>
      <c r="E2899" s="1" t="s">
        <v>2546</v>
      </c>
      <c r="F2899" s="1">
        <v>1</v>
      </c>
      <c r="G2899" s="1">
        <v>1</v>
      </c>
      <c r="H2899" s="1">
        <v>0</v>
      </c>
      <c r="I2899" s="1">
        <v>1563</v>
      </c>
      <c r="J2899" s="1">
        <v>1562</v>
      </c>
      <c r="K2899" s="1">
        <v>1</v>
      </c>
    </row>
    <row r="2900" spans="3:11" x14ac:dyDescent="0.25">
      <c r="C2900" s="1" t="s">
        <v>2555</v>
      </c>
      <c r="D2900" s="1" t="s">
        <v>2556</v>
      </c>
      <c r="E2900" s="1" t="s">
        <v>2557</v>
      </c>
      <c r="F2900" s="1">
        <v>1</v>
      </c>
      <c r="G2900" s="1">
        <v>1</v>
      </c>
      <c r="H2900" s="1">
        <v>0</v>
      </c>
      <c r="I2900" s="1">
        <v>1517</v>
      </c>
      <c r="J2900" s="1">
        <v>1516</v>
      </c>
      <c r="K2900" s="1">
        <v>1</v>
      </c>
    </row>
    <row r="2901" spans="3:11" x14ac:dyDescent="0.25">
      <c r="C2901" s="1" t="s">
        <v>10294</v>
      </c>
      <c r="D2901" s="1" t="s">
        <v>10295</v>
      </c>
      <c r="E2901" s="1" t="s">
        <v>10296</v>
      </c>
      <c r="F2901" s="1">
        <v>1</v>
      </c>
      <c r="G2901" s="1">
        <v>1</v>
      </c>
      <c r="H2901" s="1">
        <v>0</v>
      </c>
      <c r="I2901" s="1">
        <v>1378</v>
      </c>
      <c r="J2901" s="1">
        <v>1377</v>
      </c>
      <c r="K2901" s="1">
        <v>1</v>
      </c>
    </row>
    <row r="2902" spans="3:11" x14ac:dyDescent="0.25">
      <c r="C2902" s="1" t="s">
        <v>1065</v>
      </c>
      <c r="D2902" s="1" t="s">
        <v>1066</v>
      </c>
      <c r="E2902" s="1" t="s">
        <v>1067</v>
      </c>
      <c r="F2902" s="1">
        <v>1</v>
      </c>
      <c r="G2902" s="1">
        <v>1</v>
      </c>
      <c r="H2902" s="1">
        <v>0</v>
      </c>
      <c r="I2902" s="1">
        <v>1352</v>
      </c>
      <c r="J2902" s="1">
        <v>1351</v>
      </c>
      <c r="K2902" s="1">
        <v>1</v>
      </c>
    </row>
    <row r="2903" spans="3:11" x14ac:dyDescent="0.25">
      <c r="C2903" s="1" t="s">
        <v>10297</v>
      </c>
      <c r="D2903" s="1" t="s">
        <v>10298</v>
      </c>
      <c r="E2903" s="1" t="s">
        <v>10299</v>
      </c>
      <c r="F2903" s="1">
        <v>1</v>
      </c>
      <c r="G2903" s="1">
        <v>1</v>
      </c>
      <c r="H2903" s="1">
        <v>0</v>
      </c>
      <c r="I2903" s="1">
        <v>1350</v>
      </c>
      <c r="J2903" s="1">
        <v>1349</v>
      </c>
      <c r="K2903" s="1">
        <v>1</v>
      </c>
    </row>
    <row r="2904" spans="3:11" x14ac:dyDescent="0.25">
      <c r="C2904" s="1" t="s">
        <v>10300</v>
      </c>
      <c r="D2904" s="1" t="s">
        <v>10301</v>
      </c>
      <c r="E2904" s="1" t="s">
        <v>10302</v>
      </c>
      <c r="F2904" s="1">
        <v>1</v>
      </c>
      <c r="G2904" s="1">
        <v>1</v>
      </c>
      <c r="H2904" s="1">
        <v>0</v>
      </c>
      <c r="I2904" s="1">
        <v>1215</v>
      </c>
      <c r="J2904" s="1">
        <v>1214</v>
      </c>
      <c r="K2904" s="1">
        <v>1</v>
      </c>
    </row>
    <row r="2905" spans="3:11" x14ac:dyDescent="0.25">
      <c r="C2905" s="1" t="s">
        <v>10303</v>
      </c>
      <c r="D2905" s="1" t="s">
        <v>10304</v>
      </c>
      <c r="E2905" s="1" t="s">
        <v>10305</v>
      </c>
      <c r="F2905" s="1">
        <v>1</v>
      </c>
      <c r="G2905" s="1">
        <v>1</v>
      </c>
      <c r="H2905" s="1">
        <v>0</v>
      </c>
      <c r="I2905" s="1">
        <v>1152</v>
      </c>
      <c r="J2905" s="1">
        <v>1151</v>
      </c>
      <c r="K2905" s="1">
        <v>1</v>
      </c>
    </row>
    <row r="2906" spans="3:11" x14ac:dyDescent="0.25">
      <c r="C2906" s="1" t="s">
        <v>2668</v>
      </c>
      <c r="D2906" s="1" t="s">
        <v>2669</v>
      </c>
      <c r="E2906" s="1" t="s">
        <v>2670</v>
      </c>
      <c r="F2906" s="1">
        <v>1</v>
      </c>
      <c r="G2906" s="1">
        <v>1</v>
      </c>
      <c r="H2906" s="1">
        <v>0</v>
      </c>
      <c r="I2906" s="1">
        <v>886</v>
      </c>
      <c r="J2906" s="1">
        <v>885</v>
      </c>
      <c r="K2906" s="1">
        <v>1</v>
      </c>
    </row>
    <row r="2907" spans="3:11" x14ac:dyDescent="0.25">
      <c r="C2907" s="1" t="s">
        <v>2700</v>
      </c>
      <c r="D2907" s="1" t="s">
        <v>2701</v>
      </c>
      <c r="E2907" s="1" t="s">
        <v>2702</v>
      </c>
      <c r="F2907" s="1">
        <v>1</v>
      </c>
      <c r="G2907" s="1">
        <v>1</v>
      </c>
      <c r="H2907" s="1">
        <v>0</v>
      </c>
      <c r="I2907" s="1">
        <v>809</v>
      </c>
      <c r="J2907" s="1">
        <v>808</v>
      </c>
      <c r="K2907" s="1">
        <v>1</v>
      </c>
    </row>
    <row r="2908" spans="3:11" x14ac:dyDescent="0.25">
      <c r="C2908" s="1" t="s">
        <v>2705</v>
      </c>
      <c r="D2908" s="1" t="s">
        <v>2706</v>
      </c>
      <c r="E2908" s="1" t="s">
        <v>2707</v>
      </c>
      <c r="F2908" s="1">
        <v>1</v>
      </c>
      <c r="G2908" s="1">
        <v>1</v>
      </c>
      <c r="H2908" s="1">
        <v>0</v>
      </c>
      <c r="I2908" s="1">
        <v>807</v>
      </c>
      <c r="J2908" s="1">
        <v>806</v>
      </c>
      <c r="K2908" s="1">
        <v>1</v>
      </c>
    </row>
    <row r="2909" spans="3:11" x14ac:dyDescent="0.25">
      <c r="C2909" s="1" t="s">
        <v>10306</v>
      </c>
      <c r="D2909" s="1" t="s">
        <v>10307</v>
      </c>
      <c r="E2909" s="1" t="s">
        <v>10308</v>
      </c>
      <c r="F2909" s="1">
        <v>1</v>
      </c>
      <c r="G2909" s="1">
        <v>1</v>
      </c>
      <c r="H2909" s="1">
        <v>0</v>
      </c>
      <c r="I2909" s="1">
        <v>766</v>
      </c>
      <c r="J2909" s="1">
        <v>765</v>
      </c>
      <c r="K2909" s="1">
        <v>1</v>
      </c>
    </row>
    <row r="2910" spans="3:11" x14ac:dyDescent="0.25">
      <c r="C2910" s="1" t="s">
        <v>2777</v>
      </c>
      <c r="D2910" s="1" t="s">
        <v>2778</v>
      </c>
      <c r="E2910" s="1" t="s">
        <v>2779</v>
      </c>
      <c r="F2910" s="1">
        <v>1</v>
      </c>
      <c r="G2910" s="1">
        <v>1</v>
      </c>
      <c r="H2910" s="1">
        <v>0</v>
      </c>
      <c r="I2910" s="1">
        <v>685</v>
      </c>
      <c r="J2910" s="1">
        <v>684</v>
      </c>
      <c r="K2910" s="1">
        <v>1</v>
      </c>
    </row>
    <row r="2911" spans="3:11" x14ac:dyDescent="0.25">
      <c r="C2911" s="1" t="s">
        <v>10309</v>
      </c>
      <c r="D2911" s="1" t="s">
        <v>10310</v>
      </c>
      <c r="E2911" s="1" t="s">
        <v>10311</v>
      </c>
      <c r="F2911" s="1">
        <v>1</v>
      </c>
      <c r="G2911" s="1">
        <v>1</v>
      </c>
      <c r="H2911" s="1">
        <v>0</v>
      </c>
      <c r="I2911" s="1">
        <v>665</v>
      </c>
      <c r="J2911" s="1">
        <v>664</v>
      </c>
      <c r="K2911" s="1">
        <v>1</v>
      </c>
    </row>
    <row r="2912" spans="3:11" x14ac:dyDescent="0.25">
      <c r="C2912" s="1" t="s">
        <v>1216</v>
      </c>
      <c r="D2912" s="1" t="s">
        <v>1217</v>
      </c>
      <c r="E2912" s="1" t="s">
        <v>1216</v>
      </c>
      <c r="F2912" s="1">
        <v>1</v>
      </c>
      <c r="G2912" s="1">
        <v>1</v>
      </c>
      <c r="H2912" s="1">
        <v>0</v>
      </c>
      <c r="I2912" s="1">
        <v>641</v>
      </c>
      <c r="J2912" s="1">
        <v>640</v>
      </c>
      <c r="K2912" s="1">
        <v>1</v>
      </c>
    </row>
    <row r="2913" spans="3:11" x14ac:dyDescent="0.25">
      <c r="C2913" s="1" t="s">
        <v>10312</v>
      </c>
      <c r="D2913" s="1" t="s">
        <v>10313</v>
      </c>
      <c r="E2913" s="1" t="s">
        <v>10314</v>
      </c>
      <c r="F2913" s="1">
        <v>1</v>
      </c>
      <c r="G2913" s="1">
        <v>1</v>
      </c>
      <c r="H2913" s="1">
        <v>0</v>
      </c>
      <c r="I2913" s="1">
        <v>580</v>
      </c>
      <c r="J2913" s="1">
        <v>579</v>
      </c>
      <c r="K2913" s="1">
        <v>1</v>
      </c>
    </row>
    <row r="2914" spans="3:11" x14ac:dyDescent="0.25">
      <c r="C2914" s="1" t="s">
        <v>2843</v>
      </c>
      <c r="D2914" s="1" t="s">
        <v>2844</v>
      </c>
      <c r="E2914" s="1" t="s">
        <v>2845</v>
      </c>
      <c r="F2914" s="1">
        <v>1</v>
      </c>
      <c r="G2914" s="1">
        <v>1</v>
      </c>
      <c r="H2914" s="1">
        <v>0</v>
      </c>
      <c r="I2914" s="1">
        <v>565</v>
      </c>
      <c r="J2914" s="1">
        <v>564</v>
      </c>
      <c r="K2914" s="1">
        <v>1</v>
      </c>
    </row>
    <row r="2915" spans="3:11" x14ac:dyDescent="0.25">
      <c r="C2915" s="1" t="s">
        <v>1253</v>
      </c>
      <c r="D2915" s="1" t="s">
        <v>1254</v>
      </c>
      <c r="E2915" s="1" t="s">
        <v>1255</v>
      </c>
      <c r="F2915" s="1">
        <v>1</v>
      </c>
      <c r="G2915" s="1">
        <v>1</v>
      </c>
      <c r="H2915" s="1">
        <v>0</v>
      </c>
      <c r="I2915" s="1">
        <v>557</v>
      </c>
      <c r="J2915" s="1">
        <v>556</v>
      </c>
      <c r="K2915" s="1">
        <v>1</v>
      </c>
    </row>
    <row r="2916" spans="3:11" x14ac:dyDescent="0.25">
      <c r="C2916" s="1" t="s">
        <v>1256</v>
      </c>
      <c r="D2916" s="1" t="s">
        <v>1257</v>
      </c>
      <c r="E2916" s="1" t="s">
        <v>1258</v>
      </c>
      <c r="F2916" s="1">
        <v>1</v>
      </c>
      <c r="G2916" s="1">
        <v>1</v>
      </c>
      <c r="H2916" s="1">
        <v>0</v>
      </c>
      <c r="I2916" s="1">
        <v>556</v>
      </c>
      <c r="J2916" s="1">
        <v>555</v>
      </c>
      <c r="K2916" s="1">
        <v>1</v>
      </c>
    </row>
    <row r="2917" spans="3:11" x14ac:dyDescent="0.25">
      <c r="C2917" s="1" t="s">
        <v>2873</v>
      </c>
      <c r="D2917" s="1" t="s">
        <v>2874</v>
      </c>
      <c r="E2917" s="1" t="s">
        <v>2875</v>
      </c>
      <c r="F2917" s="1">
        <v>1</v>
      </c>
      <c r="G2917" s="1">
        <v>1</v>
      </c>
      <c r="H2917" s="1">
        <v>0</v>
      </c>
      <c r="I2917" s="1">
        <v>522</v>
      </c>
      <c r="J2917" s="1">
        <v>521</v>
      </c>
      <c r="K2917" s="1">
        <v>1</v>
      </c>
    </row>
    <row r="2918" spans="3:11" x14ac:dyDescent="0.25">
      <c r="C2918" s="1" t="s">
        <v>1311</v>
      </c>
      <c r="D2918" s="1" t="s">
        <v>1312</v>
      </c>
      <c r="E2918" s="1" t="s">
        <v>1313</v>
      </c>
      <c r="F2918" s="1">
        <v>1</v>
      </c>
      <c r="G2918" s="1">
        <v>1</v>
      </c>
      <c r="H2918" s="1">
        <v>0</v>
      </c>
      <c r="I2918" s="1">
        <v>457</v>
      </c>
      <c r="J2918" s="1">
        <v>456</v>
      </c>
      <c r="K2918" s="1">
        <v>1</v>
      </c>
    </row>
    <row r="2919" spans="3:11" x14ac:dyDescent="0.25">
      <c r="C2919" s="1" t="s">
        <v>2907</v>
      </c>
      <c r="D2919" s="1" t="s">
        <v>2908</v>
      </c>
      <c r="E2919" s="1" t="s">
        <v>2909</v>
      </c>
      <c r="F2919" s="1">
        <v>1</v>
      </c>
      <c r="G2919" s="1">
        <v>1</v>
      </c>
      <c r="H2919" s="1">
        <v>0</v>
      </c>
      <c r="I2919" s="1">
        <v>444</v>
      </c>
      <c r="J2919" s="1">
        <v>443</v>
      </c>
      <c r="K2919" s="1">
        <v>1</v>
      </c>
    </row>
    <row r="2920" spans="3:11" x14ac:dyDescent="0.25">
      <c r="C2920" s="1" t="s">
        <v>2951</v>
      </c>
      <c r="D2920" s="1" t="s">
        <v>2952</v>
      </c>
      <c r="E2920" s="1" t="s">
        <v>2953</v>
      </c>
      <c r="F2920" s="1">
        <v>1</v>
      </c>
      <c r="G2920" s="1">
        <v>1</v>
      </c>
      <c r="H2920" s="1">
        <v>0</v>
      </c>
      <c r="I2920" s="1">
        <v>395</v>
      </c>
      <c r="J2920" s="1">
        <v>394</v>
      </c>
      <c r="K2920" s="1">
        <v>1</v>
      </c>
    </row>
    <row r="2921" spans="3:11" x14ac:dyDescent="0.25">
      <c r="C2921" s="1" t="s">
        <v>1354</v>
      </c>
      <c r="D2921" s="1" t="s">
        <v>1355</v>
      </c>
      <c r="E2921" s="1" t="s">
        <v>1356</v>
      </c>
      <c r="F2921" s="1">
        <v>1</v>
      </c>
      <c r="G2921" s="1">
        <v>1</v>
      </c>
      <c r="H2921" s="1">
        <v>0</v>
      </c>
      <c r="I2921" s="1">
        <v>379</v>
      </c>
      <c r="J2921" s="1">
        <v>378</v>
      </c>
      <c r="K2921" s="1">
        <v>1</v>
      </c>
    </row>
    <row r="2922" spans="3:11" x14ac:dyDescent="0.25">
      <c r="C2922" s="1" t="s">
        <v>2987</v>
      </c>
      <c r="D2922" s="1" t="s">
        <v>2988</v>
      </c>
      <c r="E2922" s="1" t="s">
        <v>2989</v>
      </c>
      <c r="F2922" s="1">
        <v>1</v>
      </c>
      <c r="G2922" s="1">
        <v>1</v>
      </c>
      <c r="H2922" s="1">
        <v>0</v>
      </c>
      <c r="I2922" s="1">
        <v>366</v>
      </c>
      <c r="J2922" s="1">
        <v>365</v>
      </c>
      <c r="K2922" s="1">
        <v>1</v>
      </c>
    </row>
    <row r="2923" spans="3:11" x14ac:dyDescent="0.25">
      <c r="C2923" s="1" t="s">
        <v>10315</v>
      </c>
      <c r="D2923" s="1" t="s">
        <v>10316</v>
      </c>
      <c r="E2923" s="1" t="s">
        <v>10317</v>
      </c>
      <c r="F2923" s="1">
        <v>1</v>
      </c>
      <c r="G2923" s="1">
        <v>1</v>
      </c>
      <c r="H2923" s="1">
        <v>0</v>
      </c>
      <c r="I2923" s="1">
        <v>364</v>
      </c>
      <c r="J2923" s="1">
        <v>363</v>
      </c>
      <c r="K2923" s="1">
        <v>1</v>
      </c>
    </row>
    <row r="2924" spans="3:11" x14ac:dyDescent="0.25">
      <c r="C2924" s="1" t="s">
        <v>3022</v>
      </c>
      <c r="D2924" s="1" t="s">
        <v>3023</v>
      </c>
      <c r="E2924" s="1" t="s">
        <v>3024</v>
      </c>
      <c r="F2924" s="1">
        <v>1</v>
      </c>
      <c r="G2924" s="1">
        <v>1</v>
      </c>
      <c r="H2924" s="1">
        <v>0</v>
      </c>
      <c r="I2924" s="1">
        <v>344</v>
      </c>
      <c r="J2924" s="1">
        <v>343</v>
      </c>
      <c r="K2924" s="1">
        <v>1</v>
      </c>
    </row>
    <row r="2925" spans="3:11" x14ac:dyDescent="0.25">
      <c r="C2925" s="1" t="s">
        <v>3025</v>
      </c>
      <c r="D2925" s="1" t="s">
        <v>472</v>
      </c>
      <c r="E2925" s="1" t="s">
        <v>3026</v>
      </c>
      <c r="F2925" s="1">
        <v>1</v>
      </c>
      <c r="G2925" s="1">
        <v>1</v>
      </c>
      <c r="H2925" s="1">
        <v>0</v>
      </c>
      <c r="I2925" s="1">
        <v>321</v>
      </c>
      <c r="J2925" s="1">
        <v>320</v>
      </c>
      <c r="K2925" s="1">
        <v>1</v>
      </c>
    </row>
    <row r="2926" spans="3:11" x14ac:dyDescent="0.25">
      <c r="C2926" s="1" t="s">
        <v>1432</v>
      </c>
      <c r="D2926" s="1" t="s">
        <v>1433</v>
      </c>
      <c r="E2926" s="1" t="s">
        <v>1434</v>
      </c>
      <c r="F2926" s="1">
        <v>1</v>
      </c>
      <c r="G2926" s="1">
        <v>1</v>
      </c>
      <c r="H2926" s="1">
        <v>0</v>
      </c>
      <c r="I2926" s="1">
        <v>300</v>
      </c>
      <c r="J2926" s="1">
        <v>299</v>
      </c>
      <c r="K2926" s="1">
        <v>1</v>
      </c>
    </row>
    <row r="2927" spans="3:11" x14ac:dyDescent="0.25">
      <c r="C2927" s="1" t="s">
        <v>1443</v>
      </c>
      <c r="D2927" s="1" t="s">
        <v>1444</v>
      </c>
      <c r="E2927" s="1" t="s">
        <v>1445</v>
      </c>
      <c r="F2927" s="1">
        <v>1</v>
      </c>
      <c r="G2927" s="1">
        <v>1</v>
      </c>
      <c r="H2927" s="1">
        <v>0</v>
      </c>
      <c r="I2927" s="1">
        <v>298</v>
      </c>
      <c r="J2927" s="1">
        <v>297</v>
      </c>
      <c r="K2927" s="1">
        <v>1</v>
      </c>
    </row>
    <row r="2928" spans="3:11" x14ac:dyDescent="0.25">
      <c r="C2928" s="1" t="s">
        <v>10318</v>
      </c>
      <c r="D2928" s="1" t="s">
        <v>10319</v>
      </c>
      <c r="E2928" s="1" t="s">
        <v>10320</v>
      </c>
      <c r="F2928" s="1">
        <v>1</v>
      </c>
      <c r="G2928" s="1">
        <v>1</v>
      </c>
      <c r="H2928" s="1">
        <v>0</v>
      </c>
      <c r="I2928" s="1">
        <v>292</v>
      </c>
      <c r="J2928" s="1">
        <v>291</v>
      </c>
      <c r="K2928" s="1">
        <v>1</v>
      </c>
    </row>
    <row r="2929" spans="3:11" x14ac:dyDescent="0.25">
      <c r="C2929" s="1" t="s">
        <v>3047</v>
      </c>
      <c r="D2929" s="1" t="s">
        <v>611</v>
      </c>
      <c r="E2929" s="1" t="s">
        <v>3048</v>
      </c>
      <c r="F2929" s="1">
        <v>1</v>
      </c>
      <c r="G2929" s="1">
        <v>1</v>
      </c>
      <c r="H2929" s="1">
        <v>0</v>
      </c>
      <c r="I2929" s="1">
        <v>282</v>
      </c>
      <c r="J2929" s="1">
        <v>281</v>
      </c>
      <c r="K2929" s="1">
        <v>1</v>
      </c>
    </row>
    <row r="2930" spans="3:11" x14ac:dyDescent="0.25">
      <c r="C2930" s="1" t="s">
        <v>3052</v>
      </c>
      <c r="D2930" s="1" t="s">
        <v>3053</v>
      </c>
      <c r="E2930" s="1" t="s">
        <v>3054</v>
      </c>
      <c r="F2930" s="1">
        <v>1</v>
      </c>
      <c r="G2930" s="1">
        <v>1</v>
      </c>
      <c r="H2930" s="1">
        <v>0</v>
      </c>
      <c r="I2930" s="1">
        <v>280</v>
      </c>
      <c r="J2930" s="1">
        <v>279</v>
      </c>
      <c r="K2930" s="1">
        <v>1</v>
      </c>
    </row>
    <row r="2931" spans="3:11" x14ac:dyDescent="0.25">
      <c r="C2931" s="1" t="s">
        <v>3061</v>
      </c>
      <c r="D2931" s="1" t="s">
        <v>3062</v>
      </c>
      <c r="E2931" s="1" t="s">
        <v>3063</v>
      </c>
      <c r="F2931" s="1">
        <v>1</v>
      </c>
      <c r="G2931" s="1">
        <v>1</v>
      </c>
      <c r="H2931" s="1">
        <v>0</v>
      </c>
      <c r="I2931" s="1">
        <v>279</v>
      </c>
      <c r="J2931" s="1">
        <v>278</v>
      </c>
      <c r="K2931" s="1">
        <v>1</v>
      </c>
    </row>
    <row r="2932" spans="3:11" x14ac:dyDescent="0.25">
      <c r="C2932" s="1" t="s">
        <v>1570</v>
      </c>
      <c r="D2932" s="1" t="s">
        <v>1571</v>
      </c>
      <c r="E2932" s="1" t="s">
        <v>1572</v>
      </c>
      <c r="F2932" s="1">
        <v>1</v>
      </c>
      <c r="G2932" s="1">
        <v>1</v>
      </c>
      <c r="H2932" s="1">
        <v>0</v>
      </c>
      <c r="I2932" s="1">
        <v>257</v>
      </c>
      <c r="J2932" s="1">
        <v>256</v>
      </c>
      <c r="K2932" s="1">
        <v>1</v>
      </c>
    </row>
    <row r="2933" spans="3:11" x14ac:dyDescent="0.25">
      <c r="C2933" s="1" t="s">
        <v>1514</v>
      </c>
      <c r="D2933" s="1" t="s">
        <v>1515</v>
      </c>
      <c r="E2933" s="1" t="s">
        <v>1514</v>
      </c>
      <c r="F2933" s="1">
        <v>1</v>
      </c>
      <c r="G2933" s="1">
        <v>1</v>
      </c>
      <c r="H2933" s="1">
        <v>0</v>
      </c>
      <c r="I2933" s="1">
        <v>237</v>
      </c>
      <c r="J2933" s="1">
        <v>236</v>
      </c>
      <c r="K2933" s="1">
        <v>1</v>
      </c>
    </row>
    <row r="2934" spans="3:11" x14ac:dyDescent="0.25">
      <c r="C2934" s="1" t="s">
        <v>10321</v>
      </c>
      <c r="D2934" s="1" t="s">
        <v>10322</v>
      </c>
      <c r="E2934" s="1" t="s">
        <v>10323</v>
      </c>
      <c r="F2934" s="1">
        <v>1</v>
      </c>
      <c r="G2934" s="1">
        <v>1</v>
      </c>
      <c r="H2934" s="1">
        <v>0</v>
      </c>
      <c r="I2934" s="1">
        <v>226</v>
      </c>
      <c r="J2934" s="1">
        <v>225</v>
      </c>
      <c r="K2934" s="1">
        <v>1</v>
      </c>
    </row>
    <row r="2935" spans="3:11" x14ac:dyDescent="0.25">
      <c r="C2935" s="1" t="s">
        <v>3125</v>
      </c>
      <c r="D2935" s="1" t="s">
        <v>3126</v>
      </c>
      <c r="E2935" s="1" t="s">
        <v>3127</v>
      </c>
      <c r="F2935" s="1">
        <v>1</v>
      </c>
      <c r="G2935" s="1">
        <v>1</v>
      </c>
      <c r="H2935" s="1">
        <v>0</v>
      </c>
      <c r="I2935" s="1">
        <v>226</v>
      </c>
      <c r="J2935" s="1">
        <v>225</v>
      </c>
      <c r="K2935" s="1">
        <v>1</v>
      </c>
    </row>
    <row r="2936" spans="3:11" x14ac:dyDescent="0.25">
      <c r="C2936" s="1" t="s">
        <v>10324</v>
      </c>
      <c r="D2936" s="1" t="s">
        <v>10325</v>
      </c>
      <c r="E2936" s="1" t="s">
        <v>10326</v>
      </c>
      <c r="F2936" s="1">
        <v>1</v>
      </c>
      <c r="G2936" s="1">
        <v>1</v>
      </c>
      <c r="H2936" s="1">
        <v>0</v>
      </c>
      <c r="I2936" s="1">
        <v>224</v>
      </c>
      <c r="J2936" s="1">
        <v>223</v>
      </c>
      <c r="K2936" s="1">
        <v>1</v>
      </c>
    </row>
    <row r="2937" spans="3:11" x14ac:dyDescent="0.25">
      <c r="C2937" s="1" t="s">
        <v>3157</v>
      </c>
      <c r="D2937" s="1" t="s">
        <v>3158</v>
      </c>
      <c r="E2937" s="1" t="s">
        <v>3159</v>
      </c>
      <c r="F2937" s="1">
        <v>1</v>
      </c>
      <c r="G2937" s="1">
        <v>1</v>
      </c>
      <c r="H2937" s="1">
        <v>0</v>
      </c>
      <c r="I2937" s="1">
        <v>211</v>
      </c>
      <c r="J2937" s="1">
        <v>210</v>
      </c>
      <c r="K2937" s="1">
        <v>1</v>
      </c>
    </row>
    <row r="2938" spans="3:11" x14ac:dyDescent="0.25">
      <c r="C2938" s="1" t="s">
        <v>3166</v>
      </c>
      <c r="D2938" s="1" t="s">
        <v>3167</v>
      </c>
      <c r="E2938" s="1" t="s">
        <v>3168</v>
      </c>
      <c r="F2938" s="1">
        <v>1</v>
      </c>
      <c r="G2938" s="1">
        <v>1</v>
      </c>
      <c r="H2938" s="1">
        <v>0</v>
      </c>
      <c r="I2938" s="1">
        <v>208</v>
      </c>
      <c r="J2938" s="1">
        <v>207</v>
      </c>
      <c r="K2938" s="1">
        <v>1</v>
      </c>
    </row>
    <row r="2939" spans="3:11" x14ac:dyDescent="0.25">
      <c r="C2939" s="1" t="s">
        <v>10327</v>
      </c>
      <c r="D2939" s="1" t="s">
        <v>10328</v>
      </c>
      <c r="E2939" s="1" t="s">
        <v>10329</v>
      </c>
      <c r="F2939" s="1">
        <v>1</v>
      </c>
      <c r="G2939" s="1">
        <v>1</v>
      </c>
      <c r="H2939" s="1">
        <v>0</v>
      </c>
      <c r="I2939" s="1">
        <v>193</v>
      </c>
      <c r="J2939" s="1">
        <v>192</v>
      </c>
      <c r="K2939" s="1">
        <v>1</v>
      </c>
    </row>
    <row r="2940" spans="3:11" x14ac:dyDescent="0.25">
      <c r="C2940" s="1" t="s">
        <v>1588</v>
      </c>
      <c r="D2940" s="1" t="s">
        <v>1589</v>
      </c>
      <c r="E2940" s="1" t="s">
        <v>1590</v>
      </c>
      <c r="F2940" s="1">
        <v>1</v>
      </c>
      <c r="G2940" s="1">
        <v>1</v>
      </c>
      <c r="H2940" s="1">
        <v>0</v>
      </c>
      <c r="I2940" s="1">
        <v>180</v>
      </c>
      <c r="J2940" s="1">
        <v>179</v>
      </c>
      <c r="K2940" s="1">
        <v>1</v>
      </c>
    </row>
    <row r="2941" spans="3:11" x14ac:dyDescent="0.25">
      <c r="C2941" s="1" t="s">
        <v>3215</v>
      </c>
      <c r="D2941" s="1" t="s">
        <v>3216</v>
      </c>
      <c r="E2941" s="1" t="s">
        <v>3217</v>
      </c>
      <c r="F2941" s="1">
        <v>1</v>
      </c>
      <c r="G2941" s="1">
        <v>1</v>
      </c>
      <c r="H2941" s="1">
        <v>0</v>
      </c>
      <c r="I2941" s="1">
        <v>170</v>
      </c>
      <c r="J2941" s="1">
        <v>169</v>
      </c>
      <c r="K2941" s="1">
        <v>1</v>
      </c>
    </row>
    <row r="2942" spans="3:11" x14ac:dyDescent="0.25">
      <c r="C2942" s="1" t="s">
        <v>3239</v>
      </c>
      <c r="D2942" s="1" t="s">
        <v>3240</v>
      </c>
      <c r="E2942" s="1" t="s">
        <v>3241</v>
      </c>
      <c r="F2942" s="1">
        <v>1</v>
      </c>
      <c r="G2942" s="1">
        <v>1</v>
      </c>
      <c r="H2942" s="1">
        <v>0</v>
      </c>
      <c r="I2942" s="1">
        <v>167</v>
      </c>
      <c r="J2942" s="1">
        <v>166</v>
      </c>
      <c r="K2942" s="1">
        <v>1</v>
      </c>
    </row>
    <row r="2943" spans="3:11" x14ac:dyDescent="0.25">
      <c r="C2943" s="1" t="s">
        <v>3247</v>
      </c>
      <c r="D2943" s="1" t="s">
        <v>3248</v>
      </c>
      <c r="E2943" s="1" t="s">
        <v>3249</v>
      </c>
      <c r="F2943" s="1">
        <v>1</v>
      </c>
      <c r="G2943" s="1">
        <v>1</v>
      </c>
      <c r="H2943" s="1">
        <v>0</v>
      </c>
      <c r="I2943" s="1">
        <v>149</v>
      </c>
      <c r="J2943" s="1">
        <v>148</v>
      </c>
      <c r="K2943" s="1">
        <v>1</v>
      </c>
    </row>
    <row r="2944" spans="3:11" x14ac:dyDescent="0.25">
      <c r="C2944" s="1" t="s">
        <v>3290</v>
      </c>
      <c r="D2944" s="1" t="s">
        <v>3291</v>
      </c>
      <c r="E2944" s="1" t="s">
        <v>3292</v>
      </c>
      <c r="F2944" s="1">
        <v>1</v>
      </c>
      <c r="G2944" s="1">
        <v>1</v>
      </c>
      <c r="H2944" s="1">
        <v>0</v>
      </c>
      <c r="I2944" s="1">
        <v>131</v>
      </c>
      <c r="J2944" s="1">
        <v>130</v>
      </c>
      <c r="K2944" s="1">
        <v>1</v>
      </c>
    </row>
    <row r="2945" spans="3:11" x14ac:dyDescent="0.25">
      <c r="C2945" s="1" t="s">
        <v>3314</v>
      </c>
      <c r="D2945" s="1" t="s">
        <v>3315</v>
      </c>
      <c r="E2945" s="1" t="s">
        <v>3316</v>
      </c>
      <c r="F2945" s="1">
        <v>1</v>
      </c>
      <c r="G2945" s="1">
        <v>1</v>
      </c>
      <c r="H2945" s="1">
        <v>0</v>
      </c>
      <c r="I2945" s="1">
        <v>122</v>
      </c>
      <c r="J2945" s="1">
        <v>121</v>
      </c>
      <c r="K2945" s="1">
        <v>1</v>
      </c>
    </row>
    <row r="2946" spans="3:11" x14ac:dyDescent="0.25">
      <c r="C2946" s="1" t="s">
        <v>10330</v>
      </c>
      <c r="D2946" s="1" t="s">
        <v>10331</v>
      </c>
      <c r="E2946" s="1" t="s">
        <v>10332</v>
      </c>
      <c r="F2946" s="1">
        <v>1</v>
      </c>
      <c r="G2946" s="1">
        <v>1</v>
      </c>
      <c r="H2946" s="1">
        <v>0</v>
      </c>
      <c r="I2946" s="1">
        <v>117</v>
      </c>
      <c r="J2946" s="1">
        <v>116</v>
      </c>
      <c r="K2946" s="1">
        <v>1</v>
      </c>
    </row>
    <row r="2947" spans="3:11" x14ac:dyDescent="0.25">
      <c r="C2947" s="1" t="s">
        <v>1767</v>
      </c>
      <c r="D2947" s="1" t="s">
        <v>1768</v>
      </c>
      <c r="E2947" s="1" t="s">
        <v>1769</v>
      </c>
      <c r="F2947" s="1">
        <v>1</v>
      </c>
      <c r="G2947" s="1">
        <v>1</v>
      </c>
      <c r="H2947" s="1">
        <v>0</v>
      </c>
      <c r="I2947" s="1">
        <v>110</v>
      </c>
      <c r="J2947" s="1">
        <v>109</v>
      </c>
      <c r="K2947" s="1">
        <v>1</v>
      </c>
    </row>
    <row r="2948" spans="3:11" x14ac:dyDescent="0.25">
      <c r="C2948" s="1" t="s">
        <v>1857</v>
      </c>
      <c r="D2948" s="1" t="s">
        <v>1858</v>
      </c>
      <c r="E2948" s="1" t="s">
        <v>1859</v>
      </c>
      <c r="F2948" s="1">
        <v>1</v>
      </c>
      <c r="G2948" s="1">
        <v>1</v>
      </c>
      <c r="H2948" s="1">
        <v>0</v>
      </c>
      <c r="I2948" s="1">
        <v>110</v>
      </c>
      <c r="J2948" s="1">
        <v>109</v>
      </c>
      <c r="K2948" s="1">
        <v>1</v>
      </c>
    </row>
    <row r="2949" spans="3:11" x14ac:dyDescent="0.25">
      <c r="C2949" s="1" t="s">
        <v>3350</v>
      </c>
      <c r="D2949" s="1" t="s">
        <v>3351</v>
      </c>
      <c r="E2949" s="1" t="s">
        <v>3352</v>
      </c>
      <c r="F2949" s="1">
        <v>1</v>
      </c>
      <c r="G2949" s="1">
        <v>1</v>
      </c>
      <c r="H2949" s="1">
        <v>0</v>
      </c>
      <c r="I2949" s="1">
        <v>108</v>
      </c>
      <c r="J2949" s="1">
        <v>107</v>
      </c>
      <c r="K2949" s="1">
        <v>1</v>
      </c>
    </row>
    <row r="2950" spans="3:11" x14ac:dyDescent="0.25">
      <c r="C2950" s="1" t="s">
        <v>10333</v>
      </c>
      <c r="D2950" s="1" t="s">
        <v>10334</v>
      </c>
      <c r="E2950" s="1" t="s">
        <v>10335</v>
      </c>
      <c r="F2950" s="1">
        <v>1</v>
      </c>
      <c r="G2950" s="1">
        <v>1</v>
      </c>
      <c r="H2950" s="1">
        <v>0</v>
      </c>
      <c r="I2950" s="1">
        <v>103</v>
      </c>
      <c r="J2950" s="1">
        <v>102</v>
      </c>
      <c r="K2950" s="1">
        <v>1</v>
      </c>
    </row>
    <row r="2951" spans="3:11" x14ac:dyDescent="0.25">
      <c r="C2951" s="1" t="s">
        <v>10336</v>
      </c>
      <c r="D2951" s="1" t="s">
        <v>10337</v>
      </c>
      <c r="E2951" s="1" t="s">
        <v>10338</v>
      </c>
      <c r="F2951" s="1">
        <v>1</v>
      </c>
      <c r="G2951" s="1">
        <v>1</v>
      </c>
      <c r="H2951" s="1">
        <v>0</v>
      </c>
      <c r="I2951" s="1">
        <v>100</v>
      </c>
      <c r="J2951" s="1">
        <v>99</v>
      </c>
      <c r="K2951" s="1">
        <v>1</v>
      </c>
    </row>
    <row r="2952" spans="3:11" x14ac:dyDescent="0.25">
      <c r="C2952" s="1" t="s">
        <v>10339</v>
      </c>
      <c r="D2952" s="1" t="s">
        <v>10340</v>
      </c>
      <c r="E2952" s="1" t="s">
        <v>10341</v>
      </c>
      <c r="F2952" s="1">
        <v>1</v>
      </c>
      <c r="G2952" s="1">
        <v>1</v>
      </c>
      <c r="H2952" s="1">
        <v>0</v>
      </c>
      <c r="I2952" s="1">
        <v>99</v>
      </c>
      <c r="J2952" s="1">
        <v>98</v>
      </c>
      <c r="K2952" s="1">
        <v>1</v>
      </c>
    </row>
    <row r="2953" spans="3:11" x14ac:dyDescent="0.25">
      <c r="C2953" s="1" t="s">
        <v>1765</v>
      </c>
      <c r="D2953" s="1" t="s">
        <v>1766</v>
      </c>
      <c r="E2953" s="1" t="s">
        <v>1765</v>
      </c>
      <c r="F2953" s="1">
        <v>1</v>
      </c>
      <c r="G2953" s="1">
        <v>1</v>
      </c>
      <c r="H2953" s="1">
        <v>0</v>
      </c>
      <c r="I2953" s="1">
        <v>98</v>
      </c>
      <c r="J2953" s="1">
        <v>97</v>
      </c>
      <c r="K2953" s="1">
        <v>1</v>
      </c>
    </row>
    <row r="2954" spans="3:11" x14ac:dyDescent="0.25">
      <c r="C2954" s="1" t="s">
        <v>2052</v>
      </c>
      <c r="D2954" s="1" t="s">
        <v>2053</v>
      </c>
      <c r="E2954" s="1" t="s">
        <v>2054</v>
      </c>
      <c r="F2954" s="1">
        <v>1</v>
      </c>
      <c r="G2954" s="1">
        <v>1</v>
      </c>
      <c r="H2954" s="1">
        <v>0</v>
      </c>
      <c r="I2954" s="1">
        <v>93</v>
      </c>
      <c r="J2954" s="1">
        <v>92</v>
      </c>
      <c r="K2954" s="1">
        <v>1</v>
      </c>
    </row>
    <row r="2955" spans="3:11" x14ac:dyDescent="0.25">
      <c r="C2955" s="1" t="s">
        <v>10342</v>
      </c>
      <c r="D2955" s="1" t="s">
        <v>10343</v>
      </c>
      <c r="E2955" s="1" t="s">
        <v>10342</v>
      </c>
      <c r="F2955" s="1">
        <v>1</v>
      </c>
      <c r="G2955" s="1">
        <v>1</v>
      </c>
      <c r="H2955" s="1">
        <v>0</v>
      </c>
      <c r="I2955" s="1">
        <v>92</v>
      </c>
      <c r="J2955" s="1">
        <v>91</v>
      </c>
      <c r="K2955" s="1">
        <v>1</v>
      </c>
    </row>
    <row r="2956" spans="3:11" x14ac:dyDescent="0.25">
      <c r="C2956" s="1" t="s">
        <v>3428</v>
      </c>
      <c r="D2956" s="1" t="s">
        <v>3429</v>
      </c>
      <c r="E2956" s="1" t="s">
        <v>3430</v>
      </c>
      <c r="F2956" s="1">
        <v>1</v>
      </c>
      <c r="G2956" s="1">
        <v>1</v>
      </c>
      <c r="H2956" s="1">
        <v>0</v>
      </c>
      <c r="I2956" s="1">
        <v>91</v>
      </c>
      <c r="J2956" s="1">
        <v>90</v>
      </c>
      <c r="K2956" s="1">
        <v>1</v>
      </c>
    </row>
    <row r="2957" spans="3:11" x14ac:dyDescent="0.25">
      <c r="C2957" s="1" t="s">
        <v>10344</v>
      </c>
      <c r="D2957" s="1" t="s">
        <v>10345</v>
      </c>
      <c r="E2957" s="1" t="s">
        <v>10346</v>
      </c>
      <c r="F2957" s="1">
        <v>1</v>
      </c>
      <c r="G2957" s="1">
        <v>1</v>
      </c>
      <c r="H2957" s="1">
        <v>0</v>
      </c>
      <c r="I2957" s="1">
        <v>90</v>
      </c>
      <c r="J2957" s="1">
        <v>89</v>
      </c>
      <c r="K2957" s="1">
        <v>1</v>
      </c>
    </row>
    <row r="2958" spans="3:11" x14ac:dyDescent="0.25">
      <c r="C2958" s="1" t="s">
        <v>3431</v>
      </c>
      <c r="D2958" s="1" t="s">
        <v>3432</v>
      </c>
      <c r="E2958" s="1" t="s">
        <v>3433</v>
      </c>
      <c r="F2958" s="1">
        <v>1</v>
      </c>
      <c r="G2958" s="1">
        <v>1</v>
      </c>
      <c r="H2958" s="1">
        <v>0</v>
      </c>
      <c r="I2958" s="1">
        <v>90</v>
      </c>
      <c r="J2958" s="1">
        <v>89</v>
      </c>
      <c r="K2958" s="1">
        <v>1</v>
      </c>
    </row>
    <row r="2959" spans="3:11" x14ac:dyDescent="0.25">
      <c r="C2959" s="1" t="s">
        <v>3452</v>
      </c>
      <c r="D2959" s="1" t="s">
        <v>3453</v>
      </c>
      <c r="E2959" s="1" t="s">
        <v>3454</v>
      </c>
      <c r="F2959" s="1">
        <v>1</v>
      </c>
      <c r="G2959" s="1">
        <v>1</v>
      </c>
      <c r="H2959" s="1">
        <v>0</v>
      </c>
      <c r="I2959" s="1">
        <v>87</v>
      </c>
      <c r="J2959" s="1">
        <v>86</v>
      </c>
      <c r="K2959" s="1">
        <v>1</v>
      </c>
    </row>
    <row r="2960" spans="3:11" x14ac:dyDescent="0.25">
      <c r="C2960" s="1" t="s">
        <v>10347</v>
      </c>
      <c r="D2960" s="1" t="s">
        <v>10348</v>
      </c>
      <c r="E2960" s="1" t="s">
        <v>10349</v>
      </c>
      <c r="F2960" s="1">
        <v>1</v>
      </c>
      <c r="G2960" s="1">
        <v>1</v>
      </c>
      <c r="H2960" s="1">
        <v>0</v>
      </c>
      <c r="I2960" s="1">
        <v>85</v>
      </c>
      <c r="J2960" s="1">
        <v>84</v>
      </c>
      <c r="K2960" s="1">
        <v>1</v>
      </c>
    </row>
    <row r="2961" spans="3:11" x14ac:dyDescent="0.25">
      <c r="C2961" s="1" t="s">
        <v>1779</v>
      </c>
      <c r="D2961" s="1" t="s">
        <v>1780</v>
      </c>
      <c r="E2961" s="1" t="s">
        <v>1781</v>
      </c>
      <c r="F2961" s="1">
        <v>1</v>
      </c>
      <c r="G2961" s="1">
        <v>1</v>
      </c>
      <c r="H2961" s="1">
        <v>0</v>
      </c>
      <c r="I2961" s="1">
        <v>81</v>
      </c>
      <c r="J2961" s="1">
        <v>80</v>
      </c>
      <c r="K2961" s="1">
        <v>1</v>
      </c>
    </row>
    <row r="2962" spans="3:11" x14ac:dyDescent="0.25">
      <c r="C2962" s="1" t="s">
        <v>10350</v>
      </c>
      <c r="D2962" s="1" t="s">
        <v>10351</v>
      </c>
      <c r="E2962" s="1" t="s">
        <v>10350</v>
      </c>
      <c r="F2962" s="1">
        <v>1</v>
      </c>
      <c r="G2962" s="1">
        <v>1</v>
      </c>
      <c r="H2962" s="1">
        <v>0</v>
      </c>
      <c r="I2962" s="1">
        <v>75</v>
      </c>
      <c r="J2962" s="1">
        <v>74</v>
      </c>
      <c r="K2962" s="1">
        <v>1</v>
      </c>
    </row>
    <row r="2963" spans="3:11" x14ac:dyDescent="0.25">
      <c r="C2963" s="1" t="s">
        <v>10352</v>
      </c>
      <c r="D2963" s="1" t="s">
        <v>10353</v>
      </c>
      <c r="E2963" s="1" t="s">
        <v>10354</v>
      </c>
      <c r="F2963" s="1">
        <v>1</v>
      </c>
      <c r="G2963" s="1">
        <v>1</v>
      </c>
      <c r="H2963" s="1">
        <v>0</v>
      </c>
      <c r="I2963" s="1">
        <v>72</v>
      </c>
      <c r="J2963" s="1">
        <v>71</v>
      </c>
      <c r="K2963" s="1">
        <v>1</v>
      </c>
    </row>
    <row r="2964" spans="3:11" x14ac:dyDescent="0.25">
      <c r="C2964" s="1" t="s">
        <v>3540</v>
      </c>
      <c r="D2964" s="1" t="s">
        <v>3541</v>
      </c>
      <c r="E2964" s="1" t="s">
        <v>3542</v>
      </c>
      <c r="F2964" s="1">
        <v>1</v>
      </c>
      <c r="G2964" s="1">
        <v>1</v>
      </c>
      <c r="H2964" s="1">
        <v>0</v>
      </c>
      <c r="I2964" s="1">
        <v>71</v>
      </c>
      <c r="J2964" s="1">
        <v>70</v>
      </c>
      <c r="K2964" s="1">
        <v>1</v>
      </c>
    </row>
    <row r="2965" spans="3:11" x14ac:dyDescent="0.25">
      <c r="C2965" s="1" t="s">
        <v>3537</v>
      </c>
      <c r="D2965" s="1" t="s">
        <v>3538</v>
      </c>
      <c r="E2965" s="1" t="s">
        <v>3539</v>
      </c>
      <c r="F2965" s="1">
        <v>1</v>
      </c>
      <c r="G2965" s="1">
        <v>1</v>
      </c>
      <c r="H2965" s="1">
        <v>0</v>
      </c>
      <c r="I2965" s="1">
        <v>71</v>
      </c>
      <c r="J2965" s="1">
        <v>70</v>
      </c>
      <c r="K2965" s="1">
        <v>1</v>
      </c>
    </row>
    <row r="2966" spans="3:11" x14ac:dyDescent="0.25">
      <c r="C2966" s="1" t="s">
        <v>1863</v>
      </c>
      <c r="D2966" s="1" t="s">
        <v>1864</v>
      </c>
      <c r="E2966" s="1" t="s">
        <v>1865</v>
      </c>
      <c r="F2966" s="1">
        <v>1</v>
      </c>
      <c r="G2966" s="1">
        <v>1</v>
      </c>
      <c r="H2966" s="1">
        <v>0</v>
      </c>
      <c r="I2966" s="1">
        <v>67</v>
      </c>
      <c r="J2966" s="1">
        <v>66</v>
      </c>
      <c r="K2966" s="1">
        <v>1</v>
      </c>
    </row>
    <row r="2967" spans="3:11" x14ac:dyDescent="0.25">
      <c r="C2967" s="1" t="s">
        <v>2240</v>
      </c>
      <c r="D2967" s="1" t="s">
        <v>2241</v>
      </c>
      <c r="E2967" s="1" t="s">
        <v>2242</v>
      </c>
      <c r="F2967" s="1">
        <v>1</v>
      </c>
      <c r="G2967" s="1">
        <v>1</v>
      </c>
      <c r="H2967" s="1">
        <v>0</v>
      </c>
      <c r="I2967" s="1">
        <v>66</v>
      </c>
      <c r="J2967" s="1">
        <v>65</v>
      </c>
      <c r="K2967" s="1">
        <v>1</v>
      </c>
    </row>
    <row r="2968" spans="3:11" x14ac:dyDescent="0.25">
      <c r="C2968" s="1" t="s">
        <v>10355</v>
      </c>
      <c r="D2968" s="1" t="s">
        <v>10356</v>
      </c>
      <c r="E2968" s="1" t="s">
        <v>10357</v>
      </c>
      <c r="F2968" s="1">
        <v>1</v>
      </c>
      <c r="G2968" s="1">
        <v>1</v>
      </c>
      <c r="H2968" s="1">
        <v>0</v>
      </c>
      <c r="I2968" s="1">
        <v>63</v>
      </c>
      <c r="J2968" s="1">
        <v>62</v>
      </c>
      <c r="K2968" s="1">
        <v>1</v>
      </c>
    </row>
    <row r="2969" spans="3:11" x14ac:dyDescent="0.25">
      <c r="C2969" s="1" t="s">
        <v>1810</v>
      </c>
      <c r="D2969" s="1" t="s">
        <v>1811</v>
      </c>
      <c r="E2969" s="1" t="s">
        <v>1812</v>
      </c>
      <c r="F2969" s="1">
        <v>1</v>
      </c>
      <c r="G2969" s="1">
        <v>1</v>
      </c>
      <c r="H2969" s="1">
        <v>0</v>
      </c>
      <c r="I2969" s="1">
        <v>59</v>
      </c>
      <c r="J2969" s="1">
        <v>58</v>
      </c>
      <c r="K2969" s="1">
        <v>1</v>
      </c>
    </row>
    <row r="2970" spans="3:11" x14ac:dyDescent="0.25">
      <c r="C2970" s="1" t="s">
        <v>2115</v>
      </c>
      <c r="D2970" s="1" t="s">
        <v>2116</v>
      </c>
      <c r="E2970" s="1" t="s">
        <v>2117</v>
      </c>
      <c r="F2970" s="1">
        <v>1</v>
      </c>
      <c r="G2970" s="1">
        <v>1</v>
      </c>
      <c r="H2970" s="1">
        <v>0</v>
      </c>
      <c r="I2970" s="1">
        <v>57</v>
      </c>
      <c r="J2970" s="1">
        <v>56</v>
      </c>
      <c r="K2970" s="1">
        <v>1</v>
      </c>
    </row>
    <row r="2971" spans="3:11" x14ac:dyDescent="0.25">
      <c r="C2971" s="1" t="s">
        <v>10358</v>
      </c>
      <c r="D2971" s="1" t="s">
        <v>10359</v>
      </c>
      <c r="E2971" s="1" t="s">
        <v>10360</v>
      </c>
      <c r="F2971" s="1">
        <v>1</v>
      </c>
      <c r="G2971" s="1">
        <v>1</v>
      </c>
      <c r="H2971" s="1">
        <v>0</v>
      </c>
      <c r="I2971" s="1">
        <v>56</v>
      </c>
      <c r="J2971" s="1">
        <v>55</v>
      </c>
      <c r="K2971" s="1">
        <v>1</v>
      </c>
    </row>
    <row r="2972" spans="3:11" x14ac:dyDescent="0.25">
      <c r="C2972" s="1" t="s">
        <v>1828</v>
      </c>
      <c r="D2972" s="1" t="s">
        <v>1829</v>
      </c>
      <c r="E2972" s="1" t="s">
        <v>1828</v>
      </c>
      <c r="F2972" s="1">
        <v>1</v>
      </c>
      <c r="G2972" s="1">
        <v>1</v>
      </c>
      <c r="H2972" s="1">
        <v>0</v>
      </c>
      <c r="I2972" s="1">
        <v>54</v>
      </c>
      <c r="J2972" s="1">
        <v>53</v>
      </c>
      <c r="K2972" s="1">
        <v>1</v>
      </c>
    </row>
    <row r="2973" spans="3:11" x14ac:dyDescent="0.25">
      <c r="C2973" s="1" t="s">
        <v>10361</v>
      </c>
      <c r="D2973" s="1" t="s">
        <v>10362</v>
      </c>
      <c r="E2973" s="1" t="s">
        <v>10363</v>
      </c>
      <c r="F2973" s="1">
        <v>1</v>
      </c>
      <c r="G2973" s="1">
        <v>1</v>
      </c>
      <c r="H2973" s="1">
        <v>0</v>
      </c>
      <c r="I2973" s="1">
        <v>51</v>
      </c>
      <c r="J2973" s="1">
        <v>50</v>
      </c>
      <c r="K2973" s="1">
        <v>1</v>
      </c>
    </row>
    <row r="2974" spans="3:11" x14ac:dyDescent="0.25">
      <c r="C2974" s="1" t="s">
        <v>10364</v>
      </c>
      <c r="D2974" s="1" t="s">
        <v>10365</v>
      </c>
      <c r="E2974" s="1" t="s">
        <v>10364</v>
      </c>
      <c r="F2974" s="1">
        <v>1</v>
      </c>
      <c r="G2974" s="1">
        <v>1</v>
      </c>
      <c r="H2974" s="1">
        <v>0</v>
      </c>
      <c r="I2974" s="1">
        <v>49</v>
      </c>
      <c r="J2974" s="1">
        <v>48</v>
      </c>
      <c r="K2974" s="1">
        <v>1</v>
      </c>
    </row>
    <row r="2975" spans="3:11" x14ac:dyDescent="0.25">
      <c r="C2975" s="1" t="s">
        <v>10366</v>
      </c>
      <c r="D2975" s="1" t="s">
        <v>10367</v>
      </c>
      <c r="E2975" s="1" t="s">
        <v>10368</v>
      </c>
      <c r="F2975" s="1">
        <v>1</v>
      </c>
      <c r="G2975" s="1">
        <v>1</v>
      </c>
      <c r="H2975" s="1">
        <v>0</v>
      </c>
      <c r="I2975" s="1">
        <v>47</v>
      </c>
      <c r="J2975" s="1">
        <v>46</v>
      </c>
      <c r="K2975" s="1">
        <v>1</v>
      </c>
    </row>
    <row r="2976" spans="3:11" x14ac:dyDescent="0.25">
      <c r="C2976" s="1" t="s">
        <v>3705</v>
      </c>
      <c r="D2976" s="1" t="s">
        <v>3706</v>
      </c>
      <c r="E2976" s="1" t="s">
        <v>3707</v>
      </c>
      <c r="F2976" s="1">
        <v>1</v>
      </c>
      <c r="G2976" s="1">
        <v>1</v>
      </c>
      <c r="H2976" s="1">
        <v>0</v>
      </c>
      <c r="I2976" s="1">
        <v>45</v>
      </c>
      <c r="J2976" s="1">
        <v>44</v>
      </c>
      <c r="K2976" s="1">
        <v>1</v>
      </c>
    </row>
    <row r="2977" spans="3:11" x14ac:dyDescent="0.25">
      <c r="C2977" s="1" t="s">
        <v>10369</v>
      </c>
      <c r="D2977" s="1" t="s">
        <v>10370</v>
      </c>
      <c r="E2977" s="1" t="s">
        <v>10371</v>
      </c>
      <c r="F2977" s="1">
        <v>1</v>
      </c>
      <c r="G2977" s="1">
        <v>1</v>
      </c>
      <c r="H2977" s="1">
        <v>0</v>
      </c>
      <c r="I2977" s="1">
        <v>44</v>
      </c>
      <c r="J2977" s="1">
        <v>43</v>
      </c>
      <c r="K2977" s="1">
        <v>1</v>
      </c>
    </row>
    <row r="2978" spans="3:11" x14ac:dyDescent="0.25">
      <c r="C2978" s="1" t="s">
        <v>3719</v>
      </c>
      <c r="D2978" s="1" t="s">
        <v>3720</v>
      </c>
      <c r="E2978" s="1" t="s">
        <v>3721</v>
      </c>
      <c r="F2978" s="1">
        <v>1</v>
      </c>
      <c r="G2978" s="1">
        <v>1</v>
      </c>
      <c r="H2978" s="1">
        <v>0</v>
      </c>
      <c r="I2978" s="1">
        <v>43</v>
      </c>
      <c r="J2978" s="1">
        <v>42</v>
      </c>
      <c r="K2978" s="1">
        <v>1</v>
      </c>
    </row>
    <row r="2979" spans="3:11" x14ac:dyDescent="0.25">
      <c r="C2979" s="1" t="s">
        <v>3767</v>
      </c>
      <c r="D2979" s="1" t="s">
        <v>3768</v>
      </c>
      <c r="E2979" s="1" t="s">
        <v>3769</v>
      </c>
      <c r="F2979" s="1">
        <v>1</v>
      </c>
      <c r="G2979" s="1">
        <v>1</v>
      </c>
      <c r="H2979" s="1">
        <v>0</v>
      </c>
      <c r="I2979" s="1">
        <v>42</v>
      </c>
      <c r="J2979" s="1">
        <v>41</v>
      </c>
      <c r="K2979" s="1">
        <v>1</v>
      </c>
    </row>
    <row r="2980" spans="3:11" x14ac:dyDescent="0.25">
      <c r="C2980" s="1" t="s">
        <v>3727</v>
      </c>
      <c r="D2980" s="1" t="s">
        <v>3728</v>
      </c>
      <c r="E2980" s="1" t="s">
        <v>3729</v>
      </c>
      <c r="F2980" s="1">
        <v>1</v>
      </c>
      <c r="G2980" s="1">
        <v>1</v>
      </c>
      <c r="H2980" s="1">
        <v>0</v>
      </c>
      <c r="I2980" s="1">
        <v>42</v>
      </c>
      <c r="J2980" s="1">
        <v>41</v>
      </c>
      <c r="K2980" s="1">
        <v>1</v>
      </c>
    </row>
    <row r="2981" spans="3:11" x14ac:dyDescent="0.25">
      <c r="C2981" s="1" t="s">
        <v>10372</v>
      </c>
      <c r="D2981" s="1" t="s">
        <v>10373</v>
      </c>
      <c r="E2981" s="1" t="s">
        <v>10374</v>
      </c>
      <c r="F2981" s="1">
        <v>1</v>
      </c>
      <c r="G2981" s="1">
        <v>1</v>
      </c>
      <c r="H2981" s="1">
        <v>0</v>
      </c>
      <c r="I2981" s="1">
        <v>39</v>
      </c>
      <c r="J2981" s="1">
        <v>38</v>
      </c>
      <c r="K2981" s="1">
        <v>1</v>
      </c>
    </row>
    <row r="2982" spans="3:11" x14ac:dyDescent="0.25">
      <c r="C2982" s="1" t="s">
        <v>10375</v>
      </c>
      <c r="D2982" s="1" t="s">
        <v>10376</v>
      </c>
      <c r="E2982" s="1" t="s">
        <v>10377</v>
      </c>
      <c r="F2982" s="1">
        <v>1</v>
      </c>
      <c r="G2982" s="1">
        <v>1</v>
      </c>
      <c r="H2982" s="1">
        <v>0</v>
      </c>
      <c r="I2982" s="1">
        <v>38</v>
      </c>
      <c r="J2982" s="1">
        <v>37</v>
      </c>
      <c r="K2982" s="1">
        <v>1</v>
      </c>
    </row>
    <row r="2983" spans="3:11" x14ac:dyDescent="0.25">
      <c r="C2983" s="1" t="s">
        <v>3779</v>
      </c>
      <c r="D2983" s="1" t="s">
        <v>3780</v>
      </c>
      <c r="E2983" s="1" t="s">
        <v>3781</v>
      </c>
      <c r="F2983" s="1">
        <v>1</v>
      </c>
      <c r="G2983" s="1">
        <v>1</v>
      </c>
      <c r="H2983" s="1">
        <v>0</v>
      </c>
      <c r="I2983" s="1">
        <v>37</v>
      </c>
      <c r="J2983" s="1">
        <v>36</v>
      </c>
      <c r="K2983" s="1">
        <v>1</v>
      </c>
    </row>
    <row r="2984" spans="3:11" x14ac:dyDescent="0.25">
      <c r="C2984" s="1" t="s">
        <v>3824</v>
      </c>
      <c r="D2984" s="1" t="s">
        <v>3825</v>
      </c>
      <c r="E2984" s="1" t="s">
        <v>3826</v>
      </c>
      <c r="F2984" s="1">
        <v>1</v>
      </c>
      <c r="G2984" s="1">
        <v>1</v>
      </c>
      <c r="H2984" s="1">
        <v>0</v>
      </c>
      <c r="I2984" s="1">
        <v>34</v>
      </c>
      <c r="J2984" s="1">
        <v>33</v>
      </c>
      <c r="K2984" s="1">
        <v>1</v>
      </c>
    </row>
    <row r="2985" spans="3:11" x14ac:dyDescent="0.25">
      <c r="C2985" s="1" t="s">
        <v>4230</v>
      </c>
      <c r="D2985" s="1" t="s">
        <v>4231</v>
      </c>
      <c r="E2985" s="1" t="s">
        <v>4232</v>
      </c>
      <c r="F2985" s="1">
        <v>1</v>
      </c>
      <c r="G2985" s="1">
        <v>1</v>
      </c>
      <c r="H2985" s="1">
        <v>0</v>
      </c>
      <c r="I2985" s="1">
        <v>33</v>
      </c>
      <c r="J2985" s="1">
        <v>32</v>
      </c>
      <c r="K2985" s="1">
        <v>1</v>
      </c>
    </row>
    <row r="2986" spans="3:11" x14ac:dyDescent="0.25">
      <c r="C2986" s="1" t="s">
        <v>10378</v>
      </c>
      <c r="D2986" s="1" t="s">
        <v>10379</v>
      </c>
      <c r="E2986" s="1" t="s">
        <v>10380</v>
      </c>
      <c r="F2986" s="1">
        <v>1</v>
      </c>
      <c r="G2986" s="1">
        <v>1</v>
      </c>
      <c r="H2986" s="1">
        <v>0</v>
      </c>
      <c r="I2986" s="1">
        <v>30</v>
      </c>
      <c r="J2986" s="1">
        <v>29</v>
      </c>
      <c r="K2986" s="1">
        <v>1</v>
      </c>
    </row>
    <row r="2987" spans="3:11" x14ac:dyDescent="0.25">
      <c r="C2987" s="1" t="s">
        <v>3875</v>
      </c>
      <c r="D2987" s="1" t="s">
        <v>3876</v>
      </c>
      <c r="E2987" s="1" t="s">
        <v>3877</v>
      </c>
      <c r="F2987" s="1">
        <v>1</v>
      </c>
      <c r="G2987" s="1">
        <v>1</v>
      </c>
      <c r="H2987" s="1">
        <v>0</v>
      </c>
      <c r="I2987" s="1">
        <v>30</v>
      </c>
      <c r="J2987" s="1">
        <v>29</v>
      </c>
      <c r="K2987" s="1">
        <v>1</v>
      </c>
    </row>
    <row r="2988" spans="3:11" x14ac:dyDescent="0.25">
      <c r="C2988" s="1" t="s">
        <v>2243</v>
      </c>
      <c r="D2988" s="1" t="s">
        <v>2244</v>
      </c>
      <c r="E2988" s="1" t="s">
        <v>2245</v>
      </c>
      <c r="F2988" s="1">
        <v>1</v>
      </c>
      <c r="G2988" s="1">
        <v>1</v>
      </c>
      <c r="H2988" s="1">
        <v>0</v>
      </c>
      <c r="I2988" s="1">
        <v>27</v>
      </c>
      <c r="J2988" s="1">
        <v>26</v>
      </c>
      <c r="K2988" s="1">
        <v>1</v>
      </c>
    </row>
    <row r="2989" spans="3:11" x14ac:dyDescent="0.25">
      <c r="C2989" s="1" t="s">
        <v>2127</v>
      </c>
      <c r="D2989" s="1" t="s">
        <v>2128</v>
      </c>
      <c r="E2989" s="1" t="s">
        <v>2129</v>
      </c>
      <c r="F2989" s="1">
        <v>1</v>
      </c>
      <c r="G2989" s="1">
        <v>1</v>
      </c>
      <c r="H2989" s="1">
        <v>0</v>
      </c>
      <c r="I2989" s="1">
        <v>26</v>
      </c>
      <c r="J2989" s="1">
        <v>25</v>
      </c>
      <c r="K2989" s="1">
        <v>1</v>
      </c>
    </row>
    <row r="2990" spans="3:11" x14ac:dyDescent="0.25">
      <c r="C2990" s="1" t="s">
        <v>10381</v>
      </c>
      <c r="D2990" s="1" t="s">
        <v>10382</v>
      </c>
      <c r="E2990" s="1" t="s">
        <v>10383</v>
      </c>
      <c r="F2990" s="1">
        <v>1</v>
      </c>
      <c r="G2990" s="1">
        <v>1</v>
      </c>
      <c r="H2990" s="1">
        <v>0</v>
      </c>
      <c r="I2990" s="1">
        <v>25</v>
      </c>
      <c r="J2990" s="1">
        <v>24</v>
      </c>
      <c r="K2990" s="1">
        <v>1</v>
      </c>
    </row>
    <row r="2991" spans="3:11" x14ac:dyDescent="0.25">
      <c r="D2991" s="1" t="s">
        <v>10384</v>
      </c>
      <c r="E2991" s="1" t="s">
        <v>10385</v>
      </c>
      <c r="F2991" s="1">
        <v>1</v>
      </c>
      <c r="G2991" s="1">
        <v>1</v>
      </c>
      <c r="H2991" s="1">
        <v>0</v>
      </c>
      <c r="I2991" s="1">
        <v>25</v>
      </c>
      <c r="J2991" s="1">
        <v>24</v>
      </c>
      <c r="K2991" s="1">
        <v>1</v>
      </c>
    </row>
    <row r="2992" spans="3:11" x14ac:dyDescent="0.25">
      <c r="C2992" s="1" t="s">
        <v>1932</v>
      </c>
      <c r="D2992" s="1" t="s">
        <v>1933</v>
      </c>
      <c r="E2992" s="1" t="s">
        <v>1934</v>
      </c>
      <c r="F2992" s="1">
        <v>1</v>
      </c>
      <c r="G2992" s="1">
        <v>1</v>
      </c>
      <c r="H2992" s="1">
        <v>0</v>
      </c>
      <c r="I2992" s="1">
        <v>25</v>
      </c>
      <c r="J2992" s="1">
        <v>24</v>
      </c>
      <c r="K2992" s="1">
        <v>1</v>
      </c>
    </row>
    <row r="2993" spans="3:11" x14ac:dyDescent="0.25">
      <c r="C2993" s="1" t="s">
        <v>3930</v>
      </c>
      <c r="D2993" s="1" t="s">
        <v>3931</v>
      </c>
      <c r="E2993" s="1" t="s">
        <v>3932</v>
      </c>
      <c r="F2993" s="1">
        <v>1</v>
      </c>
      <c r="G2993" s="1">
        <v>1</v>
      </c>
      <c r="H2993" s="1">
        <v>0</v>
      </c>
      <c r="I2993" s="1">
        <v>24</v>
      </c>
      <c r="J2993" s="1">
        <v>23</v>
      </c>
      <c r="K2993" s="1">
        <v>1</v>
      </c>
    </row>
    <row r="2994" spans="3:11" x14ac:dyDescent="0.25">
      <c r="C2994" s="1" t="s">
        <v>3936</v>
      </c>
      <c r="D2994" s="1" t="s">
        <v>3937</v>
      </c>
      <c r="E2994" s="1" t="s">
        <v>3936</v>
      </c>
      <c r="F2994" s="1">
        <v>1</v>
      </c>
      <c r="G2994" s="1">
        <v>1</v>
      </c>
      <c r="H2994" s="1">
        <v>0</v>
      </c>
      <c r="I2994" s="1">
        <v>23</v>
      </c>
      <c r="J2994" s="1">
        <v>22</v>
      </c>
      <c r="K2994" s="1">
        <v>1</v>
      </c>
    </row>
    <row r="2995" spans="3:11" x14ac:dyDescent="0.25">
      <c r="C2995" s="1" t="s">
        <v>3944</v>
      </c>
      <c r="D2995" s="1" t="s">
        <v>3945</v>
      </c>
      <c r="E2995" s="1" t="s">
        <v>3946</v>
      </c>
      <c r="F2995" s="1">
        <v>1</v>
      </c>
      <c r="G2995" s="1">
        <v>1</v>
      </c>
      <c r="H2995" s="1">
        <v>0</v>
      </c>
      <c r="I2995" s="1">
        <v>23</v>
      </c>
      <c r="J2995" s="1">
        <v>22</v>
      </c>
      <c r="K2995" s="1">
        <v>1</v>
      </c>
    </row>
    <row r="2996" spans="3:11" x14ac:dyDescent="0.25">
      <c r="C2996" s="1" t="s">
        <v>3956</v>
      </c>
      <c r="D2996" s="1" t="s">
        <v>3957</v>
      </c>
      <c r="E2996" s="1" t="s">
        <v>3956</v>
      </c>
      <c r="F2996" s="1">
        <v>1</v>
      </c>
      <c r="G2996" s="1">
        <v>1</v>
      </c>
      <c r="H2996" s="1">
        <v>0</v>
      </c>
      <c r="I2996" s="1">
        <v>22</v>
      </c>
      <c r="J2996" s="1">
        <v>21</v>
      </c>
      <c r="K2996" s="1">
        <v>1</v>
      </c>
    </row>
    <row r="2997" spans="3:11" x14ac:dyDescent="0.25">
      <c r="C2997" s="1" t="s">
        <v>10386</v>
      </c>
      <c r="D2997" s="1" t="s">
        <v>10387</v>
      </c>
      <c r="E2997" s="1" t="s">
        <v>10388</v>
      </c>
      <c r="F2997" s="1">
        <v>1</v>
      </c>
      <c r="G2997" s="1">
        <v>1</v>
      </c>
      <c r="H2997" s="1">
        <v>0</v>
      </c>
      <c r="I2997" s="1">
        <v>21</v>
      </c>
      <c r="J2997" s="1">
        <v>20</v>
      </c>
      <c r="K2997" s="1">
        <v>1</v>
      </c>
    </row>
    <row r="2998" spans="3:11" x14ac:dyDescent="0.25">
      <c r="C2998" s="1" t="s">
        <v>2216</v>
      </c>
      <c r="D2998" s="1" t="s">
        <v>2217</v>
      </c>
      <c r="E2998" s="1" t="s">
        <v>2218</v>
      </c>
      <c r="F2998" s="1">
        <v>1</v>
      </c>
      <c r="G2998" s="1">
        <v>1</v>
      </c>
      <c r="H2998" s="1">
        <v>0</v>
      </c>
      <c r="I2998" s="1">
        <v>21</v>
      </c>
      <c r="J2998" s="1">
        <v>20</v>
      </c>
      <c r="K2998" s="1">
        <v>1</v>
      </c>
    </row>
    <row r="2999" spans="3:11" x14ac:dyDescent="0.25">
      <c r="C2999" s="1" t="s">
        <v>3967</v>
      </c>
      <c r="D2999" s="1" t="s">
        <v>3968</v>
      </c>
      <c r="E2999" s="1" t="s">
        <v>3969</v>
      </c>
      <c r="F2999" s="1">
        <v>1</v>
      </c>
      <c r="G2999" s="1">
        <v>1</v>
      </c>
      <c r="H2999" s="1">
        <v>0</v>
      </c>
      <c r="I2999" s="1">
        <v>21</v>
      </c>
      <c r="J2999" s="1">
        <v>20</v>
      </c>
      <c r="K2999" s="1">
        <v>1</v>
      </c>
    </row>
    <row r="3000" spans="3:11" x14ac:dyDescent="0.25">
      <c r="C3000" s="1" t="s">
        <v>10389</v>
      </c>
      <c r="D3000" s="1" t="s">
        <v>10390</v>
      </c>
      <c r="E3000" s="1" t="s">
        <v>10391</v>
      </c>
      <c r="F3000" s="1">
        <v>1</v>
      </c>
      <c r="G3000" s="1">
        <v>1</v>
      </c>
      <c r="H3000" s="1">
        <v>0</v>
      </c>
      <c r="I3000" s="1">
        <v>20</v>
      </c>
      <c r="J3000" s="1">
        <v>19</v>
      </c>
      <c r="K3000" s="1">
        <v>1</v>
      </c>
    </row>
    <row r="3001" spans="3:11" x14ac:dyDescent="0.25">
      <c r="C3001" s="1" t="s">
        <v>10392</v>
      </c>
      <c r="D3001" s="1" t="s">
        <v>10393</v>
      </c>
      <c r="E3001" s="1" t="s">
        <v>10394</v>
      </c>
      <c r="F3001" s="1">
        <v>1</v>
      </c>
      <c r="G3001" s="1">
        <v>1</v>
      </c>
      <c r="H3001" s="1">
        <v>0</v>
      </c>
      <c r="I3001" s="1">
        <v>20</v>
      </c>
      <c r="J3001" s="1">
        <v>19</v>
      </c>
      <c r="K3001" s="1">
        <v>1</v>
      </c>
    </row>
    <row r="3002" spans="3:11" x14ac:dyDescent="0.25">
      <c r="C3002" s="1" t="s">
        <v>3978</v>
      </c>
      <c r="D3002" s="1" t="s">
        <v>3979</v>
      </c>
      <c r="E3002" s="1" t="s">
        <v>3980</v>
      </c>
      <c r="F3002" s="1">
        <v>1</v>
      </c>
      <c r="G3002" s="1">
        <v>1</v>
      </c>
      <c r="H3002" s="1">
        <v>0</v>
      </c>
      <c r="I3002" s="1">
        <v>20</v>
      </c>
      <c r="J3002" s="1">
        <v>19</v>
      </c>
      <c r="K3002" s="1">
        <v>1</v>
      </c>
    </row>
    <row r="3003" spans="3:11" x14ac:dyDescent="0.25">
      <c r="C3003" s="1" t="s">
        <v>10395</v>
      </c>
      <c r="D3003" s="1" t="s">
        <v>10396</v>
      </c>
      <c r="E3003" s="1" t="s">
        <v>10395</v>
      </c>
      <c r="F3003" s="1">
        <v>1</v>
      </c>
      <c r="G3003" s="1">
        <v>1</v>
      </c>
      <c r="H3003" s="1">
        <v>0</v>
      </c>
      <c r="I3003" s="1">
        <v>19</v>
      </c>
      <c r="J3003" s="1">
        <v>18</v>
      </c>
      <c r="K3003" s="1">
        <v>1</v>
      </c>
    </row>
    <row r="3004" spans="3:11" x14ac:dyDescent="0.25">
      <c r="C3004" s="1" t="s">
        <v>10397</v>
      </c>
      <c r="D3004" s="1" t="s">
        <v>10398</v>
      </c>
      <c r="E3004" s="1" t="s">
        <v>10399</v>
      </c>
      <c r="F3004" s="1">
        <v>1</v>
      </c>
      <c r="G3004" s="1">
        <v>1</v>
      </c>
      <c r="H3004" s="1">
        <v>0</v>
      </c>
      <c r="I3004" s="1">
        <v>18</v>
      </c>
      <c r="J3004" s="1">
        <v>17</v>
      </c>
      <c r="K3004" s="1">
        <v>1</v>
      </c>
    </row>
    <row r="3005" spans="3:11" x14ac:dyDescent="0.25">
      <c r="C3005" s="1" t="s">
        <v>4233</v>
      </c>
      <c r="D3005" s="1" t="s">
        <v>4234</v>
      </c>
      <c r="E3005" s="1" t="s">
        <v>4235</v>
      </c>
      <c r="F3005" s="1">
        <v>1</v>
      </c>
      <c r="G3005" s="1">
        <v>1</v>
      </c>
      <c r="H3005" s="1">
        <v>0</v>
      </c>
      <c r="I3005" s="1">
        <v>18</v>
      </c>
      <c r="J3005" s="1">
        <v>17</v>
      </c>
      <c r="K3005" s="1">
        <v>1</v>
      </c>
    </row>
    <row r="3006" spans="3:11" x14ac:dyDescent="0.25">
      <c r="C3006" s="1" t="s">
        <v>4345</v>
      </c>
      <c r="D3006" s="1" t="s">
        <v>4346</v>
      </c>
      <c r="E3006" s="1" t="s">
        <v>4347</v>
      </c>
      <c r="F3006" s="1">
        <v>1</v>
      </c>
      <c r="G3006" s="1">
        <v>1</v>
      </c>
      <c r="H3006" s="1">
        <v>0</v>
      </c>
      <c r="I3006" s="1">
        <v>14</v>
      </c>
      <c r="J3006" s="1">
        <v>13</v>
      </c>
      <c r="K3006" s="1">
        <v>1</v>
      </c>
    </row>
    <row r="3007" spans="3:11" x14ac:dyDescent="0.25">
      <c r="C3007" s="1" t="s">
        <v>10400</v>
      </c>
      <c r="D3007" s="1" t="s">
        <v>10401</v>
      </c>
      <c r="E3007" s="1" t="s">
        <v>10402</v>
      </c>
      <c r="F3007" s="1">
        <v>1</v>
      </c>
      <c r="G3007" s="1">
        <v>1</v>
      </c>
      <c r="H3007" s="1">
        <v>0</v>
      </c>
      <c r="I3007" s="1">
        <v>13</v>
      </c>
      <c r="J3007" s="1">
        <v>12</v>
      </c>
      <c r="K3007" s="1">
        <v>1</v>
      </c>
    </row>
    <row r="3008" spans="3:11" x14ac:dyDescent="0.25">
      <c r="C3008" s="1" t="s">
        <v>10403</v>
      </c>
      <c r="D3008" s="1" t="s">
        <v>10404</v>
      </c>
      <c r="E3008" s="1" t="s">
        <v>10405</v>
      </c>
      <c r="F3008" s="1">
        <v>1</v>
      </c>
      <c r="G3008" s="1">
        <v>1</v>
      </c>
      <c r="H3008" s="1">
        <v>0</v>
      </c>
      <c r="I3008" s="1">
        <v>12</v>
      </c>
      <c r="J3008" s="1">
        <v>11</v>
      </c>
      <c r="K3008" s="1">
        <v>1</v>
      </c>
    </row>
    <row r="3009" spans="3:11" x14ac:dyDescent="0.25">
      <c r="C3009" s="1" t="s">
        <v>10406</v>
      </c>
      <c r="D3009" s="1" t="s">
        <v>10407</v>
      </c>
      <c r="E3009" s="1" t="s">
        <v>10408</v>
      </c>
      <c r="F3009" s="1">
        <v>1</v>
      </c>
      <c r="G3009" s="1">
        <v>1</v>
      </c>
      <c r="H3009" s="1">
        <v>0</v>
      </c>
      <c r="I3009" s="1">
        <v>12</v>
      </c>
      <c r="J3009" s="1">
        <v>11</v>
      </c>
      <c r="K3009" s="1">
        <v>1</v>
      </c>
    </row>
    <row r="3010" spans="3:11" x14ac:dyDescent="0.25">
      <c r="C3010" s="1" t="s">
        <v>4063</v>
      </c>
      <c r="D3010" s="1" t="s">
        <v>4064</v>
      </c>
      <c r="E3010" s="1" t="s">
        <v>4065</v>
      </c>
      <c r="F3010" s="1">
        <v>1</v>
      </c>
      <c r="G3010" s="1">
        <v>1</v>
      </c>
      <c r="H3010" s="1">
        <v>0</v>
      </c>
      <c r="I3010" s="1">
        <v>12</v>
      </c>
      <c r="J3010" s="1">
        <v>11</v>
      </c>
      <c r="K3010" s="1">
        <v>1</v>
      </c>
    </row>
    <row r="3011" spans="3:11" x14ac:dyDescent="0.25">
      <c r="C3011" s="1" t="s">
        <v>4201</v>
      </c>
      <c r="D3011" s="1" t="s">
        <v>4202</v>
      </c>
      <c r="E3011" s="1" t="s">
        <v>4203</v>
      </c>
      <c r="F3011" s="1">
        <v>1</v>
      </c>
      <c r="G3011" s="1">
        <v>1</v>
      </c>
      <c r="H3011" s="1">
        <v>0</v>
      </c>
      <c r="I3011" s="1">
        <v>11</v>
      </c>
      <c r="J3011" s="1">
        <v>10</v>
      </c>
      <c r="K3011" s="1">
        <v>1</v>
      </c>
    </row>
    <row r="3012" spans="3:11" x14ac:dyDescent="0.25">
      <c r="C3012" s="1" t="s">
        <v>10409</v>
      </c>
      <c r="D3012" s="1" t="s">
        <v>10410</v>
      </c>
      <c r="E3012" s="1" t="s">
        <v>10411</v>
      </c>
      <c r="F3012" s="1">
        <v>1</v>
      </c>
      <c r="G3012" s="1">
        <v>1</v>
      </c>
      <c r="H3012" s="1">
        <v>0</v>
      </c>
      <c r="I3012" s="1">
        <v>9</v>
      </c>
      <c r="J3012" s="1">
        <v>8</v>
      </c>
      <c r="K3012" s="1">
        <v>1</v>
      </c>
    </row>
    <row r="3013" spans="3:11" x14ac:dyDescent="0.25">
      <c r="C3013" s="1" t="s">
        <v>1986</v>
      </c>
      <c r="D3013" s="1" t="s">
        <v>1987</v>
      </c>
      <c r="E3013" s="1" t="s">
        <v>1988</v>
      </c>
      <c r="F3013" s="1">
        <v>1</v>
      </c>
      <c r="G3013" s="1">
        <v>1</v>
      </c>
      <c r="H3013" s="1">
        <v>0</v>
      </c>
      <c r="I3013" s="1">
        <v>9</v>
      </c>
      <c r="J3013" s="1">
        <v>8</v>
      </c>
      <c r="K3013" s="1">
        <v>1</v>
      </c>
    </row>
    <row r="3014" spans="3:11" x14ac:dyDescent="0.25">
      <c r="C3014" s="1" t="s">
        <v>2200</v>
      </c>
      <c r="D3014" s="1" t="s">
        <v>2201</v>
      </c>
      <c r="E3014" s="1" t="s">
        <v>2202</v>
      </c>
      <c r="F3014" s="1">
        <v>1</v>
      </c>
      <c r="G3014" s="1">
        <v>1</v>
      </c>
      <c r="H3014" s="1">
        <v>0</v>
      </c>
      <c r="I3014" s="1">
        <v>9</v>
      </c>
      <c r="J3014" s="1">
        <v>8</v>
      </c>
      <c r="K3014" s="1">
        <v>1</v>
      </c>
    </row>
    <row r="3015" spans="3:11" x14ac:dyDescent="0.25">
      <c r="C3015" s="1" t="s">
        <v>10412</v>
      </c>
      <c r="D3015" s="1" t="s">
        <v>10413</v>
      </c>
      <c r="E3015" s="1" t="s">
        <v>10414</v>
      </c>
      <c r="F3015" s="1">
        <v>1</v>
      </c>
      <c r="G3015" s="1">
        <v>1</v>
      </c>
      <c r="H3015" s="1">
        <v>0</v>
      </c>
      <c r="I3015" s="1">
        <v>7</v>
      </c>
      <c r="J3015" s="1">
        <v>6</v>
      </c>
      <c r="K3015" s="1">
        <v>1</v>
      </c>
    </row>
    <row r="3016" spans="3:11" x14ac:dyDescent="0.25">
      <c r="C3016" s="1" t="s">
        <v>2106</v>
      </c>
      <c r="D3016" s="1" t="s">
        <v>2107</v>
      </c>
      <c r="E3016" s="1" t="s">
        <v>2108</v>
      </c>
      <c r="F3016" s="1">
        <v>1</v>
      </c>
      <c r="G3016" s="1">
        <v>1</v>
      </c>
      <c r="H3016" s="1">
        <v>0</v>
      </c>
      <c r="I3016" s="1">
        <v>7</v>
      </c>
      <c r="J3016" s="1">
        <v>6</v>
      </c>
      <c r="K3016" s="1">
        <v>1</v>
      </c>
    </row>
    <row r="3017" spans="3:11" x14ac:dyDescent="0.25">
      <c r="C3017" s="1" t="s">
        <v>10415</v>
      </c>
      <c r="D3017" s="1" t="s">
        <v>10416</v>
      </c>
      <c r="E3017" s="1" t="s">
        <v>10417</v>
      </c>
      <c r="F3017" s="1">
        <v>1</v>
      </c>
      <c r="G3017" s="1">
        <v>1</v>
      </c>
      <c r="H3017" s="1">
        <v>0</v>
      </c>
      <c r="I3017" s="1">
        <v>6</v>
      </c>
      <c r="J3017" s="1">
        <v>5</v>
      </c>
      <c r="K3017" s="1">
        <v>1</v>
      </c>
    </row>
    <row r="3018" spans="3:11" x14ac:dyDescent="0.25">
      <c r="C3018" s="1" t="s">
        <v>10418</v>
      </c>
      <c r="D3018" s="1" t="s">
        <v>10419</v>
      </c>
      <c r="E3018" s="1" t="s">
        <v>10420</v>
      </c>
      <c r="F3018" s="1">
        <v>1</v>
      </c>
      <c r="G3018" s="1">
        <v>1</v>
      </c>
      <c r="H3018" s="1">
        <v>0</v>
      </c>
      <c r="I3018" s="1">
        <v>6</v>
      </c>
      <c r="J3018" s="1">
        <v>5</v>
      </c>
      <c r="K3018" s="1">
        <v>1</v>
      </c>
    </row>
    <row r="3019" spans="3:11" x14ac:dyDescent="0.25">
      <c r="C3019" s="1" t="s">
        <v>10421</v>
      </c>
      <c r="D3019" s="1" t="s">
        <v>10422</v>
      </c>
      <c r="E3019" s="1" t="s">
        <v>10423</v>
      </c>
      <c r="F3019" s="1">
        <v>1</v>
      </c>
      <c r="G3019" s="1">
        <v>1</v>
      </c>
      <c r="H3019" s="1">
        <v>0</v>
      </c>
      <c r="I3019" s="1">
        <v>5</v>
      </c>
      <c r="J3019" s="1">
        <v>4</v>
      </c>
      <c r="K3019" s="1">
        <v>1</v>
      </c>
    </row>
    <row r="3020" spans="3:11" x14ac:dyDescent="0.25">
      <c r="C3020" s="1" t="s">
        <v>10424</v>
      </c>
      <c r="D3020" s="1" t="s">
        <v>10425</v>
      </c>
      <c r="E3020" s="1" t="s">
        <v>10424</v>
      </c>
      <c r="F3020" s="1">
        <v>1</v>
      </c>
      <c r="G3020" s="1">
        <v>1</v>
      </c>
      <c r="H3020" s="1">
        <v>0</v>
      </c>
      <c r="I3020" s="1">
        <v>5</v>
      </c>
      <c r="J3020" s="1">
        <v>4</v>
      </c>
      <c r="K3020" s="1">
        <v>1</v>
      </c>
    </row>
    <row r="3021" spans="3:11" x14ac:dyDescent="0.25">
      <c r="C3021" s="1" t="s">
        <v>10426</v>
      </c>
      <c r="D3021" s="1" t="s">
        <v>10427</v>
      </c>
      <c r="E3021" s="1" t="s">
        <v>10428</v>
      </c>
      <c r="F3021" s="1">
        <v>1</v>
      </c>
      <c r="G3021" s="1">
        <v>1</v>
      </c>
      <c r="H3021" s="1">
        <v>0</v>
      </c>
      <c r="I3021" s="1">
        <v>5</v>
      </c>
      <c r="J3021" s="1">
        <v>4</v>
      </c>
      <c r="K3021" s="1">
        <v>1</v>
      </c>
    </row>
    <row r="3022" spans="3:11" x14ac:dyDescent="0.25">
      <c r="C3022" s="1" t="s">
        <v>4137</v>
      </c>
      <c r="D3022" s="1" t="s">
        <v>4138</v>
      </c>
      <c r="E3022" s="1" t="s">
        <v>4139</v>
      </c>
      <c r="F3022" s="1">
        <v>1</v>
      </c>
      <c r="G3022" s="1">
        <v>1</v>
      </c>
      <c r="H3022" s="1">
        <v>0</v>
      </c>
      <c r="I3022" s="1">
        <v>5</v>
      </c>
      <c r="J3022" s="1">
        <v>4</v>
      </c>
      <c r="K3022" s="1">
        <v>1</v>
      </c>
    </row>
    <row r="3023" spans="3:11" x14ac:dyDescent="0.25">
      <c r="C3023" s="1" t="s">
        <v>4143</v>
      </c>
      <c r="D3023" s="1" t="s">
        <v>4144</v>
      </c>
      <c r="E3023" s="1" t="s">
        <v>4145</v>
      </c>
      <c r="F3023" s="1">
        <v>1</v>
      </c>
      <c r="G3023" s="1">
        <v>1</v>
      </c>
      <c r="H3023" s="1">
        <v>0</v>
      </c>
      <c r="I3023" s="1">
        <v>5</v>
      </c>
      <c r="J3023" s="1">
        <v>4</v>
      </c>
      <c r="K3023" s="1">
        <v>1</v>
      </c>
    </row>
    <row r="3024" spans="3:11" x14ac:dyDescent="0.25">
      <c r="C3024" s="1" t="s">
        <v>10429</v>
      </c>
      <c r="D3024" s="1" t="s">
        <v>10430</v>
      </c>
      <c r="E3024" s="1" t="s">
        <v>10431</v>
      </c>
      <c r="F3024" s="1">
        <v>1</v>
      </c>
      <c r="G3024" s="1">
        <v>1</v>
      </c>
      <c r="H3024" s="1">
        <v>0</v>
      </c>
      <c r="I3024" s="1">
        <v>4</v>
      </c>
      <c r="J3024" s="1">
        <v>3</v>
      </c>
      <c r="K3024" s="1">
        <v>1</v>
      </c>
    </row>
    <row r="3025" spans="3:11" x14ac:dyDescent="0.25">
      <c r="C3025" s="1" t="s">
        <v>10432</v>
      </c>
      <c r="D3025" s="1" t="s">
        <v>10433</v>
      </c>
      <c r="E3025" s="1" t="s">
        <v>10434</v>
      </c>
      <c r="F3025" s="1">
        <v>1</v>
      </c>
      <c r="G3025" s="1">
        <v>1</v>
      </c>
      <c r="H3025" s="1">
        <v>0</v>
      </c>
      <c r="I3025" s="1">
        <v>4</v>
      </c>
      <c r="J3025" s="1">
        <v>3</v>
      </c>
      <c r="K3025" s="1">
        <v>1</v>
      </c>
    </row>
    <row r="3026" spans="3:11" x14ac:dyDescent="0.25">
      <c r="C3026" s="1" t="s">
        <v>10435</v>
      </c>
      <c r="D3026" s="1" t="s">
        <v>10436</v>
      </c>
      <c r="E3026" s="1" t="s">
        <v>10435</v>
      </c>
      <c r="F3026" s="1">
        <v>1</v>
      </c>
      <c r="G3026" s="1">
        <v>1</v>
      </c>
      <c r="H3026" s="1">
        <v>0</v>
      </c>
      <c r="I3026" s="1">
        <v>4</v>
      </c>
      <c r="J3026" s="1">
        <v>3</v>
      </c>
      <c r="K3026" s="1">
        <v>1</v>
      </c>
    </row>
    <row r="3027" spans="3:11" x14ac:dyDescent="0.25">
      <c r="C3027" s="1" t="s">
        <v>10437</v>
      </c>
      <c r="D3027" s="1" t="s">
        <v>10438</v>
      </c>
      <c r="E3027" s="1" t="s">
        <v>10437</v>
      </c>
      <c r="F3027" s="1">
        <v>1</v>
      </c>
      <c r="G3027" s="1">
        <v>1</v>
      </c>
      <c r="H3027" s="1">
        <v>0</v>
      </c>
      <c r="I3027" s="1">
        <v>3</v>
      </c>
      <c r="J3027" s="1">
        <v>2</v>
      </c>
      <c r="K3027" s="1">
        <v>1</v>
      </c>
    </row>
    <row r="3028" spans="3:11" x14ac:dyDescent="0.25">
      <c r="C3028" s="1" t="s">
        <v>10439</v>
      </c>
      <c r="D3028" s="1" t="s">
        <v>10440</v>
      </c>
      <c r="E3028" s="1" t="s">
        <v>10441</v>
      </c>
      <c r="F3028" s="1">
        <v>1</v>
      </c>
      <c r="G3028" s="1">
        <v>1</v>
      </c>
      <c r="H3028" s="1">
        <v>0</v>
      </c>
      <c r="I3028" s="1">
        <v>3</v>
      </c>
      <c r="J3028" s="1">
        <v>2</v>
      </c>
      <c r="K3028" s="1">
        <v>1</v>
      </c>
    </row>
    <row r="3029" spans="3:11" x14ac:dyDescent="0.25">
      <c r="D3029" s="1" t="s">
        <v>10442</v>
      </c>
      <c r="E3029" s="1" t="s">
        <v>10443</v>
      </c>
      <c r="F3029" s="1">
        <v>1</v>
      </c>
      <c r="G3029" s="1">
        <v>1</v>
      </c>
      <c r="H3029" s="1">
        <v>0</v>
      </c>
      <c r="I3029" s="1">
        <v>3</v>
      </c>
      <c r="J3029" s="1">
        <v>2</v>
      </c>
      <c r="K3029" s="1">
        <v>1</v>
      </c>
    </row>
    <row r="3030" spans="3:11" x14ac:dyDescent="0.25">
      <c r="C3030" s="1" t="s">
        <v>10444</v>
      </c>
      <c r="D3030" s="1" t="s">
        <v>10445</v>
      </c>
      <c r="E3030" s="1" t="s">
        <v>10446</v>
      </c>
      <c r="F3030" s="1">
        <v>1</v>
      </c>
      <c r="G3030" s="1">
        <v>1</v>
      </c>
      <c r="H3030" s="1">
        <v>0</v>
      </c>
      <c r="I3030" s="1">
        <v>3</v>
      </c>
      <c r="J3030" s="1">
        <v>2</v>
      </c>
      <c r="K3030" s="1">
        <v>1</v>
      </c>
    </row>
    <row r="3031" spans="3:11" x14ac:dyDescent="0.25">
      <c r="C3031" s="1" t="s">
        <v>10447</v>
      </c>
      <c r="D3031" s="1" t="s">
        <v>10448</v>
      </c>
      <c r="E3031" s="1" t="s">
        <v>10449</v>
      </c>
      <c r="F3031" s="1">
        <v>1</v>
      </c>
      <c r="G3031" s="1">
        <v>1</v>
      </c>
      <c r="H3031" s="1">
        <v>0</v>
      </c>
      <c r="I3031" s="1">
        <v>2</v>
      </c>
      <c r="J3031" s="1">
        <v>1</v>
      </c>
      <c r="K3031" s="1">
        <v>1</v>
      </c>
    </row>
    <row r="3032" spans="3:11" x14ac:dyDescent="0.25">
      <c r="C3032" s="1" t="s">
        <v>10450</v>
      </c>
      <c r="D3032" s="1" t="s">
        <v>10451</v>
      </c>
      <c r="E3032" s="1" t="s">
        <v>10452</v>
      </c>
      <c r="F3032" s="1">
        <v>1</v>
      </c>
      <c r="G3032" s="1">
        <v>1</v>
      </c>
      <c r="H3032" s="1">
        <v>0</v>
      </c>
      <c r="I3032" s="1">
        <v>2</v>
      </c>
      <c r="J3032" s="1">
        <v>1</v>
      </c>
      <c r="K3032" s="1">
        <v>1</v>
      </c>
    </row>
    <row r="3033" spans="3:11" x14ac:dyDescent="0.25">
      <c r="C3033" s="1" t="s">
        <v>10453</v>
      </c>
      <c r="D3033" s="1" t="s">
        <v>10454</v>
      </c>
      <c r="E3033" s="1" t="s">
        <v>10455</v>
      </c>
      <c r="F3033" s="1">
        <v>1</v>
      </c>
      <c r="G3033" s="1">
        <v>1</v>
      </c>
      <c r="H3033" s="1">
        <v>0</v>
      </c>
      <c r="I3033" s="1">
        <v>2</v>
      </c>
      <c r="J3033" s="1">
        <v>1</v>
      </c>
      <c r="K3033" s="1">
        <v>1</v>
      </c>
    </row>
    <row r="3034" spans="3:11" x14ac:dyDescent="0.25">
      <c r="C3034" s="1" t="s">
        <v>10456</v>
      </c>
      <c r="D3034" s="1" t="s">
        <v>10457</v>
      </c>
      <c r="E3034" s="1" t="s">
        <v>10458</v>
      </c>
      <c r="F3034" s="1">
        <v>1</v>
      </c>
      <c r="G3034" s="1">
        <v>1</v>
      </c>
      <c r="H3034" s="1">
        <v>0</v>
      </c>
      <c r="I3034" s="1">
        <v>1</v>
      </c>
      <c r="J3034" s="1">
        <v>0</v>
      </c>
      <c r="K3034" s="1">
        <v>1</v>
      </c>
    </row>
    <row r="3035" spans="3:11" x14ac:dyDescent="0.25">
      <c r="C3035" s="1" t="s">
        <v>10459</v>
      </c>
      <c r="D3035" s="1" t="s">
        <v>10460</v>
      </c>
      <c r="E3035" s="1" t="s">
        <v>10461</v>
      </c>
      <c r="F3035" s="1">
        <v>1</v>
      </c>
      <c r="G3035" s="1">
        <v>1</v>
      </c>
      <c r="H3035" s="1">
        <v>0</v>
      </c>
      <c r="I3035" s="1">
        <v>1</v>
      </c>
      <c r="J3035" s="1">
        <v>0</v>
      </c>
      <c r="K3035" s="1">
        <v>1</v>
      </c>
    </row>
    <row r="3036" spans="3:11" x14ac:dyDescent="0.25">
      <c r="C3036" s="1" t="s">
        <v>10462</v>
      </c>
      <c r="D3036" s="1" t="s">
        <v>10463</v>
      </c>
      <c r="E3036" s="1" t="s">
        <v>10462</v>
      </c>
      <c r="F3036" s="1">
        <v>1</v>
      </c>
      <c r="G3036" s="1">
        <v>1</v>
      </c>
      <c r="H3036" s="1">
        <v>0</v>
      </c>
      <c r="I3036" s="1">
        <v>1</v>
      </c>
      <c r="J3036" s="1">
        <v>0</v>
      </c>
      <c r="K3036" s="1">
        <v>1</v>
      </c>
    </row>
    <row r="3037" spans="3:11" x14ac:dyDescent="0.25">
      <c r="C3037" s="1" t="s">
        <v>10464</v>
      </c>
      <c r="D3037" s="1" t="s">
        <v>10465</v>
      </c>
      <c r="E3037" s="1" t="s">
        <v>10466</v>
      </c>
      <c r="F3037" s="1">
        <v>1</v>
      </c>
      <c r="G3037" s="1">
        <v>1</v>
      </c>
      <c r="H3037" s="1">
        <v>0</v>
      </c>
      <c r="I3037" s="1">
        <v>1</v>
      </c>
      <c r="J3037" s="1">
        <v>0</v>
      </c>
      <c r="K3037" s="1">
        <v>1</v>
      </c>
    </row>
    <row r="3038" spans="3:11" x14ac:dyDescent="0.25">
      <c r="C3038" s="1" t="s">
        <v>10467</v>
      </c>
      <c r="D3038" s="1" t="s">
        <v>10468</v>
      </c>
      <c r="E3038" s="1" t="s">
        <v>10469</v>
      </c>
      <c r="F3038" s="1">
        <v>1</v>
      </c>
      <c r="G3038" s="1">
        <v>1</v>
      </c>
      <c r="H3038" s="1">
        <v>0</v>
      </c>
      <c r="I3038" s="1">
        <v>1</v>
      </c>
      <c r="J3038" s="1">
        <v>0</v>
      </c>
      <c r="K3038" s="1">
        <v>1</v>
      </c>
    </row>
    <row r="3039" spans="3:11" x14ac:dyDescent="0.25">
      <c r="C3039" s="1" t="s">
        <v>10470</v>
      </c>
      <c r="D3039" s="1" t="s">
        <v>10471</v>
      </c>
      <c r="E3039" s="1" t="s">
        <v>10472</v>
      </c>
      <c r="F3039" s="1">
        <v>1</v>
      </c>
      <c r="G3039" s="1">
        <v>1</v>
      </c>
      <c r="H3039" s="1">
        <v>0</v>
      </c>
      <c r="I3039" s="1">
        <v>1</v>
      </c>
      <c r="J3039" s="1">
        <v>0</v>
      </c>
      <c r="K3039" s="1">
        <v>1</v>
      </c>
    </row>
    <row r="3040" spans="3:11" x14ac:dyDescent="0.25">
      <c r="C3040" s="1" t="s">
        <v>10473</v>
      </c>
      <c r="D3040" s="1" t="s">
        <v>10474</v>
      </c>
      <c r="E3040" s="1" t="s">
        <v>10475</v>
      </c>
      <c r="F3040" s="1">
        <v>1</v>
      </c>
      <c r="G3040" s="1">
        <v>1</v>
      </c>
      <c r="H3040" s="1">
        <v>0</v>
      </c>
      <c r="I3040" s="1">
        <v>1</v>
      </c>
      <c r="J3040" s="1">
        <v>0</v>
      </c>
      <c r="K3040" s="1">
        <v>1</v>
      </c>
    </row>
    <row r="3041" spans="3:11" x14ac:dyDescent="0.25">
      <c r="C3041" s="1" t="s">
        <v>10476</v>
      </c>
      <c r="D3041" s="1" t="s">
        <v>10477</v>
      </c>
      <c r="E3041" s="1" t="s">
        <v>10478</v>
      </c>
      <c r="F3041" s="1">
        <v>1</v>
      </c>
      <c r="G3041" s="1">
        <v>1</v>
      </c>
      <c r="H3041" s="1">
        <v>0</v>
      </c>
      <c r="I3041" s="1">
        <v>1</v>
      </c>
      <c r="J3041" s="1">
        <v>0</v>
      </c>
      <c r="K3041" s="1">
        <v>1</v>
      </c>
    </row>
    <row r="3042" spans="3:11" x14ac:dyDescent="0.25">
      <c r="C3042" s="1" t="s">
        <v>10479</v>
      </c>
      <c r="D3042" s="1" t="s">
        <v>10480</v>
      </c>
      <c r="E3042" s="1" t="s">
        <v>10481</v>
      </c>
      <c r="F3042" s="1">
        <v>1</v>
      </c>
      <c r="G3042" s="1">
        <v>1</v>
      </c>
      <c r="H3042" s="1">
        <v>0</v>
      </c>
      <c r="I3042" s="1">
        <v>1</v>
      </c>
      <c r="J3042" s="1">
        <v>0</v>
      </c>
      <c r="K3042" s="1">
        <v>1</v>
      </c>
    </row>
    <row r="3043" spans="3:11" x14ac:dyDescent="0.25">
      <c r="C3043" s="1" t="s">
        <v>10482</v>
      </c>
      <c r="D3043" s="1" t="s">
        <v>10483</v>
      </c>
      <c r="E3043" s="1" t="s">
        <v>10484</v>
      </c>
      <c r="F3043" s="1">
        <v>1</v>
      </c>
      <c r="G3043" s="1">
        <v>1</v>
      </c>
      <c r="H3043" s="1">
        <v>0</v>
      </c>
      <c r="I3043" s="1">
        <v>1</v>
      </c>
      <c r="J3043" s="1">
        <v>0</v>
      </c>
      <c r="K3043" s="1">
        <v>1</v>
      </c>
    </row>
    <row r="3044" spans="3:11" x14ac:dyDescent="0.25">
      <c r="C3044" s="1" t="s">
        <v>10485</v>
      </c>
      <c r="D3044" s="1" t="s">
        <v>10486</v>
      </c>
      <c r="E3044" s="1" t="s">
        <v>10487</v>
      </c>
      <c r="F3044" s="1">
        <v>1</v>
      </c>
      <c r="G3044" s="1">
        <v>1</v>
      </c>
      <c r="H3044" s="1">
        <v>0</v>
      </c>
      <c r="I3044" s="1">
        <v>1</v>
      </c>
      <c r="J3044" s="1">
        <v>0</v>
      </c>
      <c r="K3044" s="1">
        <v>1</v>
      </c>
    </row>
    <row r="3045" spans="3:11" x14ac:dyDescent="0.25">
      <c r="C3045" s="1" t="s">
        <v>10488</v>
      </c>
      <c r="D3045" s="1" t="s">
        <v>10489</v>
      </c>
      <c r="E3045" s="1" t="s">
        <v>10490</v>
      </c>
      <c r="F3045" s="1">
        <v>1</v>
      </c>
      <c r="G3045" s="1">
        <v>1</v>
      </c>
      <c r="H3045" s="1">
        <v>0</v>
      </c>
      <c r="I3045" s="1">
        <v>1</v>
      </c>
      <c r="J3045" s="1">
        <v>0</v>
      </c>
      <c r="K3045" s="1">
        <v>1</v>
      </c>
    </row>
    <row r="3046" spans="3:11" x14ac:dyDescent="0.25">
      <c r="D3046" s="1" t="s">
        <v>10491</v>
      </c>
      <c r="E3046" s="1" t="s">
        <v>10492</v>
      </c>
      <c r="F3046" s="1">
        <v>1</v>
      </c>
      <c r="G3046" s="1">
        <v>1</v>
      </c>
      <c r="H3046" s="1">
        <v>0</v>
      </c>
      <c r="I3046" s="1">
        <v>1</v>
      </c>
      <c r="J3046" s="1">
        <v>0</v>
      </c>
      <c r="K3046" s="1">
        <v>1</v>
      </c>
    </row>
    <row r="3047" spans="3:11" x14ac:dyDescent="0.25">
      <c r="D3047" s="1" t="s">
        <v>10493</v>
      </c>
      <c r="E3047" s="1" t="s">
        <v>10494</v>
      </c>
      <c r="F3047" s="1">
        <v>1</v>
      </c>
      <c r="G3047" s="1">
        <v>1</v>
      </c>
      <c r="H3047" s="1">
        <v>0</v>
      </c>
      <c r="I3047" s="1">
        <v>1</v>
      </c>
      <c r="J3047" s="1">
        <v>0</v>
      </c>
      <c r="K3047" s="1">
        <v>1</v>
      </c>
    </row>
    <row r="3048" spans="3:11" x14ac:dyDescent="0.25">
      <c r="D3048" s="1" t="s">
        <v>10495</v>
      </c>
      <c r="E3048" s="1" t="s">
        <v>10496</v>
      </c>
      <c r="F3048" s="1">
        <v>1</v>
      </c>
      <c r="G3048" s="1">
        <v>1</v>
      </c>
      <c r="H3048" s="1">
        <v>0</v>
      </c>
      <c r="I3048" s="1">
        <v>1</v>
      </c>
      <c r="J3048" s="1">
        <v>0</v>
      </c>
      <c r="K3048" s="1">
        <v>1</v>
      </c>
    </row>
    <row r="3049" spans="3:11" x14ac:dyDescent="0.25">
      <c r="D3049" s="1" t="s">
        <v>10497</v>
      </c>
      <c r="E3049" s="1" t="s">
        <v>10498</v>
      </c>
      <c r="F3049" s="1">
        <v>1</v>
      </c>
      <c r="G3049" s="1">
        <v>1</v>
      </c>
      <c r="H3049" s="1">
        <v>0</v>
      </c>
      <c r="I3049" s="1">
        <v>1</v>
      </c>
      <c r="J3049" s="1">
        <v>0</v>
      </c>
      <c r="K3049" s="1">
        <v>1</v>
      </c>
    </row>
    <row r="3050" spans="3:11" x14ac:dyDescent="0.25">
      <c r="D3050" s="1" t="s">
        <v>10499</v>
      </c>
      <c r="E3050" s="1" t="s">
        <v>10500</v>
      </c>
      <c r="F3050" s="1">
        <v>1</v>
      </c>
      <c r="G3050" s="1">
        <v>1</v>
      </c>
      <c r="H3050" s="1">
        <v>0</v>
      </c>
      <c r="I3050" s="1">
        <v>1</v>
      </c>
      <c r="J3050" s="1">
        <v>0</v>
      </c>
      <c r="K3050" s="1">
        <v>1</v>
      </c>
    </row>
    <row r="3051" spans="3:11" x14ac:dyDescent="0.25">
      <c r="C3051" s="1" t="s">
        <v>10501</v>
      </c>
      <c r="D3051" s="1" t="s">
        <v>10502</v>
      </c>
      <c r="E3051" s="1" t="s">
        <v>10503</v>
      </c>
      <c r="F3051" s="1">
        <v>1</v>
      </c>
      <c r="G3051" s="1">
        <v>1</v>
      </c>
      <c r="H3051" s="1">
        <v>0</v>
      </c>
      <c r="I3051" s="1">
        <v>1</v>
      </c>
      <c r="J3051" s="1">
        <v>0</v>
      </c>
      <c r="K3051" s="1">
        <v>1</v>
      </c>
    </row>
    <row r="3052" spans="3:11" x14ac:dyDescent="0.25">
      <c r="C3052" s="1" t="s">
        <v>10504</v>
      </c>
      <c r="D3052" s="1" t="s">
        <v>10505</v>
      </c>
      <c r="E3052" s="1" t="s">
        <v>10506</v>
      </c>
      <c r="F3052" s="1">
        <v>1</v>
      </c>
      <c r="G3052" s="1">
        <v>1</v>
      </c>
      <c r="H3052" s="1">
        <v>0</v>
      </c>
      <c r="I3052" s="1">
        <v>1</v>
      </c>
      <c r="J3052" s="1">
        <v>0</v>
      </c>
      <c r="K3052" s="1">
        <v>1</v>
      </c>
    </row>
    <row r="3053" spans="3:11" x14ac:dyDescent="0.25">
      <c r="C3053" s="1" t="s">
        <v>10507</v>
      </c>
      <c r="D3053" s="1" t="s">
        <v>10508</v>
      </c>
      <c r="E3053" s="1" t="s">
        <v>10509</v>
      </c>
      <c r="F3053" s="1">
        <v>1</v>
      </c>
      <c r="G3053" s="1">
        <v>1</v>
      </c>
      <c r="H3053" s="1">
        <v>0</v>
      </c>
      <c r="I3053" s="1">
        <v>1</v>
      </c>
      <c r="J3053" s="1">
        <v>0</v>
      </c>
      <c r="K3053" s="1">
        <v>1</v>
      </c>
    </row>
    <row r="3054" spans="3:11" x14ac:dyDescent="0.25">
      <c r="C3054" s="1" t="s">
        <v>10510</v>
      </c>
      <c r="D3054" s="1" t="s">
        <v>10511</v>
      </c>
      <c r="E3054" s="1" t="s">
        <v>10512</v>
      </c>
      <c r="F3054" s="1">
        <v>1</v>
      </c>
      <c r="G3054" s="1">
        <v>1</v>
      </c>
      <c r="H3054" s="1">
        <v>0</v>
      </c>
      <c r="I3054" s="1">
        <v>1</v>
      </c>
      <c r="J3054" s="1">
        <v>0</v>
      </c>
      <c r="K3054" s="1">
        <v>1</v>
      </c>
    </row>
    <row r="3055" spans="3:11" x14ac:dyDescent="0.25">
      <c r="C3055" s="1" t="s">
        <v>10513</v>
      </c>
      <c r="D3055" s="1" t="s">
        <v>10514</v>
      </c>
      <c r="E3055" s="1" t="s">
        <v>10515</v>
      </c>
      <c r="F3055" s="1">
        <v>1</v>
      </c>
      <c r="G3055" s="1">
        <v>1</v>
      </c>
      <c r="H3055" s="1">
        <v>0</v>
      </c>
      <c r="I3055" s="1">
        <v>1</v>
      </c>
      <c r="J3055" s="1">
        <v>0</v>
      </c>
      <c r="K3055" s="1">
        <v>1</v>
      </c>
    </row>
    <row r="3056" spans="3:11" x14ac:dyDescent="0.25">
      <c r="C3056" s="1" t="s">
        <v>10516</v>
      </c>
      <c r="D3056" s="1" t="s">
        <v>10517</v>
      </c>
      <c r="E3056" s="1" t="s">
        <v>10518</v>
      </c>
      <c r="F3056" s="1">
        <v>1</v>
      </c>
      <c r="G3056" s="1">
        <v>1</v>
      </c>
      <c r="H3056" s="1">
        <v>0</v>
      </c>
      <c r="I3056" s="1">
        <v>1</v>
      </c>
      <c r="J3056" s="1">
        <v>0</v>
      </c>
      <c r="K3056" s="1">
        <v>1</v>
      </c>
    </row>
    <row r="3057" spans="3:11" x14ac:dyDescent="0.25">
      <c r="C3057" s="1" t="s">
        <v>10519</v>
      </c>
      <c r="D3057" s="1" t="s">
        <v>10520</v>
      </c>
      <c r="E3057" s="1" t="s">
        <v>10521</v>
      </c>
      <c r="F3057" s="1">
        <v>1</v>
      </c>
      <c r="G3057" s="1">
        <v>1</v>
      </c>
      <c r="H3057" s="1">
        <v>0</v>
      </c>
      <c r="I3057" s="1">
        <v>1</v>
      </c>
      <c r="J3057" s="1">
        <v>0</v>
      </c>
      <c r="K3057" s="1">
        <v>1</v>
      </c>
    </row>
    <row r="3058" spans="3:11" x14ac:dyDescent="0.25">
      <c r="C3058" s="1" t="s">
        <v>10522</v>
      </c>
      <c r="D3058" s="1" t="s">
        <v>10523</v>
      </c>
      <c r="E3058" s="1" t="s">
        <v>10524</v>
      </c>
      <c r="F3058" s="1">
        <v>1</v>
      </c>
      <c r="G3058" s="1">
        <v>1</v>
      </c>
      <c r="H3058" s="1">
        <v>0</v>
      </c>
      <c r="I3058" s="1">
        <v>1</v>
      </c>
      <c r="J3058" s="1">
        <v>0</v>
      </c>
      <c r="K3058" s="1">
        <v>1</v>
      </c>
    </row>
    <row r="3059" spans="3:11" x14ac:dyDescent="0.25">
      <c r="C3059" s="1" t="s">
        <v>10525</v>
      </c>
      <c r="D3059" s="1" t="s">
        <v>10526</v>
      </c>
      <c r="E3059" s="1" t="s">
        <v>10527</v>
      </c>
      <c r="F3059" s="1">
        <v>1</v>
      </c>
      <c r="G3059" s="1">
        <v>1</v>
      </c>
      <c r="H3059" s="1">
        <v>0</v>
      </c>
      <c r="I3059" s="1">
        <v>1</v>
      </c>
      <c r="J3059" s="1">
        <v>0</v>
      </c>
      <c r="K3059" s="1">
        <v>1</v>
      </c>
    </row>
    <row r="3060" spans="3:11" x14ac:dyDescent="0.25">
      <c r="C3060" s="1" t="s">
        <v>10528</v>
      </c>
      <c r="D3060" s="1" t="s">
        <v>10529</v>
      </c>
      <c r="E3060" s="1" t="s">
        <v>10528</v>
      </c>
      <c r="F3060" s="1">
        <v>1</v>
      </c>
      <c r="G3060" s="1">
        <v>1</v>
      </c>
      <c r="H3060" s="1">
        <v>0</v>
      </c>
      <c r="I3060" s="1">
        <v>1</v>
      </c>
      <c r="J3060" s="1">
        <v>0</v>
      </c>
      <c r="K3060" s="1">
        <v>1</v>
      </c>
    </row>
    <row r="3061" spans="3:11" x14ac:dyDescent="0.25">
      <c r="D3061" s="1" t="s">
        <v>10530</v>
      </c>
      <c r="E3061" s="1" t="s">
        <v>10531</v>
      </c>
      <c r="F3061" s="1">
        <v>1</v>
      </c>
      <c r="G3061" s="1">
        <v>1</v>
      </c>
      <c r="H3061" s="1">
        <v>0</v>
      </c>
      <c r="I3061" s="1">
        <v>1</v>
      </c>
      <c r="J3061" s="1">
        <v>0</v>
      </c>
      <c r="K3061" s="1">
        <v>1</v>
      </c>
    </row>
    <row r="3062" spans="3:11" x14ac:dyDescent="0.25">
      <c r="D3062" s="1" t="s">
        <v>10532</v>
      </c>
      <c r="E3062" s="1" t="s">
        <v>10533</v>
      </c>
      <c r="F3062" s="1">
        <v>1</v>
      </c>
      <c r="G3062" s="1">
        <v>1</v>
      </c>
      <c r="H3062" s="1">
        <v>0</v>
      </c>
      <c r="I3062" s="1">
        <v>1</v>
      </c>
      <c r="J3062" s="1">
        <v>0</v>
      </c>
      <c r="K3062" s="1">
        <v>1</v>
      </c>
    </row>
    <row r="3063" spans="3:11" x14ac:dyDescent="0.25">
      <c r="C3063" s="1" t="s">
        <v>10534</v>
      </c>
      <c r="D3063" s="1" t="s">
        <v>10535</v>
      </c>
      <c r="E3063" s="1" t="s">
        <v>10536</v>
      </c>
      <c r="F3063" s="1">
        <v>1</v>
      </c>
      <c r="G3063" s="1">
        <v>1</v>
      </c>
      <c r="H3063" s="1">
        <v>0</v>
      </c>
      <c r="I3063" s="1">
        <v>1</v>
      </c>
      <c r="J3063" s="1">
        <v>0</v>
      </c>
      <c r="K3063" s="1">
        <v>1</v>
      </c>
    </row>
    <row r="3064" spans="3:11" x14ac:dyDescent="0.25">
      <c r="C3064" s="1" t="s">
        <v>10537</v>
      </c>
      <c r="D3064" s="1" t="s">
        <v>10538</v>
      </c>
      <c r="E3064" s="1" t="s">
        <v>10539</v>
      </c>
      <c r="F3064" s="1">
        <v>1</v>
      </c>
      <c r="G3064" s="1">
        <v>1</v>
      </c>
      <c r="H3064" s="1">
        <v>0</v>
      </c>
      <c r="I3064" s="1">
        <v>1</v>
      </c>
      <c r="J3064" s="1">
        <v>0</v>
      </c>
      <c r="K3064" s="1">
        <v>1</v>
      </c>
    </row>
    <row r="3065" spans="3:11" x14ac:dyDescent="0.25">
      <c r="C3065" s="1" t="s">
        <v>10540</v>
      </c>
      <c r="D3065" s="1" t="s">
        <v>10541</v>
      </c>
      <c r="E3065" s="1" t="s">
        <v>10542</v>
      </c>
      <c r="F3065" s="1">
        <v>1</v>
      </c>
      <c r="G3065" s="1">
        <v>1</v>
      </c>
      <c r="H3065" s="1">
        <v>0</v>
      </c>
      <c r="I3065" s="1">
        <v>1</v>
      </c>
      <c r="J3065" s="1">
        <v>0</v>
      </c>
      <c r="K3065" s="1">
        <v>1</v>
      </c>
    </row>
    <row r="3066" spans="3:11" x14ac:dyDescent="0.25">
      <c r="C3066" s="1" t="s">
        <v>10543</v>
      </c>
      <c r="D3066" s="1" t="s">
        <v>10544</v>
      </c>
      <c r="E3066" s="1" t="s">
        <v>10545</v>
      </c>
      <c r="F3066" s="1">
        <v>1</v>
      </c>
      <c r="G3066" s="1">
        <v>1</v>
      </c>
      <c r="H3066" s="1">
        <v>0</v>
      </c>
      <c r="I3066" s="1">
        <v>1</v>
      </c>
      <c r="J3066" s="1">
        <v>0</v>
      </c>
      <c r="K3066" s="1">
        <v>1</v>
      </c>
    </row>
    <row r="3067" spans="3:11" x14ac:dyDescent="0.25">
      <c r="C3067" s="1" t="s">
        <v>10546</v>
      </c>
      <c r="D3067" s="1" t="s">
        <v>10547</v>
      </c>
      <c r="E3067" s="1" t="s">
        <v>10546</v>
      </c>
      <c r="F3067" s="1">
        <v>1</v>
      </c>
      <c r="G3067" s="1">
        <v>1</v>
      </c>
      <c r="H3067" s="1">
        <v>0</v>
      </c>
      <c r="I3067" s="1">
        <v>1</v>
      </c>
      <c r="J3067" s="1">
        <v>0</v>
      </c>
      <c r="K3067" s="1">
        <v>1</v>
      </c>
    </row>
    <row r="3068" spans="3:11" x14ac:dyDescent="0.25">
      <c r="C3068" s="1" t="s">
        <v>10548</v>
      </c>
      <c r="D3068" s="1" t="s">
        <v>10549</v>
      </c>
      <c r="E3068" s="1" t="s">
        <v>10550</v>
      </c>
      <c r="F3068" s="1">
        <v>1</v>
      </c>
      <c r="G3068" s="1">
        <v>1</v>
      </c>
      <c r="H3068" s="1">
        <v>0</v>
      </c>
      <c r="I3068" s="1">
        <v>1</v>
      </c>
      <c r="J3068" s="1">
        <v>0</v>
      </c>
      <c r="K3068" s="1">
        <v>1</v>
      </c>
    </row>
    <row r="3069" spans="3:11" x14ac:dyDescent="0.25">
      <c r="C3069" s="1" t="s">
        <v>10551</v>
      </c>
      <c r="D3069" s="1" t="s">
        <v>10552</v>
      </c>
      <c r="E3069" s="1" t="s">
        <v>10553</v>
      </c>
      <c r="F3069" s="1">
        <v>1</v>
      </c>
      <c r="G3069" s="1">
        <v>1</v>
      </c>
      <c r="H3069" s="1">
        <v>0</v>
      </c>
      <c r="I3069" s="1">
        <v>1</v>
      </c>
      <c r="J3069" s="1">
        <v>0</v>
      </c>
      <c r="K3069" s="1">
        <v>1</v>
      </c>
    </row>
    <row r="3070" spans="3:11" x14ac:dyDescent="0.25">
      <c r="C3070" s="1" t="s">
        <v>10554</v>
      </c>
      <c r="D3070" s="1" t="s">
        <v>10555</v>
      </c>
      <c r="E3070" s="1" t="s">
        <v>10556</v>
      </c>
      <c r="F3070" s="1">
        <v>1</v>
      </c>
      <c r="G3070" s="1">
        <v>1</v>
      </c>
      <c r="H3070" s="1">
        <v>0</v>
      </c>
      <c r="I3070" s="1">
        <v>1</v>
      </c>
      <c r="J3070" s="1">
        <v>0</v>
      </c>
      <c r="K3070" s="1">
        <v>1</v>
      </c>
    </row>
    <row r="3071" spans="3:11" x14ac:dyDescent="0.25">
      <c r="C3071" s="1" t="s">
        <v>10557</v>
      </c>
      <c r="D3071" s="1" t="s">
        <v>10558</v>
      </c>
      <c r="E3071" s="1" t="s">
        <v>10559</v>
      </c>
      <c r="F3071" s="1">
        <v>1</v>
      </c>
      <c r="G3071" s="1">
        <v>1</v>
      </c>
      <c r="H3071" s="1">
        <v>0</v>
      </c>
      <c r="I3071" s="1">
        <v>1</v>
      </c>
      <c r="J3071" s="1">
        <v>0</v>
      </c>
      <c r="K3071" s="1">
        <v>1</v>
      </c>
    </row>
    <row r="3072" spans="3:11" x14ac:dyDescent="0.25">
      <c r="C3072" s="1" t="s">
        <v>10560</v>
      </c>
      <c r="D3072" s="1" t="s">
        <v>10561</v>
      </c>
      <c r="E3072" s="1" t="s">
        <v>10562</v>
      </c>
      <c r="F3072" s="1">
        <v>1</v>
      </c>
      <c r="G3072" s="1">
        <v>1</v>
      </c>
      <c r="H3072" s="1">
        <v>0</v>
      </c>
      <c r="I3072" s="1">
        <v>1</v>
      </c>
      <c r="J3072" s="1">
        <v>0</v>
      </c>
      <c r="K3072" s="1">
        <v>1</v>
      </c>
    </row>
    <row r="3073" spans="3:11" x14ac:dyDescent="0.25">
      <c r="C3073" s="1" t="s">
        <v>10563</v>
      </c>
      <c r="D3073" s="1" t="s">
        <v>10564</v>
      </c>
      <c r="E3073" s="1" t="s">
        <v>10563</v>
      </c>
      <c r="F3073" s="1">
        <v>1</v>
      </c>
      <c r="G3073" s="1">
        <v>1</v>
      </c>
      <c r="H3073" s="1">
        <v>0</v>
      </c>
      <c r="I3073" s="1">
        <v>1</v>
      </c>
      <c r="J3073" s="1">
        <v>0</v>
      </c>
      <c r="K3073" s="1">
        <v>1</v>
      </c>
    </row>
    <row r="3074" spans="3:11" x14ac:dyDescent="0.25">
      <c r="D3074" s="1" t="s">
        <v>10565</v>
      </c>
      <c r="E3074" s="1" t="s">
        <v>10566</v>
      </c>
      <c r="F3074" s="1">
        <v>1</v>
      </c>
      <c r="G3074" s="1">
        <v>1</v>
      </c>
      <c r="H3074" s="1">
        <v>0</v>
      </c>
      <c r="I3074" s="1">
        <v>1</v>
      </c>
      <c r="J3074" s="1">
        <v>0</v>
      </c>
      <c r="K3074" s="1">
        <v>1</v>
      </c>
    </row>
    <row r="3075" spans="3:11" x14ac:dyDescent="0.25">
      <c r="C3075" s="1" t="s">
        <v>10567</v>
      </c>
      <c r="D3075" s="1" t="s">
        <v>10568</v>
      </c>
      <c r="E3075" s="1" t="s">
        <v>10567</v>
      </c>
      <c r="F3075" s="1">
        <v>1</v>
      </c>
      <c r="G3075" s="1">
        <v>1</v>
      </c>
      <c r="H3075" s="1">
        <v>0</v>
      </c>
      <c r="I3075" s="1">
        <v>1</v>
      </c>
      <c r="J3075" s="1">
        <v>0</v>
      </c>
      <c r="K3075" s="1">
        <v>1</v>
      </c>
    </row>
    <row r="3076" spans="3:11" x14ac:dyDescent="0.25">
      <c r="C3076" s="1" t="s">
        <v>4195</v>
      </c>
      <c r="D3076" s="1" t="s">
        <v>4196</v>
      </c>
      <c r="E3076" s="1" t="s">
        <v>4197</v>
      </c>
      <c r="F3076" s="1">
        <v>1</v>
      </c>
      <c r="G3076" s="1">
        <v>1</v>
      </c>
      <c r="H3076" s="1">
        <v>0</v>
      </c>
      <c r="I3076" s="1">
        <v>1</v>
      </c>
      <c r="J3076" s="1">
        <v>0</v>
      </c>
      <c r="K3076" s="1">
        <v>1</v>
      </c>
    </row>
    <row r="3077" spans="3:11" x14ac:dyDescent="0.25">
      <c r="D3077" s="1" t="s">
        <v>10569</v>
      </c>
      <c r="E3077" s="1" t="s">
        <v>10570</v>
      </c>
      <c r="F3077" s="1">
        <v>1</v>
      </c>
      <c r="G3077" s="1">
        <v>1</v>
      </c>
      <c r="H3077" s="1">
        <v>0</v>
      </c>
      <c r="I3077" s="1">
        <v>1</v>
      </c>
      <c r="J3077" s="1">
        <v>0</v>
      </c>
      <c r="K3077" s="1">
        <v>1</v>
      </c>
    </row>
    <row r="3078" spans="3:11" x14ac:dyDescent="0.25">
      <c r="C3078" s="1" t="s">
        <v>10571</v>
      </c>
      <c r="D3078" s="1" t="s">
        <v>10572</v>
      </c>
      <c r="E3078" s="1" t="s">
        <v>10573</v>
      </c>
      <c r="F3078" s="1">
        <v>2</v>
      </c>
      <c r="G3078" s="1">
        <v>2</v>
      </c>
      <c r="H3078" s="1">
        <v>0</v>
      </c>
      <c r="I3078" s="1">
        <v>12528</v>
      </c>
      <c r="J3078" s="1">
        <v>12526</v>
      </c>
      <c r="K3078" s="1">
        <v>2</v>
      </c>
    </row>
    <row r="3079" spans="3:11" x14ac:dyDescent="0.25">
      <c r="C3079" s="1" t="s">
        <v>10574</v>
      </c>
      <c r="D3079" s="1" t="s">
        <v>10575</v>
      </c>
      <c r="E3079" s="1" t="s">
        <v>10576</v>
      </c>
      <c r="F3079" s="1">
        <v>2</v>
      </c>
      <c r="G3079" s="1">
        <v>2</v>
      </c>
      <c r="H3079" s="1">
        <v>0</v>
      </c>
      <c r="I3079" s="1">
        <v>6352</v>
      </c>
      <c r="J3079" s="1">
        <v>6350</v>
      </c>
      <c r="K3079" s="1">
        <v>2</v>
      </c>
    </row>
    <row r="3080" spans="3:11" x14ac:dyDescent="0.25">
      <c r="C3080" s="1" t="s">
        <v>17</v>
      </c>
      <c r="D3080" s="1" t="s">
        <v>10577</v>
      </c>
      <c r="E3080" s="1" t="s">
        <v>10578</v>
      </c>
      <c r="F3080" s="1">
        <v>2</v>
      </c>
      <c r="G3080" s="1">
        <v>2</v>
      </c>
      <c r="H3080" s="1">
        <v>0</v>
      </c>
      <c r="I3080" s="1">
        <v>5847</v>
      </c>
      <c r="J3080" s="1">
        <v>5845</v>
      </c>
      <c r="K3080" s="1">
        <v>2</v>
      </c>
    </row>
    <row r="3081" spans="3:11" x14ac:dyDescent="0.25">
      <c r="C3081" s="1" t="s">
        <v>2373</v>
      </c>
      <c r="D3081" s="1" t="s">
        <v>21</v>
      </c>
      <c r="E3081" s="1" t="s">
        <v>2374</v>
      </c>
      <c r="F3081" s="1">
        <v>2</v>
      </c>
      <c r="G3081" s="1">
        <v>2</v>
      </c>
      <c r="H3081" s="1">
        <v>0</v>
      </c>
      <c r="I3081" s="1">
        <v>5462</v>
      </c>
      <c r="J3081" s="1">
        <v>5460</v>
      </c>
      <c r="K3081" s="1">
        <v>2</v>
      </c>
    </row>
    <row r="3082" spans="3:11" x14ac:dyDescent="0.25">
      <c r="C3082" s="1" t="s">
        <v>898</v>
      </c>
      <c r="D3082" s="1" t="s">
        <v>23</v>
      </c>
      <c r="E3082" s="1" t="s">
        <v>899</v>
      </c>
      <c r="F3082" s="1">
        <v>2</v>
      </c>
      <c r="G3082" s="1">
        <v>2</v>
      </c>
      <c r="H3082" s="1">
        <v>0</v>
      </c>
      <c r="I3082" s="1">
        <v>4912</v>
      </c>
      <c r="J3082" s="1">
        <v>4910</v>
      </c>
      <c r="K3082" s="1">
        <v>2</v>
      </c>
    </row>
    <row r="3083" spans="3:11" x14ac:dyDescent="0.25">
      <c r="C3083" s="1" t="s">
        <v>926</v>
      </c>
      <c r="D3083" s="1" t="s">
        <v>927</v>
      </c>
      <c r="E3083" s="1" t="s">
        <v>928</v>
      </c>
      <c r="F3083" s="1">
        <v>2</v>
      </c>
      <c r="G3083" s="1">
        <v>2</v>
      </c>
      <c r="H3083" s="1">
        <v>0</v>
      </c>
      <c r="I3083" s="1">
        <v>3206</v>
      </c>
      <c r="J3083" s="1">
        <v>3204</v>
      </c>
      <c r="K3083" s="1">
        <v>2</v>
      </c>
    </row>
    <row r="3084" spans="3:11" x14ac:dyDescent="0.25">
      <c r="C3084" s="1" t="s">
        <v>2447</v>
      </c>
      <c r="D3084" s="1" t="s">
        <v>597</v>
      </c>
      <c r="E3084" s="1" t="s">
        <v>2448</v>
      </c>
      <c r="F3084" s="1">
        <v>2</v>
      </c>
      <c r="G3084" s="1">
        <v>2</v>
      </c>
      <c r="H3084" s="1">
        <v>0</v>
      </c>
      <c r="I3084" s="1">
        <v>2997</v>
      </c>
      <c r="J3084" s="1">
        <v>2995</v>
      </c>
      <c r="K3084" s="1">
        <v>2</v>
      </c>
    </row>
    <row r="3085" spans="3:11" x14ac:dyDescent="0.25">
      <c r="C3085" s="1" t="s">
        <v>2474</v>
      </c>
      <c r="D3085" s="1" t="s">
        <v>685</v>
      </c>
      <c r="E3085" s="1" t="s">
        <v>2475</v>
      </c>
      <c r="F3085" s="1">
        <v>2</v>
      </c>
      <c r="G3085" s="1">
        <v>2</v>
      </c>
      <c r="H3085" s="1">
        <v>0</v>
      </c>
      <c r="I3085" s="1">
        <v>2398</v>
      </c>
      <c r="J3085" s="1">
        <v>2396</v>
      </c>
      <c r="K3085" s="1">
        <v>2</v>
      </c>
    </row>
    <row r="3086" spans="3:11" x14ac:dyDescent="0.25">
      <c r="C3086" s="1" t="s">
        <v>2518</v>
      </c>
      <c r="D3086" s="1" t="s">
        <v>438</v>
      </c>
      <c r="E3086" s="1" t="s">
        <v>2519</v>
      </c>
      <c r="F3086" s="1">
        <v>2</v>
      </c>
      <c r="G3086" s="1">
        <v>2</v>
      </c>
      <c r="H3086" s="1">
        <v>0</v>
      </c>
      <c r="I3086" s="1">
        <v>1792</v>
      </c>
      <c r="J3086" s="1">
        <v>1790</v>
      </c>
      <c r="K3086" s="1">
        <v>2</v>
      </c>
    </row>
    <row r="3087" spans="3:11" x14ac:dyDescent="0.25">
      <c r="C3087" s="1" t="s">
        <v>10579</v>
      </c>
      <c r="D3087" s="1" t="s">
        <v>10580</v>
      </c>
      <c r="E3087" s="1" t="s">
        <v>10581</v>
      </c>
      <c r="F3087" s="1">
        <v>2</v>
      </c>
      <c r="G3087" s="1">
        <v>2</v>
      </c>
      <c r="H3087" s="1">
        <v>0</v>
      </c>
      <c r="I3087" s="1">
        <v>1648</v>
      </c>
      <c r="J3087" s="1">
        <v>1646</v>
      </c>
      <c r="K3087" s="1">
        <v>2</v>
      </c>
    </row>
    <row r="3088" spans="3:11" x14ac:dyDescent="0.25">
      <c r="C3088" s="1" t="s">
        <v>10582</v>
      </c>
      <c r="D3088" s="1" t="s">
        <v>10583</v>
      </c>
      <c r="E3088" s="1" t="s">
        <v>10584</v>
      </c>
      <c r="F3088" s="1">
        <v>2</v>
      </c>
      <c r="G3088" s="1">
        <v>2</v>
      </c>
      <c r="H3088" s="1">
        <v>0</v>
      </c>
      <c r="I3088" s="1">
        <v>1507</v>
      </c>
      <c r="J3088" s="1">
        <v>1505</v>
      </c>
      <c r="K3088" s="1">
        <v>2</v>
      </c>
    </row>
    <row r="3089" spans="3:11" x14ac:dyDescent="0.25">
      <c r="C3089" s="1" t="s">
        <v>2590</v>
      </c>
      <c r="D3089" s="1" t="s">
        <v>2591</v>
      </c>
      <c r="E3089" s="1" t="s">
        <v>2592</v>
      </c>
      <c r="F3089" s="1">
        <v>2</v>
      </c>
      <c r="G3089" s="1">
        <v>2</v>
      </c>
      <c r="H3089" s="1">
        <v>0</v>
      </c>
      <c r="I3089" s="1">
        <v>1270</v>
      </c>
      <c r="J3089" s="1">
        <v>1268</v>
      </c>
      <c r="K3089" s="1">
        <v>2</v>
      </c>
    </row>
    <row r="3090" spans="3:11" x14ac:dyDescent="0.25">
      <c r="C3090" s="1" t="s">
        <v>10585</v>
      </c>
      <c r="D3090" s="1" t="s">
        <v>10586</v>
      </c>
      <c r="E3090" s="1" t="s">
        <v>10587</v>
      </c>
      <c r="F3090" s="1">
        <v>2</v>
      </c>
      <c r="G3090" s="1">
        <v>2</v>
      </c>
      <c r="H3090" s="1">
        <v>0</v>
      </c>
      <c r="I3090" s="1">
        <v>1242</v>
      </c>
      <c r="J3090" s="1">
        <v>1240</v>
      </c>
      <c r="K3090" s="1">
        <v>2</v>
      </c>
    </row>
    <row r="3091" spans="3:11" x14ac:dyDescent="0.25">
      <c r="C3091" s="1" t="s">
        <v>10588</v>
      </c>
      <c r="D3091" s="1" t="s">
        <v>10589</v>
      </c>
      <c r="E3091" s="1" t="s">
        <v>10590</v>
      </c>
      <c r="F3091" s="1">
        <v>2</v>
      </c>
      <c r="G3091" s="1">
        <v>2</v>
      </c>
      <c r="H3091" s="1">
        <v>0</v>
      </c>
      <c r="I3091" s="1">
        <v>1231</v>
      </c>
      <c r="J3091" s="1">
        <v>1229</v>
      </c>
      <c r="K3091" s="1">
        <v>2</v>
      </c>
    </row>
    <row r="3092" spans="3:11" x14ac:dyDescent="0.25">
      <c r="C3092" s="1" t="s">
        <v>1132</v>
      </c>
      <c r="D3092" s="1" t="s">
        <v>1133</v>
      </c>
      <c r="E3092" s="1" t="s">
        <v>1134</v>
      </c>
      <c r="F3092" s="1">
        <v>2</v>
      </c>
      <c r="G3092" s="1">
        <v>2</v>
      </c>
      <c r="H3092" s="1">
        <v>0</v>
      </c>
      <c r="I3092" s="1">
        <v>1003</v>
      </c>
      <c r="J3092" s="1">
        <v>1001</v>
      </c>
      <c r="K3092" s="1">
        <v>2</v>
      </c>
    </row>
    <row r="3093" spans="3:11" x14ac:dyDescent="0.25">
      <c r="C3093" s="1" t="s">
        <v>2677</v>
      </c>
      <c r="D3093" s="1" t="s">
        <v>2678</v>
      </c>
      <c r="E3093" s="1" t="s">
        <v>2679</v>
      </c>
      <c r="F3093" s="1">
        <v>2</v>
      </c>
      <c r="G3093" s="1">
        <v>2</v>
      </c>
      <c r="H3093" s="1">
        <v>0</v>
      </c>
      <c r="I3093" s="1">
        <v>882</v>
      </c>
      <c r="J3093" s="1">
        <v>880</v>
      </c>
      <c r="K3093" s="1">
        <v>2</v>
      </c>
    </row>
    <row r="3094" spans="3:11" x14ac:dyDescent="0.25">
      <c r="C3094" s="1" t="s">
        <v>2731</v>
      </c>
      <c r="D3094" s="1" t="s">
        <v>452</v>
      </c>
      <c r="E3094" s="1" t="s">
        <v>2732</v>
      </c>
      <c r="F3094" s="1">
        <v>2</v>
      </c>
      <c r="G3094" s="1">
        <v>2</v>
      </c>
      <c r="H3094" s="1">
        <v>0</v>
      </c>
      <c r="I3094" s="1">
        <v>831</v>
      </c>
      <c r="J3094" s="1">
        <v>829</v>
      </c>
      <c r="K3094" s="1">
        <v>2</v>
      </c>
    </row>
    <row r="3095" spans="3:11" x14ac:dyDescent="0.25">
      <c r="C3095" s="1" t="s">
        <v>1226</v>
      </c>
      <c r="D3095" s="1" t="s">
        <v>1227</v>
      </c>
      <c r="E3095" s="1" t="s">
        <v>1228</v>
      </c>
      <c r="F3095" s="1">
        <v>2</v>
      </c>
      <c r="G3095" s="1">
        <v>2</v>
      </c>
      <c r="H3095" s="1">
        <v>0</v>
      </c>
      <c r="I3095" s="1">
        <v>623</v>
      </c>
      <c r="J3095" s="1">
        <v>621</v>
      </c>
      <c r="K3095" s="1">
        <v>2</v>
      </c>
    </row>
    <row r="3096" spans="3:11" x14ac:dyDescent="0.25">
      <c r="C3096" s="1" t="s">
        <v>1248</v>
      </c>
      <c r="D3096" s="1" t="s">
        <v>1249</v>
      </c>
      <c r="E3096" s="1" t="s">
        <v>1250</v>
      </c>
      <c r="F3096" s="1">
        <v>2</v>
      </c>
      <c r="G3096" s="1">
        <v>2</v>
      </c>
      <c r="H3096" s="1">
        <v>0</v>
      </c>
      <c r="I3096" s="1">
        <v>618</v>
      </c>
      <c r="J3096" s="1">
        <v>616</v>
      </c>
      <c r="K3096" s="1">
        <v>2</v>
      </c>
    </row>
    <row r="3097" spans="3:11" x14ac:dyDescent="0.25">
      <c r="C3097" s="1" t="s">
        <v>1240</v>
      </c>
      <c r="D3097" s="1" t="s">
        <v>1241</v>
      </c>
      <c r="E3097" s="1" t="s">
        <v>1242</v>
      </c>
      <c r="F3097" s="1">
        <v>2</v>
      </c>
      <c r="G3097" s="1">
        <v>2</v>
      </c>
      <c r="H3097" s="1">
        <v>0</v>
      </c>
      <c r="I3097" s="1">
        <v>585</v>
      </c>
      <c r="J3097" s="1">
        <v>583</v>
      </c>
      <c r="K3097" s="1">
        <v>2</v>
      </c>
    </row>
    <row r="3098" spans="3:11" x14ac:dyDescent="0.25">
      <c r="C3098" s="1" t="s">
        <v>10591</v>
      </c>
      <c r="D3098" s="1" t="s">
        <v>10592</v>
      </c>
      <c r="E3098" s="1" t="s">
        <v>10593</v>
      </c>
      <c r="F3098" s="1">
        <v>2</v>
      </c>
      <c r="G3098" s="1">
        <v>2</v>
      </c>
      <c r="H3098" s="1">
        <v>0</v>
      </c>
      <c r="I3098" s="1">
        <v>584</v>
      </c>
      <c r="J3098" s="1">
        <v>582</v>
      </c>
      <c r="K3098" s="1">
        <v>2</v>
      </c>
    </row>
    <row r="3099" spans="3:11" x14ac:dyDescent="0.25">
      <c r="C3099" s="1" t="s">
        <v>2897</v>
      </c>
      <c r="D3099" s="1" t="s">
        <v>2898</v>
      </c>
      <c r="E3099" s="1" t="s">
        <v>2899</v>
      </c>
      <c r="F3099" s="1">
        <v>2</v>
      </c>
      <c r="G3099" s="1">
        <v>2</v>
      </c>
      <c r="H3099" s="1">
        <v>0</v>
      </c>
      <c r="I3099" s="1">
        <v>469</v>
      </c>
      <c r="J3099" s="1">
        <v>467</v>
      </c>
      <c r="K3099" s="1">
        <v>2</v>
      </c>
    </row>
    <row r="3100" spans="3:11" x14ac:dyDescent="0.25">
      <c r="C3100" s="1" t="s">
        <v>10594</v>
      </c>
      <c r="D3100" s="1" t="s">
        <v>10595</v>
      </c>
      <c r="E3100" s="1" t="s">
        <v>10596</v>
      </c>
      <c r="F3100" s="1">
        <v>2</v>
      </c>
      <c r="G3100" s="1">
        <v>2</v>
      </c>
      <c r="H3100" s="1">
        <v>0</v>
      </c>
      <c r="I3100" s="1">
        <v>452</v>
      </c>
      <c r="J3100" s="1">
        <v>450</v>
      </c>
      <c r="K3100" s="1">
        <v>2</v>
      </c>
    </row>
    <row r="3101" spans="3:11" x14ac:dyDescent="0.25">
      <c r="C3101" s="1" t="s">
        <v>10597</v>
      </c>
      <c r="D3101" s="1" t="s">
        <v>10598</v>
      </c>
      <c r="E3101" s="1" t="s">
        <v>10599</v>
      </c>
      <c r="F3101" s="1">
        <v>2</v>
      </c>
      <c r="G3101" s="1">
        <v>2</v>
      </c>
      <c r="H3101" s="1">
        <v>0</v>
      </c>
      <c r="I3101" s="1">
        <v>393</v>
      </c>
      <c r="J3101" s="1">
        <v>391</v>
      </c>
      <c r="K3101" s="1">
        <v>2</v>
      </c>
    </row>
    <row r="3102" spans="3:11" x14ac:dyDescent="0.25">
      <c r="C3102" s="1" t="s">
        <v>1365</v>
      </c>
      <c r="D3102" s="1" t="s">
        <v>1366</v>
      </c>
      <c r="E3102" s="1" t="s">
        <v>1367</v>
      </c>
      <c r="F3102" s="1">
        <v>2</v>
      </c>
      <c r="G3102" s="1">
        <v>2</v>
      </c>
      <c r="H3102" s="1">
        <v>0</v>
      </c>
      <c r="I3102" s="1">
        <v>383</v>
      </c>
      <c r="J3102" s="1">
        <v>381</v>
      </c>
      <c r="K3102" s="1">
        <v>2</v>
      </c>
    </row>
    <row r="3103" spans="3:11" x14ac:dyDescent="0.25">
      <c r="C3103" s="1" t="s">
        <v>10600</v>
      </c>
      <c r="D3103" s="1" t="s">
        <v>10601</v>
      </c>
      <c r="E3103" s="1" t="s">
        <v>10602</v>
      </c>
      <c r="F3103" s="1">
        <v>2</v>
      </c>
      <c r="G3103" s="1">
        <v>2</v>
      </c>
      <c r="H3103" s="1">
        <v>0</v>
      </c>
      <c r="I3103" s="1">
        <v>373</v>
      </c>
      <c r="J3103" s="1">
        <v>371</v>
      </c>
      <c r="K3103" s="1">
        <v>2</v>
      </c>
    </row>
    <row r="3104" spans="3:11" x14ac:dyDescent="0.25">
      <c r="C3104" s="1" t="s">
        <v>10603</v>
      </c>
      <c r="D3104" s="1" t="s">
        <v>10604</v>
      </c>
      <c r="E3104" s="1" t="s">
        <v>10603</v>
      </c>
      <c r="F3104" s="1">
        <v>2</v>
      </c>
      <c r="G3104" s="1">
        <v>2</v>
      </c>
      <c r="H3104" s="1">
        <v>0</v>
      </c>
      <c r="I3104" s="1">
        <v>362</v>
      </c>
      <c r="J3104" s="1">
        <v>360</v>
      </c>
      <c r="K3104" s="1">
        <v>2</v>
      </c>
    </row>
    <row r="3105" spans="3:11" x14ac:dyDescent="0.25">
      <c r="C3105" s="1" t="s">
        <v>10605</v>
      </c>
      <c r="D3105" s="1" t="s">
        <v>10606</v>
      </c>
      <c r="E3105" s="1" t="s">
        <v>10607</v>
      </c>
      <c r="F3105" s="1">
        <v>2</v>
      </c>
      <c r="G3105" s="1">
        <v>2</v>
      </c>
      <c r="H3105" s="1">
        <v>0</v>
      </c>
      <c r="I3105" s="1">
        <v>328</v>
      </c>
      <c r="J3105" s="1">
        <v>326</v>
      </c>
      <c r="K3105" s="1">
        <v>2</v>
      </c>
    </row>
    <row r="3106" spans="3:11" x14ac:dyDescent="0.25">
      <c r="C3106" s="1" t="s">
        <v>10608</v>
      </c>
      <c r="D3106" s="1" t="s">
        <v>10609</v>
      </c>
      <c r="E3106" s="1" t="s">
        <v>10610</v>
      </c>
      <c r="F3106" s="1">
        <v>2</v>
      </c>
      <c r="G3106" s="1">
        <v>2</v>
      </c>
      <c r="H3106" s="1">
        <v>0</v>
      </c>
      <c r="I3106" s="1">
        <v>327</v>
      </c>
      <c r="J3106" s="1">
        <v>325</v>
      </c>
      <c r="K3106" s="1">
        <v>2</v>
      </c>
    </row>
    <row r="3107" spans="3:11" x14ac:dyDescent="0.25">
      <c r="D3107" s="1" t="s">
        <v>10611</v>
      </c>
      <c r="E3107" s="1" t="s">
        <v>10612</v>
      </c>
      <c r="F3107" s="1">
        <v>2</v>
      </c>
      <c r="G3107" s="1">
        <v>2</v>
      </c>
      <c r="H3107" s="1">
        <v>0</v>
      </c>
      <c r="I3107" s="1">
        <v>323</v>
      </c>
      <c r="J3107" s="1">
        <v>321</v>
      </c>
      <c r="K3107" s="1">
        <v>2</v>
      </c>
    </row>
    <row r="3108" spans="3:11" x14ac:dyDescent="0.25">
      <c r="C3108" s="1" t="s">
        <v>1473</v>
      </c>
      <c r="D3108" s="1" t="s">
        <v>1474</v>
      </c>
      <c r="E3108" s="1" t="s">
        <v>1475</v>
      </c>
      <c r="F3108" s="1">
        <v>2</v>
      </c>
      <c r="G3108" s="1">
        <v>2</v>
      </c>
      <c r="H3108" s="1">
        <v>0</v>
      </c>
      <c r="I3108" s="1">
        <v>282</v>
      </c>
      <c r="J3108" s="1">
        <v>280</v>
      </c>
      <c r="K3108" s="1">
        <v>2</v>
      </c>
    </row>
    <row r="3109" spans="3:11" x14ac:dyDescent="0.25">
      <c r="C3109" s="1" t="s">
        <v>3082</v>
      </c>
      <c r="D3109" s="1" t="s">
        <v>3083</v>
      </c>
      <c r="E3109" s="1" t="s">
        <v>3084</v>
      </c>
      <c r="F3109" s="1">
        <v>2</v>
      </c>
      <c r="G3109" s="1">
        <v>2</v>
      </c>
      <c r="H3109" s="1">
        <v>0</v>
      </c>
      <c r="I3109" s="1">
        <v>253</v>
      </c>
      <c r="J3109" s="1">
        <v>251</v>
      </c>
      <c r="K3109" s="1">
        <v>2</v>
      </c>
    </row>
    <row r="3110" spans="3:11" x14ac:dyDescent="0.25">
      <c r="C3110" s="1" t="s">
        <v>10613</v>
      </c>
      <c r="D3110" s="1" t="s">
        <v>10614</v>
      </c>
      <c r="E3110" s="1" t="s">
        <v>10615</v>
      </c>
      <c r="F3110" s="1">
        <v>2</v>
      </c>
      <c r="G3110" s="1">
        <v>2</v>
      </c>
      <c r="H3110" s="1">
        <v>0</v>
      </c>
      <c r="I3110" s="1">
        <v>223</v>
      </c>
      <c r="J3110" s="1">
        <v>221</v>
      </c>
      <c r="K3110" s="1">
        <v>2</v>
      </c>
    </row>
    <row r="3111" spans="3:11" x14ac:dyDescent="0.25">
      <c r="C3111" s="1" t="s">
        <v>10616</v>
      </c>
      <c r="D3111" s="1" t="s">
        <v>10617</v>
      </c>
      <c r="E3111" s="1" t="s">
        <v>10618</v>
      </c>
      <c r="F3111" s="1">
        <v>2</v>
      </c>
      <c r="G3111" s="1">
        <v>2</v>
      </c>
      <c r="H3111" s="1">
        <v>0</v>
      </c>
      <c r="I3111" s="1">
        <v>217</v>
      </c>
      <c r="J3111" s="1">
        <v>215</v>
      </c>
      <c r="K3111" s="1">
        <v>2</v>
      </c>
    </row>
    <row r="3112" spans="3:11" x14ac:dyDescent="0.25">
      <c r="C3112" s="1" t="s">
        <v>1591</v>
      </c>
      <c r="D3112" s="1" t="s">
        <v>1592</v>
      </c>
      <c r="E3112" s="1" t="s">
        <v>1593</v>
      </c>
      <c r="F3112" s="1">
        <v>2</v>
      </c>
      <c r="G3112" s="1">
        <v>2</v>
      </c>
      <c r="H3112" s="1">
        <v>0</v>
      </c>
      <c r="I3112" s="1">
        <v>190</v>
      </c>
      <c r="J3112" s="1">
        <v>188</v>
      </c>
      <c r="K3112" s="1">
        <v>2</v>
      </c>
    </row>
    <row r="3113" spans="3:11" x14ac:dyDescent="0.25">
      <c r="C3113" s="1" t="s">
        <v>1580</v>
      </c>
      <c r="D3113" s="1" t="s">
        <v>1581</v>
      </c>
      <c r="E3113" s="1" t="s">
        <v>1582</v>
      </c>
      <c r="F3113" s="1">
        <v>2</v>
      </c>
      <c r="G3113" s="1">
        <v>2</v>
      </c>
      <c r="H3113" s="1">
        <v>0</v>
      </c>
      <c r="I3113" s="1">
        <v>186</v>
      </c>
      <c r="J3113" s="1">
        <v>184</v>
      </c>
      <c r="K3113" s="1">
        <v>2</v>
      </c>
    </row>
    <row r="3114" spans="3:11" x14ac:dyDescent="0.25">
      <c r="C3114" s="1" t="s">
        <v>1611</v>
      </c>
      <c r="D3114" s="1" t="s">
        <v>1612</v>
      </c>
      <c r="E3114" s="1" t="s">
        <v>1611</v>
      </c>
      <c r="F3114" s="1">
        <v>2</v>
      </c>
      <c r="G3114" s="1">
        <v>2</v>
      </c>
      <c r="H3114" s="1">
        <v>0</v>
      </c>
      <c r="I3114" s="1">
        <v>175</v>
      </c>
      <c r="J3114" s="1">
        <v>173</v>
      </c>
      <c r="K3114" s="1">
        <v>2</v>
      </c>
    </row>
    <row r="3115" spans="3:11" x14ac:dyDescent="0.25">
      <c r="C3115" s="1" t="s">
        <v>10619</v>
      </c>
      <c r="D3115" s="1" t="s">
        <v>10620</v>
      </c>
      <c r="E3115" s="1" t="s">
        <v>10621</v>
      </c>
      <c r="F3115" s="1">
        <v>2</v>
      </c>
      <c r="G3115" s="1">
        <v>2</v>
      </c>
      <c r="H3115" s="1">
        <v>0</v>
      </c>
      <c r="I3115" s="1">
        <v>153</v>
      </c>
      <c r="J3115" s="1">
        <v>151</v>
      </c>
      <c r="K3115" s="1">
        <v>2</v>
      </c>
    </row>
    <row r="3116" spans="3:11" x14ac:dyDescent="0.25">
      <c r="C3116" s="1" t="s">
        <v>10622</v>
      </c>
      <c r="D3116" s="1" t="s">
        <v>10623</v>
      </c>
      <c r="E3116" s="1" t="s">
        <v>10624</v>
      </c>
      <c r="F3116" s="1">
        <v>2</v>
      </c>
      <c r="G3116" s="1">
        <v>2</v>
      </c>
      <c r="H3116" s="1">
        <v>0</v>
      </c>
      <c r="I3116" s="1">
        <v>136</v>
      </c>
      <c r="J3116" s="1">
        <v>134</v>
      </c>
      <c r="K3116" s="1">
        <v>2</v>
      </c>
    </row>
    <row r="3117" spans="3:11" x14ac:dyDescent="0.25">
      <c r="C3117" s="1" t="s">
        <v>3282</v>
      </c>
      <c r="D3117" s="1" t="s">
        <v>3283</v>
      </c>
      <c r="E3117" s="1" t="s">
        <v>3284</v>
      </c>
      <c r="F3117" s="1">
        <v>2</v>
      </c>
      <c r="G3117" s="1">
        <v>2</v>
      </c>
      <c r="H3117" s="1">
        <v>0</v>
      </c>
      <c r="I3117" s="1">
        <v>134</v>
      </c>
      <c r="J3117" s="1">
        <v>132</v>
      </c>
      <c r="K3117" s="1">
        <v>2</v>
      </c>
    </row>
    <row r="3118" spans="3:11" x14ac:dyDescent="0.25">
      <c r="C3118" s="1" t="s">
        <v>1746</v>
      </c>
      <c r="D3118" s="1" t="s">
        <v>1747</v>
      </c>
      <c r="E3118" s="1" t="s">
        <v>1748</v>
      </c>
      <c r="F3118" s="1">
        <v>2</v>
      </c>
      <c r="G3118" s="1">
        <v>2</v>
      </c>
      <c r="H3118" s="1">
        <v>0</v>
      </c>
      <c r="I3118" s="1">
        <v>132</v>
      </c>
      <c r="J3118" s="1">
        <v>130</v>
      </c>
      <c r="K3118" s="1">
        <v>2</v>
      </c>
    </row>
    <row r="3119" spans="3:11" x14ac:dyDescent="0.25">
      <c r="C3119" s="1" t="s">
        <v>3295</v>
      </c>
      <c r="D3119" s="1" t="s">
        <v>3296</v>
      </c>
      <c r="E3119" s="1" t="s">
        <v>3297</v>
      </c>
      <c r="F3119" s="1">
        <v>2</v>
      </c>
      <c r="G3119" s="1">
        <v>2</v>
      </c>
      <c r="H3119" s="1">
        <v>0</v>
      </c>
      <c r="I3119" s="1">
        <v>132</v>
      </c>
      <c r="J3119" s="1">
        <v>130</v>
      </c>
      <c r="K3119" s="1">
        <v>2</v>
      </c>
    </row>
    <row r="3120" spans="3:11" x14ac:dyDescent="0.25">
      <c r="C3120" s="1" t="s">
        <v>1938</v>
      </c>
      <c r="D3120" s="1" t="s">
        <v>1939</v>
      </c>
      <c r="E3120" s="1" t="s">
        <v>1940</v>
      </c>
      <c r="F3120" s="1">
        <v>2</v>
      </c>
      <c r="G3120" s="1">
        <v>2</v>
      </c>
      <c r="H3120" s="1">
        <v>0</v>
      </c>
      <c r="I3120" s="1">
        <v>127</v>
      </c>
      <c r="J3120" s="1">
        <v>125</v>
      </c>
      <c r="K3120" s="1">
        <v>2</v>
      </c>
    </row>
    <row r="3121" spans="3:11" x14ac:dyDescent="0.25">
      <c r="C3121" s="1" t="s">
        <v>10625</v>
      </c>
      <c r="D3121" s="1" t="s">
        <v>10626</v>
      </c>
      <c r="E3121" s="1" t="s">
        <v>10627</v>
      </c>
      <c r="F3121" s="1">
        <v>2</v>
      </c>
      <c r="G3121" s="1">
        <v>2</v>
      </c>
      <c r="H3121" s="1">
        <v>0</v>
      </c>
      <c r="I3121" s="1">
        <v>125</v>
      </c>
      <c r="J3121" s="1">
        <v>123</v>
      </c>
      <c r="K3121" s="1">
        <v>2</v>
      </c>
    </row>
    <row r="3122" spans="3:11" x14ac:dyDescent="0.25">
      <c r="C3122" s="1" t="s">
        <v>10628</v>
      </c>
      <c r="D3122" s="1" t="s">
        <v>10629</v>
      </c>
      <c r="E3122" s="1" t="s">
        <v>10630</v>
      </c>
      <c r="F3122" s="1">
        <v>2</v>
      </c>
      <c r="G3122" s="1">
        <v>2</v>
      </c>
      <c r="H3122" s="1">
        <v>0</v>
      </c>
      <c r="I3122" s="1">
        <v>124</v>
      </c>
      <c r="J3122" s="1">
        <v>122</v>
      </c>
      <c r="K3122" s="1">
        <v>2</v>
      </c>
    </row>
    <row r="3123" spans="3:11" x14ac:dyDescent="0.25">
      <c r="C3123" s="1" t="s">
        <v>3317</v>
      </c>
      <c r="D3123" s="1" t="s">
        <v>3318</v>
      </c>
      <c r="E3123" s="1" t="s">
        <v>3319</v>
      </c>
      <c r="F3123" s="1">
        <v>2</v>
      </c>
      <c r="G3123" s="1">
        <v>2</v>
      </c>
      <c r="H3123" s="1">
        <v>0</v>
      </c>
      <c r="I3123" s="1">
        <v>120</v>
      </c>
      <c r="J3123" s="1">
        <v>118</v>
      </c>
      <c r="K3123" s="1">
        <v>2</v>
      </c>
    </row>
    <row r="3124" spans="3:11" x14ac:dyDescent="0.25">
      <c r="C3124" s="1" t="s">
        <v>3329</v>
      </c>
      <c r="D3124" s="1" t="s">
        <v>3330</v>
      </c>
      <c r="E3124" s="1" t="s">
        <v>3331</v>
      </c>
      <c r="F3124" s="1">
        <v>2</v>
      </c>
      <c r="G3124" s="1">
        <v>2</v>
      </c>
      <c r="H3124" s="1">
        <v>0</v>
      </c>
      <c r="I3124" s="1">
        <v>117</v>
      </c>
      <c r="J3124" s="1">
        <v>115</v>
      </c>
      <c r="K3124" s="1">
        <v>2</v>
      </c>
    </row>
    <row r="3125" spans="3:11" x14ac:dyDescent="0.25">
      <c r="C3125" s="1" t="s">
        <v>3413</v>
      </c>
      <c r="D3125" s="1" t="s">
        <v>3414</v>
      </c>
      <c r="E3125" s="1" t="s">
        <v>3413</v>
      </c>
      <c r="F3125" s="1">
        <v>2</v>
      </c>
      <c r="G3125" s="1">
        <v>2</v>
      </c>
      <c r="H3125" s="1">
        <v>0</v>
      </c>
      <c r="I3125" s="1">
        <v>112</v>
      </c>
      <c r="J3125" s="1">
        <v>110</v>
      </c>
      <c r="K3125" s="1">
        <v>2</v>
      </c>
    </row>
    <row r="3126" spans="3:11" x14ac:dyDescent="0.25">
      <c r="C3126" s="1" t="s">
        <v>3356</v>
      </c>
      <c r="D3126" s="1" t="s">
        <v>3357</v>
      </c>
      <c r="E3126" s="1" t="s">
        <v>3358</v>
      </c>
      <c r="F3126" s="1">
        <v>2</v>
      </c>
      <c r="G3126" s="1">
        <v>2</v>
      </c>
      <c r="H3126" s="1">
        <v>0</v>
      </c>
      <c r="I3126" s="1">
        <v>106</v>
      </c>
      <c r="J3126" s="1">
        <v>104</v>
      </c>
      <c r="K3126" s="1">
        <v>2</v>
      </c>
    </row>
    <row r="3127" spans="3:11" x14ac:dyDescent="0.25">
      <c r="C3127" s="1" t="s">
        <v>10631</v>
      </c>
      <c r="D3127" s="1" t="s">
        <v>10632</v>
      </c>
      <c r="E3127" s="1" t="s">
        <v>10633</v>
      </c>
      <c r="F3127" s="1">
        <v>2</v>
      </c>
      <c r="G3127" s="1">
        <v>2</v>
      </c>
      <c r="H3127" s="1">
        <v>0</v>
      </c>
      <c r="I3127" s="1">
        <v>103</v>
      </c>
      <c r="J3127" s="1">
        <v>101</v>
      </c>
      <c r="K3127" s="1">
        <v>2</v>
      </c>
    </row>
    <row r="3128" spans="3:11" x14ac:dyDescent="0.25">
      <c r="C3128" s="1" t="s">
        <v>1795</v>
      </c>
      <c r="D3128" s="1" t="s">
        <v>1796</v>
      </c>
      <c r="E3128" s="1" t="s">
        <v>1797</v>
      </c>
      <c r="F3128" s="1">
        <v>2</v>
      </c>
      <c r="G3128" s="1">
        <v>2</v>
      </c>
      <c r="H3128" s="1">
        <v>0</v>
      </c>
      <c r="I3128" s="1">
        <v>96</v>
      </c>
      <c r="J3128" s="1">
        <v>94</v>
      </c>
      <c r="K3128" s="1">
        <v>2</v>
      </c>
    </row>
    <row r="3129" spans="3:11" x14ac:dyDescent="0.25">
      <c r="C3129" s="1" t="s">
        <v>3440</v>
      </c>
      <c r="D3129" s="1" t="s">
        <v>3441</v>
      </c>
      <c r="E3129" s="1" t="s">
        <v>3442</v>
      </c>
      <c r="F3129" s="1">
        <v>2</v>
      </c>
      <c r="G3129" s="1">
        <v>2</v>
      </c>
      <c r="H3129" s="1">
        <v>0</v>
      </c>
      <c r="I3129" s="1">
        <v>89</v>
      </c>
      <c r="J3129" s="1">
        <v>87</v>
      </c>
      <c r="K3129" s="1">
        <v>2</v>
      </c>
    </row>
    <row r="3130" spans="3:11" x14ac:dyDescent="0.25">
      <c r="C3130" s="1" t="s">
        <v>3449</v>
      </c>
      <c r="D3130" s="1" t="s">
        <v>3450</v>
      </c>
      <c r="E3130" s="1" t="s">
        <v>3451</v>
      </c>
      <c r="F3130" s="1">
        <v>2</v>
      </c>
      <c r="G3130" s="1">
        <v>2</v>
      </c>
      <c r="H3130" s="1">
        <v>0</v>
      </c>
      <c r="I3130" s="1">
        <v>87</v>
      </c>
      <c r="J3130" s="1">
        <v>85</v>
      </c>
      <c r="K3130" s="1">
        <v>2</v>
      </c>
    </row>
    <row r="3131" spans="3:11" x14ac:dyDescent="0.25">
      <c r="C3131" s="1" t="s">
        <v>10634</v>
      </c>
      <c r="D3131" s="1" t="s">
        <v>10635</v>
      </c>
      <c r="E3131" s="1" t="s">
        <v>10636</v>
      </c>
      <c r="F3131" s="1">
        <v>2</v>
      </c>
      <c r="G3131" s="1">
        <v>2</v>
      </c>
      <c r="H3131" s="1">
        <v>0</v>
      </c>
      <c r="I3131" s="1">
        <v>83</v>
      </c>
      <c r="J3131" s="1">
        <v>81</v>
      </c>
      <c r="K3131" s="1">
        <v>2</v>
      </c>
    </row>
    <row r="3132" spans="3:11" x14ac:dyDescent="0.25">
      <c r="C3132" s="1" t="s">
        <v>3500</v>
      </c>
      <c r="D3132" s="1" t="s">
        <v>733</v>
      </c>
      <c r="E3132" s="1" t="s">
        <v>3501</v>
      </c>
      <c r="F3132" s="1">
        <v>2</v>
      </c>
      <c r="G3132" s="1">
        <v>2</v>
      </c>
      <c r="H3132" s="1">
        <v>0</v>
      </c>
      <c r="I3132" s="1">
        <v>75</v>
      </c>
      <c r="J3132" s="1">
        <v>73</v>
      </c>
      <c r="K3132" s="1">
        <v>2</v>
      </c>
    </row>
    <row r="3133" spans="3:11" x14ac:dyDescent="0.25">
      <c r="C3133" s="1" t="s">
        <v>3516</v>
      </c>
      <c r="D3133" s="1" t="s">
        <v>3517</v>
      </c>
      <c r="E3133" s="1" t="s">
        <v>3518</v>
      </c>
      <c r="F3133" s="1">
        <v>2</v>
      </c>
      <c r="G3133" s="1">
        <v>2</v>
      </c>
      <c r="H3133" s="1">
        <v>0</v>
      </c>
      <c r="I3133" s="1">
        <v>72</v>
      </c>
      <c r="J3133" s="1">
        <v>70</v>
      </c>
      <c r="K3133" s="1">
        <v>2</v>
      </c>
    </row>
    <row r="3134" spans="3:11" x14ac:dyDescent="0.25">
      <c r="C3134" s="1" t="s">
        <v>1914</v>
      </c>
      <c r="D3134" s="1" t="s">
        <v>1915</v>
      </c>
      <c r="E3134" s="1" t="s">
        <v>1916</v>
      </c>
      <c r="F3134" s="1">
        <v>2</v>
      </c>
      <c r="G3134" s="1">
        <v>2</v>
      </c>
      <c r="H3134" s="1">
        <v>0</v>
      </c>
      <c r="I3134" s="1">
        <v>72</v>
      </c>
      <c r="J3134" s="1">
        <v>70</v>
      </c>
      <c r="K3134" s="1">
        <v>2</v>
      </c>
    </row>
    <row r="3135" spans="3:11" x14ac:dyDescent="0.25">
      <c r="C3135" s="1" t="s">
        <v>3557</v>
      </c>
      <c r="D3135" s="1" t="s">
        <v>3558</v>
      </c>
      <c r="E3135" s="1" t="s">
        <v>3559</v>
      </c>
      <c r="F3135" s="1">
        <v>2</v>
      </c>
      <c r="G3135" s="1">
        <v>2</v>
      </c>
      <c r="H3135" s="1">
        <v>0</v>
      </c>
      <c r="I3135" s="1">
        <v>64</v>
      </c>
      <c r="J3135" s="1">
        <v>62</v>
      </c>
      <c r="K3135" s="1">
        <v>2</v>
      </c>
    </row>
    <row r="3136" spans="3:11" x14ac:dyDescent="0.25">
      <c r="C3136" s="1" t="s">
        <v>10637</v>
      </c>
      <c r="D3136" s="1" t="s">
        <v>10638</v>
      </c>
      <c r="E3136" s="1" t="s">
        <v>10639</v>
      </c>
      <c r="F3136" s="1">
        <v>2</v>
      </c>
      <c r="G3136" s="1">
        <v>2</v>
      </c>
      <c r="H3136" s="1">
        <v>0</v>
      </c>
      <c r="I3136" s="1">
        <v>63</v>
      </c>
      <c r="J3136" s="1">
        <v>61</v>
      </c>
      <c r="K3136" s="1">
        <v>2</v>
      </c>
    </row>
    <row r="3137" spans="3:11" x14ac:dyDescent="0.25">
      <c r="C3137" s="1" t="s">
        <v>3570</v>
      </c>
      <c r="D3137" s="1" t="s">
        <v>3571</v>
      </c>
      <c r="E3137" s="1" t="s">
        <v>3572</v>
      </c>
      <c r="F3137" s="1">
        <v>2</v>
      </c>
      <c r="G3137" s="1">
        <v>2</v>
      </c>
      <c r="H3137" s="1">
        <v>0</v>
      </c>
      <c r="I3137" s="1">
        <v>63</v>
      </c>
      <c r="J3137" s="1">
        <v>61</v>
      </c>
      <c r="K3137" s="1">
        <v>2</v>
      </c>
    </row>
    <row r="3138" spans="3:11" x14ac:dyDescent="0.25">
      <c r="C3138" s="1" t="s">
        <v>1798</v>
      </c>
      <c r="D3138" s="1" t="s">
        <v>1799</v>
      </c>
      <c r="E3138" s="1" t="s">
        <v>1800</v>
      </c>
      <c r="F3138" s="1">
        <v>2</v>
      </c>
      <c r="G3138" s="1">
        <v>2</v>
      </c>
      <c r="H3138" s="1">
        <v>0</v>
      </c>
      <c r="I3138" s="1">
        <v>62</v>
      </c>
      <c r="J3138" s="1">
        <v>60</v>
      </c>
      <c r="K3138" s="1">
        <v>2</v>
      </c>
    </row>
    <row r="3139" spans="3:11" x14ac:dyDescent="0.25">
      <c r="C3139" s="1" t="s">
        <v>3602</v>
      </c>
      <c r="D3139" s="1" t="s">
        <v>3603</v>
      </c>
      <c r="E3139" s="1" t="s">
        <v>3604</v>
      </c>
      <c r="F3139" s="1">
        <v>2</v>
      </c>
      <c r="G3139" s="1">
        <v>2</v>
      </c>
      <c r="H3139" s="1">
        <v>0</v>
      </c>
      <c r="I3139" s="1">
        <v>58</v>
      </c>
      <c r="J3139" s="1">
        <v>56</v>
      </c>
      <c r="K3139" s="1">
        <v>2</v>
      </c>
    </row>
    <row r="3140" spans="3:11" x14ac:dyDescent="0.25">
      <c r="C3140" s="1" t="s">
        <v>3617</v>
      </c>
      <c r="D3140" s="1" t="s">
        <v>3618</v>
      </c>
      <c r="E3140" s="1" t="s">
        <v>3619</v>
      </c>
      <c r="F3140" s="1">
        <v>2</v>
      </c>
      <c r="G3140" s="1">
        <v>2</v>
      </c>
      <c r="H3140" s="1">
        <v>0</v>
      </c>
      <c r="I3140" s="1">
        <v>55</v>
      </c>
      <c r="J3140" s="1">
        <v>53</v>
      </c>
      <c r="K3140" s="1">
        <v>2</v>
      </c>
    </row>
    <row r="3141" spans="3:11" x14ac:dyDescent="0.25">
      <c r="C3141" s="1" t="s">
        <v>1825</v>
      </c>
      <c r="D3141" s="1" t="s">
        <v>1826</v>
      </c>
      <c r="E3141" s="1" t="s">
        <v>1827</v>
      </c>
      <c r="F3141" s="1">
        <v>2</v>
      </c>
      <c r="G3141" s="1">
        <v>2</v>
      </c>
      <c r="H3141" s="1">
        <v>0</v>
      </c>
      <c r="I3141" s="1">
        <v>54</v>
      </c>
      <c r="J3141" s="1">
        <v>52</v>
      </c>
      <c r="K3141" s="1">
        <v>2</v>
      </c>
    </row>
    <row r="3142" spans="3:11" x14ac:dyDescent="0.25">
      <c r="C3142" s="1" t="s">
        <v>1962</v>
      </c>
      <c r="D3142" s="1" t="s">
        <v>1963</v>
      </c>
      <c r="E3142" s="1" t="s">
        <v>1964</v>
      </c>
      <c r="F3142" s="1">
        <v>2</v>
      </c>
      <c r="G3142" s="1">
        <v>2</v>
      </c>
      <c r="H3142" s="1">
        <v>0</v>
      </c>
      <c r="I3142" s="1">
        <v>53</v>
      </c>
      <c r="J3142" s="1">
        <v>51</v>
      </c>
      <c r="K3142" s="1">
        <v>2</v>
      </c>
    </row>
    <row r="3143" spans="3:11" x14ac:dyDescent="0.25">
      <c r="C3143" s="1" t="s">
        <v>1929</v>
      </c>
      <c r="D3143" s="1" t="s">
        <v>1930</v>
      </c>
      <c r="E3143" s="1" t="s">
        <v>1931</v>
      </c>
      <c r="F3143" s="1">
        <v>2</v>
      </c>
      <c r="G3143" s="1">
        <v>2</v>
      </c>
      <c r="H3143" s="1">
        <v>0</v>
      </c>
      <c r="I3143" s="1">
        <v>49</v>
      </c>
      <c r="J3143" s="1">
        <v>47</v>
      </c>
      <c r="K3143" s="1">
        <v>2</v>
      </c>
    </row>
    <row r="3144" spans="3:11" x14ac:dyDescent="0.25">
      <c r="C3144" s="1" t="s">
        <v>10640</v>
      </c>
      <c r="D3144" s="1" t="s">
        <v>10641</v>
      </c>
      <c r="E3144" s="1" t="s">
        <v>10642</v>
      </c>
      <c r="F3144" s="1">
        <v>2</v>
      </c>
      <c r="G3144" s="1">
        <v>2</v>
      </c>
      <c r="H3144" s="1">
        <v>0</v>
      </c>
      <c r="I3144" s="1">
        <v>47</v>
      </c>
      <c r="J3144" s="1">
        <v>45</v>
      </c>
      <c r="K3144" s="1">
        <v>2</v>
      </c>
    </row>
    <row r="3145" spans="3:11" x14ac:dyDescent="0.25">
      <c r="C3145" s="1" t="s">
        <v>1860</v>
      </c>
      <c r="D3145" s="1" t="s">
        <v>1861</v>
      </c>
      <c r="E3145" s="1" t="s">
        <v>1862</v>
      </c>
      <c r="F3145" s="1">
        <v>2</v>
      </c>
      <c r="G3145" s="1">
        <v>2</v>
      </c>
      <c r="H3145" s="1">
        <v>0</v>
      </c>
      <c r="I3145" s="1">
        <v>47</v>
      </c>
      <c r="J3145" s="1">
        <v>45</v>
      </c>
      <c r="K3145" s="1">
        <v>2</v>
      </c>
    </row>
    <row r="3146" spans="3:11" x14ac:dyDescent="0.25">
      <c r="C3146" s="1" t="s">
        <v>10643</v>
      </c>
      <c r="D3146" s="1" t="s">
        <v>10644</v>
      </c>
      <c r="E3146" s="1" t="s">
        <v>10645</v>
      </c>
      <c r="F3146" s="1">
        <v>2</v>
      </c>
      <c r="G3146" s="1">
        <v>2</v>
      </c>
      <c r="H3146" s="1">
        <v>0</v>
      </c>
      <c r="I3146" s="1">
        <v>47</v>
      </c>
      <c r="J3146" s="1">
        <v>45</v>
      </c>
      <c r="K3146" s="1">
        <v>2</v>
      </c>
    </row>
    <row r="3147" spans="3:11" x14ac:dyDescent="0.25">
      <c r="C3147" s="1" t="s">
        <v>3848</v>
      </c>
      <c r="D3147" s="1" t="s">
        <v>3849</v>
      </c>
      <c r="E3147" s="1" t="s">
        <v>3850</v>
      </c>
      <c r="F3147" s="1">
        <v>2</v>
      </c>
      <c r="G3147" s="1">
        <v>2</v>
      </c>
      <c r="H3147" s="1">
        <v>0</v>
      </c>
      <c r="I3147" s="1">
        <v>45</v>
      </c>
      <c r="J3147" s="1">
        <v>43</v>
      </c>
      <c r="K3147" s="1">
        <v>2</v>
      </c>
    </row>
    <row r="3148" spans="3:11" x14ac:dyDescent="0.25">
      <c r="C3148" s="1" t="s">
        <v>10646</v>
      </c>
      <c r="D3148" s="1" t="s">
        <v>10647</v>
      </c>
      <c r="E3148" s="1" t="s">
        <v>10646</v>
      </c>
      <c r="F3148" s="1">
        <v>2</v>
      </c>
      <c r="G3148" s="1">
        <v>2</v>
      </c>
      <c r="H3148" s="1">
        <v>0</v>
      </c>
      <c r="I3148" s="1">
        <v>42</v>
      </c>
      <c r="J3148" s="1">
        <v>40</v>
      </c>
      <c r="K3148" s="1">
        <v>2</v>
      </c>
    </row>
    <row r="3149" spans="3:11" x14ac:dyDescent="0.25">
      <c r="C3149" s="1" t="s">
        <v>1956</v>
      </c>
      <c r="D3149" s="1" t="s">
        <v>1957</v>
      </c>
      <c r="E3149" s="1" t="s">
        <v>1958</v>
      </c>
      <c r="F3149" s="1">
        <v>2</v>
      </c>
      <c r="G3149" s="1">
        <v>2</v>
      </c>
      <c r="H3149" s="1">
        <v>0</v>
      </c>
      <c r="I3149" s="1">
        <v>42</v>
      </c>
      <c r="J3149" s="1">
        <v>40</v>
      </c>
      <c r="K3149" s="1">
        <v>2</v>
      </c>
    </row>
    <row r="3150" spans="3:11" x14ac:dyDescent="0.25">
      <c r="C3150" s="1" t="s">
        <v>2194</v>
      </c>
      <c r="D3150" s="1" t="s">
        <v>2195</v>
      </c>
      <c r="E3150" s="1" t="s">
        <v>2196</v>
      </c>
      <c r="F3150" s="1">
        <v>2</v>
      </c>
      <c r="G3150" s="1">
        <v>2</v>
      </c>
      <c r="H3150" s="1">
        <v>0</v>
      </c>
      <c r="I3150" s="1">
        <v>41</v>
      </c>
      <c r="J3150" s="1">
        <v>39</v>
      </c>
      <c r="K3150" s="1">
        <v>2</v>
      </c>
    </row>
    <row r="3151" spans="3:11" x14ac:dyDescent="0.25">
      <c r="C3151" s="1" t="s">
        <v>10648</v>
      </c>
      <c r="D3151" s="1" t="s">
        <v>10649</v>
      </c>
      <c r="E3151" s="1" t="s">
        <v>10650</v>
      </c>
      <c r="F3151" s="1">
        <v>2</v>
      </c>
      <c r="G3151" s="1">
        <v>2</v>
      </c>
      <c r="H3151" s="1">
        <v>0</v>
      </c>
      <c r="I3151" s="1">
        <v>40</v>
      </c>
      <c r="J3151" s="1">
        <v>38</v>
      </c>
      <c r="K3151" s="1">
        <v>2</v>
      </c>
    </row>
    <row r="3152" spans="3:11" x14ac:dyDescent="0.25">
      <c r="C3152" s="1" t="s">
        <v>10651</v>
      </c>
      <c r="D3152" s="1" t="s">
        <v>10652</v>
      </c>
      <c r="E3152" s="1" t="s">
        <v>10653</v>
      </c>
      <c r="F3152" s="1">
        <v>2</v>
      </c>
      <c r="G3152" s="1">
        <v>2</v>
      </c>
      <c r="H3152" s="1">
        <v>0</v>
      </c>
      <c r="I3152" s="1">
        <v>40</v>
      </c>
      <c r="J3152" s="1">
        <v>38</v>
      </c>
      <c r="K3152" s="1">
        <v>2</v>
      </c>
    </row>
    <row r="3153" spans="3:11" x14ac:dyDescent="0.25">
      <c r="C3153" s="1" t="s">
        <v>3749</v>
      </c>
      <c r="D3153" s="1" t="s">
        <v>3750</v>
      </c>
      <c r="E3153" s="1" t="s">
        <v>3751</v>
      </c>
      <c r="F3153" s="1">
        <v>2</v>
      </c>
      <c r="G3153" s="1">
        <v>2</v>
      </c>
      <c r="H3153" s="1">
        <v>0</v>
      </c>
      <c r="I3153" s="1">
        <v>40</v>
      </c>
      <c r="J3153" s="1">
        <v>38</v>
      </c>
      <c r="K3153" s="1">
        <v>2</v>
      </c>
    </row>
    <row r="3154" spans="3:11" x14ac:dyDescent="0.25">
      <c r="C3154" s="1" t="s">
        <v>10654</v>
      </c>
      <c r="D3154" s="1" t="s">
        <v>10655</v>
      </c>
      <c r="E3154" s="1" t="s">
        <v>10656</v>
      </c>
      <c r="F3154" s="1">
        <v>2</v>
      </c>
      <c r="G3154" s="1">
        <v>2</v>
      </c>
      <c r="H3154" s="1">
        <v>0</v>
      </c>
      <c r="I3154" s="1">
        <v>39</v>
      </c>
      <c r="J3154" s="1">
        <v>37</v>
      </c>
      <c r="K3154" s="1">
        <v>2</v>
      </c>
    </row>
    <row r="3155" spans="3:11" x14ac:dyDescent="0.25">
      <c r="C3155" s="1" t="s">
        <v>3776</v>
      </c>
      <c r="D3155" s="1" t="s">
        <v>3777</v>
      </c>
      <c r="E3155" s="1" t="s">
        <v>3778</v>
      </c>
      <c r="F3155" s="1">
        <v>2</v>
      </c>
      <c r="G3155" s="1">
        <v>2</v>
      </c>
      <c r="H3155" s="1">
        <v>0</v>
      </c>
      <c r="I3155" s="1">
        <v>38</v>
      </c>
      <c r="J3155" s="1">
        <v>36</v>
      </c>
      <c r="K3155" s="1">
        <v>2</v>
      </c>
    </row>
    <row r="3156" spans="3:11" x14ac:dyDescent="0.25">
      <c r="C3156" s="1" t="s">
        <v>1882</v>
      </c>
      <c r="D3156" s="1" t="s">
        <v>1883</v>
      </c>
      <c r="E3156" s="1" t="s">
        <v>1884</v>
      </c>
      <c r="F3156" s="1">
        <v>2</v>
      </c>
      <c r="G3156" s="1">
        <v>2</v>
      </c>
      <c r="H3156" s="1">
        <v>0</v>
      </c>
      <c r="I3156" s="1">
        <v>36</v>
      </c>
      <c r="J3156" s="1">
        <v>34</v>
      </c>
      <c r="K3156" s="1">
        <v>2</v>
      </c>
    </row>
    <row r="3157" spans="3:11" x14ac:dyDescent="0.25">
      <c r="C3157" s="1" t="s">
        <v>3851</v>
      </c>
      <c r="D3157" s="1" t="s">
        <v>3852</v>
      </c>
      <c r="E3157" s="1" t="s">
        <v>3853</v>
      </c>
      <c r="F3157" s="1">
        <v>2</v>
      </c>
      <c r="G3157" s="1">
        <v>2</v>
      </c>
      <c r="H3157" s="1">
        <v>0</v>
      </c>
      <c r="I3157" s="1">
        <v>32</v>
      </c>
      <c r="J3157" s="1">
        <v>30</v>
      </c>
      <c r="K3157" s="1">
        <v>2</v>
      </c>
    </row>
    <row r="3158" spans="3:11" x14ac:dyDescent="0.25">
      <c r="C3158" s="1" t="s">
        <v>4105</v>
      </c>
      <c r="D3158" s="1" t="s">
        <v>4106</v>
      </c>
      <c r="E3158" s="1" t="s">
        <v>4107</v>
      </c>
      <c r="F3158" s="1">
        <v>2</v>
      </c>
      <c r="G3158" s="1">
        <v>2</v>
      </c>
      <c r="H3158" s="1">
        <v>0</v>
      </c>
      <c r="I3158" s="1">
        <v>28</v>
      </c>
      <c r="J3158" s="1">
        <v>26</v>
      </c>
      <c r="K3158" s="1">
        <v>2</v>
      </c>
    </row>
    <row r="3159" spans="3:11" x14ac:dyDescent="0.25">
      <c r="C3159" s="1" t="s">
        <v>1990</v>
      </c>
      <c r="D3159" s="1" t="s">
        <v>1991</v>
      </c>
      <c r="E3159" s="1" t="s">
        <v>1992</v>
      </c>
      <c r="F3159" s="1">
        <v>2</v>
      </c>
      <c r="G3159" s="1">
        <v>2</v>
      </c>
      <c r="H3159" s="1">
        <v>0</v>
      </c>
      <c r="I3159" s="1">
        <v>27</v>
      </c>
      <c r="J3159" s="1">
        <v>25</v>
      </c>
      <c r="K3159" s="1">
        <v>2</v>
      </c>
    </row>
    <row r="3160" spans="3:11" x14ac:dyDescent="0.25">
      <c r="C3160" s="1" t="s">
        <v>1923</v>
      </c>
      <c r="D3160" s="1" t="s">
        <v>1924</v>
      </c>
      <c r="E3160" s="1" t="s">
        <v>1925</v>
      </c>
      <c r="F3160" s="1">
        <v>2</v>
      </c>
      <c r="G3160" s="1">
        <v>2</v>
      </c>
      <c r="H3160" s="1">
        <v>0</v>
      </c>
      <c r="I3160" s="1">
        <v>26</v>
      </c>
      <c r="J3160" s="1">
        <v>24</v>
      </c>
      <c r="K3160" s="1">
        <v>2</v>
      </c>
    </row>
    <row r="3161" spans="3:11" x14ac:dyDescent="0.25">
      <c r="C3161" s="1" t="s">
        <v>3913</v>
      </c>
      <c r="D3161" s="1" t="s">
        <v>3914</v>
      </c>
      <c r="E3161" s="1" t="s">
        <v>3915</v>
      </c>
      <c r="F3161" s="1">
        <v>2</v>
      </c>
      <c r="G3161" s="1">
        <v>2</v>
      </c>
      <c r="H3161" s="1">
        <v>0</v>
      </c>
      <c r="I3161" s="1">
        <v>25</v>
      </c>
      <c r="J3161" s="1">
        <v>23</v>
      </c>
      <c r="K3161" s="1">
        <v>2</v>
      </c>
    </row>
    <row r="3162" spans="3:11" x14ac:dyDescent="0.25">
      <c r="C3162" s="1" t="s">
        <v>2209</v>
      </c>
      <c r="D3162" s="1" t="s">
        <v>2210</v>
      </c>
      <c r="E3162" s="1" t="s">
        <v>2211</v>
      </c>
      <c r="F3162" s="1">
        <v>2</v>
      </c>
      <c r="G3162" s="1">
        <v>2</v>
      </c>
      <c r="H3162" s="1">
        <v>0</v>
      </c>
      <c r="I3162" s="1">
        <v>24</v>
      </c>
      <c r="J3162" s="1">
        <v>22</v>
      </c>
      <c r="K3162" s="1">
        <v>2</v>
      </c>
    </row>
    <row r="3163" spans="3:11" x14ac:dyDescent="0.25">
      <c r="C3163" s="1" t="s">
        <v>10657</v>
      </c>
      <c r="D3163" s="1" t="s">
        <v>10658</v>
      </c>
      <c r="E3163" s="1" t="s">
        <v>10659</v>
      </c>
      <c r="F3163" s="1">
        <v>2</v>
      </c>
      <c r="G3163" s="1">
        <v>2</v>
      </c>
      <c r="H3163" s="1">
        <v>0</v>
      </c>
      <c r="I3163" s="1">
        <v>22</v>
      </c>
      <c r="J3163" s="1">
        <v>20</v>
      </c>
      <c r="K3163" s="1">
        <v>2</v>
      </c>
    </row>
    <row r="3164" spans="3:11" x14ac:dyDescent="0.25">
      <c r="C3164" s="1" t="s">
        <v>1950</v>
      </c>
      <c r="D3164" s="1" t="s">
        <v>1951</v>
      </c>
      <c r="E3164" s="1" t="s">
        <v>1952</v>
      </c>
      <c r="F3164" s="1">
        <v>2</v>
      </c>
      <c r="G3164" s="1">
        <v>2</v>
      </c>
      <c r="H3164" s="1">
        <v>0</v>
      </c>
      <c r="I3164" s="1">
        <v>22</v>
      </c>
      <c r="J3164" s="1">
        <v>20</v>
      </c>
      <c r="K3164" s="1">
        <v>2</v>
      </c>
    </row>
    <row r="3165" spans="3:11" x14ac:dyDescent="0.25">
      <c r="C3165" s="1" t="s">
        <v>3958</v>
      </c>
      <c r="D3165" s="1" t="s">
        <v>3959</v>
      </c>
      <c r="E3165" s="1" t="s">
        <v>3960</v>
      </c>
      <c r="F3165" s="1">
        <v>2</v>
      </c>
      <c r="G3165" s="1">
        <v>2</v>
      </c>
      <c r="H3165" s="1">
        <v>0</v>
      </c>
      <c r="I3165" s="1">
        <v>22</v>
      </c>
      <c r="J3165" s="1">
        <v>20</v>
      </c>
      <c r="K3165" s="1">
        <v>2</v>
      </c>
    </row>
    <row r="3166" spans="3:11" x14ac:dyDescent="0.25">
      <c r="C3166" s="1" t="s">
        <v>10660</v>
      </c>
      <c r="D3166" s="1" t="s">
        <v>10661</v>
      </c>
      <c r="E3166" s="1" t="s">
        <v>10662</v>
      </c>
      <c r="F3166" s="1">
        <v>2</v>
      </c>
      <c r="G3166" s="1">
        <v>2</v>
      </c>
      <c r="H3166" s="1">
        <v>0</v>
      </c>
      <c r="I3166" s="1">
        <v>20</v>
      </c>
      <c r="J3166" s="1">
        <v>18</v>
      </c>
      <c r="K3166" s="1">
        <v>2</v>
      </c>
    </row>
    <row r="3167" spans="3:11" x14ac:dyDescent="0.25">
      <c r="C3167" s="1" t="s">
        <v>1953</v>
      </c>
      <c r="D3167" s="1" t="s">
        <v>1954</v>
      </c>
      <c r="E3167" s="1" t="s">
        <v>1955</v>
      </c>
      <c r="F3167" s="1">
        <v>2</v>
      </c>
      <c r="G3167" s="1">
        <v>2</v>
      </c>
      <c r="H3167" s="1">
        <v>0</v>
      </c>
      <c r="I3167" s="1">
        <v>20</v>
      </c>
      <c r="J3167" s="1">
        <v>18</v>
      </c>
      <c r="K3167" s="1">
        <v>2</v>
      </c>
    </row>
    <row r="3168" spans="3:11" x14ac:dyDescent="0.25">
      <c r="C3168" s="1" t="s">
        <v>3989</v>
      </c>
      <c r="D3168" s="1" t="s">
        <v>3990</v>
      </c>
      <c r="E3168" s="1" t="s">
        <v>3991</v>
      </c>
      <c r="F3168" s="1">
        <v>2</v>
      </c>
      <c r="G3168" s="1">
        <v>2</v>
      </c>
      <c r="H3168" s="1">
        <v>0</v>
      </c>
      <c r="I3168" s="1">
        <v>20</v>
      </c>
      <c r="J3168" s="1">
        <v>18</v>
      </c>
      <c r="K3168" s="1">
        <v>2</v>
      </c>
    </row>
    <row r="3169" spans="3:11" x14ac:dyDescent="0.25">
      <c r="C3169" s="1" t="s">
        <v>1959</v>
      </c>
      <c r="D3169" s="1" t="s">
        <v>1960</v>
      </c>
      <c r="E3169" s="1" t="s">
        <v>1961</v>
      </c>
      <c r="F3169" s="1">
        <v>2</v>
      </c>
      <c r="G3169" s="1">
        <v>2</v>
      </c>
      <c r="H3169" s="1">
        <v>0</v>
      </c>
      <c r="I3169" s="1">
        <v>19</v>
      </c>
      <c r="J3169" s="1">
        <v>17</v>
      </c>
      <c r="K3169" s="1">
        <v>2</v>
      </c>
    </row>
    <row r="3170" spans="3:11" x14ac:dyDescent="0.25">
      <c r="C3170" s="1" t="s">
        <v>1965</v>
      </c>
      <c r="D3170" s="1" t="s">
        <v>1966</v>
      </c>
      <c r="E3170" s="1" t="s">
        <v>1967</v>
      </c>
      <c r="F3170" s="1">
        <v>2</v>
      </c>
      <c r="G3170" s="1">
        <v>2</v>
      </c>
      <c r="H3170" s="1">
        <v>0</v>
      </c>
      <c r="I3170" s="1">
        <v>18</v>
      </c>
      <c r="J3170" s="1">
        <v>16</v>
      </c>
      <c r="K3170" s="1">
        <v>2</v>
      </c>
    </row>
    <row r="3171" spans="3:11" x14ac:dyDescent="0.25">
      <c r="C3171" s="1" t="s">
        <v>4003</v>
      </c>
      <c r="D3171" s="1" t="s">
        <v>4004</v>
      </c>
      <c r="E3171" s="1" t="s">
        <v>4005</v>
      </c>
      <c r="F3171" s="1">
        <v>2</v>
      </c>
      <c r="G3171" s="1">
        <v>2</v>
      </c>
      <c r="H3171" s="1">
        <v>0</v>
      </c>
      <c r="I3171" s="1">
        <v>18</v>
      </c>
      <c r="J3171" s="1">
        <v>16</v>
      </c>
      <c r="K3171" s="1">
        <v>2</v>
      </c>
    </row>
    <row r="3172" spans="3:11" x14ac:dyDescent="0.25">
      <c r="C3172" s="1" t="s">
        <v>4012</v>
      </c>
      <c r="D3172" s="1" t="s">
        <v>4013</v>
      </c>
      <c r="E3172" s="1" t="s">
        <v>4014</v>
      </c>
      <c r="F3172" s="1">
        <v>2</v>
      </c>
      <c r="G3172" s="1">
        <v>2</v>
      </c>
      <c r="H3172" s="1">
        <v>0</v>
      </c>
      <c r="I3172" s="1">
        <v>17</v>
      </c>
      <c r="J3172" s="1">
        <v>15</v>
      </c>
      <c r="K3172" s="1">
        <v>2</v>
      </c>
    </row>
    <row r="3173" spans="3:11" x14ac:dyDescent="0.25">
      <c r="C3173" s="1" t="s">
        <v>10663</v>
      </c>
      <c r="D3173" s="1" t="s">
        <v>10664</v>
      </c>
      <c r="E3173" s="1" t="s">
        <v>10665</v>
      </c>
      <c r="F3173" s="1">
        <v>2</v>
      </c>
      <c r="G3173" s="1">
        <v>2</v>
      </c>
      <c r="H3173" s="1">
        <v>0</v>
      </c>
      <c r="I3173" s="1">
        <v>16</v>
      </c>
      <c r="J3173" s="1">
        <v>14</v>
      </c>
      <c r="K3173" s="1">
        <v>2</v>
      </c>
    </row>
    <row r="3174" spans="3:11" x14ac:dyDescent="0.25">
      <c r="C3174" s="1" t="s">
        <v>2331</v>
      </c>
      <c r="D3174" s="1" t="s">
        <v>2332</v>
      </c>
      <c r="E3174" s="1" t="s">
        <v>2333</v>
      </c>
      <c r="F3174" s="1">
        <v>2</v>
      </c>
      <c r="G3174" s="1">
        <v>2</v>
      </c>
      <c r="H3174" s="1">
        <v>0</v>
      </c>
      <c r="I3174" s="1">
        <v>16</v>
      </c>
      <c r="J3174" s="1">
        <v>14</v>
      </c>
      <c r="K3174" s="1">
        <v>2</v>
      </c>
    </row>
    <row r="3175" spans="3:11" x14ac:dyDescent="0.25">
      <c r="C3175" s="1" t="s">
        <v>4096</v>
      </c>
      <c r="D3175" s="1" t="s">
        <v>4097</v>
      </c>
      <c r="E3175" s="1" t="s">
        <v>4098</v>
      </c>
      <c r="F3175" s="1">
        <v>2</v>
      </c>
      <c r="G3175" s="1">
        <v>2</v>
      </c>
      <c r="H3175" s="1">
        <v>0</v>
      </c>
      <c r="I3175" s="1">
        <v>9</v>
      </c>
      <c r="J3175" s="1">
        <v>7</v>
      </c>
      <c r="K3175" s="1">
        <v>2</v>
      </c>
    </row>
    <row r="3176" spans="3:11" x14ac:dyDescent="0.25">
      <c r="C3176" s="1" t="s">
        <v>10666</v>
      </c>
      <c r="D3176" s="1" t="s">
        <v>10667</v>
      </c>
      <c r="E3176" s="1" t="s">
        <v>10668</v>
      </c>
      <c r="F3176" s="1">
        <v>2</v>
      </c>
      <c r="G3176" s="1">
        <v>2</v>
      </c>
      <c r="H3176" s="1">
        <v>0</v>
      </c>
      <c r="I3176" s="1">
        <v>6</v>
      </c>
      <c r="J3176" s="1">
        <v>4</v>
      </c>
      <c r="K3176" s="1">
        <v>2</v>
      </c>
    </row>
    <row r="3177" spans="3:11" x14ac:dyDescent="0.25">
      <c r="C3177" s="1" t="s">
        <v>10669</v>
      </c>
      <c r="D3177" s="1" t="s">
        <v>10670</v>
      </c>
      <c r="E3177" s="1" t="s">
        <v>10671</v>
      </c>
      <c r="F3177" s="1">
        <v>2</v>
      </c>
      <c r="G3177" s="1">
        <v>2</v>
      </c>
      <c r="H3177" s="1">
        <v>0</v>
      </c>
      <c r="I3177" s="1">
        <v>5</v>
      </c>
      <c r="J3177" s="1">
        <v>3</v>
      </c>
      <c r="K3177" s="1">
        <v>2</v>
      </c>
    </row>
    <row r="3178" spans="3:11" x14ac:dyDescent="0.25">
      <c r="C3178" s="1" t="s">
        <v>10672</v>
      </c>
      <c r="D3178" s="1" t="s">
        <v>10673</v>
      </c>
      <c r="E3178" s="1" t="s">
        <v>10674</v>
      </c>
      <c r="F3178" s="1">
        <v>2</v>
      </c>
      <c r="G3178" s="1">
        <v>2</v>
      </c>
      <c r="H3178" s="1">
        <v>0</v>
      </c>
      <c r="I3178" s="1">
        <v>4</v>
      </c>
      <c r="J3178" s="1">
        <v>2</v>
      </c>
      <c r="K3178" s="1">
        <v>2</v>
      </c>
    </row>
    <row r="3179" spans="3:11" x14ac:dyDescent="0.25">
      <c r="C3179" s="1" t="s">
        <v>10675</v>
      </c>
      <c r="D3179" s="1" t="s">
        <v>10676</v>
      </c>
      <c r="E3179" s="1" t="s">
        <v>10677</v>
      </c>
      <c r="F3179" s="1">
        <v>2</v>
      </c>
      <c r="G3179" s="1">
        <v>2</v>
      </c>
      <c r="H3179" s="1">
        <v>0</v>
      </c>
      <c r="I3179" s="1">
        <v>4</v>
      </c>
      <c r="J3179" s="1">
        <v>2</v>
      </c>
      <c r="K3179" s="1">
        <v>2</v>
      </c>
    </row>
    <row r="3180" spans="3:11" x14ac:dyDescent="0.25">
      <c r="C3180" s="1" t="s">
        <v>2131</v>
      </c>
      <c r="D3180" s="1" t="s">
        <v>2132</v>
      </c>
      <c r="E3180" s="1" t="s">
        <v>2133</v>
      </c>
      <c r="F3180" s="1">
        <v>2</v>
      </c>
      <c r="G3180" s="1">
        <v>2</v>
      </c>
      <c r="H3180" s="1">
        <v>0</v>
      </c>
      <c r="I3180" s="1">
        <v>4</v>
      </c>
      <c r="J3180" s="1">
        <v>2</v>
      </c>
      <c r="K3180" s="1">
        <v>2</v>
      </c>
    </row>
    <row r="3181" spans="3:11" x14ac:dyDescent="0.25">
      <c r="C3181" s="1" t="s">
        <v>10678</v>
      </c>
      <c r="D3181" s="1" t="s">
        <v>10679</v>
      </c>
      <c r="E3181" s="1" t="s">
        <v>10680</v>
      </c>
      <c r="F3181" s="1">
        <v>2</v>
      </c>
      <c r="G3181" s="1">
        <v>2</v>
      </c>
      <c r="H3181" s="1">
        <v>0</v>
      </c>
      <c r="I3181" s="1">
        <v>3</v>
      </c>
      <c r="J3181" s="1">
        <v>1</v>
      </c>
      <c r="K3181" s="1">
        <v>2</v>
      </c>
    </row>
    <row r="3182" spans="3:11" x14ac:dyDescent="0.25">
      <c r="C3182" s="1" t="s">
        <v>10681</v>
      </c>
      <c r="D3182" s="1" t="s">
        <v>10682</v>
      </c>
      <c r="E3182" s="1" t="s">
        <v>10683</v>
      </c>
      <c r="F3182" s="1">
        <v>2</v>
      </c>
      <c r="G3182" s="1">
        <v>2</v>
      </c>
      <c r="H3182" s="1">
        <v>0</v>
      </c>
      <c r="I3182" s="1">
        <v>3</v>
      </c>
      <c r="J3182" s="1">
        <v>1</v>
      </c>
      <c r="K3182" s="1">
        <v>2</v>
      </c>
    </row>
    <row r="3183" spans="3:11" x14ac:dyDescent="0.25">
      <c r="C3183" s="1" t="s">
        <v>10684</v>
      </c>
      <c r="D3183" s="1" t="s">
        <v>10685</v>
      </c>
      <c r="E3183" s="1" t="s">
        <v>10686</v>
      </c>
      <c r="F3183" s="1">
        <v>2</v>
      </c>
      <c r="G3183" s="1">
        <v>2</v>
      </c>
      <c r="H3183" s="1">
        <v>0</v>
      </c>
      <c r="I3183" s="1">
        <v>2</v>
      </c>
      <c r="J3183" s="1">
        <v>0</v>
      </c>
      <c r="K3183" s="1">
        <v>2</v>
      </c>
    </row>
    <row r="3184" spans="3:11" x14ac:dyDescent="0.25">
      <c r="C3184" s="1" t="s">
        <v>10687</v>
      </c>
      <c r="D3184" s="1" t="s">
        <v>10688</v>
      </c>
      <c r="E3184" s="1" t="s">
        <v>10689</v>
      </c>
      <c r="F3184" s="1">
        <v>2</v>
      </c>
      <c r="G3184" s="1">
        <v>2</v>
      </c>
      <c r="H3184" s="1">
        <v>0</v>
      </c>
      <c r="I3184" s="1">
        <v>2</v>
      </c>
      <c r="J3184" s="1">
        <v>0</v>
      </c>
      <c r="K3184" s="1">
        <v>2</v>
      </c>
    </row>
    <row r="3185" spans="3:11" x14ac:dyDescent="0.25">
      <c r="C3185" s="1" t="s">
        <v>10690</v>
      </c>
      <c r="D3185" s="1" t="s">
        <v>10691</v>
      </c>
      <c r="E3185" s="1" t="s">
        <v>10692</v>
      </c>
      <c r="F3185" s="1">
        <v>2</v>
      </c>
      <c r="G3185" s="1">
        <v>2</v>
      </c>
      <c r="H3185" s="1">
        <v>0</v>
      </c>
      <c r="I3185" s="1">
        <v>2</v>
      </c>
      <c r="J3185" s="1">
        <v>0</v>
      </c>
      <c r="K3185" s="1">
        <v>2</v>
      </c>
    </row>
    <row r="3186" spans="3:11" x14ac:dyDescent="0.25">
      <c r="C3186" s="1" t="s">
        <v>10693</v>
      </c>
      <c r="D3186" s="1" t="s">
        <v>10694</v>
      </c>
      <c r="E3186" s="1" t="s">
        <v>10693</v>
      </c>
      <c r="F3186" s="1">
        <v>2</v>
      </c>
      <c r="G3186" s="1">
        <v>2</v>
      </c>
      <c r="H3186" s="1">
        <v>0</v>
      </c>
      <c r="I3186" s="1">
        <v>2</v>
      </c>
      <c r="J3186" s="1">
        <v>0</v>
      </c>
      <c r="K3186" s="1">
        <v>2</v>
      </c>
    </row>
    <row r="3187" spans="3:11" x14ac:dyDescent="0.25">
      <c r="D3187" s="1" t="s">
        <v>10695</v>
      </c>
      <c r="E3187" s="1" t="s">
        <v>10696</v>
      </c>
      <c r="F3187" s="1">
        <v>2</v>
      </c>
      <c r="G3187" s="1">
        <v>2</v>
      </c>
      <c r="H3187" s="1">
        <v>0</v>
      </c>
      <c r="I3187" s="1">
        <v>2</v>
      </c>
      <c r="J3187" s="1">
        <v>0</v>
      </c>
      <c r="K3187" s="1">
        <v>2</v>
      </c>
    </row>
    <row r="3188" spans="3:11" x14ac:dyDescent="0.25">
      <c r="C3188" s="1" t="s">
        <v>10697</v>
      </c>
      <c r="D3188" s="1" t="s">
        <v>10698</v>
      </c>
      <c r="E3188" s="1" t="s">
        <v>10699</v>
      </c>
      <c r="F3188" s="1">
        <v>2</v>
      </c>
      <c r="G3188" s="1">
        <v>2</v>
      </c>
      <c r="H3188" s="1">
        <v>0</v>
      </c>
      <c r="I3188" s="1">
        <v>2</v>
      </c>
      <c r="J3188" s="1">
        <v>0</v>
      </c>
      <c r="K3188" s="1">
        <v>2</v>
      </c>
    </row>
    <row r="3189" spans="3:11" x14ac:dyDescent="0.25">
      <c r="C3189" s="1" t="s">
        <v>4174</v>
      </c>
      <c r="D3189" s="1" t="s">
        <v>4175</v>
      </c>
      <c r="E3189" s="1" t="s">
        <v>4176</v>
      </c>
      <c r="F3189" s="1">
        <v>2</v>
      </c>
      <c r="G3189" s="1">
        <v>2</v>
      </c>
      <c r="H3189" s="1">
        <v>0</v>
      </c>
      <c r="I3189" s="1">
        <v>2</v>
      </c>
      <c r="J3189" s="1">
        <v>0</v>
      </c>
      <c r="K3189" s="1">
        <v>2</v>
      </c>
    </row>
    <row r="3190" spans="3:11" x14ac:dyDescent="0.25">
      <c r="C3190" s="1" t="s">
        <v>10700</v>
      </c>
      <c r="D3190" s="1" t="s">
        <v>10701</v>
      </c>
      <c r="E3190" s="1" t="s">
        <v>10702</v>
      </c>
      <c r="F3190" s="1">
        <v>2</v>
      </c>
      <c r="G3190" s="1">
        <v>2</v>
      </c>
      <c r="H3190" s="1">
        <v>0</v>
      </c>
      <c r="I3190" s="1">
        <v>2</v>
      </c>
      <c r="J3190" s="1">
        <v>0</v>
      </c>
      <c r="K3190" s="1">
        <v>2</v>
      </c>
    </row>
    <row r="3191" spans="3:11" x14ac:dyDescent="0.25">
      <c r="C3191" s="1" t="s">
        <v>10703</v>
      </c>
      <c r="D3191" s="1" t="s">
        <v>10704</v>
      </c>
      <c r="E3191" s="1" t="s">
        <v>10705</v>
      </c>
      <c r="F3191" s="1">
        <v>3</v>
      </c>
      <c r="G3191" s="1">
        <v>3</v>
      </c>
      <c r="H3191" s="1">
        <v>0</v>
      </c>
      <c r="I3191" s="1">
        <v>4441</v>
      </c>
      <c r="J3191" s="1">
        <v>4438</v>
      </c>
      <c r="K3191" s="1">
        <v>3</v>
      </c>
    </row>
    <row r="3192" spans="3:11" x14ac:dyDescent="0.25">
      <c r="C3192" s="1" t="s">
        <v>10706</v>
      </c>
      <c r="D3192" s="1" t="s">
        <v>10707</v>
      </c>
      <c r="E3192" s="1" t="s">
        <v>10708</v>
      </c>
      <c r="F3192" s="1">
        <v>3</v>
      </c>
      <c r="G3192" s="1">
        <v>3</v>
      </c>
      <c r="H3192" s="1">
        <v>0</v>
      </c>
      <c r="I3192" s="1">
        <v>3622</v>
      </c>
      <c r="J3192" s="1">
        <v>3619</v>
      </c>
      <c r="K3192" s="1">
        <v>3</v>
      </c>
    </row>
    <row r="3193" spans="3:11" x14ac:dyDescent="0.25">
      <c r="C3193" s="1" t="s">
        <v>2527</v>
      </c>
      <c r="D3193" s="1" t="s">
        <v>2528</v>
      </c>
      <c r="E3193" s="1" t="s">
        <v>2529</v>
      </c>
      <c r="F3193" s="1">
        <v>3</v>
      </c>
      <c r="G3193" s="1">
        <v>3</v>
      </c>
      <c r="H3193" s="1">
        <v>0</v>
      </c>
      <c r="I3193" s="1">
        <v>1696</v>
      </c>
      <c r="J3193" s="1">
        <v>1693</v>
      </c>
      <c r="K3193" s="1">
        <v>3</v>
      </c>
    </row>
    <row r="3194" spans="3:11" x14ac:dyDescent="0.25">
      <c r="C3194" s="1" t="s">
        <v>2322</v>
      </c>
      <c r="D3194" s="1" t="s">
        <v>2323</v>
      </c>
      <c r="E3194" s="1" t="s">
        <v>2324</v>
      </c>
      <c r="F3194" s="1">
        <v>3</v>
      </c>
      <c r="G3194" s="1">
        <v>3</v>
      </c>
      <c r="H3194" s="1">
        <v>0</v>
      </c>
      <c r="I3194" s="1">
        <v>1667</v>
      </c>
      <c r="J3194" s="1">
        <v>1664</v>
      </c>
      <c r="K3194" s="1">
        <v>3</v>
      </c>
    </row>
    <row r="3195" spans="3:11" x14ac:dyDescent="0.25">
      <c r="C3195" s="1" t="s">
        <v>10709</v>
      </c>
      <c r="D3195" s="1" t="s">
        <v>10710</v>
      </c>
      <c r="E3195" s="1" t="s">
        <v>10711</v>
      </c>
      <c r="F3195" s="1">
        <v>3</v>
      </c>
      <c r="G3195" s="1">
        <v>3</v>
      </c>
      <c r="H3195" s="1">
        <v>0</v>
      </c>
      <c r="I3195" s="1">
        <v>1308</v>
      </c>
      <c r="J3195" s="1">
        <v>1305</v>
      </c>
      <c r="K3195" s="1">
        <v>3</v>
      </c>
    </row>
    <row r="3196" spans="3:11" x14ac:dyDescent="0.25">
      <c r="C3196" s="1" t="s">
        <v>2144</v>
      </c>
      <c r="D3196" s="1" t="s">
        <v>2130</v>
      </c>
      <c r="E3196" s="1" t="s">
        <v>2145</v>
      </c>
      <c r="F3196" s="1">
        <v>3</v>
      </c>
      <c r="G3196" s="1">
        <v>3</v>
      </c>
      <c r="H3196" s="1">
        <v>0</v>
      </c>
      <c r="I3196" s="1">
        <v>1248</v>
      </c>
      <c r="J3196" s="1">
        <v>1245</v>
      </c>
      <c r="K3196" s="1">
        <v>3</v>
      </c>
    </row>
    <row r="3197" spans="3:11" x14ac:dyDescent="0.25">
      <c r="C3197" s="1" t="s">
        <v>10712</v>
      </c>
      <c r="D3197" s="1" t="s">
        <v>10713</v>
      </c>
      <c r="E3197" s="1" t="s">
        <v>10714</v>
      </c>
      <c r="F3197" s="1">
        <v>3</v>
      </c>
      <c r="G3197" s="1">
        <v>3</v>
      </c>
      <c r="H3197" s="1">
        <v>0</v>
      </c>
      <c r="I3197" s="1">
        <v>1161</v>
      </c>
      <c r="J3197" s="1">
        <v>1158</v>
      </c>
      <c r="K3197" s="1">
        <v>3</v>
      </c>
    </row>
    <row r="3198" spans="3:11" x14ac:dyDescent="0.25">
      <c r="C3198" s="1" t="s">
        <v>2634</v>
      </c>
      <c r="D3198" s="1" t="s">
        <v>2635</v>
      </c>
      <c r="E3198" s="1" t="s">
        <v>2636</v>
      </c>
      <c r="F3198" s="1">
        <v>3</v>
      </c>
      <c r="G3198" s="1">
        <v>3</v>
      </c>
      <c r="H3198" s="1">
        <v>0</v>
      </c>
      <c r="I3198" s="1">
        <v>994</v>
      </c>
      <c r="J3198" s="1">
        <v>991</v>
      </c>
      <c r="K3198" s="1">
        <v>3</v>
      </c>
    </row>
    <row r="3199" spans="3:11" x14ac:dyDescent="0.25">
      <c r="C3199" s="1" t="s">
        <v>2782</v>
      </c>
      <c r="D3199" s="1" t="s">
        <v>2783</v>
      </c>
      <c r="E3199" s="1" t="s">
        <v>2784</v>
      </c>
      <c r="F3199" s="1">
        <v>3</v>
      </c>
      <c r="G3199" s="1">
        <v>3</v>
      </c>
      <c r="H3199" s="1">
        <v>0</v>
      </c>
      <c r="I3199" s="1">
        <v>673</v>
      </c>
      <c r="J3199" s="1">
        <v>670</v>
      </c>
      <c r="K3199" s="1">
        <v>3</v>
      </c>
    </row>
    <row r="3200" spans="3:11" x14ac:dyDescent="0.25">
      <c r="C3200" s="1" t="s">
        <v>2855</v>
      </c>
      <c r="D3200" s="1" t="s">
        <v>2856</v>
      </c>
      <c r="E3200" s="1" t="s">
        <v>2857</v>
      </c>
      <c r="F3200" s="1">
        <v>3</v>
      </c>
      <c r="G3200" s="1">
        <v>3</v>
      </c>
      <c r="H3200" s="1">
        <v>0</v>
      </c>
      <c r="I3200" s="1">
        <v>551</v>
      </c>
      <c r="J3200" s="1">
        <v>548</v>
      </c>
      <c r="K3200" s="1">
        <v>3</v>
      </c>
    </row>
    <row r="3201" spans="3:11" x14ac:dyDescent="0.25">
      <c r="C3201" s="1" t="s">
        <v>1276</v>
      </c>
      <c r="D3201" s="1" t="s">
        <v>1277</v>
      </c>
      <c r="E3201" s="1" t="s">
        <v>1276</v>
      </c>
      <c r="F3201" s="1">
        <v>3</v>
      </c>
      <c r="G3201" s="1">
        <v>3</v>
      </c>
      <c r="H3201" s="1">
        <v>0</v>
      </c>
      <c r="I3201" s="1">
        <v>543</v>
      </c>
      <c r="J3201" s="1">
        <v>540</v>
      </c>
      <c r="K3201" s="1">
        <v>3</v>
      </c>
    </row>
    <row r="3202" spans="3:11" x14ac:dyDescent="0.25">
      <c r="C3202" s="1" t="s">
        <v>1362</v>
      </c>
      <c r="D3202" s="1" t="s">
        <v>1363</v>
      </c>
      <c r="E3202" s="1" t="s">
        <v>1364</v>
      </c>
      <c r="F3202" s="1">
        <v>3</v>
      </c>
      <c r="G3202" s="1">
        <v>3</v>
      </c>
      <c r="H3202" s="1">
        <v>0</v>
      </c>
      <c r="I3202" s="1">
        <v>369</v>
      </c>
      <c r="J3202" s="1">
        <v>366</v>
      </c>
      <c r="K3202" s="1">
        <v>3</v>
      </c>
    </row>
    <row r="3203" spans="3:11" x14ac:dyDescent="0.25">
      <c r="C3203" s="1" t="s">
        <v>10715</v>
      </c>
      <c r="D3203" s="1" t="s">
        <v>10716</v>
      </c>
      <c r="E3203" s="1" t="s">
        <v>10717</v>
      </c>
      <c r="F3203" s="1">
        <v>3</v>
      </c>
      <c r="G3203" s="1">
        <v>3</v>
      </c>
      <c r="H3203" s="1">
        <v>0</v>
      </c>
      <c r="I3203" s="1">
        <v>364</v>
      </c>
      <c r="J3203" s="1">
        <v>361</v>
      </c>
      <c r="K3203" s="1">
        <v>3</v>
      </c>
    </row>
    <row r="3204" spans="3:11" x14ac:dyDescent="0.25">
      <c r="C3204" s="1" t="s">
        <v>10718</v>
      </c>
      <c r="D3204" s="1" t="s">
        <v>10719</v>
      </c>
      <c r="E3204" s="1" t="s">
        <v>10720</v>
      </c>
      <c r="F3204" s="1">
        <v>3</v>
      </c>
      <c r="G3204" s="1">
        <v>3</v>
      </c>
      <c r="H3204" s="1">
        <v>0</v>
      </c>
      <c r="I3204" s="1">
        <v>330</v>
      </c>
      <c r="J3204" s="1">
        <v>327</v>
      </c>
      <c r="K3204" s="1">
        <v>3</v>
      </c>
    </row>
    <row r="3205" spans="3:11" x14ac:dyDescent="0.25">
      <c r="C3205" s="1" t="s">
        <v>3042</v>
      </c>
      <c r="D3205" s="1" t="s">
        <v>3043</v>
      </c>
      <c r="E3205" s="1" t="s">
        <v>3044</v>
      </c>
      <c r="F3205" s="1">
        <v>3</v>
      </c>
      <c r="G3205" s="1">
        <v>3</v>
      </c>
      <c r="H3205" s="1">
        <v>0</v>
      </c>
      <c r="I3205" s="1">
        <v>286</v>
      </c>
      <c r="J3205" s="1">
        <v>283</v>
      </c>
      <c r="K3205" s="1">
        <v>3</v>
      </c>
    </row>
    <row r="3206" spans="3:11" x14ac:dyDescent="0.25">
      <c r="C3206" s="1" t="s">
        <v>3059</v>
      </c>
      <c r="D3206" s="1" t="s">
        <v>3060</v>
      </c>
      <c r="E3206" s="1" t="s">
        <v>3059</v>
      </c>
      <c r="F3206" s="1">
        <v>3</v>
      </c>
      <c r="G3206" s="1">
        <v>3</v>
      </c>
      <c r="H3206" s="1">
        <v>0</v>
      </c>
      <c r="I3206" s="1">
        <v>276</v>
      </c>
      <c r="J3206" s="1">
        <v>273</v>
      </c>
      <c r="K3206" s="1">
        <v>3</v>
      </c>
    </row>
    <row r="3207" spans="3:11" x14ac:dyDescent="0.25">
      <c r="C3207" s="1" t="s">
        <v>1507</v>
      </c>
      <c r="D3207" s="1" t="s">
        <v>1508</v>
      </c>
      <c r="E3207" s="1" t="s">
        <v>1509</v>
      </c>
      <c r="F3207" s="1">
        <v>3</v>
      </c>
      <c r="G3207" s="1">
        <v>3</v>
      </c>
      <c r="H3207" s="1">
        <v>0</v>
      </c>
      <c r="I3207" s="1">
        <v>252</v>
      </c>
      <c r="J3207" s="1">
        <v>249</v>
      </c>
      <c r="K3207" s="1">
        <v>3</v>
      </c>
    </row>
    <row r="3208" spans="3:11" x14ac:dyDescent="0.25">
      <c r="C3208" s="1" t="s">
        <v>3169</v>
      </c>
      <c r="D3208" s="1" t="s">
        <v>612</v>
      </c>
      <c r="E3208" s="1" t="s">
        <v>3170</v>
      </c>
      <c r="F3208" s="1">
        <v>3</v>
      </c>
      <c r="G3208" s="1">
        <v>3</v>
      </c>
      <c r="H3208" s="1">
        <v>0</v>
      </c>
      <c r="I3208" s="1">
        <v>208</v>
      </c>
      <c r="J3208" s="1">
        <v>205</v>
      </c>
      <c r="K3208" s="1">
        <v>3</v>
      </c>
    </row>
    <row r="3209" spans="3:11" x14ac:dyDescent="0.25">
      <c r="C3209" s="1" t="s">
        <v>1575</v>
      </c>
      <c r="D3209" s="1" t="s">
        <v>1576</v>
      </c>
      <c r="E3209" s="1" t="s">
        <v>1575</v>
      </c>
      <c r="F3209" s="1">
        <v>3</v>
      </c>
      <c r="G3209" s="1">
        <v>3</v>
      </c>
      <c r="H3209" s="1">
        <v>0</v>
      </c>
      <c r="I3209" s="1">
        <v>202</v>
      </c>
      <c r="J3209" s="1">
        <v>199</v>
      </c>
      <c r="K3209" s="1">
        <v>3</v>
      </c>
    </row>
    <row r="3210" spans="3:11" x14ac:dyDescent="0.25">
      <c r="C3210" s="1" t="s">
        <v>10721</v>
      </c>
      <c r="D3210" s="1" t="s">
        <v>10722</v>
      </c>
      <c r="E3210" s="1" t="s">
        <v>10723</v>
      </c>
      <c r="F3210" s="1">
        <v>3</v>
      </c>
      <c r="G3210" s="1">
        <v>3</v>
      </c>
      <c r="H3210" s="1">
        <v>0</v>
      </c>
      <c r="I3210" s="1">
        <v>194</v>
      </c>
      <c r="J3210" s="1">
        <v>191</v>
      </c>
      <c r="K3210" s="1">
        <v>3</v>
      </c>
    </row>
    <row r="3211" spans="3:11" x14ac:dyDescent="0.25">
      <c r="C3211" s="1" t="s">
        <v>1567</v>
      </c>
      <c r="D3211" s="1" t="s">
        <v>1568</v>
      </c>
      <c r="E3211" s="1" t="s">
        <v>1569</v>
      </c>
      <c r="F3211" s="1">
        <v>3</v>
      </c>
      <c r="G3211" s="1">
        <v>3</v>
      </c>
      <c r="H3211" s="1">
        <v>0</v>
      </c>
      <c r="I3211" s="1">
        <v>194</v>
      </c>
      <c r="J3211" s="1">
        <v>191</v>
      </c>
      <c r="K3211" s="1">
        <v>3</v>
      </c>
    </row>
    <row r="3212" spans="3:11" x14ac:dyDescent="0.25">
      <c r="C3212" s="1" t="s">
        <v>10724</v>
      </c>
      <c r="D3212" s="1" t="s">
        <v>10725</v>
      </c>
      <c r="E3212" s="1" t="s">
        <v>10726</v>
      </c>
      <c r="F3212" s="1">
        <v>3</v>
      </c>
      <c r="G3212" s="1">
        <v>3</v>
      </c>
      <c r="H3212" s="1">
        <v>0</v>
      </c>
      <c r="I3212" s="1">
        <v>192</v>
      </c>
      <c r="J3212" s="1">
        <v>189</v>
      </c>
      <c r="K3212" s="1">
        <v>3</v>
      </c>
    </row>
    <row r="3213" spans="3:11" x14ac:dyDescent="0.25">
      <c r="C3213" s="1" t="s">
        <v>3192</v>
      </c>
      <c r="D3213" s="1" t="s">
        <v>3193</v>
      </c>
      <c r="E3213" s="1" t="s">
        <v>3194</v>
      </c>
      <c r="F3213" s="1">
        <v>3</v>
      </c>
      <c r="G3213" s="1">
        <v>3</v>
      </c>
      <c r="H3213" s="1">
        <v>0</v>
      </c>
      <c r="I3213" s="1">
        <v>188</v>
      </c>
      <c r="J3213" s="1">
        <v>185</v>
      </c>
      <c r="K3213" s="1">
        <v>3</v>
      </c>
    </row>
    <row r="3214" spans="3:11" x14ac:dyDescent="0.25">
      <c r="C3214" s="1" t="s">
        <v>2234</v>
      </c>
      <c r="D3214" s="1" t="s">
        <v>2228</v>
      </c>
      <c r="E3214" s="1" t="s">
        <v>2235</v>
      </c>
      <c r="F3214" s="1">
        <v>3</v>
      </c>
      <c r="G3214" s="1">
        <v>3</v>
      </c>
      <c r="H3214" s="1">
        <v>0</v>
      </c>
      <c r="I3214" s="1">
        <v>188</v>
      </c>
      <c r="J3214" s="1">
        <v>185</v>
      </c>
      <c r="K3214" s="1">
        <v>3</v>
      </c>
    </row>
    <row r="3215" spans="3:11" x14ac:dyDescent="0.25">
      <c r="C3215" s="1" t="s">
        <v>10727</v>
      </c>
      <c r="D3215" s="1" t="s">
        <v>10728</v>
      </c>
      <c r="E3215" s="1" t="s">
        <v>10727</v>
      </c>
      <c r="F3215" s="1">
        <v>3</v>
      </c>
      <c r="G3215" s="1">
        <v>3</v>
      </c>
      <c r="H3215" s="1">
        <v>0</v>
      </c>
      <c r="I3215" s="1">
        <v>180</v>
      </c>
      <c r="J3215" s="1">
        <v>177</v>
      </c>
      <c r="K3215" s="1">
        <v>3</v>
      </c>
    </row>
    <row r="3216" spans="3:11" x14ac:dyDescent="0.25">
      <c r="C3216" s="1" t="s">
        <v>3203</v>
      </c>
      <c r="D3216" s="1" t="s">
        <v>721</v>
      </c>
      <c r="E3216" s="1" t="s">
        <v>3204</v>
      </c>
      <c r="F3216" s="1">
        <v>3</v>
      </c>
      <c r="G3216" s="1">
        <v>3</v>
      </c>
      <c r="H3216" s="1">
        <v>0</v>
      </c>
      <c r="I3216" s="1">
        <v>175</v>
      </c>
      <c r="J3216" s="1">
        <v>172</v>
      </c>
      <c r="K3216" s="1">
        <v>3</v>
      </c>
    </row>
    <row r="3217" spans="3:11" x14ac:dyDescent="0.25">
      <c r="C3217" s="1" t="s">
        <v>10729</v>
      </c>
      <c r="D3217" s="1" t="s">
        <v>10730</v>
      </c>
      <c r="E3217" s="1" t="s">
        <v>10731</v>
      </c>
      <c r="F3217" s="1">
        <v>3</v>
      </c>
      <c r="G3217" s="1">
        <v>3</v>
      </c>
      <c r="H3217" s="1">
        <v>0</v>
      </c>
      <c r="I3217" s="1">
        <v>153</v>
      </c>
      <c r="J3217" s="1">
        <v>150</v>
      </c>
      <c r="K3217" s="1">
        <v>3</v>
      </c>
    </row>
    <row r="3218" spans="3:11" x14ac:dyDescent="0.25">
      <c r="C3218" s="1" t="s">
        <v>3279</v>
      </c>
      <c r="D3218" s="1" t="s">
        <v>3280</v>
      </c>
      <c r="E3218" s="1" t="s">
        <v>3281</v>
      </c>
      <c r="F3218" s="1">
        <v>3</v>
      </c>
      <c r="G3218" s="1">
        <v>3</v>
      </c>
      <c r="H3218" s="1">
        <v>0</v>
      </c>
      <c r="I3218" s="1">
        <v>134</v>
      </c>
      <c r="J3218" s="1">
        <v>131</v>
      </c>
      <c r="K3218" s="1">
        <v>3</v>
      </c>
    </row>
    <row r="3219" spans="3:11" x14ac:dyDescent="0.25">
      <c r="C3219" s="1" t="s">
        <v>1719</v>
      </c>
      <c r="D3219" s="1" t="s">
        <v>1720</v>
      </c>
      <c r="E3219" s="1" t="s">
        <v>1721</v>
      </c>
      <c r="F3219" s="1">
        <v>3</v>
      </c>
      <c r="G3219" s="1">
        <v>3</v>
      </c>
      <c r="H3219" s="1">
        <v>0</v>
      </c>
      <c r="I3219" s="1">
        <v>126</v>
      </c>
      <c r="J3219" s="1">
        <v>123</v>
      </c>
      <c r="K3219" s="1">
        <v>3</v>
      </c>
    </row>
    <row r="3220" spans="3:11" x14ac:dyDescent="0.25">
      <c r="C3220" s="1" t="s">
        <v>10732</v>
      </c>
      <c r="D3220" s="1" t="s">
        <v>10733</v>
      </c>
      <c r="E3220" s="1" t="s">
        <v>10734</v>
      </c>
      <c r="F3220" s="1">
        <v>3</v>
      </c>
      <c r="G3220" s="1">
        <v>3</v>
      </c>
      <c r="H3220" s="1">
        <v>0</v>
      </c>
      <c r="I3220" s="1">
        <v>121</v>
      </c>
      <c r="J3220" s="1">
        <v>118</v>
      </c>
      <c r="K3220" s="1">
        <v>3</v>
      </c>
    </row>
    <row r="3221" spans="3:11" x14ac:dyDescent="0.25">
      <c r="C3221" s="1" t="s">
        <v>10735</v>
      </c>
      <c r="D3221" s="1" t="s">
        <v>10736</v>
      </c>
      <c r="E3221" s="1" t="s">
        <v>10737</v>
      </c>
      <c r="F3221" s="1">
        <v>3</v>
      </c>
      <c r="G3221" s="1">
        <v>3</v>
      </c>
      <c r="H3221" s="1">
        <v>0</v>
      </c>
      <c r="I3221" s="1">
        <v>119</v>
      </c>
      <c r="J3221" s="1">
        <v>116</v>
      </c>
      <c r="K3221" s="1">
        <v>3</v>
      </c>
    </row>
    <row r="3222" spans="3:11" x14ac:dyDescent="0.25">
      <c r="C3222" s="1" t="s">
        <v>3320</v>
      </c>
      <c r="D3222" s="1" t="s">
        <v>3321</v>
      </c>
      <c r="E3222" s="1" t="s">
        <v>3322</v>
      </c>
      <c r="F3222" s="1">
        <v>3</v>
      </c>
      <c r="G3222" s="1">
        <v>3</v>
      </c>
      <c r="H3222" s="1">
        <v>0</v>
      </c>
      <c r="I3222" s="1">
        <v>119</v>
      </c>
      <c r="J3222" s="1">
        <v>116</v>
      </c>
      <c r="K3222" s="1">
        <v>3</v>
      </c>
    </row>
    <row r="3223" spans="3:11" x14ac:dyDescent="0.25">
      <c r="C3223" s="1" t="s">
        <v>1681</v>
      </c>
      <c r="D3223" s="1" t="s">
        <v>1682</v>
      </c>
      <c r="E3223" s="1" t="s">
        <v>1683</v>
      </c>
      <c r="F3223" s="1">
        <v>3</v>
      </c>
      <c r="G3223" s="1">
        <v>3</v>
      </c>
      <c r="H3223" s="1">
        <v>0</v>
      </c>
      <c r="I3223" s="1">
        <v>119</v>
      </c>
      <c r="J3223" s="1">
        <v>116</v>
      </c>
      <c r="K3223" s="1">
        <v>3</v>
      </c>
    </row>
    <row r="3224" spans="3:11" x14ac:dyDescent="0.25">
      <c r="C3224" s="1" t="s">
        <v>10738</v>
      </c>
      <c r="D3224" s="1" t="s">
        <v>10739</v>
      </c>
      <c r="E3224" s="1" t="s">
        <v>10740</v>
      </c>
      <c r="F3224" s="1">
        <v>3</v>
      </c>
      <c r="G3224" s="1">
        <v>3</v>
      </c>
      <c r="H3224" s="1">
        <v>0</v>
      </c>
      <c r="I3224" s="1">
        <v>112</v>
      </c>
      <c r="J3224" s="1">
        <v>109</v>
      </c>
      <c r="K3224" s="1">
        <v>3</v>
      </c>
    </row>
    <row r="3225" spans="3:11" x14ac:dyDescent="0.25">
      <c r="C3225" s="1" t="s">
        <v>3377</v>
      </c>
      <c r="D3225" s="1" t="s">
        <v>3378</v>
      </c>
      <c r="E3225" s="1" t="s">
        <v>3379</v>
      </c>
      <c r="F3225" s="1">
        <v>3</v>
      </c>
      <c r="G3225" s="1">
        <v>3</v>
      </c>
      <c r="H3225" s="1">
        <v>0</v>
      </c>
      <c r="I3225" s="1">
        <v>103</v>
      </c>
      <c r="J3225" s="1">
        <v>100</v>
      </c>
      <c r="K3225" s="1">
        <v>3</v>
      </c>
    </row>
    <row r="3226" spans="3:11" x14ac:dyDescent="0.25">
      <c r="C3226" s="1" t="s">
        <v>3394</v>
      </c>
      <c r="D3226" s="1" t="s">
        <v>3395</v>
      </c>
      <c r="E3226" s="1" t="s">
        <v>3396</v>
      </c>
      <c r="F3226" s="1">
        <v>3</v>
      </c>
      <c r="G3226" s="1">
        <v>3</v>
      </c>
      <c r="H3226" s="1">
        <v>0</v>
      </c>
      <c r="I3226" s="1">
        <v>102</v>
      </c>
      <c r="J3226" s="1">
        <v>99</v>
      </c>
      <c r="K3226" s="1">
        <v>3</v>
      </c>
    </row>
    <row r="3227" spans="3:11" x14ac:dyDescent="0.25">
      <c r="C3227" s="1" t="s">
        <v>3383</v>
      </c>
      <c r="D3227" s="1" t="s">
        <v>3384</v>
      </c>
      <c r="E3227" s="1" t="s">
        <v>3383</v>
      </c>
      <c r="F3227" s="1">
        <v>3</v>
      </c>
      <c r="G3227" s="1">
        <v>3</v>
      </c>
      <c r="H3227" s="1">
        <v>0</v>
      </c>
      <c r="I3227" s="1">
        <v>102</v>
      </c>
      <c r="J3227" s="1">
        <v>99</v>
      </c>
      <c r="K3227" s="1">
        <v>3</v>
      </c>
    </row>
    <row r="3228" spans="3:11" x14ac:dyDescent="0.25">
      <c r="C3228" s="1" t="s">
        <v>3400</v>
      </c>
      <c r="D3228" s="1" t="s">
        <v>3401</v>
      </c>
      <c r="E3228" s="1" t="s">
        <v>3400</v>
      </c>
      <c r="F3228" s="1">
        <v>3</v>
      </c>
      <c r="G3228" s="1">
        <v>3</v>
      </c>
      <c r="H3228" s="1">
        <v>0</v>
      </c>
      <c r="I3228" s="1">
        <v>96</v>
      </c>
      <c r="J3228" s="1">
        <v>93</v>
      </c>
      <c r="K3228" s="1">
        <v>3</v>
      </c>
    </row>
    <row r="3229" spans="3:11" x14ac:dyDescent="0.25">
      <c r="C3229" s="1" t="s">
        <v>10741</v>
      </c>
      <c r="D3229" s="1" t="s">
        <v>10742</v>
      </c>
      <c r="E3229" s="1" t="s">
        <v>10741</v>
      </c>
      <c r="F3229" s="1">
        <v>3</v>
      </c>
      <c r="G3229" s="1">
        <v>3</v>
      </c>
      <c r="H3229" s="1">
        <v>0</v>
      </c>
      <c r="I3229" s="1">
        <v>94</v>
      </c>
      <c r="J3229" s="1">
        <v>91</v>
      </c>
      <c r="K3229" s="1">
        <v>3</v>
      </c>
    </row>
    <row r="3230" spans="3:11" x14ac:dyDescent="0.25">
      <c r="C3230" s="1" t="s">
        <v>1758</v>
      </c>
      <c r="D3230" s="1" t="s">
        <v>1759</v>
      </c>
      <c r="E3230" s="1" t="s">
        <v>1760</v>
      </c>
      <c r="F3230" s="1">
        <v>3</v>
      </c>
      <c r="G3230" s="1">
        <v>3</v>
      </c>
      <c r="H3230" s="1">
        <v>0</v>
      </c>
      <c r="I3230" s="1">
        <v>85</v>
      </c>
      <c r="J3230" s="1">
        <v>82</v>
      </c>
      <c r="K3230" s="1">
        <v>3</v>
      </c>
    </row>
    <row r="3231" spans="3:11" x14ac:dyDescent="0.25">
      <c r="C3231" s="1" t="s">
        <v>3461</v>
      </c>
      <c r="D3231" s="1" t="s">
        <v>3462</v>
      </c>
      <c r="E3231" s="1" t="s">
        <v>3463</v>
      </c>
      <c r="F3231" s="1">
        <v>3</v>
      </c>
      <c r="G3231" s="1">
        <v>3</v>
      </c>
      <c r="H3231" s="1">
        <v>0</v>
      </c>
      <c r="I3231" s="1">
        <v>83</v>
      </c>
      <c r="J3231" s="1">
        <v>80</v>
      </c>
      <c r="K3231" s="1">
        <v>3</v>
      </c>
    </row>
    <row r="3232" spans="3:11" x14ac:dyDescent="0.25">
      <c r="C3232" s="1" t="s">
        <v>10743</v>
      </c>
      <c r="D3232" s="1" t="s">
        <v>10744</v>
      </c>
      <c r="E3232" s="1" t="s">
        <v>10745</v>
      </c>
      <c r="F3232" s="1">
        <v>3</v>
      </c>
      <c r="G3232" s="1">
        <v>3</v>
      </c>
      <c r="H3232" s="1">
        <v>0</v>
      </c>
      <c r="I3232" s="1">
        <v>77</v>
      </c>
      <c r="J3232" s="1">
        <v>74</v>
      </c>
      <c r="K3232" s="1">
        <v>3</v>
      </c>
    </row>
    <row r="3233" spans="3:11" x14ac:dyDescent="0.25">
      <c r="C3233" s="1" t="s">
        <v>10746</v>
      </c>
      <c r="D3233" s="1" t="s">
        <v>10747</v>
      </c>
      <c r="E3233" s="1" t="s">
        <v>10748</v>
      </c>
      <c r="F3233" s="1">
        <v>3</v>
      </c>
      <c r="G3233" s="1">
        <v>3</v>
      </c>
      <c r="H3233" s="1">
        <v>0</v>
      </c>
      <c r="I3233" s="1">
        <v>73</v>
      </c>
      <c r="J3233" s="1">
        <v>70</v>
      </c>
      <c r="K3233" s="1">
        <v>3</v>
      </c>
    </row>
    <row r="3234" spans="3:11" x14ac:dyDescent="0.25">
      <c r="C3234" s="1" t="s">
        <v>3534</v>
      </c>
      <c r="D3234" s="1" t="s">
        <v>3535</v>
      </c>
      <c r="E3234" s="1" t="s">
        <v>3536</v>
      </c>
      <c r="F3234" s="1">
        <v>3</v>
      </c>
      <c r="G3234" s="1">
        <v>3</v>
      </c>
      <c r="H3234" s="1">
        <v>0</v>
      </c>
      <c r="I3234" s="1">
        <v>69</v>
      </c>
      <c r="J3234" s="1">
        <v>66</v>
      </c>
      <c r="K3234" s="1">
        <v>3</v>
      </c>
    </row>
    <row r="3235" spans="3:11" x14ac:dyDescent="0.25">
      <c r="C3235" s="1" t="s">
        <v>3764</v>
      </c>
      <c r="D3235" s="1" t="s">
        <v>3765</v>
      </c>
      <c r="E3235" s="1" t="s">
        <v>3766</v>
      </c>
      <c r="F3235" s="1">
        <v>3</v>
      </c>
      <c r="G3235" s="1">
        <v>3</v>
      </c>
      <c r="H3235" s="1">
        <v>0</v>
      </c>
      <c r="I3235" s="1">
        <v>67</v>
      </c>
      <c r="J3235" s="1">
        <v>64</v>
      </c>
      <c r="K3235" s="1">
        <v>3</v>
      </c>
    </row>
    <row r="3236" spans="3:11" x14ac:dyDescent="0.25">
      <c r="C3236" s="1" t="s">
        <v>10749</v>
      </c>
      <c r="D3236" s="1" t="s">
        <v>10750</v>
      </c>
      <c r="E3236" s="1" t="s">
        <v>10751</v>
      </c>
      <c r="F3236" s="1">
        <v>3</v>
      </c>
      <c r="G3236" s="1">
        <v>3</v>
      </c>
      <c r="H3236" s="1">
        <v>0</v>
      </c>
      <c r="I3236" s="1">
        <v>62</v>
      </c>
      <c r="J3236" s="1">
        <v>59</v>
      </c>
      <c r="K3236" s="1">
        <v>3</v>
      </c>
    </row>
    <row r="3237" spans="3:11" x14ac:dyDescent="0.25">
      <c r="C3237" s="1" t="s">
        <v>10752</v>
      </c>
      <c r="D3237" s="1" t="s">
        <v>10753</v>
      </c>
      <c r="E3237" s="1" t="s">
        <v>10754</v>
      </c>
      <c r="F3237" s="1">
        <v>3</v>
      </c>
      <c r="G3237" s="1">
        <v>3</v>
      </c>
      <c r="H3237" s="1">
        <v>0</v>
      </c>
      <c r="I3237" s="1">
        <v>55</v>
      </c>
      <c r="J3237" s="1">
        <v>52</v>
      </c>
      <c r="K3237" s="1">
        <v>3</v>
      </c>
    </row>
    <row r="3238" spans="3:11" x14ac:dyDescent="0.25">
      <c r="C3238" s="1" t="s">
        <v>10755</v>
      </c>
      <c r="D3238" s="1" t="s">
        <v>10756</v>
      </c>
      <c r="E3238" s="1" t="s">
        <v>10757</v>
      </c>
      <c r="F3238" s="1">
        <v>3</v>
      </c>
      <c r="G3238" s="1">
        <v>3</v>
      </c>
      <c r="H3238" s="1">
        <v>0</v>
      </c>
      <c r="I3238" s="1">
        <v>53</v>
      </c>
      <c r="J3238" s="1">
        <v>50</v>
      </c>
      <c r="K3238" s="1">
        <v>3</v>
      </c>
    </row>
    <row r="3239" spans="3:11" x14ac:dyDescent="0.25">
      <c r="C3239" s="1" t="s">
        <v>3644</v>
      </c>
      <c r="D3239" s="1" t="s">
        <v>3645</v>
      </c>
      <c r="E3239" s="1" t="s">
        <v>3646</v>
      </c>
      <c r="F3239" s="1">
        <v>3</v>
      </c>
      <c r="G3239" s="1">
        <v>3</v>
      </c>
      <c r="H3239" s="1">
        <v>0</v>
      </c>
      <c r="I3239" s="1">
        <v>53</v>
      </c>
      <c r="J3239" s="1">
        <v>50</v>
      </c>
      <c r="K3239" s="1">
        <v>3</v>
      </c>
    </row>
    <row r="3240" spans="3:11" x14ac:dyDescent="0.25">
      <c r="C3240" s="1" t="s">
        <v>1848</v>
      </c>
      <c r="D3240" s="1" t="s">
        <v>1849</v>
      </c>
      <c r="E3240" s="1" t="s">
        <v>1850</v>
      </c>
      <c r="F3240" s="1">
        <v>3</v>
      </c>
      <c r="G3240" s="1">
        <v>3</v>
      </c>
      <c r="H3240" s="1">
        <v>0</v>
      </c>
      <c r="I3240" s="1">
        <v>50</v>
      </c>
      <c r="J3240" s="1">
        <v>47</v>
      </c>
      <c r="K3240" s="1">
        <v>3</v>
      </c>
    </row>
    <row r="3241" spans="3:11" x14ac:dyDescent="0.25">
      <c r="C3241" s="1" t="s">
        <v>1851</v>
      </c>
      <c r="D3241" s="1" t="s">
        <v>1852</v>
      </c>
      <c r="E3241" s="1" t="s">
        <v>1853</v>
      </c>
      <c r="F3241" s="1">
        <v>3</v>
      </c>
      <c r="G3241" s="1">
        <v>3</v>
      </c>
      <c r="H3241" s="1">
        <v>0</v>
      </c>
      <c r="I3241" s="1">
        <v>49</v>
      </c>
      <c r="J3241" s="1">
        <v>46</v>
      </c>
      <c r="K3241" s="1">
        <v>3</v>
      </c>
    </row>
    <row r="3242" spans="3:11" x14ac:dyDescent="0.25">
      <c r="C3242" s="1" t="s">
        <v>3696</v>
      </c>
      <c r="D3242" s="1" t="s">
        <v>3697</v>
      </c>
      <c r="E3242" s="1" t="s">
        <v>3698</v>
      </c>
      <c r="F3242" s="1">
        <v>3</v>
      </c>
      <c r="G3242" s="1">
        <v>3</v>
      </c>
      <c r="H3242" s="1">
        <v>0</v>
      </c>
      <c r="I3242" s="1">
        <v>46</v>
      </c>
      <c r="J3242" s="1">
        <v>43</v>
      </c>
      <c r="K3242" s="1">
        <v>3</v>
      </c>
    </row>
    <row r="3243" spans="3:11" x14ac:dyDescent="0.25">
      <c r="C3243" s="1" t="s">
        <v>3702</v>
      </c>
      <c r="D3243" s="1" t="s">
        <v>3703</v>
      </c>
      <c r="E3243" s="1" t="s">
        <v>3704</v>
      </c>
      <c r="F3243" s="1">
        <v>3</v>
      </c>
      <c r="G3243" s="1">
        <v>3</v>
      </c>
      <c r="H3243" s="1">
        <v>0</v>
      </c>
      <c r="I3243" s="1">
        <v>45</v>
      </c>
      <c r="J3243" s="1">
        <v>42</v>
      </c>
      <c r="K3243" s="1">
        <v>3</v>
      </c>
    </row>
    <row r="3244" spans="3:11" x14ac:dyDescent="0.25">
      <c r="C3244" s="1" t="s">
        <v>10758</v>
      </c>
      <c r="D3244" s="1" t="s">
        <v>10759</v>
      </c>
      <c r="E3244" s="1" t="s">
        <v>10760</v>
      </c>
      <c r="F3244" s="1">
        <v>3</v>
      </c>
      <c r="G3244" s="1">
        <v>3</v>
      </c>
      <c r="H3244" s="1">
        <v>0</v>
      </c>
      <c r="I3244" s="1">
        <v>40</v>
      </c>
      <c r="J3244" s="1">
        <v>37</v>
      </c>
      <c r="K3244" s="1">
        <v>3</v>
      </c>
    </row>
    <row r="3245" spans="3:11" x14ac:dyDescent="0.25">
      <c r="C3245" s="1" t="s">
        <v>3752</v>
      </c>
      <c r="D3245" s="1" t="s">
        <v>3753</v>
      </c>
      <c r="E3245" s="1" t="s">
        <v>3754</v>
      </c>
      <c r="F3245" s="1">
        <v>3</v>
      </c>
      <c r="G3245" s="1">
        <v>3</v>
      </c>
      <c r="H3245" s="1">
        <v>0</v>
      </c>
      <c r="I3245" s="1">
        <v>40</v>
      </c>
      <c r="J3245" s="1">
        <v>37</v>
      </c>
      <c r="K3245" s="1">
        <v>3</v>
      </c>
    </row>
    <row r="3246" spans="3:11" x14ac:dyDescent="0.25">
      <c r="C3246" s="1" t="s">
        <v>10761</v>
      </c>
      <c r="D3246" s="1" t="s">
        <v>10762</v>
      </c>
      <c r="E3246" s="1" t="s">
        <v>10761</v>
      </c>
      <c r="F3246" s="1">
        <v>3</v>
      </c>
      <c r="G3246" s="1">
        <v>3</v>
      </c>
      <c r="H3246" s="1">
        <v>0</v>
      </c>
      <c r="I3246" s="1">
        <v>36</v>
      </c>
      <c r="J3246" s="1">
        <v>33</v>
      </c>
      <c r="K3246" s="1">
        <v>3</v>
      </c>
    </row>
    <row r="3247" spans="3:11" x14ac:dyDescent="0.25">
      <c r="C3247" s="1" t="s">
        <v>10763</v>
      </c>
      <c r="D3247" s="1" t="s">
        <v>10764</v>
      </c>
      <c r="E3247" s="1" t="s">
        <v>10765</v>
      </c>
      <c r="F3247" s="1">
        <v>3</v>
      </c>
      <c r="G3247" s="1">
        <v>3</v>
      </c>
      <c r="H3247" s="1">
        <v>0</v>
      </c>
      <c r="I3247" s="1">
        <v>31</v>
      </c>
      <c r="J3247" s="1">
        <v>28</v>
      </c>
      <c r="K3247" s="1">
        <v>3</v>
      </c>
    </row>
    <row r="3248" spans="3:11" x14ac:dyDescent="0.25">
      <c r="C3248" s="1" t="s">
        <v>2022</v>
      </c>
      <c r="D3248" s="1" t="s">
        <v>2023</v>
      </c>
      <c r="E3248" s="1" t="s">
        <v>2024</v>
      </c>
      <c r="F3248" s="1">
        <v>3</v>
      </c>
      <c r="G3248" s="1">
        <v>3</v>
      </c>
      <c r="H3248" s="1">
        <v>0</v>
      </c>
      <c r="I3248" s="1">
        <v>30</v>
      </c>
      <c r="J3248" s="1">
        <v>27</v>
      </c>
      <c r="K3248" s="1">
        <v>3</v>
      </c>
    </row>
    <row r="3249" spans="3:11" x14ac:dyDescent="0.25">
      <c r="C3249" s="1" t="s">
        <v>10766</v>
      </c>
      <c r="D3249" s="1" t="s">
        <v>10767</v>
      </c>
      <c r="E3249" s="1" t="s">
        <v>10768</v>
      </c>
      <c r="F3249" s="1">
        <v>3</v>
      </c>
      <c r="G3249" s="1">
        <v>3</v>
      </c>
      <c r="H3249" s="1">
        <v>0</v>
      </c>
      <c r="I3249" s="1">
        <v>28</v>
      </c>
      <c r="J3249" s="1">
        <v>25</v>
      </c>
      <c r="K3249" s="1">
        <v>3</v>
      </c>
    </row>
    <row r="3250" spans="3:11" x14ac:dyDescent="0.25">
      <c r="C3250" s="1" t="s">
        <v>1926</v>
      </c>
      <c r="D3250" s="1" t="s">
        <v>1927</v>
      </c>
      <c r="E3250" s="1" t="s">
        <v>1928</v>
      </c>
      <c r="F3250" s="1">
        <v>3</v>
      </c>
      <c r="G3250" s="1">
        <v>3</v>
      </c>
      <c r="H3250" s="1">
        <v>0</v>
      </c>
      <c r="I3250" s="1">
        <v>26</v>
      </c>
      <c r="J3250" s="1">
        <v>23</v>
      </c>
      <c r="K3250" s="1">
        <v>3</v>
      </c>
    </row>
    <row r="3251" spans="3:11" x14ac:dyDescent="0.25">
      <c r="C3251" s="1" t="s">
        <v>10769</v>
      </c>
      <c r="D3251" s="1" t="s">
        <v>10770</v>
      </c>
      <c r="E3251" s="1" t="s">
        <v>10771</v>
      </c>
      <c r="F3251" s="1">
        <v>3</v>
      </c>
      <c r="G3251" s="1">
        <v>3</v>
      </c>
      <c r="H3251" s="1">
        <v>0</v>
      </c>
      <c r="I3251" s="1">
        <v>25</v>
      </c>
      <c r="J3251" s="1">
        <v>22</v>
      </c>
      <c r="K3251" s="1">
        <v>3</v>
      </c>
    </row>
    <row r="3252" spans="3:11" x14ac:dyDescent="0.25">
      <c r="C3252" s="1" t="s">
        <v>1935</v>
      </c>
      <c r="D3252" s="1" t="s">
        <v>1936</v>
      </c>
      <c r="E3252" s="1" t="s">
        <v>1937</v>
      </c>
      <c r="F3252" s="1">
        <v>3</v>
      </c>
      <c r="G3252" s="1">
        <v>3</v>
      </c>
      <c r="H3252" s="1">
        <v>0</v>
      </c>
      <c r="I3252" s="1">
        <v>25</v>
      </c>
      <c r="J3252" s="1">
        <v>22</v>
      </c>
      <c r="K3252" s="1">
        <v>3</v>
      </c>
    </row>
    <row r="3253" spans="3:11" x14ac:dyDescent="0.25">
      <c r="C3253" s="1" t="s">
        <v>3907</v>
      </c>
      <c r="D3253" s="1" t="s">
        <v>3908</v>
      </c>
      <c r="E3253" s="1" t="s">
        <v>3909</v>
      </c>
      <c r="F3253" s="1">
        <v>3</v>
      </c>
      <c r="G3253" s="1">
        <v>3</v>
      </c>
      <c r="H3253" s="1">
        <v>0</v>
      </c>
      <c r="I3253" s="1">
        <v>25</v>
      </c>
      <c r="J3253" s="1">
        <v>22</v>
      </c>
      <c r="K3253" s="1">
        <v>3</v>
      </c>
    </row>
    <row r="3254" spans="3:11" x14ac:dyDescent="0.25">
      <c r="C3254" s="1" t="s">
        <v>3947</v>
      </c>
      <c r="D3254" s="1" t="s">
        <v>3948</v>
      </c>
      <c r="E3254" s="1" t="s">
        <v>3949</v>
      </c>
      <c r="F3254" s="1">
        <v>3</v>
      </c>
      <c r="G3254" s="1">
        <v>3</v>
      </c>
      <c r="H3254" s="1">
        <v>0</v>
      </c>
      <c r="I3254" s="1">
        <v>22</v>
      </c>
      <c r="J3254" s="1">
        <v>19</v>
      </c>
      <c r="K3254" s="1">
        <v>3</v>
      </c>
    </row>
    <row r="3255" spans="3:11" x14ac:dyDescent="0.25">
      <c r="C3255" s="1" t="s">
        <v>4039</v>
      </c>
      <c r="D3255" s="1" t="s">
        <v>4040</v>
      </c>
      <c r="E3255" s="1" t="s">
        <v>4041</v>
      </c>
      <c r="F3255" s="1">
        <v>3</v>
      </c>
      <c r="G3255" s="1">
        <v>3</v>
      </c>
      <c r="H3255" s="1">
        <v>0</v>
      </c>
      <c r="I3255" s="1">
        <v>15</v>
      </c>
      <c r="J3255" s="1">
        <v>12</v>
      </c>
      <c r="K3255" s="1">
        <v>3</v>
      </c>
    </row>
    <row r="3256" spans="3:11" x14ac:dyDescent="0.25">
      <c r="C3256" s="1" t="s">
        <v>4042</v>
      </c>
      <c r="D3256" s="1" t="s">
        <v>4043</v>
      </c>
      <c r="E3256" s="1" t="s">
        <v>4044</v>
      </c>
      <c r="F3256" s="1">
        <v>3</v>
      </c>
      <c r="G3256" s="1">
        <v>3</v>
      </c>
      <c r="H3256" s="1">
        <v>0</v>
      </c>
      <c r="I3256" s="1">
        <v>15</v>
      </c>
      <c r="J3256" s="1">
        <v>12</v>
      </c>
      <c r="K3256" s="1">
        <v>3</v>
      </c>
    </row>
    <row r="3257" spans="3:11" x14ac:dyDescent="0.25">
      <c r="C3257" s="1" t="s">
        <v>10772</v>
      </c>
      <c r="D3257" s="1" t="s">
        <v>10773</v>
      </c>
      <c r="E3257" s="1" t="s">
        <v>10772</v>
      </c>
      <c r="F3257" s="1">
        <v>3</v>
      </c>
      <c r="G3257" s="1">
        <v>3</v>
      </c>
      <c r="H3257" s="1">
        <v>0</v>
      </c>
      <c r="I3257" s="1">
        <v>14</v>
      </c>
      <c r="J3257" s="1">
        <v>11</v>
      </c>
      <c r="K3257" s="1">
        <v>3</v>
      </c>
    </row>
    <row r="3258" spans="3:11" x14ac:dyDescent="0.25">
      <c r="C3258" s="1" t="s">
        <v>10774</v>
      </c>
      <c r="D3258" s="1" t="s">
        <v>10775</v>
      </c>
      <c r="E3258" s="1" t="s">
        <v>10776</v>
      </c>
      <c r="F3258" s="1">
        <v>3</v>
      </c>
      <c r="G3258" s="1">
        <v>3</v>
      </c>
      <c r="H3258" s="1">
        <v>0</v>
      </c>
      <c r="I3258" s="1">
        <v>13</v>
      </c>
      <c r="J3258" s="1">
        <v>10</v>
      </c>
      <c r="K3258" s="1">
        <v>3</v>
      </c>
    </row>
    <row r="3259" spans="3:11" x14ac:dyDescent="0.25">
      <c r="C3259" s="1" t="s">
        <v>4054</v>
      </c>
      <c r="D3259" s="1" t="s">
        <v>4055</v>
      </c>
      <c r="E3259" s="1" t="s">
        <v>4056</v>
      </c>
      <c r="F3259" s="1">
        <v>3</v>
      </c>
      <c r="G3259" s="1">
        <v>3</v>
      </c>
      <c r="H3259" s="1">
        <v>0</v>
      </c>
      <c r="I3259" s="1">
        <v>12</v>
      </c>
      <c r="J3259" s="1">
        <v>9</v>
      </c>
      <c r="K3259" s="1">
        <v>3</v>
      </c>
    </row>
    <row r="3260" spans="3:11" x14ac:dyDescent="0.25">
      <c r="C3260" s="1" t="s">
        <v>10777</v>
      </c>
      <c r="D3260" s="1" t="s">
        <v>10778</v>
      </c>
      <c r="E3260" s="1" t="s">
        <v>10779</v>
      </c>
      <c r="F3260" s="1">
        <v>3</v>
      </c>
      <c r="G3260" s="1">
        <v>3</v>
      </c>
      <c r="H3260" s="1">
        <v>0</v>
      </c>
      <c r="I3260" s="1">
        <v>10</v>
      </c>
      <c r="J3260" s="1">
        <v>7</v>
      </c>
      <c r="K3260" s="1">
        <v>3</v>
      </c>
    </row>
    <row r="3261" spans="3:11" x14ac:dyDescent="0.25">
      <c r="C3261" s="1" t="s">
        <v>10780</v>
      </c>
      <c r="D3261" s="1" t="s">
        <v>10781</v>
      </c>
      <c r="E3261" s="1" t="s">
        <v>10780</v>
      </c>
      <c r="F3261" s="1">
        <v>3</v>
      </c>
      <c r="G3261" s="1">
        <v>3</v>
      </c>
      <c r="H3261" s="1">
        <v>0</v>
      </c>
      <c r="I3261" s="1">
        <v>7</v>
      </c>
      <c r="J3261" s="1">
        <v>4</v>
      </c>
      <c r="K3261" s="1">
        <v>3</v>
      </c>
    </row>
    <row r="3262" spans="3:11" x14ac:dyDescent="0.25">
      <c r="C3262" s="1" t="s">
        <v>10782</v>
      </c>
      <c r="D3262" s="1" t="s">
        <v>10783</v>
      </c>
      <c r="E3262" s="1" t="s">
        <v>10784</v>
      </c>
      <c r="F3262" s="1">
        <v>3</v>
      </c>
      <c r="G3262" s="1">
        <v>3</v>
      </c>
      <c r="H3262" s="1">
        <v>0</v>
      </c>
      <c r="I3262" s="1">
        <v>6</v>
      </c>
      <c r="J3262" s="1">
        <v>3</v>
      </c>
      <c r="K3262" s="1">
        <v>3</v>
      </c>
    </row>
    <row r="3263" spans="3:11" x14ac:dyDescent="0.25">
      <c r="C3263" s="1" t="s">
        <v>10785</v>
      </c>
      <c r="D3263" s="1" t="s">
        <v>10786</v>
      </c>
      <c r="E3263" s="1" t="s">
        <v>10787</v>
      </c>
      <c r="F3263" s="1">
        <v>3</v>
      </c>
      <c r="G3263" s="1">
        <v>3</v>
      </c>
      <c r="H3263" s="1">
        <v>0</v>
      </c>
      <c r="I3263" s="1">
        <v>5</v>
      </c>
      <c r="J3263" s="1">
        <v>2</v>
      </c>
      <c r="K3263" s="1">
        <v>3</v>
      </c>
    </row>
    <row r="3264" spans="3:11" x14ac:dyDescent="0.25">
      <c r="D3264" s="1" t="s">
        <v>10788</v>
      </c>
      <c r="E3264" s="1" t="s">
        <v>10789</v>
      </c>
      <c r="F3264" s="1">
        <v>3</v>
      </c>
      <c r="G3264" s="1">
        <v>3</v>
      </c>
      <c r="H3264" s="1">
        <v>0</v>
      </c>
      <c r="I3264" s="1">
        <v>4</v>
      </c>
      <c r="J3264" s="1">
        <v>1</v>
      </c>
      <c r="K3264" s="1">
        <v>3</v>
      </c>
    </row>
    <row r="3265" spans="3:11" x14ac:dyDescent="0.25">
      <c r="C3265" s="1" t="s">
        <v>10790</v>
      </c>
      <c r="D3265" s="1" t="s">
        <v>10791</v>
      </c>
      <c r="E3265" s="1" t="s">
        <v>10792</v>
      </c>
      <c r="F3265" s="1">
        <v>3</v>
      </c>
      <c r="G3265" s="1">
        <v>3</v>
      </c>
      <c r="H3265" s="1">
        <v>0</v>
      </c>
      <c r="I3265" s="1">
        <v>3</v>
      </c>
      <c r="J3265" s="1">
        <v>0</v>
      </c>
      <c r="K3265" s="1">
        <v>3</v>
      </c>
    </row>
    <row r="3266" spans="3:11" x14ac:dyDescent="0.25">
      <c r="C3266" s="1" t="s">
        <v>10793</v>
      </c>
      <c r="D3266" s="1" t="s">
        <v>10794</v>
      </c>
      <c r="E3266" s="1" t="s">
        <v>10795</v>
      </c>
      <c r="F3266" s="1">
        <v>3</v>
      </c>
      <c r="G3266" s="1">
        <v>3</v>
      </c>
      <c r="H3266" s="1">
        <v>0</v>
      </c>
      <c r="I3266" s="1">
        <v>3</v>
      </c>
      <c r="J3266" s="1">
        <v>0</v>
      </c>
      <c r="K3266" s="1">
        <v>3</v>
      </c>
    </row>
    <row r="3267" spans="3:11" x14ac:dyDescent="0.25">
      <c r="C3267" s="1" t="s">
        <v>10796</v>
      </c>
      <c r="D3267" s="1" t="s">
        <v>10797</v>
      </c>
      <c r="E3267" s="1" t="s">
        <v>10798</v>
      </c>
      <c r="F3267" s="1">
        <v>3</v>
      </c>
      <c r="G3267" s="1">
        <v>3</v>
      </c>
      <c r="H3267" s="1">
        <v>0</v>
      </c>
      <c r="I3267" s="1">
        <v>3</v>
      </c>
      <c r="J3267" s="1">
        <v>0</v>
      </c>
      <c r="K3267" s="1">
        <v>3</v>
      </c>
    </row>
    <row r="3268" spans="3:11" x14ac:dyDescent="0.25">
      <c r="C3268" s="1" t="s">
        <v>10799</v>
      </c>
      <c r="D3268" s="1" t="s">
        <v>10800</v>
      </c>
      <c r="E3268" s="1" t="s">
        <v>10801</v>
      </c>
      <c r="F3268" s="1">
        <v>3</v>
      </c>
      <c r="G3268" s="1">
        <v>3</v>
      </c>
      <c r="H3268" s="1">
        <v>0</v>
      </c>
      <c r="I3268" s="1">
        <v>3</v>
      </c>
      <c r="J3268" s="1">
        <v>0</v>
      </c>
      <c r="K3268" s="1">
        <v>3</v>
      </c>
    </row>
    <row r="3269" spans="3:11" x14ac:dyDescent="0.25">
      <c r="C3269" s="1" t="s">
        <v>10802</v>
      </c>
      <c r="D3269" s="1" t="s">
        <v>10803</v>
      </c>
      <c r="E3269" s="1" t="s">
        <v>10804</v>
      </c>
      <c r="F3269" s="1">
        <v>3</v>
      </c>
      <c r="G3269" s="1">
        <v>3</v>
      </c>
      <c r="H3269" s="1">
        <v>0</v>
      </c>
      <c r="I3269" s="1">
        <v>3</v>
      </c>
      <c r="J3269" s="1">
        <v>0</v>
      </c>
      <c r="K3269" s="1">
        <v>3</v>
      </c>
    </row>
    <row r="3270" spans="3:11" x14ac:dyDescent="0.25">
      <c r="D3270" s="1" t="s">
        <v>10805</v>
      </c>
      <c r="E3270" s="1" t="s">
        <v>10806</v>
      </c>
      <c r="F3270" s="1">
        <v>3</v>
      </c>
      <c r="G3270" s="1">
        <v>3</v>
      </c>
      <c r="H3270" s="1">
        <v>0</v>
      </c>
      <c r="I3270" s="1">
        <v>3</v>
      </c>
      <c r="J3270" s="1">
        <v>0</v>
      </c>
      <c r="K3270" s="1">
        <v>3</v>
      </c>
    </row>
    <row r="3271" spans="3:11" x14ac:dyDescent="0.25">
      <c r="C3271" s="1" t="s">
        <v>10807</v>
      </c>
      <c r="D3271" s="1" t="s">
        <v>10808</v>
      </c>
      <c r="E3271" s="1" t="s">
        <v>10809</v>
      </c>
      <c r="F3271" s="1">
        <v>3</v>
      </c>
      <c r="G3271" s="1">
        <v>3</v>
      </c>
      <c r="H3271" s="1">
        <v>0</v>
      </c>
      <c r="I3271" s="1">
        <v>3</v>
      </c>
      <c r="J3271" s="1">
        <v>0</v>
      </c>
      <c r="K3271" s="1">
        <v>3</v>
      </c>
    </row>
    <row r="3272" spans="3:11" x14ac:dyDescent="0.25">
      <c r="C3272" s="1" t="s">
        <v>10810</v>
      </c>
      <c r="D3272" s="1" t="s">
        <v>10811</v>
      </c>
      <c r="E3272" s="1" t="s">
        <v>10812</v>
      </c>
      <c r="F3272" s="1">
        <v>3</v>
      </c>
      <c r="G3272" s="1">
        <v>3</v>
      </c>
      <c r="H3272" s="1">
        <v>0</v>
      </c>
      <c r="I3272" s="1">
        <v>3</v>
      </c>
      <c r="J3272" s="1">
        <v>0</v>
      </c>
      <c r="K3272" s="1">
        <v>3</v>
      </c>
    </row>
    <row r="3273" spans="3:11" x14ac:dyDescent="0.25">
      <c r="C3273" s="1" t="s">
        <v>2337</v>
      </c>
      <c r="D3273" s="1" t="s">
        <v>2338</v>
      </c>
      <c r="E3273" s="1" t="s">
        <v>2339</v>
      </c>
      <c r="F3273" s="1">
        <v>3</v>
      </c>
      <c r="G3273" s="1">
        <v>3</v>
      </c>
      <c r="H3273" s="1">
        <v>0</v>
      </c>
      <c r="I3273" s="1">
        <v>3</v>
      </c>
      <c r="J3273" s="1">
        <v>0</v>
      </c>
      <c r="K3273" s="1">
        <v>3</v>
      </c>
    </row>
    <row r="3274" spans="3:11" x14ac:dyDescent="0.25">
      <c r="C3274" s="1" t="s">
        <v>10813</v>
      </c>
      <c r="D3274" s="1" t="s">
        <v>10814</v>
      </c>
      <c r="E3274" s="1" t="s">
        <v>10815</v>
      </c>
      <c r="F3274" s="1">
        <v>4</v>
      </c>
      <c r="G3274" s="1">
        <v>4</v>
      </c>
      <c r="H3274" s="1">
        <v>0</v>
      </c>
      <c r="I3274" s="1">
        <v>4184</v>
      </c>
      <c r="J3274" s="1">
        <v>4180</v>
      </c>
      <c r="K3274" s="1">
        <v>4</v>
      </c>
    </row>
    <row r="3275" spans="3:11" x14ac:dyDescent="0.25">
      <c r="C3275" s="1" t="s">
        <v>2394</v>
      </c>
      <c r="D3275" s="1" t="s">
        <v>2395</v>
      </c>
      <c r="E3275" s="1" t="s">
        <v>2396</v>
      </c>
      <c r="F3275" s="1">
        <v>4</v>
      </c>
      <c r="G3275" s="1">
        <v>4</v>
      </c>
      <c r="H3275" s="1">
        <v>0</v>
      </c>
      <c r="I3275" s="1">
        <v>4152</v>
      </c>
      <c r="J3275" s="1">
        <v>4148</v>
      </c>
      <c r="K3275" s="1">
        <v>4</v>
      </c>
    </row>
    <row r="3276" spans="3:11" x14ac:dyDescent="0.25">
      <c r="C3276" s="1" t="s">
        <v>10816</v>
      </c>
      <c r="D3276" s="1" t="s">
        <v>10817</v>
      </c>
      <c r="E3276" s="1" t="s">
        <v>10818</v>
      </c>
      <c r="F3276" s="1">
        <v>4</v>
      </c>
      <c r="G3276" s="1">
        <v>4</v>
      </c>
      <c r="H3276" s="1">
        <v>0</v>
      </c>
      <c r="I3276" s="1">
        <v>4052</v>
      </c>
      <c r="J3276" s="1">
        <v>4048</v>
      </c>
      <c r="K3276" s="1">
        <v>4</v>
      </c>
    </row>
    <row r="3277" spans="3:11" x14ac:dyDescent="0.25">
      <c r="C3277" s="1" t="s">
        <v>10819</v>
      </c>
      <c r="D3277" s="1" t="s">
        <v>10820</v>
      </c>
      <c r="E3277" s="1" t="s">
        <v>10821</v>
      </c>
      <c r="F3277" s="1">
        <v>4</v>
      </c>
      <c r="G3277" s="1">
        <v>4</v>
      </c>
      <c r="H3277" s="1">
        <v>0</v>
      </c>
      <c r="I3277" s="1">
        <v>3553</v>
      </c>
      <c r="J3277" s="1">
        <v>3549</v>
      </c>
      <c r="K3277" s="1">
        <v>4</v>
      </c>
    </row>
    <row r="3278" spans="3:11" x14ac:dyDescent="0.25">
      <c r="C3278" s="1" t="s">
        <v>2451</v>
      </c>
      <c r="D3278" s="1" t="s">
        <v>2452</v>
      </c>
      <c r="E3278" s="1" t="s">
        <v>2453</v>
      </c>
      <c r="F3278" s="1">
        <v>4</v>
      </c>
      <c r="G3278" s="1">
        <v>4</v>
      </c>
      <c r="H3278" s="1">
        <v>0</v>
      </c>
      <c r="I3278" s="1">
        <v>2831</v>
      </c>
      <c r="J3278" s="1">
        <v>2827</v>
      </c>
      <c r="K3278" s="1">
        <v>4</v>
      </c>
    </row>
    <row r="3279" spans="3:11" x14ac:dyDescent="0.25">
      <c r="C3279" s="1" t="s">
        <v>10822</v>
      </c>
      <c r="D3279" s="1" t="s">
        <v>10823</v>
      </c>
      <c r="E3279" s="1" t="s">
        <v>10824</v>
      </c>
      <c r="F3279" s="1">
        <v>4</v>
      </c>
      <c r="G3279" s="1">
        <v>4</v>
      </c>
      <c r="H3279" s="1">
        <v>0</v>
      </c>
      <c r="I3279" s="1">
        <v>2616</v>
      </c>
      <c r="J3279" s="1">
        <v>2612</v>
      </c>
      <c r="K3279" s="1">
        <v>4</v>
      </c>
    </row>
    <row r="3280" spans="3:11" x14ac:dyDescent="0.25">
      <c r="C3280" s="1" t="s">
        <v>10825</v>
      </c>
      <c r="D3280" s="1" t="s">
        <v>10826</v>
      </c>
      <c r="E3280" s="1" t="s">
        <v>10827</v>
      </c>
      <c r="F3280" s="1">
        <v>4</v>
      </c>
      <c r="G3280" s="1">
        <v>4</v>
      </c>
      <c r="H3280" s="1">
        <v>0</v>
      </c>
      <c r="I3280" s="1">
        <v>2182</v>
      </c>
      <c r="J3280" s="1">
        <v>2178</v>
      </c>
      <c r="K3280" s="1">
        <v>4</v>
      </c>
    </row>
    <row r="3281" spans="3:11" x14ac:dyDescent="0.25">
      <c r="C3281" s="1" t="s">
        <v>1011</v>
      </c>
      <c r="D3281" s="1" t="s">
        <v>64</v>
      </c>
      <c r="E3281" s="1" t="s">
        <v>1012</v>
      </c>
      <c r="F3281" s="1">
        <v>4</v>
      </c>
      <c r="G3281" s="1">
        <v>4</v>
      </c>
      <c r="H3281" s="1">
        <v>0</v>
      </c>
      <c r="I3281" s="1">
        <v>1877</v>
      </c>
      <c r="J3281" s="1">
        <v>1873</v>
      </c>
      <c r="K3281" s="1">
        <v>4</v>
      </c>
    </row>
    <row r="3282" spans="3:11" x14ac:dyDescent="0.25">
      <c r="C3282" s="1" t="s">
        <v>10828</v>
      </c>
      <c r="D3282" s="1" t="s">
        <v>10829</v>
      </c>
      <c r="E3282" s="1" t="s">
        <v>10830</v>
      </c>
      <c r="F3282" s="1">
        <v>4</v>
      </c>
      <c r="G3282" s="1">
        <v>4</v>
      </c>
      <c r="H3282" s="1">
        <v>0</v>
      </c>
      <c r="I3282" s="1">
        <v>1731</v>
      </c>
      <c r="J3282" s="1">
        <v>1727</v>
      </c>
      <c r="K3282" s="1">
        <v>4</v>
      </c>
    </row>
    <row r="3283" spans="3:11" x14ac:dyDescent="0.25">
      <c r="C3283" s="1" t="s">
        <v>10831</v>
      </c>
      <c r="D3283" s="1" t="s">
        <v>10832</v>
      </c>
      <c r="E3283" s="1" t="s">
        <v>10833</v>
      </c>
      <c r="F3283" s="1">
        <v>4</v>
      </c>
      <c r="G3283" s="1">
        <v>4</v>
      </c>
      <c r="H3283" s="1">
        <v>0</v>
      </c>
      <c r="I3283" s="1">
        <v>1300</v>
      </c>
      <c r="J3283" s="1">
        <v>1296</v>
      </c>
      <c r="K3283" s="1">
        <v>4</v>
      </c>
    </row>
    <row r="3284" spans="3:11" x14ac:dyDescent="0.25">
      <c r="C3284" s="1" t="s">
        <v>1080</v>
      </c>
      <c r="D3284" s="1" t="s">
        <v>1081</v>
      </c>
      <c r="E3284" s="1" t="s">
        <v>1082</v>
      </c>
      <c r="F3284" s="1">
        <v>4</v>
      </c>
      <c r="G3284" s="1">
        <v>4</v>
      </c>
      <c r="H3284" s="1">
        <v>0</v>
      </c>
      <c r="I3284" s="1">
        <v>1288</v>
      </c>
      <c r="J3284" s="1">
        <v>1284</v>
      </c>
      <c r="K3284" s="1">
        <v>4</v>
      </c>
    </row>
    <row r="3285" spans="3:11" x14ac:dyDescent="0.25">
      <c r="C3285" s="1" t="s">
        <v>10834</v>
      </c>
      <c r="D3285" s="1" t="s">
        <v>10835</v>
      </c>
      <c r="E3285" s="1" t="s">
        <v>10836</v>
      </c>
      <c r="F3285" s="1">
        <v>4</v>
      </c>
      <c r="G3285" s="1">
        <v>4</v>
      </c>
      <c r="H3285" s="1">
        <v>0</v>
      </c>
      <c r="I3285" s="1">
        <v>1025</v>
      </c>
      <c r="J3285" s="1">
        <v>1021</v>
      </c>
      <c r="K3285" s="1">
        <v>4</v>
      </c>
    </row>
    <row r="3286" spans="3:11" x14ac:dyDescent="0.25">
      <c r="C3286" s="1" t="s">
        <v>1161</v>
      </c>
      <c r="D3286" s="1" t="s">
        <v>103</v>
      </c>
      <c r="E3286" s="1" t="s">
        <v>1162</v>
      </c>
      <c r="F3286" s="1">
        <v>4</v>
      </c>
      <c r="G3286" s="1">
        <v>4</v>
      </c>
      <c r="H3286" s="1">
        <v>0</v>
      </c>
      <c r="I3286" s="1">
        <v>998</v>
      </c>
      <c r="J3286" s="1">
        <v>994</v>
      </c>
      <c r="K3286" s="1">
        <v>4</v>
      </c>
    </row>
    <row r="3287" spans="3:11" x14ac:dyDescent="0.25">
      <c r="C3287" s="1" t="s">
        <v>1143</v>
      </c>
      <c r="D3287" s="1" t="s">
        <v>1144</v>
      </c>
      <c r="E3287" s="1" t="s">
        <v>1145</v>
      </c>
      <c r="F3287" s="1">
        <v>4</v>
      </c>
      <c r="G3287" s="1">
        <v>4</v>
      </c>
      <c r="H3287" s="1">
        <v>0</v>
      </c>
      <c r="I3287" s="1">
        <v>968</v>
      </c>
      <c r="J3287" s="1">
        <v>964</v>
      </c>
      <c r="K3287" s="1">
        <v>4</v>
      </c>
    </row>
    <row r="3288" spans="3:11" x14ac:dyDescent="0.25">
      <c r="C3288" s="1" t="s">
        <v>10837</v>
      </c>
      <c r="D3288" s="1" t="s">
        <v>10838</v>
      </c>
      <c r="E3288" s="1" t="s">
        <v>10839</v>
      </c>
      <c r="F3288" s="1">
        <v>4</v>
      </c>
      <c r="G3288" s="1">
        <v>4</v>
      </c>
      <c r="H3288" s="1">
        <v>0</v>
      </c>
      <c r="I3288" s="1">
        <v>803</v>
      </c>
      <c r="J3288" s="1">
        <v>799</v>
      </c>
      <c r="K3288" s="1">
        <v>4</v>
      </c>
    </row>
    <row r="3289" spans="3:11" x14ac:dyDescent="0.25">
      <c r="C3289" s="1" t="s">
        <v>10840</v>
      </c>
      <c r="D3289" s="1" t="s">
        <v>10841</v>
      </c>
      <c r="E3289" s="1" t="s">
        <v>10842</v>
      </c>
      <c r="F3289" s="1">
        <v>4</v>
      </c>
      <c r="G3289" s="1">
        <v>4</v>
      </c>
      <c r="H3289" s="1">
        <v>0</v>
      </c>
      <c r="I3289" s="1">
        <v>715</v>
      </c>
      <c r="J3289" s="1">
        <v>711</v>
      </c>
      <c r="K3289" s="1">
        <v>4</v>
      </c>
    </row>
    <row r="3290" spans="3:11" x14ac:dyDescent="0.25">
      <c r="C3290" s="1" t="s">
        <v>2772</v>
      </c>
      <c r="D3290" s="1" t="s">
        <v>2773</v>
      </c>
      <c r="E3290" s="1" t="s">
        <v>2774</v>
      </c>
      <c r="F3290" s="1">
        <v>4</v>
      </c>
      <c r="G3290" s="1">
        <v>4</v>
      </c>
      <c r="H3290" s="1">
        <v>0</v>
      </c>
      <c r="I3290" s="1">
        <v>700</v>
      </c>
      <c r="J3290" s="1">
        <v>696</v>
      </c>
      <c r="K3290" s="1">
        <v>4</v>
      </c>
    </row>
    <row r="3291" spans="3:11" x14ac:dyDescent="0.25">
      <c r="C3291" s="1" t="s">
        <v>2800</v>
      </c>
      <c r="D3291" s="1" t="s">
        <v>2801</v>
      </c>
      <c r="E3291" s="1" t="s">
        <v>2802</v>
      </c>
      <c r="F3291" s="1">
        <v>4</v>
      </c>
      <c r="G3291" s="1">
        <v>4</v>
      </c>
      <c r="H3291" s="1">
        <v>0</v>
      </c>
      <c r="I3291" s="1">
        <v>639</v>
      </c>
      <c r="J3291" s="1">
        <v>635</v>
      </c>
      <c r="K3291" s="1">
        <v>4</v>
      </c>
    </row>
    <row r="3292" spans="3:11" x14ac:dyDescent="0.25">
      <c r="C3292" s="1" t="s">
        <v>1335</v>
      </c>
      <c r="D3292" s="1" t="s">
        <v>1336</v>
      </c>
      <c r="E3292" s="1" t="s">
        <v>1337</v>
      </c>
      <c r="F3292" s="1">
        <v>4</v>
      </c>
      <c r="G3292" s="1">
        <v>4</v>
      </c>
      <c r="H3292" s="1">
        <v>0</v>
      </c>
      <c r="I3292" s="1">
        <v>392</v>
      </c>
      <c r="J3292" s="1">
        <v>388</v>
      </c>
      <c r="K3292" s="1">
        <v>4</v>
      </c>
    </row>
    <row r="3293" spans="3:11" x14ac:dyDescent="0.25">
      <c r="C3293" s="1" t="s">
        <v>1346</v>
      </c>
      <c r="D3293" s="1" t="s">
        <v>1347</v>
      </c>
      <c r="E3293" s="1" t="s">
        <v>1348</v>
      </c>
      <c r="F3293" s="1">
        <v>4</v>
      </c>
      <c r="G3293" s="1">
        <v>4</v>
      </c>
      <c r="H3293" s="1">
        <v>0</v>
      </c>
      <c r="I3293" s="1">
        <v>382</v>
      </c>
      <c r="J3293" s="1">
        <v>378</v>
      </c>
      <c r="K3293" s="1">
        <v>4</v>
      </c>
    </row>
    <row r="3294" spans="3:11" x14ac:dyDescent="0.25">
      <c r="C3294" s="1" t="s">
        <v>2212</v>
      </c>
      <c r="D3294" s="1" t="s">
        <v>1989</v>
      </c>
      <c r="E3294" s="1" t="s">
        <v>2213</v>
      </c>
      <c r="F3294" s="1">
        <v>4</v>
      </c>
      <c r="G3294" s="1">
        <v>4</v>
      </c>
      <c r="H3294" s="1">
        <v>0</v>
      </c>
      <c r="I3294" s="1">
        <v>373</v>
      </c>
      <c r="J3294" s="1">
        <v>369</v>
      </c>
      <c r="K3294" s="1">
        <v>4</v>
      </c>
    </row>
    <row r="3295" spans="3:11" x14ac:dyDescent="0.25">
      <c r="C3295" s="1" t="s">
        <v>2992</v>
      </c>
      <c r="D3295" s="1" t="s">
        <v>848</v>
      </c>
      <c r="E3295" s="1" t="s">
        <v>2993</v>
      </c>
      <c r="F3295" s="1">
        <v>4</v>
      </c>
      <c r="G3295" s="1">
        <v>4</v>
      </c>
      <c r="H3295" s="1">
        <v>0</v>
      </c>
      <c r="I3295" s="1">
        <v>347</v>
      </c>
      <c r="J3295" s="1">
        <v>343</v>
      </c>
      <c r="K3295" s="1">
        <v>4</v>
      </c>
    </row>
    <row r="3296" spans="3:11" x14ac:dyDescent="0.25">
      <c r="C3296" s="1" t="s">
        <v>10843</v>
      </c>
      <c r="D3296" s="1" t="s">
        <v>10844</v>
      </c>
      <c r="E3296" s="1" t="s">
        <v>10845</v>
      </c>
      <c r="F3296" s="1">
        <v>4</v>
      </c>
      <c r="G3296" s="1">
        <v>4</v>
      </c>
      <c r="H3296" s="1">
        <v>0</v>
      </c>
      <c r="I3296" s="1">
        <v>326</v>
      </c>
      <c r="J3296" s="1">
        <v>322</v>
      </c>
      <c r="K3296" s="1">
        <v>4</v>
      </c>
    </row>
    <row r="3297" spans="3:11" x14ac:dyDescent="0.25">
      <c r="C3297" s="1" t="s">
        <v>2061</v>
      </c>
      <c r="D3297" s="1" t="s">
        <v>2062</v>
      </c>
      <c r="E3297" s="1" t="s">
        <v>2063</v>
      </c>
      <c r="F3297" s="1">
        <v>4</v>
      </c>
      <c r="G3297" s="1">
        <v>4</v>
      </c>
      <c r="H3297" s="1">
        <v>0</v>
      </c>
      <c r="I3297" s="1">
        <v>284</v>
      </c>
      <c r="J3297" s="1">
        <v>280</v>
      </c>
      <c r="K3297" s="1">
        <v>4</v>
      </c>
    </row>
    <row r="3298" spans="3:11" x14ac:dyDescent="0.25">
      <c r="C3298" s="1" t="s">
        <v>1619</v>
      </c>
      <c r="D3298" s="1" t="s">
        <v>1620</v>
      </c>
      <c r="E3298" s="1" t="s">
        <v>1621</v>
      </c>
      <c r="F3298" s="1">
        <v>4</v>
      </c>
      <c r="G3298" s="1">
        <v>4</v>
      </c>
      <c r="H3298" s="1">
        <v>0</v>
      </c>
      <c r="I3298" s="1">
        <v>279</v>
      </c>
      <c r="J3298" s="1">
        <v>275</v>
      </c>
      <c r="K3298" s="1">
        <v>4</v>
      </c>
    </row>
    <row r="3299" spans="3:11" x14ac:dyDescent="0.25">
      <c r="C3299" s="1" t="s">
        <v>3077</v>
      </c>
      <c r="D3299" s="1" t="s">
        <v>3078</v>
      </c>
      <c r="E3299" s="1" t="s">
        <v>3079</v>
      </c>
      <c r="F3299" s="1">
        <v>4</v>
      </c>
      <c r="G3299" s="1">
        <v>4</v>
      </c>
      <c r="H3299" s="1">
        <v>0</v>
      </c>
      <c r="I3299" s="1">
        <v>255</v>
      </c>
      <c r="J3299" s="1">
        <v>251</v>
      </c>
      <c r="K3299" s="1">
        <v>4</v>
      </c>
    </row>
    <row r="3300" spans="3:11" x14ac:dyDescent="0.25">
      <c r="C3300" s="1" t="s">
        <v>3087</v>
      </c>
      <c r="D3300" s="1" t="s">
        <v>713</v>
      </c>
      <c r="E3300" s="1" t="s">
        <v>3088</v>
      </c>
      <c r="F3300" s="1">
        <v>4</v>
      </c>
      <c r="G3300" s="1">
        <v>4</v>
      </c>
      <c r="H3300" s="1">
        <v>0</v>
      </c>
      <c r="I3300" s="1">
        <v>250</v>
      </c>
      <c r="J3300" s="1">
        <v>246</v>
      </c>
      <c r="K3300" s="1">
        <v>4</v>
      </c>
    </row>
    <row r="3301" spans="3:11" x14ac:dyDescent="0.25">
      <c r="C3301" s="1" t="s">
        <v>10846</v>
      </c>
      <c r="D3301" s="1" t="s">
        <v>10847</v>
      </c>
      <c r="E3301" s="1" t="s">
        <v>10846</v>
      </c>
      <c r="F3301" s="1">
        <v>4</v>
      </c>
      <c r="G3301" s="1">
        <v>4</v>
      </c>
      <c r="H3301" s="1">
        <v>0</v>
      </c>
      <c r="I3301" s="1">
        <v>248</v>
      </c>
      <c r="J3301" s="1">
        <v>244</v>
      </c>
      <c r="K3301" s="1">
        <v>4</v>
      </c>
    </row>
    <row r="3302" spans="3:11" x14ac:dyDescent="0.25">
      <c r="C3302" s="1" t="s">
        <v>1561</v>
      </c>
      <c r="D3302" s="1" t="s">
        <v>1562</v>
      </c>
      <c r="E3302" s="1" t="s">
        <v>1563</v>
      </c>
      <c r="F3302" s="1">
        <v>4</v>
      </c>
      <c r="G3302" s="1">
        <v>4</v>
      </c>
      <c r="H3302" s="1">
        <v>0</v>
      </c>
      <c r="I3302" s="1">
        <v>232</v>
      </c>
      <c r="J3302" s="1">
        <v>228</v>
      </c>
      <c r="K3302" s="1">
        <v>4</v>
      </c>
    </row>
    <row r="3303" spans="3:11" x14ac:dyDescent="0.25">
      <c r="C3303" s="1" t="s">
        <v>3130</v>
      </c>
      <c r="D3303" s="1" t="s">
        <v>3131</v>
      </c>
      <c r="E3303" s="1" t="s">
        <v>3132</v>
      </c>
      <c r="F3303" s="1">
        <v>4</v>
      </c>
      <c r="G3303" s="1">
        <v>4</v>
      </c>
      <c r="H3303" s="1">
        <v>0</v>
      </c>
      <c r="I3303" s="1">
        <v>227</v>
      </c>
      <c r="J3303" s="1">
        <v>223</v>
      </c>
      <c r="K3303" s="1">
        <v>4</v>
      </c>
    </row>
    <row r="3304" spans="3:11" x14ac:dyDescent="0.25">
      <c r="C3304" s="1" t="s">
        <v>10848</v>
      </c>
      <c r="D3304" s="1" t="s">
        <v>10849</v>
      </c>
      <c r="E3304" s="1" t="s">
        <v>10848</v>
      </c>
      <c r="F3304" s="1">
        <v>4</v>
      </c>
      <c r="G3304" s="1">
        <v>4</v>
      </c>
      <c r="H3304" s="1">
        <v>0</v>
      </c>
      <c r="I3304" s="1">
        <v>206</v>
      </c>
      <c r="J3304" s="1">
        <v>202</v>
      </c>
      <c r="K3304" s="1">
        <v>4</v>
      </c>
    </row>
    <row r="3305" spans="3:11" x14ac:dyDescent="0.25">
      <c r="C3305" s="1" t="s">
        <v>10850</v>
      </c>
      <c r="D3305" s="1" t="s">
        <v>10851</v>
      </c>
      <c r="E3305" s="1" t="s">
        <v>10852</v>
      </c>
      <c r="F3305" s="1">
        <v>4</v>
      </c>
      <c r="G3305" s="1">
        <v>4</v>
      </c>
      <c r="H3305" s="1">
        <v>0</v>
      </c>
      <c r="I3305" s="1">
        <v>182</v>
      </c>
      <c r="J3305" s="1">
        <v>178</v>
      </c>
      <c r="K3305" s="1">
        <v>4</v>
      </c>
    </row>
    <row r="3306" spans="3:11" x14ac:dyDescent="0.25">
      <c r="C3306" s="1" t="s">
        <v>10853</v>
      </c>
      <c r="D3306" s="1" t="s">
        <v>10854</v>
      </c>
      <c r="E3306" s="1" t="s">
        <v>10855</v>
      </c>
      <c r="F3306" s="1">
        <v>4</v>
      </c>
      <c r="G3306" s="1">
        <v>4</v>
      </c>
      <c r="H3306" s="1">
        <v>0</v>
      </c>
      <c r="I3306" s="1">
        <v>164</v>
      </c>
      <c r="J3306" s="1">
        <v>160</v>
      </c>
      <c r="K3306" s="1">
        <v>4</v>
      </c>
    </row>
    <row r="3307" spans="3:11" x14ac:dyDescent="0.25">
      <c r="C3307" s="1" t="s">
        <v>1622</v>
      </c>
      <c r="D3307" s="1" t="s">
        <v>1623</v>
      </c>
      <c r="E3307" s="1" t="s">
        <v>1624</v>
      </c>
      <c r="F3307" s="1">
        <v>4</v>
      </c>
      <c r="G3307" s="1">
        <v>4</v>
      </c>
      <c r="H3307" s="1">
        <v>0</v>
      </c>
      <c r="I3307" s="1">
        <v>152</v>
      </c>
      <c r="J3307" s="1">
        <v>148</v>
      </c>
      <c r="K3307" s="1">
        <v>4</v>
      </c>
    </row>
    <row r="3308" spans="3:11" x14ac:dyDescent="0.25">
      <c r="C3308" s="1" t="s">
        <v>1653</v>
      </c>
      <c r="D3308" s="1" t="s">
        <v>1654</v>
      </c>
      <c r="E3308" s="1" t="s">
        <v>1655</v>
      </c>
      <c r="F3308" s="1">
        <v>4</v>
      </c>
      <c r="G3308" s="1">
        <v>4</v>
      </c>
      <c r="H3308" s="1">
        <v>0</v>
      </c>
      <c r="I3308" s="1">
        <v>126</v>
      </c>
      <c r="J3308" s="1">
        <v>122</v>
      </c>
      <c r="K3308" s="1">
        <v>4</v>
      </c>
    </row>
    <row r="3309" spans="3:11" x14ac:dyDescent="0.25">
      <c r="C3309" s="1" t="s">
        <v>10856</v>
      </c>
      <c r="D3309" s="1" t="s">
        <v>10857</v>
      </c>
      <c r="E3309" s="1" t="s">
        <v>10858</v>
      </c>
      <c r="F3309" s="1">
        <v>4</v>
      </c>
      <c r="G3309" s="1">
        <v>4</v>
      </c>
      <c r="H3309" s="1">
        <v>0</v>
      </c>
      <c r="I3309" s="1">
        <v>125</v>
      </c>
      <c r="J3309" s="1">
        <v>121</v>
      </c>
      <c r="K3309" s="1">
        <v>4</v>
      </c>
    </row>
    <row r="3310" spans="3:11" x14ac:dyDescent="0.25">
      <c r="C3310" s="1" t="s">
        <v>3337</v>
      </c>
      <c r="D3310" s="1" t="s">
        <v>3338</v>
      </c>
      <c r="E3310" s="1" t="s">
        <v>3339</v>
      </c>
      <c r="F3310" s="1">
        <v>4</v>
      </c>
      <c r="G3310" s="1">
        <v>4</v>
      </c>
      <c r="H3310" s="1">
        <v>0</v>
      </c>
      <c r="I3310" s="1">
        <v>116</v>
      </c>
      <c r="J3310" s="1">
        <v>112</v>
      </c>
      <c r="K3310" s="1">
        <v>4</v>
      </c>
    </row>
    <row r="3311" spans="3:11" x14ac:dyDescent="0.25">
      <c r="C3311" s="1" t="s">
        <v>10859</v>
      </c>
      <c r="D3311" s="1" t="s">
        <v>10860</v>
      </c>
      <c r="E3311" s="1" t="s">
        <v>10859</v>
      </c>
      <c r="F3311" s="1">
        <v>4</v>
      </c>
      <c r="G3311" s="1">
        <v>4</v>
      </c>
      <c r="H3311" s="1">
        <v>0</v>
      </c>
      <c r="I3311" s="1">
        <v>91</v>
      </c>
      <c r="J3311" s="1">
        <v>87</v>
      </c>
      <c r="K3311" s="1">
        <v>4</v>
      </c>
    </row>
    <row r="3312" spans="3:11" x14ac:dyDescent="0.25">
      <c r="C3312" s="1" t="s">
        <v>10861</v>
      </c>
      <c r="D3312" s="1" t="s">
        <v>10862</v>
      </c>
      <c r="E3312" s="1" t="s">
        <v>10861</v>
      </c>
      <c r="F3312" s="1">
        <v>4</v>
      </c>
      <c r="G3312" s="1">
        <v>4</v>
      </c>
      <c r="H3312" s="1">
        <v>0</v>
      </c>
      <c r="I3312" s="1">
        <v>78</v>
      </c>
      <c r="J3312" s="1">
        <v>74</v>
      </c>
      <c r="K3312" s="1">
        <v>4</v>
      </c>
    </row>
    <row r="3313" spans="3:11" x14ac:dyDescent="0.25">
      <c r="C3313" s="1" t="s">
        <v>3488</v>
      </c>
      <c r="D3313" s="1" t="s">
        <v>3489</v>
      </c>
      <c r="E3313" s="1" t="s">
        <v>3490</v>
      </c>
      <c r="F3313" s="1">
        <v>4</v>
      </c>
      <c r="G3313" s="1">
        <v>4</v>
      </c>
      <c r="H3313" s="1">
        <v>0</v>
      </c>
      <c r="I3313" s="1">
        <v>78</v>
      </c>
      <c r="J3313" s="1">
        <v>74</v>
      </c>
      <c r="K3313" s="1">
        <v>4</v>
      </c>
    </row>
    <row r="3314" spans="3:11" x14ac:dyDescent="0.25">
      <c r="C3314" s="1" t="s">
        <v>10863</v>
      </c>
      <c r="D3314" s="1" t="s">
        <v>10864</v>
      </c>
      <c r="E3314" s="1" t="s">
        <v>10865</v>
      </c>
      <c r="F3314" s="1">
        <v>4</v>
      </c>
      <c r="G3314" s="1">
        <v>4</v>
      </c>
      <c r="H3314" s="1">
        <v>0</v>
      </c>
      <c r="I3314" s="1">
        <v>76</v>
      </c>
      <c r="J3314" s="1">
        <v>72</v>
      </c>
      <c r="K3314" s="1">
        <v>4</v>
      </c>
    </row>
    <row r="3315" spans="3:11" x14ac:dyDescent="0.25">
      <c r="C3315" s="1" t="s">
        <v>10866</v>
      </c>
      <c r="D3315" s="1" t="s">
        <v>10867</v>
      </c>
      <c r="E3315" s="1" t="s">
        <v>10868</v>
      </c>
      <c r="F3315" s="1">
        <v>4</v>
      </c>
      <c r="G3315" s="1">
        <v>4</v>
      </c>
      <c r="H3315" s="1">
        <v>0</v>
      </c>
      <c r="I3315" s="1">
        <v>59</v>
      </c>
      <c r="J3315" s="1">
        <v>55</v>
      </c>
      <c r="K3315" s="1">
        <v>4</v>
      </c>
    </row>
    <row r="3316" spans="3:11" x14ac:dyDescent="0.25">
      <c r="C3316" s="1" t="s">
        <v>3605</v>
      </c>
      <c r="D3316" s="1" t="s">
        <v>3606</v>
      </c>
      <c r="E3316" s="1" t="s">
        <v>3607</v>
      </c>
      <c r="F3316" s="1">
        <v>4</v>
      </c>
      <c r="G3316" s="1">
        <v>4</v>
      </c>
      <c r="H3316" s="1">
        <v>0</v>
      </c>
      <c r="I3316" s="1">
        <v>58</v>
      </c>
      <c r="J3316" s="1">
        <v>54</v>
      </c>
      <c r="K3316" s="1">
        <v>4</v>
      </c>
    </row>
    <row r="3317" spans="3:11" x14ac:dyDescent="0.25">
      <c r="C3317" s="1" t="s">
        <v>10869</v>
      </c>
      <c r="D3317" s="1" t="s">
        <v>10870</v>
      </c>
      <c r="E3317" s="1" t="s">
        <v>10869</v>
      </c>
      <c r="F3317" s="1">
        <v>4</v>
      </c>
      <c r="G3317" s="1">
        <v>4</v>
      </c>
      <c r="H3317" s="1">
        <v>0</v>
      </c>
      <c r="I3317" s="1">
        <v>54</v>
      </c>
      <c r="J3317" s="1">
        <v>50</v>
      </c>
      <c r="K3317" s="1">
        <v>4</v>
      </c>
    </row>
    <row r="3318" spans="3:11" x14ac:dyDescent="0.25">
      <c r="C3318" s="1" t="s">
        <v>1874</v>
      </c>
      <c r="D3318" s="1" t="s">
        <v>1875</v>
      </c>
      <c r="E3318" s="1" t="s">
        <v>1876</v>
      </c>
      <c r="F3318" s="1">
        <v>4</v>
      </c>
      <c r="G3318" s="1">
        <v>4</v>
      </c>
      <c r="H3318" s="1">
        <v>0</v>
      </c>
      <c r="I3318" s="1">
        <v>53</v>
      </c>
      <c r="J3318" s="1">
        <v>49</v>
      </c>
      <c r="K3318" s="1">
        <v>4</v>
      </c>
    </row>
    <row r="3319" spans="3:11" x14ac:dyDescent="0.25">
      <c r="C3319" s="1" t="s">
        <v>3653</v>
      </c>
      <c r="D3319" s="1" t="s">
        <v>619</v>
      </c>
      <c r="E3319" s="1" t="s">
        <v>3654</v>
      </c>
      <c r="F3319" s="1">
        <v>4</v>
      </c>
      <c r="G3319" s="1">
        <v>4</v>
      </c>
      <c r="H3319" s="1">
        <v>0</v>
      </c>
      <c r="I3319" s="1">
        <v>52</v>
      </c>
      <c r="J3319" s="1">
        <v>48</v>
      </c>
      <c r="K3319" s="1">
        <v>4</v>
      </c>
    </row>
    <row r="3320" spans="3:11" x14ac:dyDescent="0.25">
      <c r="C3320" s="1" t="s">
        <v>10871</v>
      </c>
      <c r="D3320" s="1" t="s">
        <v>10872</v>
      </c>
      <c r="E3320" s="1" t="s">
        <v>10873</v>
      </c>
      <c r="F3320" s="1">
        <v>4</v>
      </c>
      <c r="G3320" s="1">
        <v>4</v>
      </c>
      <c r="H3320" s="1">
        <v>0</v>
      </c>
      <c r="I3320" s="1">
        <v>47</v>
      </c>
      <c r="J3320" s="1">
        <v>43</v>
      </c>
      <c r="K3320" s="1">
        <v>4</v>
      </c>
    </row>
    <row r="3321" spans="3:11" x14ac:dyDescent="0.25">
      <c r="C3321" s="1" t="s">
        <v>3708</v>
      </c>
      <c r="D3321" s="1" t="s">
        <v>3709</v>
      </c>
      <c r="E3321" s="1" t="s">
        <v>3710</v>
      </c>
      <c r="F3321" s="1">
        <v>4</v>
      </c>
      <c r="G3321" s="1">
        <v>4</v>
      </c>
      <c r="H3321" s="1">
        <v>0</v>
      </c>
      <c r="I3321" s="1">
        <v>45</v>
      </c>
      <c r="J3321" s="1">
        <v>41</v>
      </c>
      <c r="K3321" s="1">
        <v>4</v>
      </c>
    </row>
    <row r="3322" spans="3:11" x14ac:dyDescent="0.25">
      <c r="C3322" s="1" t="s">
        <v>3857</v>
      </c>
      <c r="D3322" s="1" t="s">
        <v>3858</v>
      </c>
      <c r="E3322" s="1" t="s">
        <v>3859</v>
      </c>
      <c r="F3322" s="1">
        <v>4</v>
      </c>
      <c r="G3322" s="1">
        <v>4</v>
      </c>
      <c r="H3322" s="1">
        <v>0</v>
      </c>
      <c r="I3322" s="1">
        <v>44</v>
      </c>
      <c r="J3322" s="1">
        <v>40</v>
      </c>
      <c r="K3322" s="1">
        <v>4</v>
      </c>
    </row>
    <row r="3323" spans="3:11" x14ac:dyDescent="0.25">
      <c r="C3323" s="1" t="s">
        <v>3800</v>
      </c>
      <c r="D3323" s="1" t="s">
        <v>3801</v>
      </c>
      <c r="E3323" s="1" t="s">
        <v>3802</v>
      </c>
      <c r="F3323" s="1">
        <v>4</v>
      </c>
      <c r="G3323" s="1">
        <v>4</v>
      </c>
      <c r="H3323" s="1">
        <v>0</v>
      </c>
      <c r="I3323" s="1">
        <v>42</v>
      </c>
      <c r="J3323" s="1">
        <v>38</v>
      </c>
      <c r="K3323" s="1">
        <v>4</v>
      </c>
    </row>
    <row r="3324" spans="3:11" x14ac:dyDescent="0.25">
      <c r="C3324" s="1" t="s">
        <v>3773</v>
      </c>
      <c r="D3324" s="1" t="s">
        <v>3774</v>
      </c>
      <c r="E3324" s="1" t="s">
        <v>3775</v>
      </c>
      <c r="F3324" s="1">
        <v>4</v>
      </c>
      <c r="G3324" s="1">
        <v>4</v>
      </c>
      <c r="H3324" s="1">
        <v>0</v>
      </c>
      <c r="I3324" s="1">
        <v>38</v>
      </c>
      <c r="J3324" s="1">
        <v>34</v>
      </c>
      <c r="K3324" s="1">
        <v>4</v>
      </c>
    </row>
    <row r="3325" spans="3:11" x14ac:dyDescent="0.25">
      <c r="C3325" s="1" t="s">
        <v>3821</v>
      </c>
      <c r="D3325" s="1" t="s">
        <v>3822</v>
      </c>
      <c r="E3325" s="1" t="s">
        <v>3823</v>
      </c>
      <c r="F3325" s="1">
        <v>4</v>
      </c>
      <c r="G3325" s="1">
        <v>4</v>
      </c>
      <c r="H3325" s="1">
        <v>0</v>
      </c>
      <c r="I3325" s="1">
        <v>34</v>
      </c>
      <c r="J3325" s="1">
        <v>30</v>
      </c>
      <c r="K3325" s="1">
        <v>4</v>
      </c>
    </row>
    <row r="3326" spans="3:11" x14ac:dyDescent="0.25">
      <c r="C3326" s="1" t="s">
        <v>3842</v>
      </c>
      <c r="D3326" s="1" t="s">
        <v>3843</v>
      </c>
      <c r="E3326" s="1" t="s">
        <v>3844</v>
      </c>
      <c r="F3326" s="1">
        <v>4</v>
      </c>
      <c r="G3326" s="1">
        <v>4</v>
      </c>
      <c r="H3326" s="1">
        <v>0</v>
      </c>
      <c r="I3326" s="1">
        <v>33</v>
      </c>
      <c r="J3326" s="1">
        <v>29</v>
      </c>
      <c r="K3326" s="1">
        <v>4</v>
      </c>
    </row>
    <row r="3327" spans="3:11" x14ac:dyDescent="0.25">
      <c r="C3327" s="1" t="s">
        <v>3860</v>
      </c>
      <c r="D3327" s="1" t="s">
        <v>3861</v>
      </c>
      <c r="E3327" s="1" t="s">
        <v>3862</v>
      </c>
      <c r="F3327" s="1">
        <v>4</v>
      </c>
      <c r="G3327" s="1">
        <v>4</v>
      </c>
      <c r="H3327" s="1">
        <v>0</v>
      </c>
      <c r="I3327" s="1">
        <v>32</v>
      </c>
      <c r="J3327" s="1">
        <v>28</v>
      </c>
      <c r="K3327" s="1">
        <v>4</v>
      </c>
    </row>
    <row r="3328" spans="3:11" x14ac:dyDescent="0.25">
      <c r="C3328" s="1" t="s">
        <v>10874</v>
      </c>
      <c r="D3328" s="1" t="s">
        <v>10875</v>
      </c>
      <c r="E3328" s="1" t="s">
        <v>10876</v>
      </c>
      <c r="F3328" s="1">
        <v>4</v>
      </c>
      <c r="G3328" s="1">
        <v>4</v>
      </c>
      <c r="H3328" s="1">
        <v>0</v>
      </c>
      <c r="I3328" s="1">
        <v>30</v>
      </c>
      <c r="J3328" s="1">
        <v>26</v>
      </c>
      <c r="K3328" s="1">
        <v>4</v>
      </c>
    </row>
    <row r="3329" spans="3:11" x14ac:dyDescent="0.25">
      <c r="C3329" s="1" t="s">
        <v>1902</v>
      </c>
      <c r="D3329" s="1" t="s">
        <v>1903</v>
      </c>
      <c r="E3329" s="1" t="s">
        <v>1904</v>
      </c>
      <c r="F3329" s="1">
        <v>4</v>
      </c>
      <c r="G3329" s="1">
        <v>4</v>
      </c>
      <c r="H3329" s="1">
        <v>0</v>
      </c>
      <c r="I3329" s="1">
        <v>29</v>
      </c>
      <c r="J3329" s="1">
        <v>25</v>
      </c>
      <c r="K3329" s="1">
        <v>4</v>
      </c>
    </row>
    <row r="3330" spans="3:11" x14ac:dyDescent="0.25">
      <c r="C3330" s="1" t="s">
        <v>10877</v>
      </c>
      <c r="D3330" s="1" t="s">
        <v>10878</v>
      </c>
      <c r="E3330" s="1" t="s">
        <v>10879</v>
      </c>
      <c r="F3330" s="1">
        <v>4</v>
      </c>
      <c r="G3330" s="1">
        <v>4</v>
      </c>
      <c r="H3330" s="1">
        <v>0</v>
      </c>
      <c r="I3330" s="1">
        <v>28</v>
      </c>
      <c r="J3330" s="1">
        <v>24</v>
      </c>
      <c r="K3330" s="1">
        <v>4</v>
      </c>
    </row>
    <row r="3331" spans="3:11" x14ac:dyDescent="0.25">
      <c r="C3331" s="1" t="s">
        <v>3916</v>
      </c>
      <c r="D3331" s="1" t="s">
        <v>3917</v>
      </c>
      <c r="E3331" s="1" t="s">
        <v>3918</v>
      </c>
      <c r="F3331" s="1">
        <v>4</v>
      </c>
      <c r="G3331" s="1">
        <v>4</v>
      </c>
      <c r="H3331" s="1">
        <v>0</v>
      </c>
      <c r="I3331" s="1">
        <v>28</v>
      </c>
      <c r="J3331" s="1">
        <v>24</v>
      </c>
      <c r="K3331" s="1">
        <v>4</v>
      </c>
    </row>
    <row r="3332" spans="3:11" x14ac:dyDescent="0.25">
      <c r="C3332" s="1" t="s">
        <v>10880</v>
      </c>
      <c r="D3332" s="1" t="s">
        <v>10881</v>
      </c>
      <c r="E3332" s="1" t="s">
        <v>10882</v>
      </c>
      <c r="F3332" s="1">
        <v>4</v>
      </c>
      <c r="G3332" s="1">
        <v>4</v>
      </c>
      <c r="H3332" s="1">
        <v>0</v>
      </c>
      <c r="I3332" s="1">
        <v>23</v>
      </c>
      <c r="J3332" s="1">
        <v>19</v>
      </c>
      <c r="K3332" s="1">
        <v>4</v>
      </c>
    </row>
    <row r="3333" spans="3:11" x14ac:dyDescent="0.25">
      <c r="C3333" s="1" t="s">
        <v>10883</v>
      </c>
      <c r="D3333" s="1" t="s">
        <v>10884</v>
      </c>
      <c r="E3333" s="1" t="s">
        <v>10885</v>
      </c>
      <c r="F3333" s="1">
        <v>4</v>
      </c>
      <c r="G3333" s="1">
        <v>4</v>
      </c>
      <c r="H3333" s="1">
        <v>0</v>
      </c>
      <c r="I3333" s="1">
        <v>22</v>
      </c>
      <c r="J3333" s="1">
        <v>18</v>
      </c>
      <c r="K3333" s="1">
        <v>4</v>
      </c>
    </row>
    <row r="3334" spans="3:11" x14ac:dyDescent="0.25">
      <c r="C3334" s="1" t="s">
        <v>10886</v>
      </c>
      <c r="D3334" s="1" t="s">
        <v>10887</v>
      </c>
      <c r="E3334" s="1" t="s">
        <v>10888</v>
      </c>
      <c r="F3334" s="1">
        <v>4</v>
      </c>
      <c r="G3334" s="1">
        <v>4</v>
      </c>
      <c r="H3334" s="1">
        <v>0</v>
      </c>
      <c r="I3334" s="1">
        <v>21</v>
      </c>
      <c r="J3334" s="1">
        <v>17</v>
      </c>
      <c r="K3334" s="1">
        <v>4</v>
      </c>
    </row>
    <row r="3335" spans="3:11" x14ac:dyDescent="0.25">
      <c r="C3335" s="1" t="s">
        <v>10889</v>
      </c>
      <c r="D3335" s="1" t="s">
        <v>10890</v>
      </c>
      <c r="E3335" s="1" t="s">
        <v>10891</v>
      </c>
      <c r="F3335" s="1">
        <v>4</v>
      </c>
      <c r="G3335" s="1">
        <v>4</v>
      </c>
      <c r="H3335" s="1">
        <v>0</v>
      </c>
      <c r="I3335" s="1">
        <v>21</v>
      </c>
      <c r="J3335" s="1">
        <v>17</v>
      </c>
      <c r="K3335" s="1">
        <v>4</v>
      </c>
    </row>
    <row r="3336" spans="3:11" x14ac:dyDescent="0.25">
      <c r="C3336" s="1" t="s">
        <v>10892</v>
      </c>
      <c r="D3336" s="1" t="s">
        <v>10893</v>
      </c>
      <c r="E3336" s="1" t="s">
        <v>10894</v>
      </c>
      <c r="F3336" s="1">
        <v>4</v>
      </c>
      <c r="G3336" s="1">
        <v>4</v>
      </c>
      <c r="H3336" s="1">
        <v>0</v>
      </c>
      <c r="I3336" s="1">
        <v>20</v>
      </c>
      <c r="J3336" s="1">
        <v>16</v>
      </c>
      <c r="K3336" s="1">
        <v>4</v>
      </c>
    </row>
    <row r="3337" spans="3:11" x14ac:dyDescent="0.25">
      <c r="C3337" s="1" t="s">
        <v>10895</v>
      </c>
      <c r="D3337" s="1" t="s">
        <v>10896</v>
      </c>
      <c r="E3337" s="1" t="s">
        <v>10897</v>
      </c>
      <c r="F3337" s="1">
        <v>4</v>
      </c>
      <c r="G3337" s="1">
        <v>4</v>
      </c>
      <c r="H3337" s="1">
        <v>0</v>
      </c>
      <c r="I3337" s="1">
        <v>20</v>
      </c>
      <c r="J3337" s="1">
        <v>16</v>
      </c>
      <c r="K3337" s="1">
        <v>4</v>
      </c>
    </row>
    <row r="3338" spans="3:11" x14ac:dyDescent="0.25">
      <c r="C3338" s="1" t="s">
        <v>10898</v>
      </c>
      <c r="D3338" s="1" t="s">
        <v>10899</v>
      </c>
      <c r="E3338" s="1" t="s">
        <v>10900</v>
      </c>
      <c r="F3338" s="1">
        <v>4</v>
      </c>
      <c r="G3338" s="1">
        <v>4</v>
      </c>
      <c r="H3338" s="1">
        <v>0</v>
      </c>
      <c r="I3338" s="1">
        <v>20</v>
      </c>
      <c r="J3338" s="1">
        <v>16</v>
      </c>
      <c r="K3338" s="1">
        <v>4</v>
      </c>
    </row>
    <row r="3339" spans="3:11" x14ac:dyDescent="0.25">
      <c r="C3339" s="1" t="s">
        <v>10901</v>
      </c>
      <c r="D3339" s="1" t="s">
        <v>10902</v>
      </c>
      <c r="E3339" s="1" t="s">
        <v>10903</v>
      </c>
      <c r="F3339" s="1">
        <v>4</v>
      </c>
      <c r="G3339" s="1">
        <v>4</v>
      </c>
      <c r="H3339" s="1">
        <v>0</v>
      </c>
      <c r="I3339" s="1">
        <v>18</v>
      </c>
      <c r="J3339" s="1">
        <v>14</v>
      </c>
      <c r="K3339" s="1">
        <v>4</v>
      </c>
    </row>
    <row r="3340" spans="3:11" x14ac:dyDescent="0.25">
      <c r="C3340" s="1" t="s">
        <v>4021</v>
      </c>
      <c r="D3340" s="1" t="s">
        <v>4022</v>
      </c>
      <c r="E3340" s="1" t="s">
        <v>4023</v>
      </c>
      <c r="F3340" s="1">
        <v>4</v>
      </c>
      <c r="G3340" s="1">
        <v>4</v>
      </c>
      <c r="H3340" s="1">
        <v>0</v>
      </c>
      <c r="I3340" s="1">
        <v>18</v>
      </c>
      <c r="J3340" s="1">
        <v>14</v>
      </c>
      <c r="K3340" s="1">
        <v>4</v>
      </c>
    </row>
    <row r="3341" spans="3:11" x14ac:dyDescent="0.25">
      <c r="C3341" s="1" t="s">
        <v>4045</v>
      </c>
      <c r="D3341" s="1" t="s">
        <v>4046</v>
      </c>
      <c r="E3341" s="1" t="s">
        <v>4047</v>
      </c>
      <c r="F3341" s="1">
        <v>4</v>
      </c>
      <c r="G3341" s="1">
        <v>4</v>
      </c>
      <c r="H3341" s="1">
        <v>0</v>
      </c>
      <c r="I3341" s="1">
        <v>18</v>
      </c>
      <c r="J3341" s="1">
        <v>14</v>
      </c>
      <c r="K3341" s="1">
        <v>4</v>
      </c>
    </row>
    <row r="3342" spans="3:11" x14ac:dyDescent="0.25">
      <c r="C3342" s="1" t="s">
        <v>10904</v>
      </c>
      <c r="D3342" s="1" t="s">
        <v>10905</v>
      </c>
      <c r="E3342" s="1" t="s">
        <v>10906</v>
      </c>
      <c r="F3342" s="1">
        <v>4</v>
      </c>
      <c r="G3342" s="1">
        <v>4</v>
      </c>
      <c r="H3342" s="1">
        <v>0</v>
      </c>
      <c r="I3342" s="1">
        <v>17</v>
      </c>
      <c r="J3342" s="1">
        <v>13</v>
      </c>
      <c r="K3342" s="1">
        <v>4</v>
      </c>
    </row>
    <row r="3343" spans="3:11" x14ac:dyDescent="0.25">
      <c r="C3343" s="1" t="s">
        <v>4036</v>
      </c>
      <c r="D3343" s="1" t="s">
        <v>4037</v>
      </c>
      <c r="E3343" s="1" t="s">
        <v>4038</v>
      </c>
      <c r="F3343" s="1">
        <v>4</v>
      </c>
      <c r="G3343" s="1">
        <v>4</v>
      </c>
      <c r="H3343" s="1">
        <v>0</v>
      </c>
      <c r="I3343" s="1">
        <v>15</v>
      </c>
      <c r="J3343" s="1">
        <v>11</v>
      </c>
      <c r="K3343" s="1">
        <v>4</v>
      </c>
    </row>
    <row r="3344" spans="3:11" x14ac:dyDescent="0.25">
      <c r="C3344" s="1" t="s">
        <v>2109</v>
      </c>
      <c r="D3344" s="1" t="s">
        <v>2110</v>
      </c>
      <c r="E3344" s="1" t="s">
        <v>2111</v>
      </c>
      <c r="F3344" s="1">
        <v>4</v>
      </c>
      <c r="G3344" s="1">
        <v>4</v>
      </c>
      <c r="H3344" s="1">
        <v>0</v>
      </c>
      <c r="I3344" s="1">
        <v>15</v>
      </c>
      <c r="J3344" s="1">
        <v>11</v>
      </c>
      <c r="K3344" s="1">
        <v>4</v>
      </c>
    </row>
    <row r="3345" spans="3:11" x14ac:dyDescent="0.25">
      <c r="C3345" s="1" t="s">
        <v>10907</v>
      </c>
      <c r="D3345" s="1" t="s">
        <v>10908</v>
      </c>
      <c r="E3345" s="1" t="s">
        <v>10909</v>
      </c>
      <c r="F3345" s="1">
        <v>4</v>
      </c>
      <c r="G3345" s="1">
        <v>4</v>
      </c>
      <c r="H3345" s="1">
        <v>0</v>
      </c>
      <c r="I3345" s="1">
        <v>13</v>
      </c>
      <c r="J3345" s="1">
        <v>9</v>
      </c>
      <c r="K3345" s="1">
        <v>4</v>
      </c>
    </row>
    <row r="3346" spans="3:11" x14ac:dyDescent="0.25">
      <c r="C3346" s="1" t="s">
        <v>10910</v>
      </c>
      <c r="D3346" s="1" t="s">
        <v>10911</v>
      </c>
      <c r="E3346" s="1" t="s">
        <v>10910</v>
      </c>
      <c r="F3346" s="1">
        <v>4</v>
      </c>
      <c r="G3346" s="1">
        <v>4</v>
      </c>
      <c r="H3346" s="1">
        <v>0</v>
      </c>
      <c r="I3346" s="1">
        <v>12</v>
      </c>
      <c r="J3346" s="1">
        <v>8</v>
      </c>
      <c r="K3346" s="1">
        <v>4</v>
      </c>
    </row>
    <row r="3347" spans="3:11" x14ac:dyDescent="0.25">
      <c r="D3347" s="1" t="s">
        <v>10912</v>
      </c>
      <c r="E3347" s="1" t="s">
        <v>10913</v>
      </c>
      <c r="F3347" s="1">
        <v>4</v>
      </c>
      <c r="G3347" s="1">
        <v>4</v>
      </c>
      <c r="H3347" s="1">
        <v>0</v>
      </c>
      <c r="I3347" s="1">
        <v>12</v>
      </c>
      <c r="J3347" s="1">
        <v>8</v>
      </c>
      <c r="K3347" s="1">
        <v>4</v>
      </c>
    </row>
    <row r="3348" spans="3:11" x14ac:dyDescent="0.25">
      <c r="C3348" s="1" t="s">
        <v>10914</v>
      </c>
      <c r="D3348" s="1" t="s">
        <v>10915</v>
      </c>
      <c r="E3348" s="1" t="s">
        <v>10916</v>
      </c>
      <c r="F3348" s="1">
        <v>4</v>
      </c>
      <c r="G3348" s="1">
        <v>4</v>
      </c>
      <c r="H3348" s="1">
        <v>0</v>
      </c>
      <c r="I3348" s="1">
        <v>10</v>
      </c>
      <c r="J3348" s="1">
        <v>6</v>
      </c>
      <c r="K3348" s="1">
        <v>4</v>
      </c>
    </row>
    <row r="3349" spans="3:11" x14ac:dyDescent="0.25">
      <c r="C3349" s="1" t="s">
        <v>10917</v>
      </c>
      <c r="D3349" s="1" t="s">
        <v>10918</v>
      </c>
      <c r="E3349" s="1" t="s">
        <v>10917</v>
      </c>
      <c r="F3349" s="1">
        <v>4</v>
      </c>
      <c r="G3349" s="1">
        <v>4</v>
      </c>
      <c r="H3349" s="1">
        <v>0</v>
      </c>
      <c r="I3349" s="1">
        <v>8</v>
      </c>
      <c r="J3349" s="1">
        <v>4</v>
      </c>
      <c r="K3349" s="1">
        <v>4</v>
      </c>
    </row>
    <row r="3350" spans="3:11" x14ac:dyDescent="0.25">
      <c r="C3350" s="1" t="s">
        <v>10919</v>
      </c>
      <c r="D3350" s="1" t="s">
        <v>10920</v>
      </c>
      <c r="E3350" s="1" t="s">
        <v>10921</v>
      </c>
      <c r="F3350" s="1">
        <v>4</v>
      </c>
      <c r="G3350" s="1">
        <v>4</v>
      </c>
      <c r="H3350" s="1">
        <v>0</v>
      </c>
      <c r="I3350" s="1">
        <v>8</v>
      </c>
      <c r="J3350" s="1">
        <v>4</v>
      </c>
      <c r="K3350" s="1">
        <v>4</v>
      </c>
    </row>
    <row r="3351" spans="3:11" x14ac:dyDescent="0.25">
      <c r="D3351" s="1" t="s">
        <v>10922</v>
      </c>
      <c r="E3351" s="1" t="s">
        <v>10923</v>
      </c>
      <c r="F3351" s="1">
        <v>4</v>
      </c>
      <c r="G3351" s="1">
        <v>4</v>
      </c>
      <c r="H3351" s="1">
        <v>0</v>
      </c>
      <c r="I3351" s="1">
        <v>8</v>
      </c>
      <c r="J3351" s="1">
        <v>4</v>
      </c>
      <c r="K3351" s="1">
        <v>4</v>
      </c>
    </row>
    <row r="3352" spans="3:11" x14ac:dyDescent="0.25">
      <c r="C3352" s="1" t="s">
        <v>10924</v>
      </c>
      <c r="D3352" s="1" t="s">
        <v>10925</v>
      </c>
      <c r="E3352" s="1" t="s">
        <v>10926</v>
      </c>
      <c r="F3352" s="1">
        <v>4</v>
      </c>
      <c r="G3352" s="1">
        <v>4</v>
      </c>
      <c r="H3352" s="1">
        <v>0</v>
      </c>
      <c r="I3352" s="1">
        <v>8</v>
      </c>
      <c r="J3352" s="1">
        <v>4</v>
      </c>
      <c r="K3352" s="1">
        <v>4</v>
      </c>
    </row>
    <row r="3353" spans="3:11" x14ac:dyDescent="0.25">
      <c r="C3353" s="1" t="s">
        <v>10927</v>
      </c>
      <c r="D3353" s="1" t="s">
        <v>10928</v>
      </c>
      <c r="E3353" s="1" t="s">
        <v>10929</v>
      </c>
      <c r="F3353" s="1">
        <v>4</v>
      </c>
      <c r="G3353" s="1">
        <v>4</v>
      </c>
      <c r="H3353" s="1">
        <v>0</v>
      </c>
      <c r="I3353" s="1">
        <v>8</v>
      </c>
      <c r="J3353" s="1">
        <v>4</v>
      </c>
      <c r="K3353" s="1">
        <v>4</v>
      </c>
    </row>
    <row r="3354" spans="3:11" x14ac:dyDescent="0.25">
      <c r="C3354" s="1" t="s">
        <v>10930</v>
      </c>
      <c r="D3354" s="1" t="s">
        <v>10931</v>
      </c>
      <c r="E3354" s="1" t="s">
        <v>10930</v>
      </c>
      <c r="F3354" s="1">
        <v>4</v>
      </c>
      <c r="G3354" s="1">
        <v>4</v>
      </c>
      <c r="H3354" s="1">
        <v>0</v>
      </c>
      <c r="I3354" s="1">
        <v>8</v>
      </c>
      <c r="J3354" s="1">
        <v>4</v>
      </c>
      <c r="K3354" s="1">
        <v>4</v>
      </c>
    </row>
    <row r="3355" spans="3:11" x14ac:dyDescent="0.25">
      <c r="D3355" s="1" t="s">
        <v>10932</v>
      </c>
      <c r="E3355" s="1" t="s">
        <v>10933</v>
      </c>
      <c r="F3355" s="1">
        <v>4</v>
      </c>
      <c r="G3355" s="1">
        <v>4</v>
      </c>
      <c r="H3355" s="1">
        <v>0</v>
      </c>
      <c r="I3355" s="1">
        <v>7</v>
      </c>
      <c r="J3355" s="1">
        <v>3</v>
      </c>
      <c r="K3355" s="1">
        <v>4</v>
      </c>
    </row>
    <row r="3356" spans="3:11" x14ac:dyDescent="0.25">
      <c r="C3356" s="1" t="s">
        <v>4171</v>
      </c>
      <c r="D3356" s="1" t="s">
        <v>4172</v>
      </c>
      <c r="E3356" s="1" t="s">
        <v>4173</v>
      </c>
      <c r="F3356" s="1">
        <v>4</v>
      </c>
      <c r="G3356" s="1">
        <v>4</v>
      </c>
      <c r="H3356" s="1">
        <v>0</v>
      </c>
      <c r="I3356" s="1">
        <v>7</v>
      </c>
      <c r="J3356" s="1">
        <v>3</v>
      </c>
      <c r="K3356" s="1">
        <v>4</v>
      </c>
    </row>
    <row r="3357" spans="3:11" x14ac:dyDescent="0.25">
      <c r="C3357" s="1" t="s">
        <v>10934</v>
      </c>
      <c r="D3357" s="1" t="s">
        <v>10935</v>
      </c>
      <c r="E3357" s="1" t="s">
        <v>10936</v>
      </c>
      <c r="F3357" s="1">
        <v>4</v>
      </c>
      <c r="G3357" s="1">
        <v>4</v>
      </c>
      <c r="H3357" s="1">
        <v>0</v>
      </c>
      <c r="I3357" s="1">
        <v>6</v>
      </c>
      <c r="J3357" s="1">
        <v>2</v>
      </c>
      <c r="K3357" s="1">
        <v>4</v>
      </c>
    </row>
    <row r="3358" spans="3:11" x14ac:dyDescent="0.25">
      <c r="C3358" s="1" t="s">
        <v>10937</v>
      </c>
      <c r="D3358" s="1" t="s">
        <v>10938</v>
      </c>
      <c r="E3358" s="1" t="s">
        <v>10939</v>
      </c>
      <c r="F3358" s="1">
        <v>4</v>
      </c>
      <c r="G3358" s="1">
        <v>4</v>
      </c>
      <c r="H3358" s="1">
        <v>0</v>
      </c>
      <c r="I3358" s="1">
        <v>5</v>
      </c>
      <c r="J3358" s="1">
        <v>1</v>
      </c>
      <c r="K3358" s="1">
        <v>4</v>
      </c>
    </row>
    <row r="3359" spans="3:11" x14ac:dyDescent="0.25">
      <c r="D3359" s="1" t="s">
        <v>10940</v>
      </c>
      <c r="E3359" s="1" t="s">
        <v>10941</v>
      </c>
      <c r="F3359" s="1">
        <v>4</v>
      </c>
      <c r="G3359" s="1">
        <v>4</v>
      </c>
      <c r="H3359" s="1">
        <v>0</v>
      </c>
      <c r="I3359" s="1">
        <v>4</v>
      </c>
      <c r="J3359" s="1">
        <v>0</v>
      </c>
      <c r="K3359" s="1">
        <v>4</v>
      </c>
    </row>
    <row r="3360" spans="3:11" x14ac:dyDescent="0.25">
      <c r="C3360" s="1" t="s">
        <v>10942</v>
      </c>
      <c r="D3360" s="1" t="s">
        <v>10943</v>
      </c>
      <c r="E3360" s="1" t="s">
        <v>10942</v>
      </c>
      <c r="F3360" s="1">
        <v>4</v>
      </c>
      <c r="G3360" s="1">
        <v>4</v>
      </c>
      <c r="H3360" s="1">
        <v>0</v>
      </c>
      <c r="I3360" s="1">
        <v>4</v>
      </c>
      <c r="J3360" s="1">
        <v>0</v>
      </c>
      <c r="K3360" s="1">
        <v>4</v>
      </c>
    </row>
    <row r="3361" spans="3:11" x14ac:dyDescent="0.25">
      <c r="C3361" s="1" t="s">
        <v>10944</v>
      </c>
      <c r="D3361" s="1" t="s">
        <v>10945</v>
      </c>
      <c r="E3361" s="1" t="s">
        <v>10946</v>
      </c>
      <c r="F3361" s="1">
        <v>4</v>
      </c>
      <c r="G3361" s="1">
        <v>4</v>
      </c>
      <c r="H3361" s="1">
        <v>0</v>
      </c>
      <c r="I3361" s="1">
        <v>4</v>
      </c>
      <c r="J3361" s="1">
        <v>0</v>
      </c>
      <c r="K3361" s="1">
        <v>4</v>
      </c>
    </row>
    <row r="3362" spans="3:11" x14ac:dyDescent="0.25">
      <c r="C3362" s="1" t="s">
        <v>10947</v>
      </c>
      <c r="D3362" s="1" t="s">
        <v>10948</v>
      </c>
      <c r="E3362" s="1" t="s">
        <v>10949</v>
      </c>
      <c r="F3362" s="1">
        <v>4</v>
      </c>
      <c r="G3362" s="1">
        <v>4</v>
      </c>
      <c r="H3362" s="1">
        <v>0</v>
      </c>
      <c r="I3362" s="1">
        <v>4</v>
      </c>
      <c r="J3362" s="1">
        <v>0</v>
      </c>
      <c r="K3362" s="1">
        <v>4</v>
      </c>
    </row>
    <row r="3363" spans="3:11" x14ac:dyDescent="0.25">
      <c r="C3363" s="1" t="s">
        <v>10950</v>
      </c>
      <c r="D3363" s="1" t="s">
        <v>10951</v>
      </c>
      <c r="E3363" s="1" t="s">
        <v>10952</v>
      </c>
      <c r="F3363" s="1">
        <v>4</v>
      </c>
      <c r="G3363" s="1">
        <v>4</v>
      </c>
      <c r="H3363" s="1">
        <v>0</v>
      </c>
      <c r="I3363" s="1">
        <v>4</v>
      </c>
      <c r="J3363" s="1">
        <v>0</v>
      </c>
      <c r="K3363" s="1">
        <v>4</v>
      </c>
    </row>
    <row r="3364" spans="3:11" x14ac:dyDescent="0.25">
      <c r="D3364" s="1" t="s">
        <v>10953</v>
      </c>
      <c r="E3364" s="1" t="s">
        <v>10954</v>
      </c>
      <c r="F3364" s="1">
        <v>4</v>
      </c>
      <c r="G3364" s="1">
        <v>4</v>
      </c>
      <c r="H3364" s="1">
        <v>0</v>
      </c>
      <c r="I3364" s="1">
        <v>4</v>
      </c>
      <c r="J3364" s="1">
        <v>0</v>
      </c>
      <c r="K3364" s="1">
        <v>4</v>
      </c>
    </row>
    <row r="3365" spans="3:11" x14ac:dyDescent="0.25">
      <c r="C3365" s="1" t="s">
        <v>2417</v>
      </c>
      <c r="D3365" s="1" t="s">
        <v>2418</v>
      </c>
      <c r="E3365" s="1" t="s">
        <v>2419</v>
      </c>
      <c r="F3365" s="1">
        <v>5</v>
      </c>
      <c r="G3365" s="1">
        <v>5</v>
      </c>
      <c r="H3365" s="1">
        <v>0</v>
      </c>
      <c r="I3365" s="1">
        <v>3639</v>
      </c>
      <c r="J3365" s="1">
        <v>3634</v>
      </c>
      <c r="K3365" s="1">
        <v>5</v>
      </c>
    </row>
    <row r="3366" spans="3:11" x14ac:dyDescent="0.25">
      <c r="C3366" s="1" t="s">
        <v>929</v>
      </c>
      <c r="D3366" s="1" t="s">
        <v>45</v>
      </c>
      <c r="E3366" s="1" t="s">
        <v>929</v>
      </c>
      <c r="F3366" s="1">
        <v>5</v>
      </c>
      <c r="G3366" s="1">
        <v>5</v>
      </c>
      <c r="H3366" s="1">
        <v>0</v>
      </c>
      <c r="I3366" s="1">
        <v>3111</v>
      </c>
      <c r="J3366" s="1">
        <v>3106</v>
      </c>
      <c r="K3366" s="1">
        <v>5</v>
      </c>
    </row>
    <row r="3367" spans="3:11" x14ac:dyDescent="0.25">
      <c r="C3367" s="1" t="s">
        <v>976</v>
      </c>
      <c r="D3367" s="1" t="s">
        <v>55</v>
      </c>
      <c r="E3367" s="1" t="s">
        <v>977</v>
      </c>
      <c r="F3367" s="1">
        <v>5</v>
      </c>
      <c r="G3367" s="1">
        <v>5</v>
      </c>
      <c r="H3367" s="1">
        <v>0</v>
      </c>
      <c r="I3367" s="1">
        <v>2173</v>
      </c>
      <c r="J3367" s="1">
        <v>2168</v>
      </c>
      <c r="K3367" s="1">
        <v>5</v>
      </c>
    </row>
    <row r="3368" spans="3:11" x14ac:dyDescent="0.25">
      <c r="C3368" s="1" t="s">
        <v>999</v>
      </c>
      <c r="D3368" s="1" t="s">
        <v>62</v>
      </c>
      <c r="E3368" s="1" t="s">
        <v>1000</v>
      </c>
      <c r="F3368" s="1">
        <v>5</v>
      </c>
      <c r="G3368" s="1">
        <v>5</v>
      </c>
      <c r="H3368" s="1">
        <v>0</v>
      </c>
      <c r="I3368" s="1">
        <v>1981</v>
      </c>
      <c r="J3368" s="1">
        <v>1976</v>
      </c>
      <c r="K3368" s="1">
        <v>5</v>
      </c>
    </row>
    <row r="3369" spans="3:11" x14ac:dyDescent="0.25">
      <c r="C3369" s="1" t="s">
        <v>10955</v>
      </c>
      <c r="D3369" s="1" t="s">
        <v>10956</v>
      </c>
      <c r="E3369" s="1" t="s">
        <v>10957</v>
      </c>
      <c r="F3369" s="1">
        <v>5</v>
      </c>
      <c r="G3369" s="1">
        <v>5</v>
      </c>
      <c r="H3369" s="1">
        <v>0</v>
      </c>
      <c r="I3369" s="1">
        <v>1873</v>
      </c>
      <c r="J3369" s="1">
        <v>1868</v>
      </c>
      <c r="K3369" s="1">
        <v>5</v>
      </c>
    </row>
    <row r="3370" spans="3:11" x14ac:dyDescent="0.25">
      <c r="C3370" s="1" t="s">
        <v>10958</v>
      </c>
      <c r="D3370" s="1" t="s">
        <v>10959</v>
      </c>
      <c r="E3370" s="1" t="s">
        <v>10960</v>
      </c>
      <c r="F3370" s="1">
        <v>5</v>
      </c>
      <c r="G3370" s="1">
        <v>5</v>
      </c>
      <c r="H3370" s="1">
        <v>0</v>
      </c>
      <c r="I3370" s="1">
        <v>1445</v>
      </c>
      <c r="J3370" s="1">
        <v>1440</v>
      </c>
      <c r="K3370" s="1">
        <v>5</v>
      </c>
    </row>
    <row r="3371" spans="3:11" x14ac:dyDescent="0.25">
      <c r="C3371" s="1" t="s">
        <v>10961</v>
      </c>
      <c r="D3371" s="1" t="s">
        <v>10962</v>
      </c>
      <c r="E3371" s="1" t="s">
        <v>10963</v>
      </c>
      <c r="F3371" s="1">
        <v>5</v>
      </c>
      <c r="G3371" s="1">
        <v>5</v>
      </c>
      <c r="H3371" s="1">
        <v>0</v>
      </c>
      <c r="I3371" s="1">
        <v>1210</v>
      </c>
      <c r="J3371" s="1">
        <v>1205</v>
      </c>
      <c r="K3371" s="1">
        <v>5</v>
      </c>
    </row>
    <row r="3372" spans="3:11" x14ac:dyDescent="0.25">
      <c r="C3372" s="1" t="s">
        <v>10964</v>
      </c>
      <c r="D3372" s="1" t="s">
        <v>10965</v>
      </c>
      <c r="E3372" s="1" t="s">
        <v>10966</v>
      </c>
      <c r="F3372" s="1">
        <v>5</v>
      </c>
      <c r="G3372" s="1">
        <v>5</v>
      </c>
      <c r="H3372" s="1">
        <v>0</v>
      </c>
      <c r="I3372" s="1">
        <v>1019</v>
      </c>
      <c r="J3372" s="1">
        <v>1014</v>
      </c>
      <c r="K3372" s="1">
        <v>5</v>
      </c>
    </row>
    <row r="3373" spans="3:11" x14ac:dyDescent="0.25">
      <c r="C3373" s="1" t="s">
        <v>10967</v>
      </c>
      <c r="D3373" s="1" t="s">
        <v>10968</v>
      </c>
      <c r="E3373" s="1" t="s">
        <v>10969</v>
      </c>
      <c r="F3373" s="1">
        <v>5</v>
      </c>
      <c r="G3373" s="1">
        <v>5</v>
      </c>
      <c r="H3373" s="1">
        <v>0</v>
      </c>
      <c r="I3373" s="1">
        <v>740</v>
      </c>
      <c r="J3373" s="1">
        <v>735</v>
      </c>
      <c r="K3373" s="1">
        <v>5</v>
      </c>
    </row>
    <row r="3374" spans="3:11" x14ac:dyDescent="0.25">
      <c r="C3374" s="1" t="s">
        <v>10970</v>
      </c>
      <c r="D3374" s="1" t="s">
        <v>10971</v>
      </c>
      <c r="E3374" s="1" t="s">
        <v>10972</v>
      </c>
      <c r="F3374" s="1">
        <v>5</v>
      </c>
      <c r="G3374" s="1">
        <v>5</v>
      </c>
      <c r="H3374" s="1">
        <v>0</v>
      </c>
      <c r="I3374" s="1">
        <v>739</v>
      </c>
      <c r="J3374" s="1">
        <v>734</v>
      </c>
      <c r="K3374" s="1">
        <v>5</v>
      </c>
    </row>
    <row r="3375" spans="3:11" x14ac:dyDescent="0.25">
      <c r="C3375" s="1" t="s">
        <v>2763</v>
      </c>
      <c r="D3375" s="1" t="s">
        <v>2764</v>
      </c>
      <c r="E3375" s="1" t="s">
        <v>2765</v>
      </c>
      <c r="F3375" s="1">
        <v>5</v>
      </c>
      <c r="G3375" s="1">
        <v>5</v>
      </c>
      <c r="H3375" s="1">
        <v>0</v>
      </c>
      <c r="I3375" s="1">
        <v>711</v>
      </c>
      <c r="J3375" s="1">
        <v>706</v>
      </c>
      <c r="K3375" s="1">
        <v>5</v>
      </c>
    </row>
    <row r="3376" spans="3:11" x14ac:dyDescent="0.25">
      <c r="C3376" s="1" t="s">
        <v>10973</v>
      </c>
      <c r="D3376" s="1" t="s">
        <v>10974</v>
      </c>
      <c r="E3376" s="1" t="s">
        <v>10975</v>
      </c>
      <c r="F3376" s="1">
        <v>5</v>
      </c>
      <c r="G3376" s="1">
        <v>5</v>
      </c>
      <c r="H3376" s="1">
        <v>0</v>
      </c>
      <c r="I3376" s="1">
        <v>649</v>
      </c>
      <c r="J3376" s="1">
        <v>644</v>
      </c>
      <c r="K3376" s="1">
        <v>5</v>
      </c>
    </row>
    <row r="3377" spans="3:11" x14ac:dyDescent="0.25">
      <c r="C3377" s="1" t="s">
        <v>2860</v>
      </c>
      <c r="D3377" s="1" t="s">
        <v>2861</v>
      </c>
      <c r="E3377" s="1" t="s">
        <v>2862</v>
      </c>
      <c r="F3377" s="1">
        <v>5</v>
      </c>
      <c r="G3377" s="1">
        <v>5</v>
      </c>
      <c r="H3377" s="1">
        <v>0</v>
      </c>
      <c r="I3377" s="1">
        <v>519</v>
      </c>
      <c r="J3377" s="1">
        <v>514</v>
      </c>
      <c r="K3377" s="1">
        <v>5</v>
      </c>
    </row>
    <row r="3378" spans="3:11" x14ac:dyDescent="0.25">
      <c r="C3378" s="1" t="s">
        <v>10976</v>
      </c>
      <c r="D3378" s="1" t="s">
        <v>10977</v>
      </c>
      <c r="E3378" s="1" t="s">
        <v>10978</v>
      </c>
      <c r="F3378" s="1">
        <v>5</v>
      </c>
      <c r="G3378" s="1">
        <v>5</v>
      </c>
      <c r="H3378" s="1">
        <v>0</v>
      </c>
      <c r="I3378" s="1">
        <v>501</v>
      </c>
      <c r="J3378" s="1">
        <v>496</v>
      </c>
      <c r="K3378" s="1">
        <v>5</v>
      </c>
    </row>
    <row r="3379" spans="3:11" x14ac:dyDescent="0.25">
      <c r="C3379" s="1" t="s">
        <v>10979</v>
      </c>
      <c r="D3379" s="1" t="s">
        <v>10980</v>
      </c>
      <c r="E3379" s="1" t="s">
        <v>10981</v>
      </c>
      <c r="F3379" s="1">
        <v>5</v>
      </c>
      <c r="G3379" s="1">
        <v>5</v>
      </c>
      <c r="H3379" s="1">
        <v>0</v>
      </c>
      <c r="I3379" s="1">
        <v>378</v>
      </c>
      <c r="J3379" s="1">
        <v>373</v>
      </c>
      <c r="K3379" s="1">
        <v>5</v>
      </c>
    </row>
    <row r="3380" spans="3:11" x14ac:dyDescent="0.25">
      <c r="C3380" s="1" t="s">
        <v>1430</v>
      </c>
      <c r="D3380" s="1" t="s">
        <v>144</v>
      </c>
      <c r="E3380" s="1" t="s">
        <v>1431</v>
      </c>
      <c r="F3380" s="1">
        <v>5</v>
      </c>
      <c r="G3380" s="1">
        <v>5</v>
      </c>
      <c r="H3380" s="1">
        <v>0</v>
      </c>
      <c r="I3380" s="1">
        <v>378</v>
      </c>
      <c r="J3380" s="1">
        <v>373</v>
      </c>
      <c r="K3380" s="1">
        <v>5</v>
      </c>
    </row>
    <row r="3381" spans="3:11" x14ac:dyDescent="0.25">
      <c r="C3381" s="1" t="s">
        <v>10982</v>
      </c>
      <c r="D3381" s="1" t="s">
        <v>10983</v>
      </c>
      <c r="E3381" s="1" t="s">
        <v>10984</v>
      </c>
      <c r="F3381" s="1">
        <v>5</v>
      </c>
      <c r="G3381" s="1">
        <v>5</v>
      </c>
      <c r="H3381" s="1">
        <v>0</v>
      </c>
      <c r="I3381" s="1">
        <v>324</v>
      </c>
      <c r="J3381" s="1">
        <v>319</v>
      </c>
      <c r="K3381" s="1">
        <v>5</v>
      </c>
    </row>
    <row r="3382" spans="3:11" x14ac:dyDescent="0.25">
      <c r="C3382" s="1" t="s">
        <v>10985</v>
      </c>
      <c r="D3382" s="1" t="s">
        <v>10986</v>
      </c>
      <c r="E3382" s="1" t="s">
        <v>10985</v>
      </c>
      <c r="F3382" s="1">
        <v>5</v>
      </c>
      <c r="G3382" s="1">
        <v>5</v>
      </c>
      <c r="H3382" s="1">
        <v>0</v>
      </c>
      <c r="I3382" s="1">
        <v>312</v>
      </c>
      <c r="J3382" s="1">
        <v>307</v>
      </c>
      <c r="K3382" s="1">
        <v>5</v>
      </c>
    </row>
    <row r="3383" spans="3:11" x14ac:dyDescent="0.25">
      <c r="C3383" s="1" t="s">
        <v>10987</v>
      </c>
      <c r="D3383" s="1" t="s">
        <v>10988</v>
      </c>
      <c r="E3383" s="1" t="s">
        <v>10989</v>
      </c>
      <c r="F3383" s="1">
        <v>5</v>
      </c>
      <c r="G3383" s="1">
        <v>5</v>
      </c>
      <c r="H3383" s="1">
        <v>0</v>
      </c>
      <c r="I3383" s="1">
        <v>265</v>
      </c>
      <c r="J3383" s="1">
        <v>260</v>
      </c>
      <c r="K3383" s="1">
        <v>5</v>
      </c>
    </row>
    <row r="3384" spans="3:11" x14ac:dyDescent="0.25">
      <c r="C3384" s="1" t="s">
        <v>10990</v>
      </c>
      <c r="D3384" s="1" t="s">
        <v>10991</v>
      </c>
      <c r="E3384" s="1" t="s">
        <v>10992</v>
      </c>
      <c r="F3384" s="1">
        <v>5</v>
      </c>
      <c r="G3384" s="1">
        <v>5</v>
      </c>
      <c r="H3384" s="1">
        <v>0</v>
      </c>
      <c r="I3384" s="1">
        <v>259</v>
      </c>
      <c r="J3384" s="1">
        <v>254</v>
      </c>
      <c r="K3384" s="1">
        <v>5</v>
      </c>
    </row>
    <row r="3385" spans="3:11" x14ac:dyDescent="0.25">
      <c r="C3385" s="1" t="s">
        <v>3100</v>
      </c>
      <c r="D3385" s="1" t="s">
        <v>715</v>
      </c>
      <c r="E3385" s="1" t="s">
        <v>3101</v>
      </c>
      <c r="F3385" s="1">
        <v>5</v>
      </c>
      <c r="G3385" s="1">
        <v>5</v>
      </c>
      <c r="H3385" s="1">
        <v>0</v>
      </c>
      <c r="I3385" s="1">
        <v>242</v>
      </c>
      <c r="J3385" s="1">
        <v>237</v>
      </c>
      <c r="K3385" s="1">
        <v>5</v>
      </c>
    </row>
    <row r="3386" spans="3:11" x14ac:dyDescent="0.25">
      <c r="C3386" s="1" t="s">
        <v>10993</v>
      </c>
      <c r="D3386" s="1" t="s">
        <v>10994</v>
      </c>
      <c r="E3386" s="1" t="s">
        <v>10995</v>
      </c>
      <c r="F3386" s="1">
        <v>5</v>
      </c>
      <c r="G3386" s="1">
        <v>5</v>
      </c>
      <c r="H3386" s="1">
        <v>0</v>
      </c>
      <c r="I3386" s="1">
        <v>201</v>
      </c>
      <c r="J3386" s="1">
        <v>196</v>
      </c>
      <c r="K3386" s="1">
        <v>5</v>
      </c>
    </row>
    <row r="3387" spans="3:11" x14ac:dyDescent="0.25">
      <c r="C3387" s="1" t="s">
        <v>10996</v>
      </c>
      <c r="D3387" s="1" t="s">
        <v>10997</v>
      </c>
      <c r="E3387" s="1" t="s">
        <v>10998</v>
      </c>
      <c r="F3387" s="1">
        <v>5</v>
      </c>
      <c r="G3387" s="1">
        <v>5</v>
      </c>
      <c r="H3387" s="1">
        <v>0</v>
      </c>
      <c r="I3387" s="1">
        <v>190</v>
      </c>
      <c r="J3387" s="1">
        <v>185</v>
      </c>
      <c r="K3387" s="1">
        <v>5</v>
      </c>
    </row>
    <row r="3388" spans="3:11" x14ac:dyDescent="0.25">
      <c r="C3388" s="1" t="s">
        <v>3223</v>
      </c>
      <c r="D3388" s="1" t="s">
        <v>3224</v>
      </c>
      <c r="E3388" s="1" t="s">
        <v>3225</v>
      </c>
      <c r="F3388" s="1">
        <v>5</v>
      </c>
      <c r="G3388" s="1">
        <v>5</v>
      </c>
      <c r="H3388" s="1">
        <v>0</v>
      </c>
      <c r="I3388" s="1">
        <v>164</v>
      </c>
      <c r="J3388" s="1">
        <v>159</v>
      </c>
      <c r="K3388" s="1">
        <v>5</v>
      </c>
    </row>
    <row r="3389" spans="3:11" x14ac:dyDescent="0.25">
      <c r="C3389" s="1" t="s">
        <v>3233</v>
      </c>
      <c r="D3389" s="1" t="s">
        <v>3234</v>
      </c>
      <c r="E3389" s="1" t="s">
        <v>3235</v>
      </c>
      <c r="F3389" s="1">
        <v>5</v>
      </c>
      <c r="G3389" s="1">
        <v>5</v>
      </c>
      <c r="H3389" s="1">
        <v>0</v>
      </c>
      <c r="I3389" s="1">
        <v>156</v>
      </c>
      <c r="J3389" s="1">
        <v>151</v>
      </c>
      <c r="K3389" s="1">
        <v>5</v>
      </c>
    </row>
    <row r="3390" spans="3:11" x14ac:dyDescent="0.25">
      <c r="C3390" s="1" t="s">
        <v>3244</v>
      </c>
      <c r="D3390" s="1" t="s">
        <v>3245</v>
      </c>
      <c r="E3390" s="1" t="s">
        <v>3246</v>
      </c>
      <c r="F3390" s="1">
        <v>5</v>
      </c>
      <c r="G3390" s="1">
        <v>5</v>
      </c>
      <c r="H3390" s="1">
        <v>0</v>
      </c>
      <c r="I3390" s="1">
        <v>150</v>
      </c>
      <c r="J3390" s="1">
        <v>145</v>
      </c>
      <c r="K3390" s="1">
        <v>5</v>
      </c>
    </row>
    <row r="3391" spans="3:11" x14ac:dyDescent="0.25">
      <c r="C3391" s="1" t="s">
        <v>1740</v>
      </c>
      <c r="D3391" s="1" t="s">
        <v>1741</v>
      </c>
      <c r="E3391" s="1" t="s">
        <v>1742</v>
      </c>
      <c r="F3391" s="1">
        <v>5</v>
      </c>
      <c r="G3391" s="1">
        <v>5</v>
      </c>
      <c r="H3391" s="1">
        <v>0</v>
      </c>
      <c r="I3391" s="1">
        <v>129</v>
      </c>
      <c r="J3391" s="1">
        <v>124</v>
      </c>
      <c r="K3391" s="1">
        <v>5</v>
      </c>
    </row>
    <row r="3392" spans="3:11" x14ac:dyDescent="0.25">
      <c r="C3392" s="1" t="s">
        <v>3334</v>
      </c>
      <c r="D3392" s="1" t="s">
        <v>3335</v>
      </c>
      <c r="E3392" s="1" t="s">
        <v>3336</v>
      </c>
      <c r="F3392" s="1">
        <v>5</v>
      </c>
      <c r="G3392" s="1">
        <v>5</v>
      </c>
      <c r="H3392" s="1">
        <v>0</v>
      </c>
      <c r="I3392" s="1">
        <v>117</v>
      </c>
      <c r="J3392" s="1">
        <v>112</v>
      </c>
      <c r="K3392" s="1">
        <v>5</v>
      </c>
    </row>
    <row r="3393" spans="3:11" x14ac:dyDescent="0.25">
      <c r="C3393" s="1" t="s">
        <v>1696</v>
      </c>
      <c r="D3393" s="1" t="s">
        <v>1697</v>
      </c>
      <c r="E3393" s="1" t="s">
        <v>1698</v>
      </c>
      <c r="F3393" s="1">
        <v>5</v>
      </c>
      <c r="G3393" s="1">
        <v>5</v>
      </c>
      <c r="H3393" s="1">
        <v>0</v>
      </c>
      <c r="I3393" s="1">
        <v>115</v>
      </c>
      <c r="J3393" s="1">
        <v>110</v>
      </c>
      <c r="K3393" s="1">
        <v>5</v>
      </c>
    </row>
    <row r="3394" spans="3:11" x14ac:dyDescent="0.25">
      <c r="C3394" s="1" t="s">
        <v>1690</v>
      </c>
      <c r="D3394" s="1" t="s">
        <v>1691</v>
      </c>
      <c r="E3394" s="1" t="s">
        <v>1692</v>
      </c>
      <c r="F3394" s="1">
        <v>5</v>
      </c>
      <c r="G3394" s="1">
        <v>5</v>
      </c>
      <c r="H3394" s="1">
        <v>0</v>
      </c>
      <c r="I3394" s="1">
        <v>113</v>
      </c>
      <c r="J3394" s="1">
        <v>108</v>
      </c>
      <c r="K3394" s="1">
        <v>5</v>
      </c>
    </row>
    <row r="3395" spans="3:11" x14ac:dyDescent="0.25">
      <c r="C3395" s="1" t="s">
        <v>1708</v>
      </c>
      <c r="D3395" s="1" t="s">
        <v>1709</v>
      </c>
      <c r="E3395" s="1" t="s">
        <v>1710</v>
      </c>
      <c r="F3395" s="1">
        <v>5</v>
      </c>
      <c r="G3395" s="1">
        <v>5</v>
      </c>
      <c r="H3395" s="1">
        <v>0</v>
      </c>
      <c r="I3395" s="1">
        <v>105</v>
      </c>
      <c r="J3395" s="1">
        <v>100</v>
      </c>
      <c r="K3395" s="1">
        <v>5</v>
      </c>
    </row>
    <row r="3396" spans="3:11" x14ac:dyDescent="0.25">
      <c r="C3396" s="1" t="s">
        <v>3397</v>
      </c>
      <c r="D3396" s="1" t="s">
        <v>3398</v>
      </c>
      <c r="E3396" s="1" t="s">
        <v>3399</v>
      </c>
      <c r="F3396" s="1">
        <v>5</v>
      </c>
      <c r="G3396" s="1">
        <v>5</v>
      </c>
      <c r="H3396" s="1">
        <v>0</v>
      </c>
      <c r="I3396" s="1">
        <v>97</v>
      </c>
      <c r="J3396" s="1">
        <v>92</v>
      </c>
      <c r="K3396" s="1">
        <v>5</v>
      </c>
    </row>
    <row r="3397" spans="3:11" x14ac:dyDescent="0.25">
      <c r="C3397" s="1" t="s">
        <v>3408</v>
      </c>
      <c r="D3397" s="1" t="s">
        <v>486</v>
      </c>
      <c r="E3397" s="1" t="s">
        <v>3409</v>
      </c>
      <c r="F3397" s="1">
        <v>5</v>
      </c>
      <c r="G3397" s="1">
        <v>5</v>
      </c>
      <c r="H3397" s="1">
        <v>0</v>
      </c>
      <c r="I3397" s="1">
        <v>95</v>
      </c>
      <c r="J3397" s="1">
        <v>90</v>
      </c>
      <c r="K3397" s="1">
        <v>5</v>
      </c>
    </row>
    <row r="3398" spans="3:11" x14ac:dyDescent="0.25">
      <c r="C3398" s="1" t="s">
        <v>10999</v>
      </c>
      <c r="D3398" s="1" t="s">
        <v>11000</v>
      </c>
      <c r="E3398" s="1" t="s">
        <v>11001</v>
      </c>
      <c r="F3398" s="1">
        <v>5</v>
      </c>
      <c r="G3398" s="1">
        <v>5</v>
      </c>
      <c r="H3398" s="1">
        <v>0</v>
      </c>
      <c r="I3398" s="1">
        <v>88</v>
      </c>
      <c r="J3398" s="1">
        <v>83</v>
      </c>
      <c r="K3398" s="1">
        <v>5</v>
      </c>
    </row>
    <row r="3399" spans="3:11" x14ac:dyDescent="0.25">
      <c r="C3399" s="1" t="s">
        <v>3447</v>
      </c>
      <c r="D3399" s="1" t="s">
        <v>731</v>
      </c>
      <c r="E3399" s="1" t="s">
        <v>3448</v>
      </c>
      <c r="F3399" s="1">
        <v>5</v>
      </c>
      <c r="G3399" s="1">
        <v>5</v>
      </c>
      <c r="H3399" s="1">
        <v>0</v>
      </c>
      <c r="I3399" s="1">
        <v>88</v>
      </c>
      <c r="J3399" s="1">
        <v>83</v>
      </c>
      <c r="K3399" s="1">
        <v>5</v>
      </c>
    </row>
    <row r="3400" spans="3:11" x14ac:dyDescent="0.25">
      <c r="C3400" s="1" t="s">
        <v>11002</v>
      </c>
      <c r="D3400" s="1" t="s">
        <v>11003</v>
      </c>
      <c r="E3400" s="1" t="s">
        <v>11002</v>
      </c>
      <c r="F3400" s="1">
        <v>5</v>
      </c>
      <c r="G3400" s="1">
        <v>5</v>
      </c>
      <c r="H3400" s="1">
        <v>0</v>
      </c>
      <c r="I3400" s="1">
        <v>87</v>
      </c>
      <c r="J3400" s="1">
        <v>82</v>
      </c>
      <c r="K3400" s="1">
        <v>5</v>
      </c>
    </row>
    <row r="3401" spans="3:11" x14ac:dyDescent="0.25">
      <c r="C3401" s="1" t="s">
        <v>11004</v>
      </c>
      <c r="D3401" s="1" t="s">
        <v>11005</v>
      </c>
      <c r="E3401" s="1" t="s">
        <v>11006</v>
      </c>
      <c r="F3401" s="1">
        <v>5</v>
      </c>
      <c r="G3401" s="1">
        <v>5</v>
      </c>
      <c r="H3401" s="1">
        <v>0</v>
      </c>
      <c r="I3401" s="1">
        <v>80</v>
      </c>
      <c r="J3401" s="1">
        <v>75</v>
      </c>
      <c r="K3401" s="1">
        <v>5</v>
      </c>
    </row>
    <row r="3402" spans="3:11" x14ac:dyDescent="0.25">
      <c r="C3402" s="1" t="s">
        <v>11007</v>
      </c>
      <c r="D3402" s="1" t="s">
        <v>11008</v>
      </c>
      <c r="E3402" s="1" t="s">
        <v>11009</v>
      </c>
      <c r="F3402" s="1">
        <v>5</v>
      </c>
      <c r="G3402" s="1">
        <v>5</v>
      </c>
      <c r="H3402" s="1">
        <v>0</v>
      </c>
      <c r="I3402" s="1">
        <v>77</v>
      </c>
      <c r="J3402" s="1">
        <v>72</v>
      </c>
      <c r="K3402" s="1">
        <v>5</v>
      </c>
    </row>
    <row r="3403" spans="3:11" x14ac:dyDescent="0.25">
      <c r="C3403" s="1" t="s">
        <v>1807</v>
      </c>
      <c r="D3403" s="1" t="s">
        <v>1808</v>
      </c>
      <c r="E3403" s="1" t="s">
        <v>1809</v>
      </c>
      <c r="F3403" s="1">
        <v>5</v>
      </c>
      <c r="G3403" s="1">
        <v>5</v>
      </c>
      <c r="H3403" s="1">
        <v>0</v>
      </c>
      <c r="I3403" s="1">
        <v>74</v>
      </c>
      <c r="J3403" s="1">
        <v>69</v>
      </c>
      <c r="K3403" s="1">
        <v>5</v>
      </c>
    </row>
    <row r="3404" spans="3:11" x14ac:dyDescent="0.25">
      <c r="C3404" s="1" t="s">
        <v>11010</v>
      </c>
      <c r="D3404" s="1" t="s">
        <v>11011</v>
      </c>
      <c r="E3404" s="1" t="s">
        <v>11012</v>
      </c>
      <c r="F3404" s="1">
        <v>5</v>
      </c>
      <c r="G3404" s="1">
        <v>5</v>
      </c>
      <c r="H3404" s="1">
        <v>0</v>
      </c>
      <c r="I3404" s="1">
        <v>66</v>
      </c>
      <c r="J3404" s="1">
        <v>61</v>
      </c>
      <c r="K3404" s="1">
        <v>5</v>
      </c>
    </row>
    <row r="3405" spans="3:11" x14ac:dyDescent="0.25">
      <c r="C3405" s="1" t="s">
        <v>11013</v>
      </c>
      <c r="D3405" s="1" t="s">
        <v>11014</v>
      </c>
      <c r="E3405" s="1" t="s">
        <v>11015</v>
      </c>
      <c r="F3405" s="1">
        <v>5</v>
      </c>
      <c r="G3405" s="1">
        <v>5</v>
      </c>
      <c r="H3405" s="1">
        <v>0</v>
      </c>
      <c r="I3405" s="1">
        <v>63</v>
      </c>
      <c r="J3405" s="1">
        <v>58</v>
      </c>
      <c r="K3405" s="1">
        <v>5</v>
      </c>
    </row>
    <row r="3406" spans="3:11" x14ac:dyDescent="0.25">
      <c r="C3406" s="1" t="s">
        <v>1879</v>
      </c>
      <c r="D3406" s="1" t="s">
        <v>1880</v>
      </c>
      <c r="E3406" s="1" t="s">
        <v>1881</v>
      </c>
      <c r="F3406" s="1">
        <v>5</v>
      </c>
      <c r="G3406" s="1">
        <v>5</v>
      </c>
      <c r="H3406" s="1">
        <v>0</v>
      </c>
      <c r="I3406" s="1">
        <v>43</v>
      </c>
      <c r="J3406" s="1">
        <v>38</v>
      </c>
      <c r="K3406" s="1">
        <v>5</v>
      </c>
    </row>
    <row r="3407" spans="3:11" x14ac:dyDescent="0.25">
      <c r="C3407" s="1" t="s">
        <v>3815</v>
      </c>
      <c r="D3407" s="1" t="s">
        <v>3816</v>
      </c>
      <c r="E3407" s="1" t="s">
        <v>3817</v>
      </c>
      <c r="F3407" s="1">
        <v>5</v>
      </c>
      <c r="G3407" s="1">
        <v>5</v>
      </c>
      <c r="H3407" s="1">
        <v>0</v>
      </c>
      <c r="I3407" s="1">
        <v>40</v>
      </c>
      <c r="J3407" s="1">
        <v>35</v>
      </c>
      <c r="K3407" s="1">
        <v>5</v>
      </c>
    </row>
    <row r="3408" spans="3:11" x14ac:dyDescent="0.25">
      <c r="C3408" s="1" t="s">
        <v>11016</v>
      </c>
      <c r="D3408" s="1" t="s">
        <v>11017</v>
      </c>
      <c r="E3408" s="1" t="s">
        <v>11018</v>
      </c>
      <c r="F3408" s="1">
        <v>5</v>
      </c>
      <c r="G3408" s="1">
        <v>5</v>
      </c>
      <c r="H3408" s="1">
        <v>0</v>
      </c>
      <c r="I3408" s="1">
        <v>30</v>
      </c>
      <c r="J3408" s="1">
        <v>25</v>
      </c>
      <c r="K3408" s="1">
        <v>5</v>
      </c>
    </row>
    <row r="3409" spans="3:11" x14ac:dyDescent="0.25">
      <c r="C3409" s="1" t="s">
        <v>11019</v>
      </c>
      <c r="D3409" s="1" t="s">
        <v>11020</v>
      </c>
      <c r="E3409" s="1" t="s">
        <v>11021</v>
      </c>
      <c r="F3409" s="1">
        <v>5</v>
      </c>
      <c r="G3409" s="1">
        <v>5</v>
      </c>
      <c r="H3409" s="1">
        <v>0</v>
      </c>
      <c r="I3409" s="1">
        <v>29</v>
      </c>
      <c r="J3409" s="1">
        <v>24</v>
      </c>
      <c r="K3409" s="1">
        <v>5</v>
      </c>
    </row>
    <row r="3410" spans="3:11" x14ac:dyDescent="0.25">
      <c r="C3410" s="1" t="s">
        <v>3898</v>
      </c>
      <c r="D3410" s="1" t="s">
        <v>3899</v>
      </c>
      <c r="E3410" s="1" t="s">
        <v>3900</v>
      </c>
      <c r="F3410" s="1">
        <v>5</v>
      </c>
      <c r="G3410" s="1">
        <v>5</v>
      </c>
      <c r="H3410" s="1">
        <v>0</v>
      </c>
      <c r="I3410" s="1">
        <v>26</v>
      </c>
      <c r="J3410" s="1">
        <v>21</v>
      </c>
      <c r="K3410" s="1">
        <v>5</v>
      </c>
    </row>
    <row r="3411" spans="3:11" x14ac:dyDescent="0.25">
      <c r="C3411" s="1" t="s">
        <v>3950</v>
      </c>
      <c r="D3411" s="1" t="s">
        <v>3951</v>
      </c>
      <c r="E3411" s="1" t="s">
        <v>3952</v>
      </c>
      <c r="F3411" s="1">
        <v>5</v>
      </c>
      <c r="G3411" s="1">
        <v>5</v>
      </c>
      <c r="H3411" s="1">
        <v>0</v>
      </c>
      <c r="I3411" s="1">
        <v>22</v>
      </c>
      <c r="J3411" s="1">
        <v>17</v>
      </c>
      <c r="K3411" s="1">
        <v>5</v>
      </c>
    </row>
    <row r="3412" spans="3:11" x14ac:dyDescent="0.25">
      <c r="C3412" s="1" t="s">
        <v>3986</v>
      </c>
      <c r="D3412" s="1" t="s">
        <v>3987</v>
      </c>
      <c r="E3412" s="1" t="s">
        <v>3988</v>
      </c>
      <c r="F3412" s="1">
        <v>5</v>
      </c>
      <c r="G3412" s="1">
        <v>5</v>
      </c>
      <c r="H3412" s="1">
        <v>0</v>
      </c>
      <c r="I3412" s="1">
        <v>20</v>
      </c>
      <c r="J3412" s="1">
        <v>15</v>
      </c>
      <c r="K3412" s="1">
        <v>5</v>
      </c>
    </row>
    <row r="3413" spans="3:11" x14ac:dyDescent="0.25">
      <c r="C3413" s="1" t="s">
        <v>11022</v>
      </c>
      <c r="D3413" s="1" t="s">
        <v>11023</v>
      </c>
      <c r="E3413" s="1" t="s">
        <v>11024</v>
      </c>
      <c r="F3413" s="1">
        <v>5</v>
      </c>
      <c r="G3413" s="1">
        <v>5</v>
      </c>
      <c r="H3413" s="1">
        <v>0</v>
      </c>
      <c r="I3413" s="1">
        <v>18</v>
      </c>
      <c r="J3413" s="1">
        <v>13</v>
      </c>
      <c r="K3413" s="1">
        <v>5</v>
      </c>
    </row>
    <row r="3414" spans="3:11" x14ac:dyDescent="0.25">
      <c r="C3414" s="1" t="s">
        <v>11025</v>
      </c>
      <c r="D3414" s="1" t="s">
        <v>11026</v>
      </c>
      <c r="E3414" s="1" t="s">
        <v>11027</v>
      </c>
      <c r="F3414" s="1">
        <v>5</v>
      </c>
      <c r="G3414" s="1">
        <v>5</v>
      </c>
      <c r="H3414" s="1">
        <v>0</v>
      </c>
      <c r="I3414" s="1">
        <v>16</v>
      </c>
      <c r="J3414" s="1">
        <v>11</v>
      </c>
      <c r="K3414" s="1">
        <v>5</v>
      </c>
    </row>
    <row r="3415" spans="3:11" x14ac:dyDescent="0.25">
      <c r="C3415" s="1" t="s">
        <v>11028</v>
      </c>
      <c r="D3415" s="1" t="s">
        <v>11029</v>
      </c>
      <c r="E3415" s="1" t="s">
        <v>11030</v>
      </c>
      <c r="F3415" s="1">
        <v>5</v>
      </c>
      <c r="G3415" s="1">
        <v>5</v>
      </c>
      <c r="H3415" s="1">
        <v>0</v>
      </c>
      <c r="I3415" s="1">
        <v>16</v>
      </c>
      <c r="J3415" s="1">
        <v>11</v>
      </c>
      <c r="K3415" s="1">
        <v>5</v>
      </c>
    </row>
    <row r="3416" spans="3:11" x14ac:dyDescent="0.25">
      <c r="C3416" s="1" t="s">
        <v>4024</v>
      </c>
      <c r="D3416" s="1" t="s">
        <v>4025</v>
      </c>
      <c r="E3416" s="1" t="s">
        <v>4026</v>
      </c>
      <c r="F3416" s="1">
        <v>5</v>
      </c>
      <c r="G3416" s="1">
        <v>5</v>
      </c>
      <c r="H3416" s="1">
        <v>0</v>
      </c>
      <c r="I3416" s="1">
        <v>16</v>
      </c>
      <c r="J3416" s="1">
        <v>11</v>
      </c>
      <c r="K3416" s="1">
        <v>5</v>
      </c>
    </row>
    <row r="3417" spans="3:11" x14ac:dyDescent="0.25">
      <c r="C3417" s="1" t="s">
        <v>11031</v>
      </c>
      <c r="D3417" s="1" t="s">
        <v>11032</v>
      </c>
      <c r="E3417" s="1" t="s">
        <v>11033</v>
      </c>
      <c r="F3417" s="1">
        <v>5</v>
      </c>
      <c r="G3417" s="1">
        <v>5</v>
      </c>
      <c r="H3417" s="1">
        <v>0</v>
      </c>
      <c r="I3417" s="1">
        <v>15</v>
      </c>
      <c r="J3417" s="1">
        <v>10</v>
      </c>
      <c r="K3417" s="1">
        <v>5</v>
      </c>
    </row>
    <row r="3418" spans="3:11" x14ac:dyDescent="0.25">
      <c r="C3418" s="1" t="s">
        <v>11034</v>
      </c>
      <c r="D3418" s="1" t="s">
        <v>11035</v>
      </c>
      <c r="E3418" s="1" t="s">
        <v>11036</v>
      </c>
      <c r="F3418" s="1">
        <v>5</v>
      </c>
      <c r="G3418" s="1">
        <v>5</v>
      </c>
      <c r="H3418" s="1">
        <v>0</v>
      </c>
      <c r="I3418" s="1">
        <v>15</v>
      </c>
      <c r="J3418" s="1">
        <v>10</v>
      </c>
      <c r="K3418" s="1">
        <v>5</v>
      </c>
    </row>
    <row r="3419" spans="3:11" x14ac:dyDescent="0.25">
      <c r="C3419" s="1" t="s">
        <v>11037</v>
      </c>
      <c r="D3419" s="1" t="s">
        <v>11038</v>
      </c>
      <c r="E3419" s="1" t="s">
        <v>11039</v>
      </c>
      <c r="F3419" s="1">
        <v>5</v>
      </c>
      <c r="G3419" s="1">
        <v>5</v>
      </c>
      <c r="H3419" s="1">
        <v>0</v>
      </c>
      <c r="I3419" s="1">
        <v>10</v>
      </c>
      <c r="J3419" s="1">
        <v>5</v>
      </c>
      <c r="K3419" s="1">
        <v>5</v>
      </c>
    </row>
    <row r="3420" spans="3:11" x14ac:dyDescent="0.25">
      <c r="C3420" s="1" t="s">
        <v>11040</v>
      </c>
      <c r="D3420" s="1" t="s">
        <v>11041</v>
      </c>
      <c r="E3420" s="1" t="s">
        <v>11040</v>
      </c>
      <c r="F3420" s="1">
        <v>5</v>
      </c>
      <c r="G3420" s="1">
        <v>5</v>
      </c>
      <c r="H3420" s="1">
        <v>0</v>
      </c>
      <c r="I3420" s="1">
        <v>9</v>
      </c>
      <c r="J3420" s="1">
        <v>4</v>
      </c>
      <c r="K3420" s="1">
        <v>5</v>
      </c>
    </row>
    <row r="3421" spans="3:11" x14ac:dyDescent="0.25">
      <c r="C3421" s="1" t="s">
        <v>2305</v>
      </c>
      <c r="D3421" s="1" t="s">
        <v>2197</v>
      </c>
      <c r="E3421" s="1" t="s">
        <v>2198</v>
      </c>
      <c r="F3421" s="1">
        <v>5</v>
      </c>
      <c r="G3421" s="1">
        <v>5</v>
      </c>
      <c r="H3421" s="1">
        <v>0</v>
      </c>
      <c r="I3421" s="1">
        <v>7</v>
      </c>
      <c r="J3421" s="1">
        <v>2</v>
      </c>
      <c r="K3421" s="1">
        <v>5</v>
      </c>
    </row>
    <row r="3422" spans="3:11" x14ac:dyDescent="0.25">
      <c r="C3422" s="1" t="s">
        <v>11042</v>
      </c>
      <c r="D3422" s="1" t="s">
        <v>11043</v>
      </c>
      <c r="E3422" s="1" t="s">
        <v>11044</v>
      </c>
      <c r="F3422" s="1">
        <v>5</v>
      </c>
      <c r="G3422" s="1">
        <v>5</v>
      </c>
      <c r="H3422" s="1">
        <v>0</v>
      </c>
      <c r="I3422" s="1">
        <v>5</v>
      </c>
      <c r="J3422" s="1">
        <v>0</v>
      </c>
      <c r="K3422" s="1">
        <v>5</v>
      </c>
    </row>
    <row r="3423" spans="3:11" x14ac:dyDescent="0.25">
      <c r="C3423" s="1" t="s">
        <v>11045</v>
      </c>
      <c r="D3423" s="1" t="s">
        <v>11046</v>
      </c>
      <c r="E3423" s="1" t="s">
        <v>11047</v>
      </c>
      <c r="F3423" s="1">
        <v>5</v>
      </c>
      <c r="G3423" s="1">
        <v>5</v>
      </c>
      <c r="H3423" s="1">
        <v>0</v>
      </c>
      <c r="I3423" s="1">
        <v>5</v>
      </c>
      <c r="J3423" s="1">
        <v>0</v>
      </c>
      <c r="K3423" s="1">
        <v>5</v>
      </c>
    </row>
    <row r="3424" spans="3:11" x14ac:dyDescent="0.25">
      <c r="C3424" s="1" t="s">
        <v>11048</v>
      </c>
      <c r="D3424" s="1" t="s">
        <v>11049</v>
      </c>
      <c r="E3424" s="1" t="s">
        <v>11050</v>
      </c>
      <c r="F3424" s="1">
        <v>5</v>
      </c>
      <c r="G3424" s="1">
        <v>5</v>
      </c>
      <c r="H3424" s="1">
        <v>0</v>
      </c>
      <c r="I3424" s="1">
        <v>5</v>
      </c>
      <c r="J3424" s="1">
        <v>0</v>
      </c>
      <c r="K3424" s="1">
        <v>5</v>
      </c>
    </row>
    <row r="3425" spans="3:11" x14ac:dyDescent="0.25">
      <c r="C3425" s="1" t="s">
        <v>11051</v>
      </c>
      <c r="D3425" s="1" t="s">
        <v>11052</v>
      </c>
      <c r="E3425" s="1" t="s">
        <v>11053</v>
      </c>
      <c r="F3425" s="1">
        <v>5</v>
      </c>
      <c r="G3425" s="1">
        <v>5</v>
      </c>
      <c r="H3425" s="1">
        <v>0</v>
      </c>
      <c r="I3425" s="1">
        <v>5</v>
      </c>
      <c r="J3425" s="1">
        <v>0</v>
      </c>
      <c r="K3425" s="1">
        <v>5</v>
      </c>
    </row>
    <row r="3426" spans="3:11" x14ac:dyDescent="0.25">
      <c r="C3426" s="1" t="s">
        <v>11054</v>
      </c>
      <c r="D3426" s="1" t="s">
        <v>11055</v>
      </c>
      <c r="E3426" s="1" t="s">
        <v>11056</v>
      </c>
      <c r="F3426" s="1">
        <v>5</v>
      </c>
      <c r="G3426" s="1">
        <v>5</v>
      </c>
      <c r="H3426" s="1">
        <v>0</v>
      </c>
      <c r="I3426" s="1">
        <v>5</v>
      </c>
      <c r="J3426" s="1">
        <v>0</v>
      </c>
      <c r="K3426" s="1">
        <v>5</v>
      </c>
    </row>
    <row r="3427" spans="3:11" x14ac:dyDescent="0.25">
      <c r="C3427" s="1" t="s">
        <v>11057</v>
      </c>
      <c r="D3427" s="1" t="s">
        <v>11058</v>
      </c>
      <c r="E3427" s="1" t="s">
        <v>11059</v>
      </c>
      <c r="F3427" s="1">
        <v>5</v>
      </c>
      <c r="G3427" s="1">
        <v>5</v>
      </c>
      <c r="H3427" s="1">
        <v>0</v>
      </c>
      <c r="I3427" s="1">
        <v>5</v>
      </c>
      <c r="J3427" s="1">
        <v>0</v>
      </c>
      <c r="K3427" s="1">
        <v>5</v>
      </c>
    </row>
    <row r="3428" spans="3:11" x14ac:dyDescent="0.25">
      <c r="C3428" s="1" t="s">
        <v>11060</v>
      </c>
      <c r="D3428" s="1" t="s">
        <v>11061</v>
      </c>
      <c r="E3428" s="1" t="s">
        <v>11060</v>
      </c>
      <c r="F3428" s="1">
        <v>5</v>
      </c>
      <c r="G3428" s="1">
        <v>5</v>
      </c>
      <c r="H3428" s="1">
        <v>0</v>
      </c>
      <c r="I3428" s="1">
        <v>5</v>
      </c>
      <c r="J3428" s="1">
        <v>0</v>
      </c>
      <c r="K3428" s="1">
        <v>5</v>
      </c>
    </row>
    <row r="3429" spans="3:11" x14ac:dyDescent="0.25">
      <c r="C3429" s="1" t="s">
        <v>11062</v>
      </c>
      <c r="D3429" s="1" t="s">
        <v>11063</v>
      </c>
      <c r="E3429" s="1" t="s">
        <v>11064</v>
      </c>
      <c r="F3429" s="1">
        <v>6</v>
      </c>
      <c r="G3429" s="1">
        <v>6</v>
      </c>
      <c r="H3429" s="1">
        <v>0</v>
      </c>
      <c r="I3429" s="1">
        <v>4718</v>
      </c>
      <c r="J3429" s="1">
        <v>4712</v>
      </c>
      <c r="K3429" s="1">
        <v>6</v>
      </c>
    </row>
    <row r="3430" spans="3:11" x14ac:dyDescent="0.25">
      <c r="C3430" s="1" t="s">
        <v>11065</v>
      </c>
      <c r="D3430" s="1" t="s">
        <v>11066</v>
      </c>
      <c r="E3430" s="1" t="s">
        <v>11067</v>
      </c>
      <c r="F3430" s="1">
        <v>6</v>
      </c>
      <c r="G3430" s="1">
        <v>6</v>
      </c>
      <c r="H3430" s="1">
        <v>0</v>
      </c>
      <c r="I3430" s="1">
        <v>3550</v>
      </c>
      <c r="J3430" s="1">
        <v>3544</v>
      </c>
      <c r="K3430" s="1">
        <v>6</v>
      </c>
    </row>
    <row r="3431" spans="3:11" x14ac:dyDescent="0.25">
      <c r="C3431" s="1" t="s">
        <v>11068</v>
      </c>
      <c r="D3431" s="1" t="s">
        <v>11069</v>
      </c>
      <c r="E3431" s="1" t="s">
        <v>11070</v>
      </c>
      <c r="F3431" s="1">
        <v>6</v>
      </c>
      <c r="G3431" s="1">
        <v>6</v>
      </c>
      <c r="H3431" s="1">
        <v>0</v>
      </c>
      <c r="I3431" s="1">
        <v>2968</v>
      </c>
      <c r="J3431" s="1">
        <v>2962</v>
      </c>
      <c r="K3431" s="1">
        <v>6</v>
      </c>
    </row>
    <row r="3432" spans="3:11" x14ac:dyDescent="0.25">
      <c r="C3432" s="1" t="s">
        <v>11071</v>
      </c>
      <c r="D3432" s="1" t="s">
        <v>11072</v>
      </c>
      <c r="E3432" s="1" t="s">
        <v>11073</v>
      </c>
      <c r="F3432" s="1">
        <v>6</v>
      </c>
      <c r="G3432" s="1">
        <v>6</v>
      </c>
      <c r="H3432" s="1">
        <v>0</v>
      </c>
      <c r="I3432" s="1">
        <v>2836</v>
      </c>
      <c r="J3432" s="1">
        <v>2830</v>
      </c>
      <c r="K3432" s="1">
        <v>6</v>
      </c>
    </row>
    <row r="3433" spans="3:11" x14ac:dyDescent="0.25">
      <c r="C3433" s="1" t="s">
        <v>11074</v>
      </c>
      <c r="D3433" s="1" t="s">
        <v>11075</v>
      </c>
      <c r="E3433" s="1" t="s">
        <v>11074</v>
      </c>
      <c r="F3433" s="1">
        <v>6</v>
      </c>
      <c r="G3433" s="1">
        <v>6</v>
      </c>
      <c r="H3433" s="1">
        <v>0</v>
      </c>
      <c r="I3433" s="1">
        <v>1816</v>
      </c>
      <c r="J3433" s="1">
        <v>1810</v>
      </c>
      <c r="K3433" s="1">
        <v>6</v>
      </c>
    </row>
    <row r="3434" spans="3:11" x14ac:dyDescent="0.25">
      <c r="C3434" s="1" t="s">
        <v>2613</v>
      </c>
      <c r="D3434" s="1" t="s">
        <v>444</v>
      </c>
      <c r="E3434" s="1" t="s">
        <v>2614</v>
      </c>
      <c r="F3434" s="1">
        <v>6</v>
      </c>
      <c r="G3434" s="1">
        <v>6</v>
      </c>
      <c r="H3434" s="1">
        <v>0</v>
      </c>
      <c r="I3434" s="1">
        <v>1125</v>
      </c>
      <c r="J3434" s="1">
        <v>1119</v>
      </c>
      <c r="K3434" s="1">
        <v>6</v>
      </c>
    </row>
    <row r="3435" spans="3:11" x14ac:dyDescent="0.25">
      <c r="C3435" s="1" t="s">
        <v>2623</v>
      </c>
      <c r="D3435" s="1" t="s">
        <v>840</v>
      </c>
      <c r="E3435" s="1" t="s">
        <v>2624</v>
      </c>
      <c r="F3435" s="1">
        <v>6</v>
      </c>
      <c r="G3435" s="1">
        <v>6</v>
      </c>
      <c r="H3435" s="1">
        <v>0</v>
      </c>
      <c r="I3435" s="1">
        <v>1047</v>
      </c>
      <c r="J3435" s="1">
        <v>1041</v>
      </c>
      <c r="K3435" s="1">
        <v>6</v>
      </c>
    </row>
    <row r="3436" spans="3:11" x14ac:dyDescent="0.25">
      <c r="C3436" s="1" t="s">
        <v>2664</v>
      </c>
      <c r="D3436" s="1" t="s">
        <v>690</v>
      </c>
      <c r="E3436" s="1" t="s">
        <v>2665</v>
      </c>
      <c r="F3436" s="1">
        <v>6</v>
      </c>
      <c r="G3436" s="1">
        <v>6</v>
      </c>
      <c r="H3436" s="1">
        <v>0</v>
      </c>
      <c r="I3436" s="1">
        <v>934</v>
      </c>
      <c r="J3436" s="1">
        <v>928</v>
      </c>
      <c r="K3436" s="1">
        <v>6</v>
      </c>
    </row>
    <row r="3437" spans="3:11" x14ac:dyDescent="0.25">
      <c r="C3437" s="1" t="s">
        <v>1156</v>
      </c>
      <c r="D3437" s="1" t="s">
        <v>1157</v>
      </c>
      <c r="E3437" s="1" t="s">
        <v>1158</v>
      </c>
      <c r="F3437" s="1">
        <v>6</v>
      </c>
      <c r="G3437" s="1">
        <v>6</v>
      </c>
      <c r="H3437" s="1">
        <v>0</v>
      </c>
      <c r="I3437" s="1">
        <v>914</v>
      </c>
      <c r="J3437" s="1">
        <v>908</v>
      </c>
      <c r="K3437" s="1">
        <v>6</v>
      </c>
    </row>
    <row r="3438" spans="3:11" x14ac:dyDescent="0.25">
      <c r="C3438" s="1" t="s">
        <v>11076</v>
      </c>
      <c r="D3438" s="1" t="s">
        <v>11077</v>
      </c>
      <c r="E3438" s="1" t="s">
        <v>11078</v>
      </c>
      <c r="F3438" s="1">
        <v>6</v>
      </c>
      <c r="G3438" s="1">
        <v>6</v>
      </c>
      <c r="H3438" s="1">
        <v>0</v>
      </c>
      <c r="I3438" s="1">
        <v>823</v>
      </c>
      <c r="J3438" s="1">
        <v>817</v>
      </c>
      <c r="K3438" s="1">
        <v>6</v>
      </c>
    </row>
    <row r="3439" spans="3:11" x14ac:dyDescent="0.25">
      <c r="C3439" s="1" t="s">
        <v>2795</v>
      </c>
      <c r="D3439" s="1" t="s">
        <v>2796</v>
      </c>
      <c r="E3439" s="1" t="s">
        <v>2797</v>
      </c>
      <c r="F3439" s="1">
        <v>6</v>
      </c>
      <c r="G3439" s="1">
        <v>6</v>
      </c>
      <c r="H3439" s="1">
        <v>0</v>
      </c>
      <c r="I3439" s="1">
        <v>642</v>
      </c>
      <c r="J3439" s="1">
        <v>636</v>
      </c>
      <c r="K3439" s="1">
        <v>6</v>
      </c>
    </row>
    <row r="3440" spans="3:11" x14ac:dyDescent="0.25">
      <c r="C3440" s="1" t="s">
        <v>2832</v>
      </c>
      <c r="D3440" s="1" t="s">
        <v>2833</v>
      </c>
      <c r="E3440" s="1" t="s">
        <v>2834</v>
      </c>
      <c r="F3440" s="1">
        <v>6</v>
      </c>
      <c r="G3440" s="1">
        <v>6</v>
      </c>
      <c r="H3440" s="1">
        <v>0</v>
      </c>
      <c r="I3440" s="1">
        <v>572</v>
      </c>
      <c r="J3440" s="1">
        <v>566</v>
      </c>
      <c r="K3440" s="1">
        <v>6</v>
      </c>
    </row>
    <row r="3441" spans="3:11" x14ac:dyDescent="0.25">
      <c r="C3441" s="1" t="s">
        <v>1615</v>
      </c>
      <c r="D3441" s="1" t="s">
        <v>170</v>
      </c>
      <c r="E3441" s="1" t="s">
        <v>1616</v>
      </c>
      <c r="F3441" s="1">
        <v>6</v>
      </c>
      <c r="G3441" s="1">
        <v>6</v>
      </c>
      <c r="H3441" s="1">
        <v>0</v>
      </c>
      <c r="I3441" s="1">
        <v>483</v>
      </c>
      <c r="J3441" s="1">
        <v>477</v>
      </c>
      <c r="K3441" s="1">
        <v>6</v>
      </c>
    </row>
    <row r="3442" spans="3:11" x14ac:dyDescent="0.25">
      <c r="C3442" s="1" t="s">
        <v>1306</v>
      </c>
      <c r="D3442" s="1" t="s">
        <v>1307</v>
      </c>
      <c r="E3442" s="1" t="s">
        <v>1308</v>
      </c>
      <c r="F3442" s="1">
        <v>6</v>
      </c>
      <c r="G3442" s="1">
        <v>6</v>
      </c>
      <c r="H3442" s="1">
        <v>0</v>
      </c>
      <c r="I3442" s="1">
        <v>468</v>
      </c>
      <c r="J3442" s="1">
        <v>462</v>
      </c>
      <c r="K3442" s="1">
        <v>6</v>
      </c>
    </row>
    <row r="3443" spans="3:11" x14ac:dyDescent="0.25">
      <c r="C3443" s="1" t="s">
        <v>11079</v>
      </c>
      <c r="D3443" s="1" t="s">
        <v>11080</v>
      </c>
      <c r="E3443" s="1" t="s">
        <v>11081</v>
      </c>
      <c r="F3443" s="1">
        <v>6</v>
      </c>
      <c r="G3443" s="1">
        <v>6</v>
      </c>
      <c r="H3443" s="1">
        <v>0</v>
      </c>
      <c r="I3443" s="1">
        <v>465</v>
      </c>
      <c r="J3443" s="1">
        <v>459</v>
      </c>
      <c r="K3443" s="1">
        <v>6</v>
      </c>
    </row>
    <row r="3444" spans="3:11" x14ac:dyDescent="0.25">
      <c r="C3444" s="1" t="s">
        <v>2900</v>
      </c>
      <c r="D3444" s="1" t="s">
        <v>701</v>
      </c>
      <c r="E3444" s="1" t="s">
        <v>2901</v>
      </c>
      <c r="F3444" s="1">
        <v>6</v>
      </c>
      <c r="G3444" s="1">
        <v>6</v>
      </c>
      <c r="H3444" s="1">
        <v>0</v>
      </c>
      <c r="I3444" s="1">
        <v>460</v>
      </c>
      <c r="J3444" s="1">
        <v>454</v>
      </c>
      <c r="K3444" s="1">
        <v>6</v>
      </c>
    </row>
    <row r="3445" spans="3:11" x14ac:dyDescent="0.25">
      <c r="C3445" s="1" t="s">
        <v>11082</v>
      </c>
      <c r="D3445" s="1" t="s">
        <v>11083</v>
      </c>
      <c r="E3445" s="1" t="s">
        <v>11084</v>
      </c>
      <c r="F3445" s="1">
        <v>6</v>
      </c>
      <c r="G3445" s="1">
        <v>6</v>
      </c>
      <c r="H3445" s="1">
        <v>0</v>
      </c>
      <c r="I3445" s="1">
        <v>447</v>
      </c>
      <c r="J3445" s="1">
        <v>441</v>
      </c>
      <c r="K3445" s="1">
        <v>6</v>
      </c>
    </row>
    <row r="3446" spans="3:11" x14ac:dyDescent="0.25">
      <c r="C3446" s="1" t="s">
        <v>3002</v>
      </c>
      <c r="D3446" s="1" t="s">
        <v>471</v>
      </c>
      <c r="E3446" s="1" t="s">
        <v>3003</v>
      </c>
      <c r="F3446" s="1">
        <v>6</v>
      </c>
      <c r="G3446" s="1">
        <v>6</v>
      </c>
      <c r="H3446" s="1">
        <v>0</v>
      </c>
      <c r="I3446" s="1">
        <v>340</v>
      </c>
      <c r="J3446" s="1">
        <v>334</v>
      </c>
      <c r="K3446" s="1">
        <v>6</v>
      </c>
    </row>
    <row r="3447" spans="3:11" x14ac:dyDescent="0.25">
      <c r="C3447" s="1" t="s">
        <v>11085</v>
      </c>
      <c r="D3447" s="1" t="s">
        <v>11086</v>
      </c>
      <c r="E3447" s="1" t="s">
        <v>11087</v>
      </c>
      <c r="F3447" s="1">
        <v>6</v>
      </c>
      <c r="G3447" s="1">
        <v>6</v>
      </c>
      <c r="H3447" s="1">
        <v>0</v>
      </c>
      <c r="I3447" s="1">
        <v>321</v>
      </c>
      <c r="J3447" s="1">
        <v>315</v>
      </c>
      <c r="K3447" s="1">
        <v>6</v>
      </c>
    </row>
    <row r="3448" spans="3:11" x14ac:dyDescent="0.25">
      <c r="C3448" s="1" t="s">
        <v>3017</v>
      </c>
      <c r="D3448" s="1" t="s">
        <v>3018</v>
      </c>
      <c r="E3448" s="1" t="s">
        <v>3019</v>
      </c>
      <c r="F3448" s="1">
        <v>6</v>
      </c>
      <c r="G3448" s="1">
        <v>6</v>
      </c>
      <c r="H3448" s="1">
        <v>0</v>
      </c>
      <c r="I3448" s="1">
        <v>321</v>
      </c>
      <c r="J3448" s="1">
        <v>315</v>
      </c>
      <c r="K3448" s="1">
        <v>6</v>
      </c>
    </row>
    <row r="3449" spans="3:11" x14ac:dyDescent="0.25">
      <c r="C3449" s="1" t="s">
        <v>11088</v>
      </c>
      <c r="D3449" s="1" t="s">
        <v>11089</v>
      </c>
      <c r="E3449" s="1" t="s">
        <v>11090</v>
      </c>
      <c r="F3449" s="1">
        <v>6</v>
      </c>
      <c r="G3449" s="1">
        <v>6</v>
      </c>
      <c r="H3449" s="1">
        <v>0</v>
      </c>
      <c r="I3449" s="1">
        <v>291</v>
      </c>
      <c r="J3449" s="1">
        <v>285</v>
      </c>
      <c r="K3449" s="1">
        <v>6</v>
      </c>
    </row>
    <row r="3450" spans="3:11" x14ac:dyDescent="0.25">
      <c r="C3450" s="1" t="s">
        <v>3070</v>
      </c>
      <c r="D3450" s="1" t="s">
        <v>3071</v>
      </c>
      <c r="E3450" s="1" t="s">
        <v>3072</v>
      </c>
      <c r="F3450" s="1">
        <v>6</v>
      </c>
      <c r="G3450" s="1">
        <v>6</v>
      </c>
      <c r="H3450" s="1">
        <v>0</v>
      </c>
      <c r="I3450" s="1">
        <v>267</v>
      </c>
      <c r="J3450" s="1">
        <v>261</v>
      </c>
      <c r="K3450" s="1">
        <v>6</v>
      </c>
    </row>
    <row r="3451" spans="3:11" x14ac:dyDescent="0.25">
      <c r="C3451" s="1" t="s">
        <v>11091</v>
      </c>
      <c r="D3451" s="1" t="s">
        <v>11092</v>
      </c>
      <c r="E3451" s="1" t="s">
        <v>11093</v>
      </c>
      <c r="F3451" s="1">
        <v>6</v>
      </c>
      <c r="G3451" s="1">
        <v>6</v>
      </c>
      <c r="H3451" s="1">
        <v>0</v>
      </c>
      <c r="I3451" s="1">
        <v>249</v>
      </c>
      <c r="J3451" s="1">
        <v>243</v>
      </c>
      <c r="K3451" s="1">
        <v>6</v>
      </c>
    </row>
    <row r="3452" spans="3:11" x14ac:dyDescent="0.25">
      <c r="C3452" s="1" t="s">
        <v>11094</v>
      </c>
      <c r="D3452" s="1" t="s">
        <v>11095</v>
      </c>
      <c r="E3452" s="1" t="s">
        <v>11096</v>
      </c>
      <c r="F3452" s="1">
        <v>6</v>
      </c>
      <c r="G3452" s="1">
        <v>6</v>
      </c>
      <c r="H3452" s="1">
        <v>0</v>
      </c>
      <c r="I3452" s="1">
        <v>246</v>
      </c>
      <c r="J3452" s="1">
        <v>240</v>
      </c>
      <c r="K3452" s="1">
        <v>6</v>
      </c>
    </row>
    <row r="3453" spans="3:11" x14ac:dyDescent="0.25">
      <c r="C3453" s="1" t="s">
        <v>3096</v>
      </c>
      <c r="D3453" s="1" t="s">
        <v>714</v>
      </c>
      <c r="E3453" s="1" t="s">
        <v>3097</v>
      </c>
      <c r="F3453" s="1">
        <v>6</v>
      </c>
      <c r="G3453" s="1">
        <v>6</v>
      </c>
      <c r="H3453" s="1">
        <v>0</v>
      </c>
      <c r="I3453" s="1">
        <v>244</v>
      </c>
      <c r="J3453" s="1">
        <v>238</v>
      </c>
      <c r="K3453" s="1">
        <v>6</v>
      </c>
    </row>
    <row r="3454" spans="3:11" x14ac:dyDescent="0.25">
      <c r="C3454" s="1" t="s">
        <v>1556</v>
      </c>
      <c r="D3454" s="1" t="s">
        <v>1557</v>
      </c>
      <c r="E3454" s="1" t="s">
        <v>1558</v>
      </c>
      <c r="F3454" s="1">
        <v>6</v>
      </c>
      <c r="G3454" s="1">
        <v>6</v>
      </c>
      <c r="H3454" s="1">
        <v>0</v>
      </c>
      <c r="I3454" s="1">
        <v>210</v>
      </c>
      <c r="J3454" s="1">
        <v>204</v>
      </c>
      <c r="K3454" s="1">
        <v>6</v>
      </c>
    </row>
    <row r="3455" spans="3:11" x14ac:dyDescent="0.25">
      <c r="C3455" s="1" t="s">
        <v>11097</v>
      </c>
      <c r="D3455" s="1" t="s">
        <v>11098</v>
      </c>
      <c r="E3455" s="1" t="s">
        <v>11099</v>
      </c>
      <c r="F3455" s="1">
        <v>6</v>
      </c>
      <c r="G3455" s="1">
        <v>6</v>
      </c>
      <c r="H3455" s="1">
        <v>0</v>
      </c>
      <c r="I3455" s="1">
        <v>203</v>
      </c>
      <c r="J3455" s="1">
        <v>197</v>
      </c>
      <c r="K3455" s="1">
        <v>6</v>
      </c>
    </row>
    <row r="3456" spans="3:11" x14ac:dyDescent="0.25">
      <c r="C3456" s="1" t="s">
        <v>3200</v>
      </c>
      <c r="D3456" s="1" t="s">
        <v>3201</v>
      </c>
      <c r="E3456" s="1" t="s">
        <v>3202</v>
      </c>
      <c r="F3456" s="1">
        <v>6</v>
      </c>
      <c r="G3456" s="1">
        <v>6</v>
      </c>
      <c r="H3456" s="1">
        <v>0</v>
      </c>
      <c r="I3456" s="1">
        <v>175</v>
      </c>
      <c r="J3456" s="1">
        <v>169</v>
      </c>
      <c r="K3456" s="1">
        <v>6</v>
      </c>
    </row>
    <row r="3457" spans="3:11" x14ac:dyDescent="0.25">
      <c r="C3457" s="1" t="s">
        <v>11100</v>
      </c>
      <c r="D3457" s="1" t="s">
        <v>11101</v>
      </c>
      <c r="E3457" s="1" t="s">
        <v>11102</v>
      </c>
      <c r="F3457" s="1">
        <v>6</v>
      </c>
      <c r="G3457" s="1">
        <v>6</v>
      </c>
      <c r="H3457" s="1">
        <v>0</v>
      </c>
      <c r="I3457" s="1">
        <v>141</v>
      </c>
      <c r="J3457" s="1">
        <v>135</v>
      </c>
      <c r="K3457" s="1">
        <v>6</v>
      </c>
    </row>
    <row r="3458" spans="3:11" x14ac:dyDescent="0.25">
      <c r="C3458" s="1" t="s">
        <v>3260</v>
      </c>
      <c r="D3458" s="1" t="s">
        <v>725</v>
      </c>
      <c r="E3458" s="1" t="s">
        <v>3261</v>
      </c>
      <c r="F3458" s="1">
        <v>6</v>
      </c>
      <c r="G3458" s="1">
        <v>6</v>
      </c>
      <c r="H3458" s="1">
        <v>0</v>
      </c>
      <c r="I3458" s="1">
        <v>141</v>
      </c>
      <c r="J3458" s="1">
        <v>135</v>
      </c>
      <c r="K3458" s="1">
        <v>6</v>
      </c>
    </row>
    <row r="3459" spans="3:11" x14ac:dyDescent="0.25">
      <c r="C3459" s="1" t="s">
        <v>3307</v>
      </c>
      <c r="D3459" s="1" t="s">
        <v>482</v>
      </c>
      <c r="E3459" s="1" t="s">
        <v>3308</v>
      </c>
      <c r="F3459" s="1">
        <v>6</v>
      </c>
      <c r="G3459" s="1">
        <v>6</v>
      </c>
      <c r="H3459" s="1">
        <v>0</v>
      </c>
      <c r="I3459" s="1">
        <v>123</v>
      </c>
      <c r="J3459" s="1">
        <v>117</v>
      </c>
      <c r="K3459" s="1">
        <v>6</v>
      </c>
    </row>
    <row r="3460" spans="3:11" x14ac:dyDescent="0.25">
      <c r="C3460" s="1" t="s">
        <v>1845</v>
      </c>
      <c r="D3460" s="1" t="s">
        <v>1846</v>
      </c>
      <c r="E3460" s="1" t="s">
        <v>1847</v>
      </c>
      <c r="F3460" s="1">
        <v>6</v>
      </c>
      <c r="G3460" s="1">
        <v>6</v>
      </c>
      <c r="H3460" s="1">
        <v>0</v>
      </c>
      <c r="I3460" s="1">
        <v>101</v>
      </c>
      <c r="J3460" s="1">
        <v>95</v>
      </c>
      <c r="K3460" s="1">
        <v>6</v>
      </c>
    </row>
    <row r="3461" spans="3:11" x14ac:dyDescent="0.25">
      <c r="C3461" s="1" t="s">
        <v>11103</v>
      </c>
      <c r="D3461" s="1" t="s">
        <v>11104</v>
      </c>
      <c r="E3461" s="1" t="s">
        <v>11105</v>
      </c>
      <c r="F3461" s="1">
        <v>6</v>
      </c>
      <c r="G3461" s="1">
        <v>6</v>
      </c>
      <c r="H3461" s="1">
        <v>0</v>
      </c>
      <c r="I3461" s="1">
        <v>97</v>
      </c>
      <c r="J3461" s="1">
        <v>91</v>
      </c>
      <c r="K3461" s="1">
        <v>6</v>
      </c>
    </row>
    <row r="3462" spans="3:11" x14ac:dyDescent="0.25">
      <c r="C3462" s="1" t="s">
        <v>11106</v>
      </c>
      <c r="D3462" s="1" t="s">
        <v>11107</v>
      </c>
      <c r="E3462" s="1" t="s">
        <v>11108</v>
      </c>
      <c r="F3462" s="1">
        <v>6</v>
      </c>
      <c r="G3462" s="1">
        <v>6</v>
      </c>
      <c r="H3462" s="1">
        <v>0</v>
      </c>
      <c r="I3462" s="1">
        <v>93</v>
      </c>
      <c r="J3462" s="1">
        <v>87</v>
      </c>
      <c r="K3462" s="1">
        <v>6</v>
      </c>
    </row>
    <row r="3463" spans="3:11" x14ac:dyDescent="0.25">
      <c r="C3463" s="1" t="s">
        <v>3531</v>
      </c>
      <c r="D3463" s="1" t="s">
        <v>3532</v>
      </c>
      <c r="E3463" s="1" t="s">
        <v>3533</v>
      </c>
      <c r="F3463" s="1">
        <v>6</v>
      </c>
      <c r="G3463" s="1">
        <v>6</v>
      </c>
      <c r="H3463" s="1">
        <v>0</v>
      </c>
      <c r="I3463" s="1">
        <v>69</v>
      </c>
      <c r="J3463" s="1">
        <v>63</v>
      </c>
      <c r="K3463" s="1">
        <v>6</v>
      </c>
    </row>
    <row r="3464" spans="3:11" x14ac:dyDescent="0.25">
      <c r="C3464" s="1" t="s">
        <v>3573</v>
      </c>
      <c r="D3464" s="1" t="s">
        <v>3574</v>
      </c>
      <c r="E3464" s="1" t="s">
        <v>3575</v>
      </c>
      <c r="F3464" s="1">
        <v>6</v>
      </c>
      <c r="G3464" s="1">
        <v>6</v>
      </c>
      <c r="H3464" s="1">
        <v>0</v>
      </c>
      <c r="I3464" s="1">
        <v>63</v>
      </c>
      <c r="J3464" s="1">
        <v>57</v>
      </c>
      <c r="K3464" s="1">
        <v>6</v>
      </c>
    </row>
    <row r="3465" spans="3:11" x14ac:dyDescent="0.25">
      <c r="C3465" s="1" t="s">
        <v>11109</v>
      </c>
      <c r="D3465" s="1" t="s">
        <v>11110</v>
      </c>
      <c r="E3465" s="1" t="s">
        <v>11109</v>
      </c>
      <c r="F3465" s="1">
        <v>6</v>
      </c>
      <c r="G3465" s="1">
        <v>6</v>
      </c>
      <c r="H3465" s="1">
        <v>0</v>
      </c>
      <c r="I3465" s="1">
        <v>56</v>
      </c>
      <c r="J3465" s="1">
        <v>50</v>
      </c>
      <c r="K3465" s="1">
        <v>6</v>
      </c>
    </row>
    <row r="3466" spans="3:11" x14ac:dyDescent="0.25">
      <c r="C3466" s="1" t="s">
        <v>11111</v>
      </c>
      <c r="D3466" s="1" t="s">
        <v>11112</v>
      </c>
      <c r="E3466" s="1" t="s">
        <v>11113</v>
      </c>
      <c r="F3466" s="1">
        <v>6</v>
      </c>
      <c r="G3466" s="1">
        <v>6</v>
      </c>
      <c r="H3466" s="1">
        <v>0</v>
      </c>
      <c r="I3466" s="1">
        <v>56</v>
      </c>
      <c r="J3466" s="1">
        <v>50</v>
      </c>
      <c r="K3466" s="1">
        <v>6</v>
      </c>
    </row>
    <row r="3467" spans="3:11" x14ac:dyDescent="0.25">
      <c r="C3467" s="1" t="s">
        <v>3634</v>
      </c>
      <c r="D3467" s="1" t="s">
        <v>739</v>
      </c>
      <c r="E3467" s="1" t="s">
        <v>3635</v>
      </c>
      <c r="F3467" s="1">
        <v>6</v>
      </c>
      <c r="G3467" s="1">
        <v>6</v>
      </c>
      <c r="H3467" s="1">
        <v>0</v>
      </c>
      <c r="I3467" s="1">
        <v>54</v>
      </c>
      <c r="J3467" s="1">
        <v>48</v>
      </c>
      <c r="K3467" s="1">
        <v>6</v>
      </c>
    </row>
    <row r="3468" spans="3:11" x14ac:dyDescent="0.25">
      <c r="C3468" s="1" t="s">
        <v>3714</v>
      </c>
      <c r="D3468" s="1" t="s">
        <v>492</v>
      </c>
      <c r="E3468" s="1" t="s">
        <v>3715</v>
      </c>
      <c r="F3468" s="1">
        <v>6</v>
      </c>
      <c r="G3468" s="1">
        <v>6</v>
      </c>
      <c r="H3468" s="1">
        <v>0</v>
      </c>
      <c r="I3468" s="1">
        <v>44</v>
      </c>
      <c r="J3468" s="1">
        <v>38</v>
      </c>
      <c r="K3468" s="1">
        <v>6</v>
      </c>
    </row>
    <row r="3469" spans="3:11" x14ac:dyDescent="0.25">
      <c r="C3469" s="1" t="s">
        <v>3725</v>
      </c>
      <c r="D3469" s="1" t="s">
        <v>493</v>
      </c>
      <c r="E3469" s="1" t="s">
        <v>3726</v>
      </c>
      <c r="F3469" s="1">
        <v>6</v>
      </c>
      <c r="G3469" s="1">
        <v>6</v>
      </c>
      <c r="H3469" s="1">
        <v>0</v>
      </c>
      <c r="I3469" s="1">
        <v>42</v>
      </c>
      <c r="J3469" s="1">
        <v>36</v>
      </c>
      <c r="K3469" s="1">
        <v>6</v>
      </c>
    </row>
    <row r="3470" spans="3:11" x14ac:dyDescent="0.25">
      <c r="C3470" s="1" t="s">
        <v>3738</v>
      </c>
      <c r="D3470" s="1" t="s">
        <v>3739</v>
      </c>
      <c r="E3470" s="1" t="s">
        <v>3740</v>
      </c>
      <c r="F3470" s="1">
        <v>6</v>
      </c>
      <c r="G3470" s="1">
        <v>6</v>
      </c>
      <c r="H3470" s="1">
        <v>0</v>
      </c>
      <c r="I3470" s="1">
        <v>41</v>
      </c>
      <c r="J3470" s="1">
        <v>35</v>
      </c>
      <c r="K3470" s="1">
        <v>6</v>
      </c>
    </row>
    <row r="3471" spans="3:11" x14ac:dyDescent="0.25">
      <c r="C3471" s="1" t="s">
        <v>3827</v>
      </c>
      <c r="D3471" s="1" t="s">
        <v>3828</v>
      </c>
      <c r="E3471" s="1" t="s">
        <v>3829</v>
      </c>
      <c r="F3471" s="1">
        <v>6</v>
      </c>
      <c r="G3471" s="1">
        <v>6</v>
      </c>
      <c r="H3471" s="1">
        <v>0</v>
      </c>
      <c r="I3471" s="1">
        <v>34</v>
      </c>
      <c r="J3471" s="1">
        <v>28</v>
      </c>
      <c r="K3471" s="1">
        <v>6</v>
      </c>
    </row>
    <row r="3472" spans="3:11" x14ac:dyDescent="0.25">
      <c r="C3472" s="1" t="s">
        <v>2099</v>
      </c>
      <c r="D3472" s="1" t="s">
        <v>2100</v>
      </c>
      <c r="E3472" s="1" t="s">
        <v>2101</v>
      </c>
      <c r="F3472" s="1">
        <v>6</v>
      </c>
      <c r="G3472" s="1">
        <v>6</v>
      </c>
      <c r="H3472" s="1">
        <v>0</v>
      </c>
      <c r="I3472" s="1">
        <v>22</v>
      </c>
      <c r="J3472" s="1">
        <v>16</v>
      </c>
      <c r="K3472" s="1">
        <v>6</v>
      </c>
    </row>
    <row r="3473" spans="3:11" x14ac:dyDescent="0.25">
      <c r="C3473" s="1" t="s">
        <v>11114</v>
      </c>
      <c r="D3473" s="1" t="s">
        <v>11115</v>
      </c>
      <c r="E3473" s="1" t="s">
        <v>11116</v>
      </c>
      <c r="F3473" s="1">
        <v>6</v>
      </c>
      <c r="G3473" s="1">
        <v>6</v>
      </c>
      <c r="H3473" s="1">
        <v>0</v>
      </c>
      <c r="I3473" s="1">
        <v>21</v>
      </c>
      <c r="J3473" s="1">
        <v>15</v>
      </c>
      <c r="K3473" s="1">
        <v>6</v>
      </c>
    </row>
    <row r="3474" spans="3:11" x14ac:dyDescent="0.25">
      <c r="C3474" s="1" t="s">
        <v>11117</v>
      </c>
      <c r="D3474" s="1" t="s">
        <v>11118</v>
      </c>
      <c r="E3474" s="1" t="s">
        <v>11119</v>
      </c>
      <c r="F3474" s="1">
        <v>6</v>
      </c>
      <c r="G3474" s="1">
        <v>6</v>
      </c>
      <c r="H3474" s="1">
        <v>0</v>
      </c>
      <c r="I3474" s="1">
        <v>12</v>
      </c>
      <c r="J3474" s="1">
        <v>6</v>
      </c>
      <c r="K3474" s="1">
        <v>6</v>
      </c>
    </row>
    <row r="3475" spans="3:11" x14ac:dyDescent="0.25">
      <c r="C3475" s="1" t="s">
        <v>11120</v>
      </c>
      <c r="D3475" s="1" t="s">
        <v>11121</v>
      </c>
      <c r="E3475" s="1" t="s">
        <v>11122</v>
      </c>
      <c r="F3475" s="1">
        <v>6</v>
      </c>
      <c r="G3475" s="1">
        <v>6</v>
      </c>
      <c r="H3475" s="1">
        <v>0</v>
      </c>
      <c r="I3475" s="1">
        <v>8</v>
      </c>
      <c r="J3475" s="1">
        <v>2</v>
      </c>
      <c r="K3475" s="1">
        <v>6</v>
      </c>
    </row>
    <row r="3476" spans="3:11" x14ac:dyDescent="0.25">
      <c r="C3476" s="1" t="s">
        <v>11123</v>
      </c>
      <c r="D3476" s="1" t="s">
        <v>11124</v>
      </c>
      <c r="E3476" s="1" t="s">
        <v>11123</v>
      </c>
      <c r="F3476" s="1">
        <v>6</v>
      </c>
      <c r="G3476" s="1">
        <v>6</v>
      </c>
      <c r="H3476" s="1">
        <v>0</v>
      </c>
      <c r="I3476" s="1">
        <v>6</v>
      </c>
      <c r="J3476" s="1">
        <v>0</v>
      </c>
      <c r="K3476" s="1">
        <v>6</v>
      </c>
    </row>
    <row r="3477" spans="3:11" x14ac:dyDescent="0.25">
      <c r="C3477" s="1" t="s">
        <v>11125</v>
      </c>
      <c r="D3477" s="1" t="s">
        <v>11126</v>
      </c>
      <c r="E3477" s="1" t="s">
        <v>11127</v>
      </c>
      <c r="F3477" s="1">
        <v>6</v>
      </c>
      <c r="G3477" s="1">
        <v>6</v>
      </c>
      <c r="H3477" s="1">
        <v>0</v>
      </c>
      <c r="I3477" s="1">
        <v>6</v>
      </c>
      <c r="J3477" s="1">
        <v>0</v>
      </c>
      <c r="K3477" s="1">
        <v>6</v>
      </c>
    </row>
    <row r="3478" spans="3:11" x14ac:dyDescent="0.25">
      <c r="C3478" s="1" t="s">
        <v>11128</v>
      </c>
      <c r="D3478" s="1" t="s">
        <v>11129</v>
      </c>
      <c r="E3478" s="1" t="s">
        <v>11128</v>
      </c>
      <c r="F3478" s="1">
        <v>6</v>
      </c>
      <c r="G3478" s="1">
        <v>6</v>
      </c>
      <c r="H3478" s="1">
        <v>0</v>
      </c>
      <c r="I3478" s="1">
        <v>6</v>
      </c>
      <c r="J3478" s="1">
        <v>0</v>
      </c>
      <c r="K3478" s="1">
        <v>6</v>
      </c>
    </row>
    <row r="3479" spans="3:11" x14ac:dyDescent="0.25">
      <c r="D3479" s="1" t="s">
        <v>11130</v>
      </c>
      <c r="E3479" s="1" t="s">
        <v>11131</v>
      </c>
      <c r="F3479" s="1">
        <v>6</v>
      </c>
      <c r="G3479" s="1">
        <v>6</v>
      </c>
      <c r="H3479" s="1">
        <v>0</v>
      </c>
      <c r="I3479" s="1">
        <v>6</v>
      </c>
      <c r="J3479" s="1">
        <v>0</v>
      </c>
      <c r="K3479" s="1">
        <v>6</v>
      </c>
    </row>
    <row r="3480" spans="3:11" x14ac:dyDescent="0.25">
      <c r="C3480" s="1" t="s">
        <v>11132</v>
      </c>
      <c r="D3480" s="1" t="s">
        <v>11133</v>
      </c>
      <c r="E3480" s="1" t="s">
        <v>11134</v>
      </c>
      <c r="F3480" s="1">
        <v>6</v>
      </c>
      <c r="G3480" s="1">
        <v>6</v>
      </c>
      <c r="H3480" s="1">
        <v>0</v>
      </c>
      <c r="I3480" s="1">
        <v>6</v>
      </c>
      <c r="J3480" s="1">
        <v>0</v>
      </c>
      <c r="K3480" s="1">
        <v>6</v>
      </c>
    </row>
    <row r="3481" spans="3:11" x14ac:dyDescent="0.25">
      <c r="C3481" s="1" t="s">
        <v>2354</v>
      </c>
      <c r="D3481" s="1" t="s">
        <v>5</v>
      </c>
      <c r="E3481" s="1" t="s">
        <v>2355</v>
      </c>
      <c r="F3481" s="1">
        <v>7</v>
      </c>
      <c r="G3481" s="1">
        <v>7</v>
      </c>
      <c r="H3481" s="1">
        <v>0</v>
      </c>
      <c r="I3481" s="1">
        <v>12164</v>
      </c>
      <c r="J3481" s="1">
        <v>12157</v>
      </c>
      <c r="K3481" s="1">
        <v>7</v>
      </c>
    </row>
    <row r="3482" spans="3:11" x14ac:dyDescent="0.25">
      <c r="C3482" s="1" t="s">
        <v>11135</v>
      </c>
      <c r="D3482" s="1" t="s">
        <v>11136</v>
      </c>
      <c r="E3482" s="1" t="s">
        <v>11137</v>
      </c>
      <c r="F3482" s="1">
        <v>7</v>
      </c>
      <c r="G3482" s="1">
        <v>7</v>
      </c>
      <c r="H3482" s="1">
        <v>0</v>
      </c>
      <c r="I3482" s="1">
        <v>5991</v>
      </c>
      <c r="J3482" s="1">
        <v>5984</v>
      </c>
      <c r="K3482" s="1">
        <v>7</v>
      </c>
    </row>
    <row r="3483" spans="3:11" x14ac:dyDescent="0.25">
      <c r="C3483" s="1" t="s">
        <v>11138</v>
      </c>
      <c r="D3483" s="1" t="s">
        <v>11139</v>
      </c>
      <c r="E3483" s="1" t="s">
        <v>11140</v>
      </c>
      <c r="F3483" s="1">
        <v>7</v>
      </c>
      <c r="G3483" s="1">
        <v>7</v>
      </c>
      <c r="H3483" s="1">
        <v>0</v>
      </c>
      <c r="I3483" s="1">
        <v>5205</v>
      </c>
      <c r="J3483" s="1">
        <v>5198</v>
      </c>
      <c r="K3483" s="1">
        <v>7</v>
      </c>
    </row>
    <row r="3484" spans="3:11" x14ac:dyDescent="0.25">
      <c r="C3484" s="1" t="s">
        <v>2392</v>
      </c>
      <c r="D3484" s="1" t="s">
        <v>34</v>
      </c>
      <c r="E3484" s="1" t="s">
        <v>2393</v>
      </c>
      <c r="F3484" s="1">
        <v>7</v>
      </c>
      <c r="G3484" s="1">
        <v>7</v>
      </c>
      <c r="H3484" s="1">
        <v>0</v>
      </c>
      <c r="I3484" s="1">
        <v>4219</v>
      </c>
      <c r="J3484" s="1">
        <v>4212</v>
      </c>
      <c r="K3484" s="1">
        <v>7</v>
      </c>
    </row>
    <row r="3485" spans="3:11" x14ac:dyDescent="0.25">
      <c r="C3485" s="1" t="s">
        <v>993</v>
      </c>
      <c r="D3485" s="1" t="s">
        <v>994</v>
      </c>
      <c r="E3485" s="1" t="s">
        <v>995</v>
      </c>
      <c r="F3485" s="1">
        <v>7</v>
      </c>
      <c r="G3485" s="1">
        <v>7</v>
      </c>
      <c r="H3485" s="1">
        <v>0</v>
      </c>
      <c r="I3485" s="1">
        <v>2014</v>
      </c>
      <c r="J3485" s="1">
        <v>2007</v>
      </c>
      <c r="K3485" s="1">
        <v>7</v>
      </c>
    </row>
    <row r="3486" spans="3:11" x14ac:dyDescent="0.25">
      <c r="C3486" s="1" t="s">
        <v>11141</v>
      </c>
      <c r="D3486" s="1" t="s">
        <v>11142</v>
      </c>
      <c r="E3486" s="1" t="s">
        <v>11143</v>
      </c>
      <c r="F3486" s="1">
        <v>7</v>
      </c>
      <c r="G3486" s="1">
        <v>7</v>
      </c>
      <c r="H3486" s="1">
        <v>0</v>
      </c>
      <c r="I3486" s="1">
        <v>1370</v>
      </c>
      <c r="J3486" s="1">
        <v>1363</v>
      </c>
      <c r="K3486" s="1">
        <v>7</v>
      </c>
    </row>
    <row r="3487" spans="3:11" x14ac:dyDescent="0.25">
      <c r="C3487" s="1" t="s">
        <v>2627</v>
      </c>
      <c r="D3487" s="1" t="s">
        <v>2628</v>
      </c>
      <c r="E3487" s="1" t="s">
        <v>2629</v>
      </c>
      <c r="F3487" s="1">
        <v>7</v>
      </c>
      <c r="G3487" s="1">
        <v>7</v>
      </c>
      <c r="H3487" s="1">
        <v>0</v>
      </c>
      <c r="I3487" s="1">
        <v>1043</v>
      </c>
      <c r="J3487" s="1">
        <v>1036</v>
      </c>
      <c r="K3487" s="1">
        <v>7</v>
      </c>
    </row>
    <row r="3488" spans="3:11" x14ac:dyDescent="0.25">
      <c r="C3488" s="1" t="s">
        <v>2649</v>
      </c>
      <c r="D3488" s="1" t="s">
        <v>450</v>
      </c>
      <c r="E3488" s="1" t="s">
        <v>2650</v>
      </c>
      <c r="F3488" s="1">
        <v>7</v>
      </c>
      <c r="G3488" s="1">
        <v>7</v>
      </c>
      <c r="H3488" s="1">
        <v>0</v>
      </c>
      <c r="I3488" s="1">
        <v>954</v>
      </c>
      <c r="J3488" s="1">
        <v>947</v>
      </c>
      <c r="K3488" s="1">
        <v>7</v>
      </c>
    </row>
    <row r="3489" spans="3:11" x14ac:dyDescent="0.25">
      <c r="C3489" s="1" t="s">
        <v>11144</v>
      </c>
      <c r="D3489" s="1" t="s">
        <v>11145</v>
      </c>
      <c r="E3489" s="1" t="s">
        <v>11146</v>
      </c>
      <c r="F3489" s="1">
        <v>7</v>
      </c>
      <c r="G3489" s="1">
        <v>7</v>
      </c>
      <c r="H3489" s="1">
        <v>0</v>
      </c>
      <c r="I3489" s="1">
        <v>775</v>
      </c>
      <c r="J3489" s="1">
        <v>768</v>
      </c>
      <c r="K3489" s="1">
        <v>7</v>
      </c>
    </row>
    <row r="3490" spans="3:11" x14ac:dyDescent="0.25">
      <c r="C3490" s="1" t="s">
        <v>1185</v>
      </c>
      <c r="D3490" s="1" t="s">
        <v>1186</v>
      </c>
      <c r="E3490" s="1" t="s">
        <v>1187</v>
      </c>
      <c r="F3490" s="1">
        <v>7</v>
      </c>
      <c r="G3490" s="1">
        <v>7</v>
      </c>
      <c r="H3490" s="1">
        <v>0</v>
      </c>
      <c r="I3490" s="1">
        <v>752</v>
      </c>
      <c r="J3490" s="1">
        <v>745</v>
      </c>
      <c r="K3490" s="1">
        <v>7</v>
      </c>
    </row>
    <row r="3491" spans="3:11" x14ac:dyDescent="0.25">
      <c r="C3491" s="1" t="s">
        <v>11147</v>
      </c>
      <c r="D3491" s="1" t="s">
        <v>11148</v>
      </c>
      <c r="E3491" s="1" t="s">
        <v>11149</v>
      </c>
      <c r="F3491" s="1">
        <v>7</v>
      </c>
      <c r="G3491" s="1">
        <v>7</v>
      </c>
      <c r="H3491" s="1">
        <v>0</v>
      </c>
      <c r="I3491" s="1">
        <v>676</v>
      </c>
      <c r="J3491" s="1">
        <v>669</v>
      </c>
      <c r="K3491" s="1">
        <v>7</v>
      </c>
    </row>
    <row r="3492" spans="3:11" x14ac:dyDescent="0.25">
      <c r="C3492" s="1" t="s">
        <v>11150</v>
      </c>
      <c r="D3492" s="1" t="s">
        <v>11151</v>
      </c>
      <c r="E3492" s="1" t="s">
        <v>11152</v>
      </c>
      <c r="F3492" s="1">
        <v>7</v>
      </c>
      <c r="G3492" s="1">
        <v>7</v>
      </c>
      <c r="H3492" s="1">
        <v>0</v>
      </c>
      <c r="I3492" s="1">
        <v>623</v>
      </c>
      <c r="J3492" s="1">
        <v>616</v>
      </c>
      <c r="K3492" s="1">
        <v>7</v>
      </c>
    </row>
    <row r="3493" spans="3:11" x14ac:dyDescent="0.25">
      <c r="C3493" s="1" t="s">
        <v>1317</v>
      </c>
      <c r="D3493" s="1" t="s">
        <v>130</v>
      </c>
      <c r="E3493" s="1" t="s">
        <v>1317</v>
      </c>
      <c r="F3493" s="1">
        <v>7</v>
      </c>
      <c r="G3493" s="1">
        <v>7</v>
      </c>
      <c r="H3493" s="1">
        <v>0</v>
      </c>
      <c r="I3493" s="1">
        <v>449</v>
      </c>
      <c r="J3493" s="1">
        <v>442</v>
      </c>
      <c r="K3493" s="1">
        <v>7</v>
      </c>
    </row>
    <row r="3494" spans="3:11" x14ac:dyDescent="0.25">
      <c r="C3494" s="1" t="s">
        <v>2935</v>
      </c>
      <c r="D3494" s="1" t="s">
        <v>2936</v>
      </c>
      <c r="E3494" s="1" t="s">
        <v>2935</v>
      </c>
      <c r="F3494" s="1">
        <v>7</v>
      </c>
      <c r="G3494" s="1">
        <v>7</v>
      </c>
      <c r="H3494" s="1">
        <v>0</v>
      </c>
      <c r="I3494" s="1">
        <v>406</v>
      </c>
      <c r="J3494" s="1">
        <v>399</v>
      </c>
      <c r="K3494" s="1">
        <v>7</v>
      </c>
    </row>
    <row r="3495" spans="3:11" x14ac:dyDescent="0.25">
      <c r="C3495" s="1" t="s">
        <v>11153</v>
      </c>
      <c r="D3495" s="1" t="s">
        <v>11154</v>
      </c>
      <c r="E3495" s="1" t="s">
        <v>11155</v>
      </c>
      <c r="F3495" s="1">
        <v>7</v>
      </c>
      <c r="G3495" s="1">
        <v>7</v>
      </c>
      <c r="H3495" s="1">
        <v>0</v>
      </c>
      <c r="I3495" s="1">
        <v>357</v>
      </c>
      <c r="J3495" s="1">
        <v>350</v>
      </c>
      <c r="K3495" s="1">
        <v>7</v>
      </c>
    </row>
    <row r="3496" spans="3:11" x14ac:dyDescent="0.25">
      <c r="C3496" s="1" t="s">
        <v>3115</v>
      </c>
      <c r="D3496" s="1" t="s">
        <v>3116</v>
      </c>
      <c r="E3496" s="1" t="s">
        <v>3117</v>
      </c>
      <c r="F3496" s="1">
        <v>7</v>
      </c>
      <c r="G3496" s="1">
        <v>7</v>
      </c>
      <c r="H3496" s="1">
        <v>0</v>
      </c>
      <c r="I3496" s="1">
        <v>236</v>
      </c>
      <c r="J3496" s="1">
        <v>229</v>
      </c>
      <c r="K3496" s="1">
        <v>7</v>
      </c>
    </row>
    <row r="3497" spans="3:11" x14ac:dyDescent="0.25">
      <c r="C3497" s="1" t="s">
        <v>11156</v>
      </c>
      <c r="D3497" s="1" t="s">
        <v>11157</v>
      </c>
      <c r="E3497" s="1" t="s">
        <v>11158</v>
      </c>
      <c r="F3497" s="1">
        <v>7</v>
      </c>
      <c r="G3497" s="1">
        <v>7</v>
      </c>
      <c r="H3497" s="1">
        <v>0</v>
      </c>
      <c r="I3497" s="1">
        <v>213</v>
      </c>
      <c r="J3497" s="1">
        <v>206</v>
      </c>
      <c r="K3497" s="1">
        <v>7</v>
      </c>
    </row>
    <row r="3498" spans="3:11" x14ac:dyDescent="0.25">
      <c r="C3498" s="1" t="s">
        <v>1646</v>
      </c>
      <c r="D3498" s="1" t="s">
        <v>1647</v>
      </c>
      <c r="E3498" s="1" t="s">
        <v>1648</v>
      </c>
      <c r="F3498" s="1">
        <v>7</v>
      </c>
      <c r="G3498" s="1">
        <v>7</v>
      </c>
      <c r="H3498" s="1">
        <v>0</v>
      </c>
      <c r="I3498" s="1">
        <v>128</v>
      </c>
      <c r="J3498" s="1">
        <v>121</v>
      </c>
      <c r="K3498" s="1">
        <v>7</v>
      </c>
    </row>
    <row r="3499" spans="3:11" x14ac:dyDescent="0.25">
      <c r="C3499" s="1" t="s">
        <v>3371</v>
      </c>
      <c r="D3499" s="1" t="s">
        <v>3372</v>
      </c>
      <c r="E3499" s="1" t="s">
        <v>3373</v>
      </c>
      <c r="F3499" s="1">
        <v>7</v>
      </c>
      <c r="G3499" s="1">
        <v>7</v>
      </c>
      <c r="H3499" s="1">
        <v>0</v>
      </c>
      <c r="I3499" s="1">
        <v>101</v>
      </c>
      <c r="J3499" s="1">
        <v>94</v>
      </c>
      <c r="K3499" s="1">
        <v>7</v>
      </c>
    </row>
    <row r="3500" spans="3:11" x14ac:dyDescent="0.25">
      <c r="C3500" s="1" t="s">
        <v>3437</v>
      </c>
      <c r="D3500" s="1" t="s">
        <v>3438</v>
      </c>
      <c r="E3500" s="1" t="s">
        <v>3439</v>
      </c>
      <c r="F3500" s="1">
        <v>7</v>
      </c>
      <c r="G3500" s="1">
        <v>7</v>
      </c>
      <c r="H3500" s="1">
        <v>0</v>
      </c>
      <c r="I3500" s="1">
        <v>90</v>
      </c>
      <c r="J3500" s="1">
        <v>83</v>
      </c>
      <c r="K3500" s="1">
        <v>7</v>
      </c>
    </row>
    <row r="3501" spans="3:11" x14ac:dyDescent="0.25">
      <c r="C3501" s="1" t="s">
        <v>11159</v>
      </c>
      <c r="D3501" s="1" t="s">
        <v>11160</v>
      </c>
      <c r="E3501" s="1" t="s">
        <v>11161</v>
      </c>
      <c r="F3501" s="1">
        <v>7</v>
      </c>
      <c r="G3501" s="1">
        <v>7</v>
      </c>
      <c r="H3501" s="1">
        <v>0</v>
      </c>
      <c r="I3501" s="1">
        <v>84</v>
      </c>
      <c r="J3501" s="1">
        <v>77</v>
      </c>
      <c r="K3501" s="1">
        <v>7</v>
      </c>
    </row>
    <row r="3502" spans="3:11" x14ac:dyDescent="0.25">
      <c r="C3502" s="1" t="s">
        <v>11162</v>
      </c>
      <c r="D3502" s="1" t="s">
        <v>11163</v>
      </c>
      <c r="E3502" s="1" t="s">
        <v>11164</v>
      </c>
      <c r="F3502" s="1">
        <v>7</v>
      </c>
      <c r="G3502" s="1">
        <v>7</v>
      </c>
      <c r="H3502" s="1">
        <v>0</v>
      </c>
      <c r="I3502" s="1">
        <v>79</v>
      </c>
      <c r="J3502" s="1">
        <v>72</v>
      </c>
      <c r="K3502" s="1">
        <v>7</v>
      </c>
    </row>
    <row r="3503" spans="3:11" x14ac:dyDescent="0.25">
      <c r="C3503" s="1" t="s">
        <v>3486</v>
      </c>
      <c r="D3503" s="1" t="s">
        <v>732</v>
      </c>
      <c r="E3503" s="1" t="s">
        <v>3487</v>
      </c>
      <c r="F3503" s="1">
        <v>7</v>
      </c>
      <c r="G3503" s="1">
        <v>7</v>
      </c>
      <c r="H3503" s="1">
        <v>0</v>
      </c>
      <c r="I3503" s="1">
        <v>79</v>
      </c>
      <c r="J3503" s="1">
        <v>72</v>
      </c>
      <c r="K3503" s="1">
        <v>7</v>
      </c>
    </row>
    <row r="3504" spans="3:11" x14ac:dyDescent="0.25">
      <c r="C3504" s="1" t="s">
        <v>3525</v>
      </c>
      <c r="D3504" s="1" t="s">
        <v>3526</v>
      </c>
      <c r="E3504" s="1" t="s">
        <v>3527</v>
      </c>
      <c r="F3504" s="1">
        <v>7</v>
      </c>
      <c r="G3504" s="1">
        <v>7</v>
      </c>
      <c r="H3504" s="1">
        <v>0</v>
      </c>
      <c r="I3504" s="1">
        <v>70</v>
      </c>
      <c r="J3504" s="1">
        <v>63</v>
      </c>
      <c r="K3504" s="1">
        <v>7</v>
      </c>
    </row>
    <row r="3505" spans="3:11" x14ac:dyDescent="0.25">
      <c r="C3505" s="1" t="s">
        <v>3597</v>
      </c>
      <c r="D3505" s="1" t="s">
        <v>3598</v>
      </c>
      <c r="E3505" s="1" t="s">
        <v>3597</v>
      </c>
      <c r="F3505" s="1">
        <v>7</v>
      </c>
      <c r="G3505" s="1">
        <v>7</v>
      </c>
      <c r="H3505" s="1">
        <v>0</v>
      </c>
      <c r="I3505" s="1">
        <v>59</v>
      </c>
      <c r="J3505" s="1">
        <v>52</v>
      </c>
      <c r="K3505" s="1">
        <v>7</v>
      </c>
    </row>
    <row r="3506" spans="3:11" x14ac:dyDescent="0.25">
      <c r="C3506" s="1" t="s">
        <v>3599</v>
      </c>
      <c r="D3506" s="1" t="s">
        <v>3600</v>
      </c>
      <c r="E3506" s="1" t="s">
        <v>3601</v>
      </c>
      <c r="F3506" s="1">
        <v>7</v>
      </c>
      <c r="G3506" s="1">
        <v>7</v>
      </c>
      <c r="H3506" s="1">
        <v>0</v>
      </c>
      <c r="I3506" s="1">
        <v>59</v>
      </c>
      <c r="J3506" s="1">
        <v>52</v>
      </c>
      <c r="K3506" s="1">
        <v>7</v>
      </c>
    </row>
    <row r="3507" spans="3:11" x14ac:dyDescent="0.25">
      <c r="C3507" s="1" t="s">
        <v>3628</v>
      </c>
      <c r="D3507" s="1" t="s">
        <v>3629</v>
      </c>
      <c r="E3507" s="1" t="s">
        <v>3630</v>
      </c>
      <c r="F3507" s="1">
        <v>7</v>
      </c>
      <c r="G3507" s="1">
        <v>7</v>
      </c>
      <c r="H3507" s="1">
        <v>0</v>
      </c>
      <c r="I3507" s="1">
        <v>54</v>
      </c>
      <c r="J3507" s="1">
        <v>47</v>
      </c>
      <c r="K3507" s="1">
        <v>7</v>
      </c>
    </row>
    <row r="3508" spans="3:11" x14ac:dyDescent="0.25">
      <c r="C3508" s="1" t="s">
        <v>3677</v>
      </c>
      <c r="D3508" s="1" t="s">
        <v>740</v>
      </c>
      <c r="E3508" s="1" t="s">
        <v>3678</v>
      </c>
      <c r="F3508" s="1">
        <v>7</v>
      </c>
      <c r="G3508" s="1">
        <v>7</v>
      </c>
      <c r="H3508" s="1">
        <v>0</v>
      </c>
      <c r="I3508" s="1">
        <v>48</v>
      </c>
      <c r="J3508" s="1">
        <v>41</v>
      </c>
      <c r="K3508" s="1">
        <v>7</v>
      </c>
    </row>
    <row r="3509" spans="3:11" x14ac:dyDescent="0.25">
      <c r="C3509" s="1" t="s">
        <v>3910</v>
      </c>
      <c r="D3509" s="1" t="s">
        <v>3911</v>
      </c>
      <c r="E3509" s="1" t="s">
        <v>3912</v>
      </c>
      <c r="F3509" s="1">
        <v>7</v>
      </c>
      <c r="G3509" s="1">
        <v>7</v>
      </c>
      <c r="H3509" s="1">
        <v>0</v>
      </c>
      <c r="I3509" s="1">
        <v>41</v>
      </c>
      <c r="J3509" s="1">
        <v>34</v>
      </c>
      <c r="K3509" s="1">
        <v>7</v>
      </c>
    </row>
    <row r="3510" spans="3:11" x14ac:dyDescent="0.25">
      <c r="C3510" s="1" t="s">
        <v>3782</v>
      </c>
      <c r="D3510" s="1" t="s">
        <v>3783</v>
      </c>
      <c r="E3510" s="1" t="s">
        <v>3784</v>
      </c>
      <c r="F3510" s="1">
        <v>7</v>
      </c>
      <c r="G3510" s="1">
        <v>7</v>
      </c>
      <c r="H3510" s="1">
        <v>0</v>
      </c>
      <c r="I3510" s="1">
        <v>37</v>
      </c>
      <c r="J3510" s="1">
        <v>30</v>
      </c>
      <c r="K3510" s="1">
        <v>7</v>
      </c>
    </row>
    <row r="3511" spans="3:11" x14ac:dyDescent="0.25">
      <c r="C3511" s="1" t="s">
        <v>11165</v>
      </c>
      <c r="D3511" s="1" t="s">
        <v>11166</v>
      </c>
      <c r="E3511" s="1" t="s">
        <v>11167</v>
      </c>
      <c r="F3511" s="1">
        <v>7</v>
      </c>
      <c r="G3511" s="1">
        <v>7</v>
      </c>
      <c r="H3511" s="1">
        <v>0</v>
      </c>
      <c r="I3511" s="1">
        <v>31</v>
      </c>
      <c r="J3511" s="1">
        <v>24</v>
      </c>
      <c r="K3511" s="1">
        <v>7</v>
      </c>
    </row>
    <row r="3512" spans="3:11" x14ac:dyDescent="0.25">
      <c r="C3512" s="1" t="s">
        <v>11168</v>
      </c>
      <c r="D3512" s="1" t="s">
        <v>11169</v>
      </c>
      <c r="E3512" s="1" t="s">
        <v>11168</v>
      </c>
      <c r="F3512" s="1">
        <v>7</v>
      </c>
      <c r="G3512" s="1">
        <v>7</v>
      </c>
      <c r="H3512" s="1">
        <v>0</v>
      </c>
      <c r="I3512" s="1">
        <v>28</v>
      </c>
      <c r="J3512" s="1">
        <v>21</v>
      </c>
      <c r="K3512" s="1">
        <v>7</v>
      </c>
    </row>
    <row r="3513" spans="3:11" x14ac:dyDescent="0.25">
      <c r="C3513" s="1" t="s">
        <v>4114</v>
      </c>
      <c r="D3513" s="1" t="s">
        <v>4115</v>
      </c>
      <c r="E3513" s="1" t="s">
        <v>4116</v>
      </c>
      <c r="F3513" s="1">
        <v>7</v>
      </c>
      <c r="G3513" s="1">
        <v>7</v>
      </c>
      <c r="H3513" s="1">
        <v>0</v>
      </c>
      <c r="I3513" s="1">
        <v>28</v>
      </c>
      <c r="J3513" s="1">
        <v>21</v>
      </c>
      <c r="K3513" s="1">
        <v>7</v>
      </c>
    </row>
    <row r="3514" spans="3:11" x14ac:dyDescent="0.25">
      <c r="C3514" s="1" t="s">
        <v>11170</v>
      </c>
      <c r="D3514" s="1" t="s">
        <v>11171</v>
      </c>
      <c r="E3514" s="1" t="s">
        <v>11172</v>
      </c>
      <c r="F3514" s="1">
        <v>7</v>
      </c>
      <c r="G3514" s="1">
        <v>7</v>
      </c>
      <c r="H3514" s="1">
        <v>0</v>
      </c>
      <c r="I3514" s="1">
        <v>24</v>
      </c>
      <c r="J3514" s="1">
        <v>17</v>
      </c>
      <c r="K3514" s="1">
        <v>7</v>
      </c>
    </row>
    <row r="3515" spans="3:11" x14ac:dyDescent="0.25">
      <c r="C3515" s="1" t="s">
        <v>3922</v>
      </c>
      <c r="D3515" s="1" t="s">
        <v>3923</v>
      </c>
      <c r="E3515" s="1" t="s">
        <v>3922</v>
      </c>
      <c r="F3515" s="1">
        <v>7</v>
      </c>
      <c r="G3515" s="1">
        <v>7</v>
      </c>
      <c r="H3515" s="1">
        <v>0</v>
      </c>
      <c r="I3515" s="1">
        <v>24</v>
      </c>
      <c r="J3515" s="1">
        <v>17</v>
      </c>
      <c r="K3515" s="1">
        <v>7</v>
      </c>
    </row>
    <row r="3516" spans="3:11" x14ac:dyDescent="0.25">
      <c r="C3516" s="1" t="s">
        <v>3938</v>
      </c>
      <c r="D3516" s="1" t="s">
        <v>3939</v>
      </c>
      <c r="E3516" s="1" t="s">
        <v>3940</v>
      </c>
      <c r="F3516" s="1">
        <v>7</v>
      </c>
      <c r="G3516" s="1">
        <v>7</v>
      </c>
      <c r="H3516" s="1">
        <v>0</v>
      </c>
      <c r="I3516" s="1">
        <v>23</v>
      </c>
      <c r="J3516" s="1">
        <v>16</v>
      </c>
      <c r="K3516" s="1">
        <v>7</v>
      </c>
    </row>
    <row r="3517" spans="3:11" x14ac:dyDescent="0.25">
      <c r="C3517" s="1" t="s">
        <v>3961</v>
      </c>
      <c r="D3517" s="1" t="s">
        <v>3962</v>
      </c>
      <c r="E3517" s="1" t="s">
        <v>3963</v>
      </c>
      <c r="F3517" s="1">
        <v>7</v>
      </c>
      <c r="G3517" s="1">
        <v>7</v>
      </c>
      <c r="H3517" s="1">
        <v>0</v>
      </c>
      <c r="I3517" s="1">
        <v>22</v>
      </c>
      <c r="J3517" s="1">
        <v>15</v>
      </c>
      <c r="K3517" s="1">
        <v>7</v>
      </c>
    </row>
    <row r="3518" spans="3:11" x14ac:dyDescent="0.25">
      <c r="C3518" s="1" t="s">
        <v>3970</v>
      </c>
      <c r="D3518" s="1" t="s">
        <v>3971</v>
      </c>
      <c r="E3518" s="1" t="s">
        <v>3972</v>
      </c>
      <c r="F3518" s="1">
        <v>7</v>
      </c>
      <c r="G3518" s="1">
        <v>7</v>
      </c>
      <c r="H3518" s="1">
        <v>0</v>
      </c>
      <c r="I3518" s="1">
        <v>20</v>
      </c>
      <c r="J3518" s="1">
        <v>13</v>
      </c>
      <c r="K3518" s="1">
        <v>7</v>
      </c>
    </row>
    <row r="3519" spans="3:11" x14ac:dyDescent="0.25">
      <c r="C3519" s="1" t="s">
        <v>3973</v>
      </c>
      <c r="D3519" s="1" t="s">
        <v>3974</v>
      </c>
      <c r="E3519" s="1" t="s">
        <v>3975</v>
      </c>
      <c r="F3519" s="1">
        <v>7</v>
      </c>
      <c r="G3519" s="1">
        <v>7</v>
      </c>
      <c r="H3519" s="1">
        <v>0</v>
      </c>
      <c r="I3519" s="1">
        <v>20</v>
      </c>
      <c r="J3519" s="1">
        <v>13</v>
      </c>
      <c r="K3519" s="1">
        <v>7</v>
      </c>
    </row>
    <row r="3520" spans="3:11" x14ac:dyDescent="0.25">
      <c r="C3520" s="1" t="s">
        <v>11173</v>
      </c>
      <c r="D3520" s="1" t="s">
        <v>11174</v>
      </c>
      <c r="E3520" s="1" t="s">
        <v>11173</v>
      </c>
      <c r="F3520" s="1">
        <v>7</v>
      </c>
      <c r="G3520" s="1">
        <v>7</v>
      </c>
      <c r="H3520" s="1">
        <v>0</v>
      </c>
      <c r="I3520" s="1">
        <v>19</v>
      </c>
      <c r="J3520" s="1">
        <v>12</v>
      </c>
      <c r="K3520" s="1">
        <v>7</v>
      </c>
    </row>
    <row r="3521" spans="3:11" x14ac:dyDescent="0.25">
      <c r="C3521" s="1" t="s">
        <v>11175</v>
      </c>
      <c r="D3521" s="1" t="s">
        <v>11176</v>
      </c>
      <c r="E3521" s="1" t="s">
        <v>11177</v>
      </c>
      <c r="F3521" s="1">
        <v>7</v>
      </c>
      <c r="G3521" s="1">
        <v>7</v>
      </c>
      <c r="H3521" s="1">
        <v>0</v>
      </c>
      <c r="I3521" s="1">
        <v>19</v>
      </c>
      <c r="J3521" s="1">
        <v>12</v>
      </c>
      <c r="K3521" s="1">
        <v>7</v>
      </c>
    </row>
    <row r="3522" spans="3:11" x14ac:dyDescent="0.25">
      <c r="C3522" s="1" t="s">
        <v>2025</v>
      </c>
      <c r="D3522" s="1" t="s">
        <v>2026</v>
      </c>
      <c r="E3522" s="1" t="s">
        <v>2025</v>
      </c>
      <c r="F3522" s="1">
        <v>7</v>
      </c>
      <c r="G3522" s="1">
        <v>7</v>
      </c>
      <c r="H3522" s="1">
        <v>0</v>
      </c>
      <c r="I3522" s="1">
        <v>17</v>
      </c>
      <c r="J3522" s="1">
        <v>10</v>
      </c>
      <c r="K3522" s="1">
        <v>7</v>
      </c>
    </row>
    <row r="3523" spans="3:11" x14ac:dyDescent="0.25">
      <c r="C3523" s="1" t="s">
        <v>11178</v>
      </c>
      <c r="D3523" s="1" t="s">
        <v>11179</v>
      </c>
      <c r="E3523" s="1" t="s">
        <v>11180</v>
      </c>
      <c r="F3523" s="1">
        <v>7</v>
      </c>
      <c r="G3523" s="1">
        <v>7</v>
      </c>
      <c r="H3523" s="1">
        <v>0</v>
      </c>
      <c r="I3523" s="1">
        <v>13</v>
      </c>
      <c r="J3523" s="1">
        <v>6</v>
      </c>
      <c r="K3523" s="1">
        <v>7</v>
      </c>
    </row>
    <row r="3524" spans="3:11" x14ac:dyDescent="0.25">
      <c r="C3524" s="1" t="s">
        <v>11181</v>
      </c>
      <c r="D3524" s="1" t="s">
        <v>11182</v>
      </c>
      <c r="E3524" s="1" t="s">
        <v>11181</v>
      </c>
      <c r="F3524" s="1">
        <v>7</v>
      </c>
      <c r="G3524" s="1">
        <v>7</v>
      </c>
      <c r="H3524" s="1">
        <v>0</v>
      </c>
      <c r="I3524" s="1">
        <v>13</v>
      </c>
      <c r="J3524" s="1">
        <v>6</v>
      </c>
      <c r="K3524" s="1">
        <v>7</v>
      </c>
    </row>
    <row r="3525" spans="3:11" x14ac:dyDescent="0.25">
      <c r="C3525" s="1" t="s">
        <v>4090</v>
      </c>
      <c r="D3525" s="1" t="s">
        <v>4091</v>
      </c>
      <c r="E3525" s="1" t="s">
        <v>4092</v>
      </c>
      <c r="F3525" s="1">
        <v>7</v>
      </c>
      <c r="G3525" s="1">
        <v>7</v>
      </c>
      <c r="H3525" s="1">
        <v>0</v>
      </c>
      <c r="I3525" s="1">
        <v>13</v>
      </c>
      <c r="J3525" s="1">
        <v>6</v>
      </c>
      <c r="K3525" s="1">
        <v>7</v>
      </c>
    </row>
    <row r="3526" spans="3:11" x14ac:dyDescent="0.25">
      <c r="C3526" s="1" t="s">
        <v>4072</v>
      </c>
      <c r="D3526" s="1" t="s">
        <v>4073</v>
      </c>
      <c r="E3526" s="1" t="s">
        <v>4074</v>
      </c>
      <c r="F3526" s="1">
        <v>7</v>
      </c>
      <c r="G3526" s="1">
        <v>7</v>
      </c>
      <c r="H3526" s="1">
        <v>0</v>
      </c>
      <c r="I3526" s="1">
        <v>11</v>
      </c>
      <c r="J3526" s="1">
        <v>4</v>
      </c>
      <c r="K3526" s="1">
        <v>7</v>
      </c>
    </row>
    <row r="3527" spans="3:11" x14ac:dyDescent="0.25">
      <c r="C3527" s="1" t="s">
        <v>11183</v>
      </c>
      <c r="D3527" s="1" t="s">
        <v>11184</v>
      </c>
      <c r="E3527" s="1" t="s">
        <v>11185</v>
      </c>
      <c r="F3527" s="1">
        <v>7</v>
      </c>
      <c r="G3527" s="1">
        <v>7</v>
      </c>
      <c r="H3527" s="1">
        <v>0</v>
      </c>
      <c r="I3527" s="1">
        <v>10</v>
      </c>
      <c r="J3527" s="1">
        <v>3</v>
      </c>
      <c r="K3527" s="1">
        <v>7</v>
      </c>
    </row>
    <row r="3528" spans="3:11" x14ac:dyDescent="0.25">
      <c r="C3528" s="1" t="s">
        <v>11186</v>
      </c>
      <c r="D3528" s="1" t="s">
        <v>11187</v>
      </c>
      <c r="E3528" s="1" t="s">
        <v>11186</v>
      </c>
      <c r="F3528" s="1">
        <v>7</v>
      </c>
      <c r="G3528" s="1">
        <v>7</v>
      </c>
      <c r="H3528" s="1">
        <v>0</v>
      </c>
      <c r="I3528" s="1">
        <v>10</v>
      </c>
      <c r="J3528" s="1">
        <v>3</v>
      </c>
      <c r="K3528" s="1">
        <v>7</v>
      </c>
    </row>
    <row r="3529" spans="3:11" x14ac:dyDescent="0.25">
      <c r="C3529" s="1" t="s">
        <v>11188</v>
      </c>
      <c r="D3529" s="1" t="s">
        <v>11189</v>
      </c>
      <c r="E3529" s="1" t="s">
        <v>11190</v>
      </c>
      <c r="F3529" s="1">
        <v>7</v>
      </c>
      <c r="G3529" s="1">
        <v>7</v>
      </c>
      <c r="H3529" s="1">
        <v>0</v>
      </c>
      <c r="I3529" s="1">
        <v>9</v>
      </c>
      <c r="J3529" s="1">
        <v>2</v>
      </c>
      <c r="K3529" s="1">
        <v>7</v>
      </c>
    </row>
    <row r="3530" spans="3:11" x14ac:dyDescent="0.25">
      <c r="C3530" s="1" t="s">
        <v>1996</v>
      </c>
      <c r="D3530" s="1" t="s">
        <v>1997</v>
      </c>
      <c r="E3530" s="1" t="s">
        <v>1998</v>
      </c>
      <c r="F3530" s="1">
        <v>7</v>
      </c>
      <c r="G3530" s="1">
        <v>7</v>
      </c>
      <c r="H3530" s="1">
        <v>0</v>
      </c>
      <c r="I3530" s="1">
        <v>8</v>
      </c>
      <c r="J3530" s="1">
        <v>1</v>
      </c>
      <c r="K3530" s="1">
        <v>7</v>
      </c>
    </row>
    <row r="3531" spans="3:11" x14ac:dyDescent="0.25">
      <c r="C3531" s="1" t="s">
        <v>11191</v>
      </c>
      <c r="D3531" s="1" t="s">
        <v>11192</v>
      </c>
      <c r="E3531" s="1" t="s">
        <v>11193</v>
      </c>
      <c r="F3531" s="1">
        <v>7</v>
      </c>
      <c r="G3531" s="1">
        <v>7</v>
      </c>
      <c r="H3531" s="1">
        <v>0</v>
      </c>
      <c r="I3531" s="1">
        <v>7</v>
      </c>
      <c r="J3531" s="1">
        <v>0</v>
      </c>
      <c r="K3531" s="1">
        <v>7</v>
      </c>
    </row>
    <row r="3532" spans="3:11" x14ac:dyDescent="0.25">
      <c r="C3532" s="1" t="s">
        <v>920</v>
      </c>
      <c r="D3532" s="1" t="s">
        <v>40</v>
      </c>
      <c r="E3532" s="1" t="s">
        <v>921</v>
      </c>
      <c r="F3532" s="1">
        <v>8</v>
      </c>
      <c r="G3532" s="1">
        <v>8</v>
      </c>
      <c r="H3532" s="1">
        <v>0</v>
      </c>
      <c r="I3532" s="1">
        <v>5737</v>
      </c>
      <c r="J3532" s="1">
        <v>5729</v>
      </c>
      <c r="K3532" s="1">
        <v>8</v>
      </c>
    </row>
    <row r="3533" spans="3:11" x14ac:dyDescent="0.25">
      <c r="C3533" s="1" t="s">
        <v>2389</v>
      </c>
      <c r="D3533" s="1" t="s">
        <v>2390</v>
      </c>
      <c r="E3533" s="1" t="s">
        <v>2391</v>
      </c>
      <c r="F3533" s="1">
        <v>8</v>
      </c>
      <c r="G3533" s="1">
        <v>8</v>
      </c>
      <c r="H3533" s="1">
        <v>0</v>
      </c>
      <c r="I3533" s="1">
        <v>4572</v>
      </c>
      <c r="J3533" s="1">
        <v>4564</v>
      </c>
      <c r="K3533" s="1">
        <v>8</v>
      </c>
    </row>
    <row r="3534" spans="3:11" x14ac:dyDescent="0.25">
      <c r="C3534" s="1" t="s">
        <v>2422</v>
      </c>
      <c r="D3534" s="1" t="s">
        <v>419</v>
      </c>
      <c r="E3534" s="1" t="s">
        <v>2423</v>
      </c>
      <c r="F3534" s="1">
        <v>8</v>
      </c>
      <c r="G3534" s="1">
        <v>8</v>
      </c>
      <c r="H3534" s="1">
        <v>0</v>
      </c>
      <c r="I3534" s="1">
        <v>3458</v>
      </c>
      <c r="J3534" s="1">
        <v>3450</v>
      </c>
      <c r="K3534" s="1">
        <v>8</v>
      </c>
    </row>
    <row r="3535" spans="3:11" x14ac:dyDescent="0.25">
      <c r="C3535" s="1" t="s">
        <v>11194</v>
      </c>
      <c r="D3535" s="1" t="s">
        <v>11195</v>
      </c>
      <c r="E3535" s="1" t="s">
        <v>11196</v>
      </c>
      <c r="F3535" s="1">
        <v>8</v>
      </c>
      <c r="G3535" s="1">
        <v>8</v>
      </c>
      <c r="H3535" s="1">
        <v>0</v>
      </c>
      <c r="I3535" s="1">
        <v>1787</v>
      </c>
      <c r="J3535" s="1">
        <v>1779</v>
      </c>
      <c r="K3535" s="1">
        <v>8</v>
      </c>
    </row>
    <row r="3536" spans="3:11" x14ac:dyDescent="0.25">
      <c r="C3536" s="1" t="s">
        <v>11197</v>
      </c>
      <c r="D3536" s="1" t="s">
        <v>11198</v>
      </c>
      <c r="E3536" s="1" t="s">
        <v>11199</v>
      </c>
      <c r="F3536" s="1">
        <v>8</v>
      </c>
      <c r="G3536" s="1">
        <v>8</v>
      </c>
      <c r="H3536" s="1">
        <v>0</v>
      </c>
      <c r="I3536" s="1">
        <v>1707</v>
      </c>
      <c r="J3536" s="1">
        <v>1699</v>
      </c>
      <c r="K3536" s="1">
        <v>8</v>
      </c>
    </row>
    <row r="3537" spans="3:11" x14ac:dyDescent="0.25">
      <c r="C3537" s="1" t="s">
        <v>2532</v>
      </c>
      <c r="D3537" s="1" t="s">
        <v>814</v>
      </c>
      <c r="E3537" s="1" t="s">
        <v>2533</v>
      </c>
      <c r="F3537" s="1">
        <v>8</v>
      </c>
      <c r="G3537" s="1">
        <v>8</v>
      </c>
      <c r="H3537" s="1">
        <v>0</v>
      </c>
      <c r="I3537" s="1">
        <v>1636</v>
      </c>
      <c r="J3537" s="1">
        <v>1628</v>
      </c>
      <c r="K3537" s="1">
        <v>8</v>
      </c>
    </row>
    <row r="3538" spans="3:11" x14ac:dyDescent="0.25">
      <c r="C3538" s="1" t="s">
        <v>2534</v>
      </c>
      <c r="D3538" s="1" t="s">
        <v>2535</v>
      </c>
      <c r="E3538" s="1" t="s">
        <v>2536</v>
      </c>
      <c r="F3538" s="1">
        <v>8</v>
      </c>
      <c r="G3538" s="1">
        <v>8</v>
      </c>
      <c r="H3538" s="1">
        <v>0</v>
      </c>
      <c r="I3538" s="1">
        <v>1617</v>
      </c>
      <c r="J3538" s="1">
        <v>1609</v>
      </c>
      <c r="K3538" s="1">
        <v>8</v>
      </c>
    </row>
    <row r="3539" spans="3:11" x14ac:dyDescent="0.25">
      <c r="C3539" s="1" t="s">
        <v>11200</v>
      </c>
      <c r="D3539" s="1" t="s">
        <v>11201</v>
      </c>
      <c r="E3539" s="1" t="s">
        <v>11202</v>
      </c>
      <c r="F3539" s="1">
        <v>8</v>
      </c>
      <c r="G3539" s="1">
        <v>8</v>
      </c>
      <c r="H3539" s="1">
        <v>0</v>
      </c>
      <c r="I3539" s="1">
        <v>1177</v>
      </c>
      <c r="J3539" s="1">
        <v>1169</v>
      </c>
      <c r="K3539" s="1">
        <v>8</v>
      </c>
    </row>
    <row r="3540" spans="3:11" x14ac:dyDescent="0.25">
      <c r="C3540" s="1" t="s">
        <v>1174</v>
      </c>
      <c r="D3540" s="1" t="s">
        <v>1175</v>
      </c>
      <c r="E3540" s="1" t="s">
        <v>1176</v>
      </c>
      <c r="F3540" s="1">
        <v>8</v>
      </c>
      <c r="G3540" s="1">
        <v>8</v>
      </c>
      <c r="H3540" s="1">
        <v>0</v>
      </c>
      <c r="I3540" s="1">
        <v>884</v>
      </c>
      <c r="J3540" s="1">
        <v>876</v>
      </c>
      <c r="K3540" s="1">
        <v>8</v>
      </c>
    </row>
    <row r="3541" spans="3:11" x14ac:dyDescent="0.25">
      <c r="C3541" s="1" t="s">
        <v>1159</v>
      </c>
      <c r="D3541" s="1" t="s">
        <v>102</v>
      </c>
      <c r="E3541" s="1" t="s">
        <v>1160</v>
      </c>
      <c r="F3541" s="1">
        <v>8</v>
      </c>
      <c r="G3541" s="1">
        <v>8</v>
      </c>
      <c r="H3541" s="1">
        <v>0</v>
      </c>
      <c r="I3541" s="1">
        <v>821</v>
      </c>
      <c r="J3541" s="1">
        <v>813</v>
      </c>
      <c r="K3541" s="1">
        <v>8</v>
      </c>
    </row>
    <row r="3542" spans="3:11" x14ac:dyDescent="0.25">
      <c r="C3542" s="1" t="s">
        <v>2787</v>
      </c>
      <c r="D3542" s="1" t="s">
        <v>807</v>
      </c>
      <c r="E3542" s="1" t="s">
        <v>2788</v>
      </c>
      <c r="F3542" s="1">
        <v>8</v>
      </c>
      <c r="G3542" s="1">
        <v>8</v>
      </c>
      <c r="H3542" s="1">
        <v>0</v>
      </c>
      <c r="I3542" s="1">
        <v>671</v>
      </c>
      <c r="J3542" s="1">
        <v>663</v>
      </c>
      <c r="K3542" s="1">
        <v>8</v>
      </c>
    </row>
    <row r="3543" spans="3:11" x14ac:dyDescent="0.25">
      <c r="C3543" s="1" t="s">
        <v>2821</v>
      </c>
      <c r="D3543" s="1" t="s">
        <v>699</v>
      </c>
      <c r="E3543" s="1" t="s">
        <v>2822</v>
      </c>
      <c r="F3543" s="1">
        <v>8</v>
      </c>
      <c r="G3543" s="1">
        <v>8</v>
      </c>
      <c r="H3543" s="1">
        <v>0</v>
      </c>
      <c r="I3543" s="1">
        <v>599</v>
      </c>
      <c r="J3543" s="1">
        <v>591</v>
      </c>
      <c r="K3543" s="1">
        <v>8</v>
      </c>
    </row>
    <row r="3544" spans="3:11" x14ac:dyDescent="0.25">
      <c r="C3544" s="1" t="s">
        <v>2876</v>
      </c>
      <c r="D3544" s="1" t="s">
        <v>2877</v>
      </c>
      <c r="E3544" s="1" t="s">
        <v>2878</v>
      </c>
      <c r="F3544" s="1">
        <v>8</v>
      </c>
      <c r="G3544" s="1">
        <v>8</v>
      </c>
      <c r="H3544" s="1">
        <v>0</v>
      </c>
      <c r="I3544" s="1">
        <v>512</v>
      </c>
      <c r="J3544" s="1">
        <v>504</v>
      </c>
      <c r="K3544" s="1">
        <v>8</v>
      </c>
    </row>
    <row r="3545" spans="3:11" x14ac:dyDescent="0.25">
      <c r="C3545" s="1" t="s">
        <v>11203</v>
      </c>
      <c r="D3545" s="1" t="s">
        <v>11204</v>
      </c>
      <c r="E3545" s="1" t="s">
        <v>11203</v>
      </c>
      <c r="F3545" s="1">
        <v>8</v>
      </c>
      <c r="G3545" s="1">
        <v>8</v>
      </c>
      <c r="H3545" s="1">
        <v>0</v>
      </c>
      <c r="I3545" s="1">
        <v>415</v>
      </c>
      <c r="J3545" s="1">
        <v>407</v>
      </c>
      <c r="K3545" s="1">
        <v>8</v>
      </c>
    </row>
    <row r="3546" spans="3:11" x14ac:dyDescent="0.25">
      <c r="C3546" s="1" t="s">
        <v>1352</v>
      </c>
      <c r="D3546" s="1" t="s">
        <v>134</v>
      </c>
      <c r="E3546" s="1" t="s">
        <v>1353</v>
      </c>
      <c r="F3546" s="1">
        <v>8</v>
      </c>
      <c r="G3546" s="1">
        <v>8</v>
      </c>
      <c r="H3546" s="1">
        <v>0</v>
      </c>
      <c r="I3546" s="1">
        <v>380</v>
      </c>
      <c r="J3546" s="1">
        <v>372</v>
      </c>
      <c r="K3546" s="1">
        <v>8</v>
      </c>
    </row>
    <row r="3547" spans="3:11" x14ac:dyDescent="0.25">
      <c r="C3547" s="1" t="s">
        <v>1468</v>
      </c>
      <c r="D3547" s="1" t="s">
        <v>1469</v>
      </c>
      <c r="E3547" s="1" t="s">
        <v>1470</v>
      </c>
      <c r="F3547" s="1">
        <v>8</v>
      </c>
      <c r="G3547" s="1">
        <v>8</v>
      </c>
      <c r="H3547" s="1">
        <v>0</v>
      </c>
      <c r="I3547" s="1">
        <v>302</v>
      </c>
      <c r="J3547" s="1">
        <v>294</v>
      </c>
      <c r="K3547" s="1">
        <v>8</v>
      </c>
    </row>
    <row r="3548" spans="3:11" x14ac:dyDescent="0.25">
      <c r="C3548" s="1" t="s">
        <v>11205</v>
      </c>
      <c r="D3548" s="1" t="s">
        <v>11206</v>
      </c>
      <c r="E3548" s="1" t="s">
        <v>11207</v>
      </c>
      <c r="F3548" s="1">
        <v>8</v>
      </c>
      <c r="G3548" s="1">
        <v>8</v>
      </c>
      <c r="H3548" s="1">
        <v>0</v>
      </c>
      <c r="I3548" s="1">
        <v>287</v>
      </c>
      <c r="J3548" s="1">
        <v>279</v>
      </c>
      <c r="K3548" s="1">
        <v>8</v>
      </c>
    </row>
    <row r="3549" spans="3:11" x14ac:dyDescent="0.25">
      <c r="C3549" s="1" t="s">
        <v>3045</v>
      </c>
      <c r="D3549" s="1" t="s">
        <v>473</v>
      </c>
      <c r="E3549" s="1" t="s">
        <v>3046</v>
      </c>
      <c r="F3549" s="1">
        <v>8</v>
      </c>
      <c r="G3549" s="1">
        <v>8</v>
      </c>
      <c r="H3549" s="1">
        <v>0</v>
      </c>
      <c r="I3549" s="1">
        <v>285</v>
      </c>
      <c r="J3549" s="1">
        <v>277</v>
      </c>
      <c r="K3549" s="1">
        <v>8</v>
      </c>
    </row>
    <row r="3550" spans="3:11" x14ac:dyDescent="0.25">
      <c r="C3550" s="1" t="s">
        <v>1550</v>
      </c>
      <c r="D3550" s="1" t="s">
        <v>1551</v>
      </c>
      <c r="E3550" s="1" t="s">
        <v>1552</v>
      </c>
      <c r="F3550" s="1">
        <v>8</v>
      </c>
      <c r="G3550" s="1">
        <v>8</v>
      </c>
      <c r="H3550" s="1">
        <v>0</v>
      </c>
      <c r="I3550" s="1">
        <v>205</v>
      </c>
      <c r="J3550" s="1">
        <v>197</v>
      </c>
      <c r="K3550" s="1">
        <v>8</v>
      </c>
    </row>
    <row r="3551" spans="3:11" x14ac:dyDescent="0.25">
      <c r="C3551" s="1" t="s">
        <v>11208</v>
      </c>
      <c r="D3551" s="1" t="s">
        <v>11209</v>
      </c>
      <c r="E3551" s="1" t="s">
        <v>11210</v>
      </c>
      <c r="F3551" s="1">
        <v>8</v>
      </c>
      <c r="G3551" s="1">
        <v>8</v>
      </c>
      <c r="H3551" s="1">
        <v>0</v>
      </c>
      <c r="I3551" s="1">
        <v>195</v>
      </c>
      <c r="J3551" s="1">
        <v>187</v>
      </c>
      <c r="K3551" s="1">
        <v>8</v>
      </c>
    </row>
    <row r="3552" spans="3:11" x14ac:dyDescent="0.25">
      <c r="C3552" s="1" t="s">
        <v>3287</v>
      </c>
      <c r="D3552" s="1" t="s">
        <v>3288</v>
      </c>
      <c r="E3552" s="1" t="s">
        <v>3289</v>
      </c>
      <c r="F3552" s="1">
        <v>8</v>
      </c>
      <c r="G3552" s="1">
        <v>8</v>
      </c>
      <c r="H3552" s="1">
        <v>0</v>
      </c>
      <c r="I3552" s="1">
        <v>131</v>
      </c>
      <c r="J3552" s="1">
        <v>123</v>
      </c>
      <c r="K3552" s="1">
        <v>8</v>
      </c>
    </row>
    <row r="3553" spans="3:11" x14ac:dyDescent="0.25">
      <c r="C3553" s="1" t="s">
        <v>11211</v>
      </c>
      <c r="D3553" s="1" t="s">
        <v>11212</v>
      </c>
      <c r="E3553" s="1" t="s">
        <v>11213</v>
      </c>
      <c r="F3553" s="1">
        <v>8</v>
      </c>
      <c r="G3553" s="1">
        <v>8</v>
      </c>
      <c r="H3553" s="1">
        <v>0</v>
      </c>
      <c r="I3553" s="1">
        <v>121</v>
      </c>
      <c r="J3553" s="1">
        <v>113</v>
      </c>
      <c r="K3553" s="1">
        <v>8</v>
      </c>
    </row>
    <row r="3554" spans="3:11" x14ac:dyDescent="0.25">
      <c r="C3554" s="1" t="s">
        <v>2238</v>
      </c>
      <c r="D3554" s="1" t="s">
        <v>2231</v>
      </c>
      <c r="E3554" s="1" t="s">
        <v>2239</v>
      </c>
      <c r="F3554" s="1">
        <v>8</v>
      </c>
      <c r="G3554" s="1">
        <v>8</v>
      </c>
      <c r="H3554" s="1">
        <v>0</v>
      </c>
      <c r="I3554" s="1">
        <v>119</v>
      </c>
      <c r="J3554" s="1">
        <v>111</v>
      </c>
      <c r="K3554" s="1">
        <v>8</v>
      </c>
    </row>
    <row r="3555" spans="3:11" x14ac:dyDescent="0.25">
      <c r="C3555" s="1" t="s">
        <v>11214</v>
      </c>
      <c r="D3555" s="1" t="s">
        <v>11215</v>
      </c>
      <c r="E3555" s="1" t="s">
        <v>11216</v>
      </c>
      <c r="F3555" s="1">
        <v>8</v>
      </c>
      <c r="G3555" s="1">
        <v>8</v>
      </c>
      <c r="H3555" s="1">
        <v>0</v>
      </c>
      <c r="I3555" s="1">
        <v>108</v>
      </c>
      <c r="J3555" s="1">
        <v>100</v>
      </c>
      <c r="K3555" s="1">
        <v>8</v>
      </c>
    </row>
    <row r="3556" spans="3:11" x14ac:dyDescent="0.25">
      <c r="C3556" s="1" t="s">
        <v>11217</v>
      </c>
      <c r="D3556" s="1" t="s">
        <v>11218</v>
      </c>
      <c r="E3556" s="1" t="s">
        <v>11219</v>
      </c>
      <c r="F3556" s="1">
        <v>8</v>
      </c>
      <c r="G3556" s="1">
        <v>8</v>
      </c>
      <c r="H3556" s="1">
        <v>0</v>
      </c>
      <c r="I3556" s="1">
        <v>88</v>
      </c>
      <c r="J3556" s="1">
        <v>80</v>
      </c>
      <c r="K3556" s="1">
        <v>8</v>
      </c>
    </row>
    <row r="3557" spans="3:11" x14ac:dyDescent="0.25">
      <c r="C3557" s="1" t="s">
        <v>11220</v>
      </c>
      <c r="D3557" s="1" t="s">
        <v>11221</v>
      </c>
      <c r="E3557" s="1" t="s">
        <v>11222</v>
      </c>
      <c r="F3557" s="1">
        <v>8</v>
      </c>
      <c r="G3557" s="1">
        <v>8</v>
      </c>
      <c r="H3557" s="1">
        <v>0</v>
      </c>
      <c r="I3557" s="1">
        <v>84</v>
      </c>
      <c r="J3557" s="1">
        <v>76</v>
      </c>
      <c r="K3557" s="1">
        <v>8</v>
      </c>
    </row>
    <row r="3558" spans="3:11" x14ac:dyDescent="0.25">
      <c r="C3558" s="1" t="s">
        <v>11223</v>
      </c>
      <c r="D3558" s="1" t="s">
        <v>11224</v>
      </c>
      <c r="E3558" s="1" t="s">
        <v>11225</v>
      </c>
      <c r="F3558" s="1">
        <v>8</v>
      </c>
      <c r="G3558" s="1">
        <v>8</v>
      </c>
      <c r="H3558" s="1">
        <v>0</v>
      </c>
      <c r="I3558" s="1">
        <v>70</v>
      </c>
      <c r="J3558" s="1">
        <v>62</v>
      </c>
      <c r="K3558" s="1">
        <v>8</v>
      </c>
    </row>
    <row r="3559" spans="3:11" x14ac:dyDescent="0.25">
      <c r="C3559" s="1" t="s">
        <v>3674</v>
      </c>
      <c r="D3559" s="1" t="s">
        <v>3675</v>
      </c>
      <c r="E3559" s="1" t="s">
        <v>3676</v>
      </c>
      <c r="F3559" s="1">
        <v>8</v>
      </c>
      <c r="G3559" s="1">
        <v>8</v>
      </c>
      <c r="H3559" s="1">
        <v>0</v>
      </c>
      <c r="I3559" s="1">
        <v>53</v>
      </c>
      <c r="J3559" s="1">
        <v>45</v>
      </c>
      <c r="K3559" s="1">
        <v>8</v>
      </c>
    </row>
    <row r="3560" spans="3:11" x14ac:dyDescent="0.25">
      <c r="C3560" s="1" t="s">
        <v>3684</v>
      </c>
      <c r="D3560" s="1" t="s">
        <v>3685</v>
      </c>
      <c r="E3560" s="1" t="s">
        <v>3686</v>
      </c>
      <c r="F3560" s="1">
        <v>8</v>
      </c>
      <c r="G3560" s="1">
        <v>8</v>
      </c>
      <c r="H3560" s="1">
        <v>0</v>
      </c>
      <c r="I3560" s="1">
        <v>47</v>
      </c>
      <c r="J3560" s="1">
        <v>39</v>
      </c>
      <c r="K3560" s="1">
        <v>8</v>
      </c>
    </row>
    <row r="3561" spans="3:11" x14ac:dyDescent="0.25">
      <c r="C3561" s="1" t="s">
        <v>1894</v>
      </c>
      <c r="D3561" s="1" t="s">
        <v>1895</v>
      </c>
      <c r="E3561" s="1" t="s">
        <v>1896</v>
      </c>
      <c r="F3561" s="1">
        <v>8</v>
      </c>
      <c r="G3561" s="1">
        <v>8</v>
      </c>
      <c r="H3561" s="1">
        <v>0</v>
      </c>
      <c r="I3561" s="1">
        <v>47</v>
      </c>
      <c r="J3561" s="1">
        <v>39</v>
      </c>
      <c r="K3561" s="1">
        <v>8</v>
      </c>
    </row>
    <row r="3562" spans="3:11" x14ac:dyDescent="0.25">
      <c r="C3562" s="1" t="s">
        <v>11226</v>
      </c>
      <c r="D3562" s="1" t="s">
        <v>11227</v>
      </c>
      <c r="E3562" s="1" t="s">
        <v>11228</v>
      </c>
      <c r="F3562" s="1">
        <v>8</v>
      </c>
      <c r="G3562" s="1">
        <v>8</v>
      </c>
      <c r="H3562" s="1">
        <v>0</v>
      </c>
      <c r="I3562" s="1">
        <v>41</v>
      </c>
      <c r="J3562" s="1">
        <v>33</v>
      </c>
      <c r="K3562" s="1">
        <v>8</v>
      </c>
    </row>
    <row r="3563" spans="3:11" x14ac:dyDescent="0.25">
      <c r="C3563" s="1" t="s">
        <v>3735</v>
      </c>
      <c r="D3563" s="1" t="s">
        <v>3736</v>
      </c>
      <c r="E3563" s="1" t="s">
        <v>3737</v>
      </c>
      <c r="F3563" s="1">
        <v>8</v>
      </c>
      <c r="G3563" s="1">
        <v>8</v>
      </c>
      <c r="H3563" s="1">
        <v>0</v>
      </c>
      <c r="I3563" s="1">
        <v>41</v>
      </c>
      <c r="J3563" s="1">
        <v>33</v>
      </c>
      <c r="K3563" s="1">
        <v>8</v>
      </c>
    </row>
    <row r="3564" spans="3:11" x14ac:dyDescent="0.25">
      <c r="C3564" s="1" t="s">
        <v>11229</v>
      </c>
      <c r="D3564" s="1" t="s">
        <v>11230</v>
      </c>
      <c r="E3564" s="1" t="s">
        <v>11231</v>
      </c>
      <c r="F3564" s="1">
        <v>8</v>
      </c>
      <c r="G3564" s="1">
        <v>8</v>
      </c>
      <c r="H3564" s="1">
        <v>0</v>
      </c>
      <c r="I3564" s="1">
        <v>39</v>
      </c>
      <c r="J3564" s="1">
        <v>31</v>
      </c>
      <c r="K3564" s="1">
        <v>8</v>
      </c>
    </row>
    <row r="3565" spans="3:11" x14ac:dyDescent="0.25">
      <c r="C3565" s="1" t="s">
        <v>11232</v>
      </c>
      <c r="D3565" s="1" t="s">
        <v>11233</v>
      </c>
      <c r="E3565" s="1" t="s">
        <v>11234</v>
      </c>
      <c r="F3565" s="1">
        <v>8</v>
      </c>
      <c r="G3565" s="1">
        <v>8</v>
      </c>
      <c r="H3565" s="1">
        <v>0</v>
      </c>
      <c r="I3565" s="1">
        <v>36</v>
      </c>
      <c r="J3565" s="1">
        <v>28</v>
      </c>
      <c r="K3565" s="1">
        <v>8</v>
      </c>
    </row>
    <row r="3566" spans="3:11" x14ac:dyDescent="0.25">
      <c r="C3566" s="1" t="s">
        <v>1920</v>
      </c>
      <c r="D3566" s="1" t="s">
        <v>1921</v>
      </c>
      <c r="E3566" s="1" t="s">
        <v>1922</v>
      </c>
      <c r="F3566" s="1">
        <v>8</v>
      </c>
      <c r="G3566" s="1">
        <v>8</v>
      </c>
      <c r="H3566" s="1">
        <v>0</v>
      </c>
      <c r="I3566" s="1">
        <v>30</v>
      </c>
      <c r="J3566" s="1">
        <v>22</v>
      </c>
      <c r="K3566" s="1">
        <v>8</v>
      </c>
    </row>
    <row r="3567" spans="3:11" x14ac:dyDescent="0.25">
      <c r="C3567" s="1" t="s">
        <v>11235</v>
      </c>
      <c r="D3567" s="1" t="s">
        <v>11236</v>
      </c>
      <c r="E3567" s="1" t="s">
        <v>11237</v>
      </c>
      <c r="F3567" s="1">
        <v>8</v>
      </c>
      <c r="G3567" s="1">
        <v>8</v>
      </c>
      <c r="H3567" s="1">
        <v>0</v>
      </c>
      <c r="I3567" s="1">
        <v>25</v>
      </c>
      <c r="J3567" s="1">
        <v>17</v>
      </c>
      <c r="K3567" s="1">
        <v>8</v>
      </c>
    </row>
    <row r="3568" spans="3:11" x14ac:dyDescent="0.25">
      <c r="C3568" s="1" t="s">
        <v>3984</v>
      </c>
      <c r="D3568" s="1" t="s">
        <v>496</v>
      </c>
      <c r="E3568" s="1" t="s">
        <v>3985</v>
      </c>
      <c r="F3568" s="1">
        <v>8</v>
      </c>
      <c r="G3568" s="1">
        <v>8</v>
      </c>
      <c r="H3568" s="1">
        <v>0</v>
      </c>
      <c r="I3568" s="1">
        <v>20</v>
      </c>
      <c r="J3568" s="1">
        <v>12</v>
      </c>
      <c r="K3568" s="1">
        <v>8</v>
      </c>
    </row>
    <row r="3569" spans="3:11" x14ac:dyDescent="0.25">
      <c r="C3569" s="1" t="s">
        <v>11238</v>
      </c>
      <c r="D3569" s="1" t="s">
        <v>11239</v>
      </c>
      <c r="E3569" s="1" t="s">
        <v>11238</v>
      </c>
      <c r="F3569" s="1">
        <v>8</v>
      </c>
      <c r="G3569" s="1">
        <v>8</v>
      </c>
      <c r="H3569" s="1">
        <v>0</v>
      </c>
      <c r="I3569" s="1">
        <v>16</v>
      </c>
      <c r="J3569" s="1">
        <v>8</v>
      </c>
      <c r="K3569" s="1">
        <v>8</v>
      </c>
    </row>
    <row r="3570" spans="3:11" x14ac:dyDescent="0.25">
      <c r="C3570" s="1" t="s">
        <v>2121</v>
      </c>
      <c r="D3570" s="1" t="s">
        <v>2122</v>
      </c>
      <c r="E3570" s="1" t="s">
        <v>2123</v>
      </c>
      <c r="F3570" s="1">
        <v>8</v>
      </c>
      <c r="G3570" s="1">
        <v>8</v>
      </c>
      <c r="H3570" s="1">
        <v>0</v>
      </c>
      <c r="I3570" s="1">
        <v>16</v>
      </c>
      <c r="J3570" s="1">
        <v>8</v>
      </c>
      <c r="K3570" s="1">
        <v>8</v>
      </c>
    </row>
    <row r="3571" spans="3:11" x14ac:dyDescent="0.25">
      <c r="D3571" s="1" t="s">
        <v>11240</v>
      </c>
      <c r="E3571" s="1" t="s">
        <v>11241</v>
      </c>
      <c r="F3571" s="1">
        <v>8</v>
      </c>
      <c r="G3571" s="1">
        <v>8</v>
      </c>
      <c r="H3571" s="1">
        <v>0</v>
      </c>
      <c r="I3571" s="1">
        <v>13</v>
      </c>
      <c r="J3571" s="1">
        <v>5</v>
      </c>
      <c r="K3571" s="1">
        <v>8</v>
      </c>
    </row>
    <row r="3572" spans="3:11" x14ac:dyDescent="0.25">
      <c r="C3572" s="1" t="s">
        <v>11242</v>
      </c>
      <c r="D3572" s="1" t="s">
        <v>11243</v>
      </c>
      <c r="E3572" s="1" t="s">
        <v>11244</v>
      </c>
      <c r="F3572" s="1">
        <v>8</v>
      </c>
      <c r="G3572" s="1">
        <v>8</v>
      </c>
      <c r="H3572" s="1">
        <v>0</v>
      </c>
      <c r="I3572" s="1">
        <v>8</v>
      </c>
      <c r="J3572" s="1">
        <v>0</v>
      </c>
      <c r="K3572" s="1">
        <v>8</v>
      </c>
    </row>
    <row r="3573" spans="3:11" x14ac:dyDescent="0.25">
      <c r="C3573" s="1" t="s">
        <v>11245</v>
      </c>
      <c r="D3573" s="1" t="s">
        <v>11246</v>
      </c>
      <c r="E3573" s="1" t="s">
        <v>11247</v>
      </c>
      <c r="F3573" s="1">
        <v>8</v>
      </c>
      <c r="G3573" s="1">
        <v>8</v>
      </c>
      <c r="H3573" s="1">
        <v>0</v>
      </c>
      <c r="I3573" s="1">
        <v>8</v>
      </c>
      <c r="J3573" s="1">
        <v>0</v>
      </c>
      <c r="K3573" s="1">
        <v>8</v>
      </c>
    </row>
    <row r="3574" spans="3:11" x14ac:dyDescent="0.25">
      <c r="C3574" s="1" t="s">
        <v>11248</v>
      </c>
      <c r="D3574" s="1" t="s">
        <v>11249</v>
      </c>
      <c r="E3574" s="1" t="s">
        <v>11250</v>
      </c>
      <c r="F3574" s="1">
        <v>9</v>
      </c>
      <c r="G3574" s="1">
        <v>9</v>
      </c>
      <c r="H3574" s="1">
        <v>0</v>
      </c>
      <c r="I3574" s="1">
        <v>2351</v>
      </c>
      <c r="J3574" s="1">
        <v>2342</v>
      </c>
      <c r="K3574" s="1">
        <v>9</v>
      </c>
    </row>
    <row r="3575" spans="3:11" x14ac:dyDescent="0.25">
      <c r="C3575" s="1" t="s">
        <v>1024</v>
      </c>
      <c r="D3575" s="1" t="s">
        <v>73</v>
      </c>
      <c r="E3575" s="1" t="s">
        <v>1025</v>
      </c>
      <c r="F3575" s="1">
        <v>9</v>
      </c>
      <c r="G3575" s="1">
        <v>9</v>
      </c>
      <c r="H3575" s="1">
        <v>0</v>
      </c>
      <c r="I3575" s="1">
        <v>1769</v>
      </c>
      <c r="J3575" s="1">
        <v>1760</v>
      </c>
      <c r="K3575" s="1">
        <v>9</v>
      </c>
    </row>
    <row r="3576" spans="3:11" x14ac:dyDescent="0.25">
      <c r="C3576" s="1" t="s">
        <v>1199</v>
      </c>
      <c r="D3576" s="1" t="s">
        <v>110</v>
      </c>
      <c r="E3576" s="1" t="s">
        <v>1200</v>
      </c>
      <c r="F3576" s="1">
        <v>9</v>
      </c>
      <c r="G3576" s="1">
        <v>9</v>
      </c>
      <c r="H3576" s="1">
        <v>0</v>
      </c>
      <c r="I3576" s="1">
        <v>983</v>
      </c>
      <c r="J3576" s="1">
        <v>974</v>
      </c>
      <c r="K3576" s="1">
        <v>9</v>
      </c>
    </row>
    <row r="3577" spans="3:11" x14ac:dyDescent="0.25">
      <c r="C3577" s="1" t="s">
        <v>2751</v>
      </c>
      <c r="D3577" s="1" t="s">
        <v>844</v>
      </c>
      <c r="E3577" s="1" t="s">
        <v>2752</v>
      </c>
      <c r="F3577" s="1">
        <v>9</v>
      </c>
      <c r="G3577" s="1">
        <v>9</v>
      </c>
      <c r="H3577" s="1">
        <v>0</v>
      </c>
      <c r="I3577" s="1">
        <v>728</v>
      </c>
      <c r="J3577" s="1">
        <v>719</v>
      </c>
      <c r="K3577" s="1">
        <v>9</v>
      </c>
    </row>
    <row r="3578" spans="3:11" x14ac:dyDescent="0.25">
      <c r="C3578" s="1" t="s">
        <v>11251</v>
      </c>
      <c r="D3578" s="1" t="s">
        <v>11252</v>
      </c>
      <c r="E3578" s="1" t="s">
        <v>11253</v>
      </c>
      <c r="F3578" s="1">
        <v>9</v>
      </c>
      <c r="G3578" s="1">
        <v>9</v>
      </c>
      <c r="H3578" s="1">
        <v>0</v>
      </c>
      <c r="I3578" s="1">
        <v>662</v>
      </c>
      <c r="J3578" s="1">
        <v>653</v>
      </c>
      <c r="K3578" s="1">
        <v>9</v>
      </c>
    </row>
    <row r="3579" spans="3:11" x14ac:dyDescent="0.25">
      <c r="C3579" s="1" t="s">
        <v>1211</v>
      </c>
      <c r="D3579" s="1" t="s">
        <v>1212</v>
      </c>
      <c r="E3579" s="1" t="s">
        <v>1213</v>
      </c>
      <c r="F3579" s="1">
        <v>9</v>
      </c>
      <c r="G3579" s="1">
        <v>9</v>
      </c>
      <c r="H3579" s="1">
        <v>0</v>
      </c>
      <c r="I3579" s="1">
        <v>652</v>
      </c>
      <c r="J3579" s="1">
        <v>643</v>
      </c>
      <c r="K3579" s="1">
        <v>9</v>
      </c>
    </row>
    <row r="3580" spans="3:11" x14ac:dyDescent="0.25">
      <c r="C3580" s="1" t="s">
        <v>11254</v>
      </c>
      <c r="D3580" s="1" t="s">
        <v>11255</v>
      </c>
      <c r="E3580" s="1" t="s">
        <v>11256</v>
      </c>
      <c r="F3580" s="1">
        <v>9</v>
      </c>
      <c r="G3580" s="1">
        <v>9</v>
      </c>
      <c r="H3580" s="1">
        <v>0</v>
      </c>
      <c r="I3580" s="1">
        <v>617</v>
      </c>
      <c r="J3580" s="1">
        <v>608</v>
      </c>
      <c r="K3580" s="1">
        <v>9</v>
      </c>
    </row>
    <row r="3581" spans="3:11" x14ac:dyDescent="0.25">
      <c r="C3581" s="1" t="s">
        <v>2956</v>
      </c>
      <c r="D3581" s="1" t="s">
        <v>2957</v>
      </c>
      <c r="E3581" s="1" t="s">
        <v>2958</v>
      </c>
      <c r="F3581" s="1">
        <v>9</v>
      </c>
      <c r="G3581" s="1">
        <v>9</v>
      </c>
      <c r="H3581" s="1">
        <v>0</v>
      </c>
      <c r="I3581" s="1">
        <v>393</v>
      </c>
      <c r="J3581" s="1">
        <v>384</v>
      </c>
      <c r="K3581" s="1">
        <v>9</v>
      </c>
    </row>
    <row r="3582" spans="3:11" x14ac:dyDescent="0.25">
      <c r="C3582" s="1" t="s">
        <v>1420</v>
      </c>
      <c r="D3582" s="1" t="s">
        <v>1421</v>
      </c>
      <c r="E3582" s="1" t="s">
        <v>1422</v>
      </c>
      <c r="F3582" s="1">
        <v>9</v>
      </c>
      <c r="G3582" s="1">
        <v>9</v>
      </c>
      <c r="H3582" s="1">
        <v>0</v>
      </c>
      <c r="I3582" s="1">
        <v>372</v>
      </c>
      <c r="J3582" s="1">
        <v>363</v>
      </c>
      <c r="K3582" s="1">
        <v>9</v>
      </c>
    </row>
    <row r="3583" spans="3:11" x14ac:dyDescent="0.25">
      <c r="C3583" s="1" t="s">
        <v>11257</v>
      </c>
      <c r="D3583" s="1" t="s">
        <v>11258</v>
      </c>
      <c r="E3583" s="1" t="s">
        <v>11259</v>
      </c>
      <c r="F3583" s="1">
        <v>9</v>
      </c>
      <c r="G3583" s="1">
        <v>9</v>
      </c>
      <c r="H3583" s="1">
        <v>0</v>
      </c>
      <c r="I3583" s="1">
        <v>362</v>
      </c>
      <c r="J3583" s="1">
        <v>353</v>
      </c>
      <c r="K3583" s="1">
        <v>9</v>
      </c>
    </row>
    <row r="3584" spans="3:11" x14ac:dyDescent="0.25">
      <c r="C3584" s="1" t="s">
        <v>11260</v>
      </c>
      <c r="D3584" s="1" t="s">
        <v>11261</v>
      </c>
      <c r="E3584" s="1" t="s">
        <v>11262</v>
      </c>
      <c r="F3584" s="1">
        <v>9</v>
      </c>
      <c r="G3584" s="1">
        <v>9</v>
      </c>
      <c r="H3584" s="1">
        <v>0</v>
      </c>
      <c r="I3584" s="1">
        <v>290</v>
      </c>
      <c r="J3584" s="1">
        <v>281</v>
      </c>
      <c r="K3584" s="1">
        <v>9</v>
      </c>
    </row>
    <row r="3585" spans="3:11" x14ac:dyDescent="0.25">
      <c r="C3585" s="1" t="s">
        <v>3068</v>
      </c>
      <c r="D3585" s="1" t="s">
        <v>850</v>
      </c>
      <c r="E3585" s="1" t="s">
        <v>3069</v>
      </c>
      <c r="F3585" s="1">
        <v>9</v>
      </c>
      <c r="G3585" s="1">
        <v>9</v>
      </c>
      <c r="H3585" s="1">
        <v>0</v>
      </c>
      <c r="I3585" s="1">
        <v>264</v>
      </c>
      <c r="J3585" s="1">
        <v>255</v>
      </c>
      <c r="K3585" s="1">
        <v>9</v>
      </c>
    </row>
    <row r="3586" spans="3:11" x14ac:dyDescent="0.25">
      <c r="C3586" s="1" t="s">
        <v>11263</v>
      </c>
      <c r="D3586" s="1" t="s">
        <v>11264</v>
      </c>
      <c r="E3586" s="1" t="s">
        <v>11265</v>
      </c>
      <c r="F3586" s="1">
        <v>9</v>
      </c>
      <c r="G3586" s="1">
        <v>9</v>
      </c>
      <c r="H3586" s="1">
        <v>0</v>
      </c>
      <c r="I3586" s="1">
        <v>134</v>
      </c>
      <c r="J3586" s="1">
        <v>125</v>
      </c>
      <c r="K3586" s="1">
        <v>9</v>
      </c>
    </row>
    <row r="3587" spans="3:11" x14ac:dyDescent="0.25">
      <c r="C3587" s="1" t="s">
        <v>11266</v>
      </c>
      <c r="D3587" s="1" t="s">
        <v>11267</v>
      </c>
      <c r="E3587" s="1" t="s">
        <v>11268</v>
      </c>
      <c r="F3587" s="1">
        <v>9</v>
      </c>
      <c r="G3587" s="1">
        <v>9</v>
      </c>
      <c r="H3587" s="1">
        <v>0</v>
      </c>
      <c r="I3587" s="1">
        <v>131</v>
      </c>
      <c r="J3587" s="1">
        <v>122</v>
      </c>
      <c r="K3587" s="1">
        <v>9</v>
      </c>
    </row>
    <row r="3588" spans="3:11" x14ac:dyDescent="0.25">
      <c r="C3588" s="1" t="s">
        <v>1725</v>
      </c>
      <c r="D3588" s="1" t="s">
        <v>1726</v>
      </c>
      <c r="E3588" s="1" t="s">
        <v>1727</v>
      </c>
      <c r="F3588" s="1">
        <v>9</v>
      </c>
      <c r="G3588" s="1">
        <v>9</v>
      </c>
      <c r="H3588" s="1">
        <v>0</v>
      </c>
      <c r="I3588" s="1">
        <v>130</v>
      </c>
      <c r="J3588" s="1">
        <v>121</v>
      </c>
      <c r="K3588" s="1">
        <v>9</v>
      </c>
    </row>
    <row r="3589" spans="3:11" x14ac:dyDescent="0.25">
      <c r="C3589" s="1" t="s">
        <v>11269</v>
      </c>
      <c r="D3589" s="1" t="s">
        <v>11270</v>
      </c>
      <c r="E3589" s="1" t="s">
        <v>11271</v>
      </c>
      <c r="F3589" s="1">
        <v>9</v>
      </c>
      <c r="G3589" s="1">
        <v>9</v>
      </c>
      <c r="H3589" s="1">
        <v>0</v>
      </c>
      <c r="I3589" s="1">
        <v>122</v>
      </c>
      <c r="J3589" s="1">
        <v>113</v>
      </c>
      <c r="K3589" s="1">
        <v>9</v>
      </c>
    </row>
    <row r="3590" spans="3:11" x14ac:dyDescent="0.25">
      <c r="C3590" s="1" t="s">
        <v>3327</v>
      </c>
      <c r="D3590" s="1" t="s">
        <v>822</v>
      </c>
      <c r="E3590" s="1" t="s">
        <v>3328</v>
      </c>
      <c r="F3590" s="1">
        <v>9</v>
      </c>
      <c r="G3590" s="1">
        <v>9</v>
      </c>
      <c r="H3590" s="1">
        <v>0</v>
      </c>
      <c r="I3590" s="1">
        <v>118</v>
      </c>
      <c r="J3590" s="1">
        <v>109</v>
      </c>
      <c r="K3590" s="1">
        <v>9</v>
      </c>
    </row>
    <row r="3591" spans="3:11" x14ac:dyDescent="0.25">
      <c r="C3591" s="1" t="s">
        <v>3364</v>
      </c>
      <c r="D3591" s="1" t="s">
        <v>2153</v>
      </c>
      <c r="E3591" s="1" t="s">
        <v>3365</v>
      </c>
      <c r="F3591" s="1">
        <v>9</v>
      </c>
      <c r="G3591" s="1">
        <v>9</v>
      </c>
      <c r="H3591" s="1">
        <v>0</v>
      </c>
      <c r="I3591" s="1">
        <v>105</v>
      </c>
      <c r="J3591" s="1">
        <v>96</v>
      </c>
      <c r="K3591" s="1">
        <v>9</v>
      </c>
    </row>
    <row r="3592" spans="3:11" x14ac:dyDescent="0.25">
      <c r="C3592" s="1" t="s">
        <v>3423</v>
      </c>
      <c r="D3592" s="1" t="s">
        <v>3424</v>
      </c>
      <c r="E3592" s="1" t="s">
        <v>3425</v>
      </c>
      <c r="F3592" s="1">
        <v>9</v>
      </c>
      <c r="G3592" s="1">
        <v>9</v>
      </c>
      <c r="H3592" s="1">
        <v>0</v>
      </c>
      <c r="I3592" s="1">
        <v>95</v>
      </c>
      <c r="J3592" s="1">
        <v>86</v>
      </c>
      <c r="K3592" s="1">
        <v>9</v>
      </c>
    </row>
    <row r="3593" spans="3:11" x14ac:dyDescent="0.25">
      <c r="C3593" s="1" t="s">
        <v>1944</v>
      </c>
      <c r="D3593" s="1" t="s">
        <v>1945</v>
      </c>
      <c r="E3593" s="1" t="s">
        <v>1946</v>
      </c>
      <c r="F3593" s="1">
        <v>9</v>
      </c>
      <c r="G3593" s="1">
        <v>9</v>
      </c>
      <c r="H3593" s="1">
        <v>0</v>
      </c>
      <c r="I3593" s="1">
        <v>73</v>
      </c>
      <c r="J3593" s="1">
        <v>64</v>
      </c>
      <c r="K3593" s="1">
        <v>9</v>
      </c>
    </row>
    <row r="3594" spans="3:11" x14ac:dyDescent="0.25">
      <c r="C3594" s="1" t="s">
        <v>2207</v>
      </c>
      <c r="D3594" s="1" t="s">
        <v>1818</v>
      </c>
      <c r="E3594" s="1" t="s">
        <v>2208</v>
      </c>
      <c r="F3594" s="1">
        <v>9</v>
      </c>
      <c r="G3594" s="1">
        <v>9</v>
      </c>
      <c r="H3594" s="1">
        <v>0</v>
      </c>
      <c r="I3594" s="1">
        <v>58</v>
      </c>
      <c r="J3594" s="1">
        <v>49</v>
      </c>
      <c r="K3594" s="1">
        <v>9</v>
      </c>
    </row>
    <row r="3595" spans="3:11" x14ac:dyDescent="0.25">
      <c r="C3595" s="1" t="s">
        <v>1830</v>
      </c>
      <c r="D3595" s="1" t="s">
        <v>185</v>
      </c>
      <c r="E3595" s="1" t="s">
        <v>1831</v>
      </c>
      <c r="F3595" s="1">
        <v>9</v>
      </c>
      <c r="G3595" s="1">
        <v>9</v>
      </c>
      <c r="H3595" s="1">
        <v>0</v>
      </c>
      <c r="I3595" s="1">
        <v>55</v>
      </c>
      <c r="J3595" s="1">
        <v>46</v>
      </c>
      <c r="K3595" s="1">
        <v>9</v>
      </c>
    </row>
    <row r="3596" spans="3:11" x14ac:dyDescent="0.25">
      <c r="C3596" s="1" t="s">
        <v>11272</v>
      </c>
      <c r="D3596" s="1" t="s">
        <v>11273</v>
      </c>
      <c r="E3596" s="1" t="s">
        <v>11274</v>
      </c>
      <c r="F3596" s="1">
        <v>9</v>
      </c>
      <c r="G3596" s="1">
        <v>9</v>
      </c>
      <c r="H3596" s="1">
        <v>0</v>
      </c>
      <c r="I3596" s="1">
        <v>41</v>
      </c>
      <c r="J3596" s="1">
        <v>32</v>
      </c>
      <c r="K3596" s="1">
        <v>9</v>
      </c>
    </row>
    <row r="3597" spans="3:11" x14ac:dyDescent="0.25">
      <c r="C3597" s="1" t="s">
        <v>11275</v>
      </c>
      <c r="D3597" s="1" t="s">
        <v>11276</v>
      </c>
      <c r="E3597" s="1" t="s">
        <v>11277</v>
      </c>
      <c r="F3597" s="1">
        <v>9</v>
      </c>
      <c r="G3597" s="1">
        <v>9</v>
      </c>
      <c r="H3597" s="1">
        <v>0</v>
      </c>
      <c r="I3597" s="1">
        <v>35</v>
      </c>
      <c r="J3597" s="1">
        <v>26</v>
      </c>
      <c r="K3597" s="1">
        <v>9</v>
      </c>
    </row>
    <row r="3598" spans="3:11" x14ac:dyDescent="0.25">
      <c r="C3598" s="1" t="s">
        <v>11278</v>
      </c>
      <c r="D3598" s="1" t="s">
        <v>11279</v>
      </c>
      <c r="E3598" s="1" t="s">
        <v>11280</v>
      </c>
      <c r="F3598" s="1">
        <v>9</v>
      </c>
      <c r="G3598" s="1">
        <v>9</v>
      </c>
      <c r="H3598" s="1">
        <v>0</v>
      </c>
      <c r="I3598" s="1">
        <v>33</v>
      </c>
      <c r="J3598" s="1">
        <v>24</v>
      </c>
      <c r="K3598" s="1">
        <v>9</v>
      </c>
    </row>
    <row r="3599" spans="3:11" x14ac:dyDescent="0.25">
      <c r="C3599" s="1" t="s">
        <v>3953</v>
      </c>
      <c r="D3599" s="1" t="s">
        <v>3954</v>
      </c>
      <c r="E3599" s="1" t="s">
        <v>3955</v>
      </c>
      <c r="F3599" s="1">
        <v>9</v>
      </c>
      <c r="G3599" s="1">
        <v>9</v>
      </c>
      <c r="H3599" s="1">
        <v>0</v>
      </c>
      <c r="I3599" s="1">
        <v>22</v>
      </c>
      <c r="J3599" s="1">
        <v>13</v>
      </c>
      <c r="K3599" s="1">
        <v>9</v>
      </c>
    </row>
    <row r="3600" spans="3:11" x14ac:dyDescent="0.25">
      <c r="C3600" s="1" t="s">
        <v>11281</v>
      </c>
      <c r="D3600" s="1" t="s">
        <v>11282</v>
      </c>
      <c r="E3600" s="1" t="s">
        <v>11283</v>
      </c>
      <c r="F3600" s="1">
        <v>9</v>
      </c>
      <c r="G3600" s="1">
        <v>9</v>
      </c>
      <c r="H3600" s="1">
        <v>0</v>
      </c>
      <c r="I3600" s="1">
        <v>17</v>
      </c>
      <c r="J3600" s="1">
        <v>8</v>
      </c>
      <c r="K3600" s="1">
        <v>9</v>
      </c>
    </row>
    <row r="3601" spans="3:11" x14ac:dyDescent="0.25">
      <c r="C3601" s="1" t="s">
        <v>11284</v>
      </c>
      <c r="D3601" s="1" t="s">
        <v>11285</v>
      </c>
      <c r="E3601" s="1" t="s">
        <v>11286</v>
      </c>
      <c r="F3601" s="1">
        <v>9</v>
      </c>
      <c r="G3601" s="1">
        <v>9</v>
      </c>
      <c r="H3601" s="1">
        <v>0</v>
      </c>
      <c r="I3601" s="1">
        <v>14</v>
      </c>
      <c r="J3601" s="1">
        <v>5</v>
      </c>
      <c r="K3601" s="1">
        <v>9</v>
      </c>
    </row>
    <row r="3602" spans="3:11" x14ac:dyDescent="0.25">
      <c r="C3602" s="1" t="s">
        <v>11287</v>
      </c>
      <c r="D3602" s="1" t="s">
        <v>11288</v>
      </c>
      <c r="E3602" s="1" t="s">
        <v>11289</v>
      </c>
      <c r="F3602" s="1">
        <v>10</v>
      </c>
      <c r="G3602" s="1">
        <v>10</v>
      </c>
      <c r="H3602" s="1">
        <v>0</v>
      </c>
      <c r="I3602" s="1">
        <v>4286</v>
      </c>
      <c r="J3602" s="1">
        <v>4276</v>
      </c>
      <c r="K3602" s="1">
        <v>10</v>
      </c>
    </row>
    <row r="3603" spans="3:11" x14ac:dyDescent="0.25">
      <c r="C3603" s="1" t="s">
        <v>11290</v>
      </c>
      <c r="D3603" s="1" t="s">
        <v>11291</v>
      </c>
      <c r="E3603" s="1" t="s">
        <v>11292</v>
      </c>
      <c r="F3603" s="1">
        <v>10</v>
      </c>
      <c r="G3603" s="1">
        <v>10</v>
      </c>
      <c r="H3603" s="1">
        <v>0</v>
      </c>
      <c r="I3603" s="1">
        <v>2080</v>
      </c>
      <c r="J3603" s="1">
        <v>2070</v>
      </c>
      <c r="K3603" s="1">
        <v>10</v>
      </c>
    </row>
    <row r="3604" spans="3:11" x14ac:dyDescent="0.25">
      <c r="C3604" s="1" t="s">
        <v>2509</v>
      </c>
      <c r="D3604" s="1" t="s">
        <v>640</v>
      </c>
      <c r="E3604" s="1" t="s">
        <v>2510</v>
      </c>
      <c r="F3604" s="1">
        <v>10</v>
      </c>
      <c r="G3604" s="1">
        <v>10</v>
      </c>
      <c r="H3604" s="1">
        <v>0</v>
      </c>
      <c r="I3604" s="1">
        <v>1914</v>
      </c>
      <c r="J3604" s="1">
        <v>1904</v>
      </c>
      <c r="K3604" s="1">
        <v>10</v>
      </c>
    </row>
    <row r="3605" spans="3:11" x14ac:dyDescent="0.25">
      <c r="C3605" s="1" t="s">
        <v>11293</v>
      </c>
      <c r="D3605" s="1" t="s">
        <v>11294</v>
      </c>
      <c r="E3605" s="1" t="s">
        <v>11295</v>
      </c>
      <c r="F3605" s="1">
        <v>10</v>
      </c>
      <c r="G3605" s="1">
        <v>10</v>
      </c>
      <c r="H3605" s="1">
        <v>0</v>
      </c>
      <c r="I3605" s="1">
        <v>1298</v>
      </c>
      <c r="J3605" s="1">
        <v>1288</v>
      </c>
      <c r="K3605" s="1">
        <v>10</v>
      </c>
    </row>
    <row r="3606" spans="3:11" x14ac:dyDescent="0.25">
      <c r="C3606" s="1" t="s">
        <v>2587</v>
      </c>
      <c r="D3606" s="1" t="s">
        <v>2588</v>
      </c>
      <c r="E3606" s="1" t="s">
        <v>2589</v>
      </c>
      <c r="F3606" s="1">
        <v>10</v>
      </c>
      <c r="G3606" s="1">
        <v>10</v>
      </c>
      <c r="H3606" s="1">
        <v>0</v>
      </c>
      <c r="I3606" s="1">
        <v>1298</v>
      </c>
      <c r="J3606" s="1">
        <v>1288</v>
      </c>
      <c r="K3606" s="1">
        <v>10</v>
      </c>
    </row>
    <row r="3607" spans="3:11" x14ac:dyDescent="0.25">
      <c r="C3607" s="1" t="s">
        <v>1088</v>
      </c>
      <c r="D3607" s="1" t="s">
        <v>1089</v>
      </c>
      <c r="E3607" s="1" t="s">
        <v>1090</v>
      </c>
      <c r="F3607" s="1">
        <v>10</v>
      </c>
      <c r="G3607" s="1">
        <v>10</v>
      </c>
      <c r="H3607" s="1">
        <v>0</v>
      </c>
      <c r="I3607" s="1">
        <v>1244</v>
      </c>
      <c r="J3607" s="1">
        <v>1234</v>
      </c>
      <c r="K3607" s="1">
        <v>10</v>
      </c>
    </row>
    <row r="3608" spans="3:11" x14ac:dyDescent="0.25">
      <c r="C3608" s="1" t="s">
        <v>11296</v>
      </c>
      <c r="D3608" s="1" t="s">
        <v>11297</v>
      </c>
      <c r="E3608" s="1" t="s">
        <v>11298</v>
      </c>
      <c r="F3608" s="1">
        <v>10</v>
      </c>
      <c r="G3608" s="1">
        <v>10</v>
      </c>
      <c r="H3608" s="1">
        <v>0</v>
      </c>
      <c r="I3608" s="1">
        <v>1126</v>
      </c>
      <c r="J3608" s="1">
        <v>1116</v>
      </c>
      <c r="K3608" s="1">
        <v>10</v>
      </c>
    </row>
    <row r="3609" spans="3:11" x14ac:dyDescent="0.25">
      <c r="C3609" s="1" t="s">
        <v>2619</v>
      </c>
      <c r="D3609" s="1" t="s">
        <v>650</v>
      </c>
      <c r="E3609" s="1" t="s">
        <v>2620</v>
      </c>
      <c r="F3609" s="1">
        <v>10</v>
      </c>
      <c r="G3609" s="1">
        <v>10</v>
      </c>
      <c r="H3609" s="1">
        <v>0</v>
      </c>
      <c r="I3609" s="1">
        <v>1073</v>
      </c>
      <c r="J3609" s="1">
        <v>1063</v>
      </c>
      <c r="K3609" s="1">
        <v>10</v>
      </c>
    </row>
    <row r="3610" spans="3:11" x14ac:dyDescent="0.25">
      <c r="C3610" s="1" t="s">
        <v>2745</v>
      </c>
      <c r="D3610" s="1" t="s">
        <v>804</v>
      </c>
      <c r="E3610" s="1" t="s">
        <v>2746</v>
      </c>
      <c r="F3610" s="1">
        <v>10</v>
      </c>
      <c r="G3610" s="1">
        <v>10</v>
      </c>
      <c r="H3610" s="1">
        <v>0</v>
      </c>
      <c r="I3610" s="1">
        <v>740</v>
      </c>
      <c r="J3610" s="1">
        <v>730</v>
      </c>
      <c r="K3610" s="1">
        <v>10</v>
      </c>
    </row>
    <row r="3611" spans="3:11" x14ac:dyDescent="0.25">
      <c r="C3611" s="1" t="s">
        <v>11299</v>
      </c>
      <c r="D3611" s="1" t="s">
        <v>11300</v>
      </c>
      <c r="E3611" s="1" t="s">
        <v>11301</v>
      </c>
      <c r="F3611" s="1">
        <v>10</v>
      </c>
      <c r="G3611" s="1">
        <v>10</v>
      </c>
      <c r="H3611" s="1">
        <v>0</v>
      </c>
      <c r="I3611" s="1">
        <v>628</v>
      </c>
      <c r="J3611" s="1">
        <v>618</v>
      </c>
      <c r="K3611" s="1">
        <v>10</v>
      </c>
    </row>
    <row r="3612" spans="3:11" x14ac:dyDescent="0.25">
      <c r="C3612" s="1" t="s">
        <v>11302</v>
      </c>
      <c r="D3612" s="1" t="s">
        <v>11303</v>
      </c>
      <c r="E3612" s="1" t="s">
        <v>11304</v>
      </c>
      <c r="F3612" s="1">
        <v>10</v>
      </c>
      <c r="G3612" s="1">
        <v>10</v>
      </c>
      <c r="H3612" s="1">
        <v>0</v>
      </c>
      <c r="I3612" s="1">
        <v>622</v>
      </c>
      <c r="J3612" s="1">
        <v>612</v>
      </c>
      <c r="K3612" s="1">
        <v>10</v>
      </c>
    </row>
    <row r="3613" spans="3:11" x14ac:dyDescent="0.25">
      <c r="C3613" s="1" t="s">
        <v>1330</v>
      </c>
      <c r="D3613" s="1" t="s">
        <v>1331</v>
      </c>
      <c r="E3613" s="1" t="s">
        <v>1332</v>
      </c>
      <c r="F3613" s="1">
        <v>10</v>
      </c>
      <c r="G3613" s="1">
        <v>10</v>
      </c>
      <c r="H3613" s="1">
        <v>0</v>
      </c>
      <c r="I3613" s="1">
        <v>465</v>
      </c>
      <c r="J3613" s="1">
        <v>455</v>
      </c>
      <c r="K3613" s="1">
        <v>10</v>
      </c>
    </row>
    <row r="3614" spans="3:11" x14ac:dyDescent="0.25">
      <c r="C3614" s="1" t="s">
        <v>11305</v>
      </c>
      <c r="D3614" s="1" t="s">
        <v>11306</v>
      </c>
      <c r="E3614" s="1" t="s">
        <v>11307</v>
      </c>
      <c r="F3614" s="1">
        <v>10</v>
      </c>
      <c r="G3614" s="1">
        <v>10</v>
      </c>
      <c r="H3614" s="1">
        <v>0</v>
      </c>
      <c r="I3614" s="1">
        <v>463</v>
      </c>
      <c r="J3614" s="1">
        <v>453</v>
      </c>
      <c r="K3614" s="1">
        <v>10</v>
      </c>
    </row>
    <row r="3615" spans="3:11" x14ac:dyDescent="0.25">
      <c r="C3615" s="1" t="s">
        <v>1397</v>
      </c>
      <c r="D3615" s="1" t="s">
        <v>139</v>
      </c>
      <c r="E3615" s="1" t="s">
        <v>1398</v>
      </c>
      <c r="F3615" s="1">
        <v>10</v>
      </c>
      <c r="G3615" s="1">
        <v>10</v>
      </c>
      <c r="H3615" s="1">
        <v>0</v>
      </c>
      <c r="I3615" s="1">
        <v>455</v>
      </c>
      <c r="J3615" s="1">
        <v>445</v>
      </c>
      <c r="K3615" s="1">
        <v>10</v>
      </c>
    </row>
    <row r="3616" spans="3:11" x14ac:dyDescent="0.25">
      <c r="C3616" s="1" t="s">
        <v>11308</v>
      </c>
      <c r="D3616" s="1" t="s">
        <v>11309</v>
      </c>
      <c r="E3616" s="1" t="s">
        <v>11310</v>
      </c>
      <c r="F3616" s="1">
        <v>10</v>
      </c>
      <c r="G3616" s="1">
        <v>10</v>
      </c>
      <c r="H3616" s="1">
        <v>0</v>
      </c>
      <c r="I3616" s="1">
        <v>373</v>
      </c>
      <c r="J3616" s="1">
        <v>363</v>
      </c>
      <c r="K3616" s="1">
        <v>10</v>
      </c>
    </row>
    <row r="3617" spans="3:11" x14ac:dyDescent="0.25">
      <c r="C3617" s="1" t="s">
        <v>11311</v>
      </c>
      <c r="D3617" s="1" t="s">
        <v>11312</v>
      </c>
      <c r="E3617" s="1" t="s">
        <v>11311</v>
      </c>
      <c r="F3617" s="1">
        <v>10</v>
      </c>
      <c r="G3617" s="1">
        <v>10</v>
      </c>
      <c r="H3617" s="1">
        <v>0</v>
      </c>
      <c r="I3617" s="1">
        <v>371</v>
      </c>
      <c r="J3617" s="1">
        <v>361</v>
      </c>
      <c r="K3617" s="1">
        <v>10</v>
      </c>
    </row>
    <row r="3618" spans="3:11" x14ac:dyDescent="0.25">
      <c r="C3618" s="1" t="s">
        <v>11313</v>
      </c>
      <c r="D3618" s="1" t="s">
        <v>11314</v>
      </c>
      <c r="E3618" s="1" t="s">
        <v>11315</v>
      </c>
      <c r="F3618" s="1">
        <v>10</v>
      </c>
      <c r="G3618" s="1">
        <v>10</v>
      </c>
      <c r="H3618" s="1">
        <v>0</v>
      </c>
      <c r="I3618" s="1">
        <v>333</v>
      </c>
      <c r="J3618" s="1">
        <v>323</v>
      </c>
      <c r="K3618" s="1">
        <v>10</v>
      </c>
    </row>
    <row r="3619" spans="3:11" x14ac:dyDescent="0.25">
      <c r="C3619" s="1" t="s">
        <v>11316</v>
      </c>
      <c r="D3619" s="1" t="s">
        <v>11317</v>
      </c>
      <c r="E3619" s="1" t="s">
        <v>11318</v>
      </c>
      <c r="F3619" s="1">
        <v>10</v>
      </c>
      <c r="G3619" s="1">
        <v>10</v>
      </c>
      <c r="H3619" s="1">
        <v>0</v>
      </c>
      <c r="I3619" s="1">
        <v>286</v>
      </c>
      <c r="J3619" s="1">
        <v>276</v>
      </c>
      <c r="K3619" s="1">
        <v>10</v>
      </c>
    </row>
    <row r="3620" spans="3:11" x14ac:dyDescent="0.25">
      <c r="C3620" s="1" t="s">
        <v>3171</v>
      </c>
      <c r="D3620" s="1" t="s">
        <v>3172</v>
      </c>
      <c r="E3620" s="1" t="s">
        <v>3173</v>
      </c>
      <c r="F3620" s="1">
        <v>10</v>
      </c>
      <c r="G3620" s="1">
        <v>10</v>
      </c>
      <c r="H3620" s="1">
        <v>0</v>
      </c>
      <c r="I3620" s="1">
        <v>206</v>
      </c>
      <c r="J3620" s="1">
        <v>196</v>
      </c>
      <c r="K3620" s="1">
        <v>10</v>
      </c>
    </row>
    <row r="3621" spans="3:11" x14ac:dyDescent="0.25">
      <c r="C3621" s="1" t="s">
        <v>3309</v>
      </c>
      <c r="D3621" s="1" t="s">
        <v>3310</v>
      </c>
      <c r="E3621" s="1" t="s">
        <v>3311</v>
      </c>
      <c r="F3621" s="1">
        <v>10</v>
      </c>
      <c r="G3621" s="1">
        <v>10</v>
      </c>
      <c r="H3621" s="1">
        <v>0</v>
      </c>
      <c r="I3621" s="1">
        <v>123</v>
      </c>
      <c r="J3621" s="1">
        <v>113</v>
      </c>
      <c r="K3621" s="1">
        <v>10</v>
      </c>
    </row>
    <row r="3622" spans="3:11" x14ac:dyDescent="0.25">
      <c r="C3622" s="1" t="s">
        <v>1687</v>
      </c>
      <c r="D3622" s="1" t="s">
        <v>1688</v>
      </c>
      <c r="E3622" s="1" t="s">
        <v>1689</v>
      </c>
      <c r="F3622" s="1">
        <v>10</v>
      </c>
      <c r="G3622" s="1">
        <v>10</v>
      </c>
      <c r="H3622" s="1">
        <v>0</v>
      </c>
      <c r="I3622" s="1">
        <v>113</v>
      </c>
      <c r="J3622" s="1">
        <v>103</v>
      </c>
      <c r="K3622" s="1">
        <v>10</v>
      </c>
    </row>
    <row r="3623" spans="3:11" x14ac:dyDescent="0.25">
      <c r="C3623" s="1" t="s">
        <v>11319</v>
      </c>
      <c r="D3623" s="1" t="s">
        <v>11320</v>
      </c>
      <c r="E3623" s="1" t="s">
        <v>11321</v>
      </c>
      <c r="F3623" s="1">
        <v>10</v>
      </c>
      <c r="G3623" s="1">
        <v>10</v>
      </c>
      <c r="H3623" s="1">
        <v>0</v>
      </c>
      <c r="I3623" s="1">
        <v>96</v>
      </c>
      <c r="J3623" s="1">
        <v>86</v>
      </c>
      <c r="K3623" s="1">
        <v>10</v>
      </c>
    </row>
    <row r="3624" spans="3:11" x14ac:dyDescent="0.25">
      <c r="C3624" s="1" t="s">
        <v>2154</v>
      </c>
      <c r="D3624" s="1" t="s">
        <v>2155</v>
      </c>
      <c r="E3624" s="1" t="s">
        <v>2156</v>
      </c>
      <c r="F3624" s="1">
        <v>10</v>
      </c>
      <c r="G3624" s="1">
        <v>10</v>
      </c>
      <c r="H3624" s="1">
        <v>0</v>
      </c>
      <c r="I3624" s="1">
        <v>76</v>
      </c>
      <c r="J3624" s="1">
        <v>66</v>
      </c>
      <c r="K3624" s="1">
        <v>10</v>
      </c>
    </row>
    <row r="3625" spans="3:11" x14ac:dyDescent="0.25">
      <c r="C3625" s="1" t="s">
        <v>3528</v>
      </c>
      <c r="D3625" s="1" t="s">
        <v>3529</v>
      </c>
      <c r="E3625" s="1" t="s">
        <v>3530</v>
      </c>
      <c r="F3625" s="1">
        <v>10</v>
      </c>
      <c r="G3625" s="1">
        <v>10</v>
      </c>
      <c r="H3625" s="1">
        <v>0</v>
      </c>
      <c r="I3625" s="1">
        <v>71</v>
      </c>
      <c r="J3625" s="1">
        <v>61</v>
      </c>
      <c r="K3625" s="1">
        <v>10</v>
      </c>
    </row>
    <row r="3626" spans="3:11" x14ac:dyDescent="0.25">
      <c r="C3626" s="1" t="s">
        <v>3565</v>
      </c>
      <c r="D3626" s="1" t="s">
        <v>489</v>
      </c>
      <c r="E3626" s="1" t="s">
        <v>3566</v>
      </c>
      <c r="F3626" s="1">
        <v>10</v>
      </c>
      <c r="G3626" s="1">
        <v>10</v>
      </c>
      <c r="H3626" s="1">
        <v>0</v>
      </c>
      <c r="I3626" s="1">
        <v>63</v>
      </c>
      <c r="J3626" s="1">
        <v>53</v>
      </c>
      <c r="K3626" s="1">
        <v>10</v>
      </c>
    </row>
    <row r="3627" spans="3:11" x14ac:dyDescent="0.25">
      <c r="C3627" s="1" t="s">
        <v>3594</v>
      </c>
      <c r="D3627" s="1" t="s">
        <v>3595</v>
      </c>
      <c r="E3627" s="1" t="s">
        <v>3596</v>
      </c>
      <c r="F3627" s="1">
        <v>10</v>
      </c>
      <c r="G3627" s="1">
        <v>10</v>
      </c>
      <c r="H3627" s="1">
        <v>0</v>
      </c>
      <c r="I3627" s="1">
        <v>60</v>
      </c>
      <c r="J3627" s="1">
        <v>50</v>
      </c>
      <c r="K3627" s="1">
        <v>10</v>
      </c>
    </row>
    <row r="3628" spans="3:11" x14ac:dyDescent="0.25">
      <c r="C3628" s="1" t="s">
        <v>1888</v>
      </c>
      <c r="D3628" s="1" t="s">
        <v>1889</v>
      </c>
      <c r="E3628" s="1" t="s">
        <v>1890</v>
      </c>
      <c r="F3628" s="1">
        <v>10</v>
      </c>
      <c r="G3628" s="1">
        <v>10</v>
      </c>
      <c r="H3628" s="1">
        <v>0</v>
      </c>
      <c r="I3628" s="1">
        <v>53</v>
      </c>
      <c r="J3628" s="1">
        <v>43</v>
      </c>
      <c r="K3628" s="1">
        <v>10</v>
      </c>
    </row>
    <row r="3629" spans="3:11" x14ac:dyDescent="0.25">
      <c r="C3629" s="1" t="s">
        <v>3687</v>
      </c>
      <c r="D3629" s="1" t="s">
        <v>3688</v>
      </c>
      <c r="E3629" s="1" t="s">
        <v>3689</v>
      </c>
      <c r="F3629" s="1">
        <v>10</v>
      </c>
      <c r="G3629" s="1">
        <v>10</v>
      </c>
      <c r="H3629" s="1">
        <v>0</v>
      </c>
      <c r="I3629" s="1">
        <v>47</v>
      </c>
      <c r="J3629" s="1">
        <v>37</v>
      </c>
      <c r="K3629" s="1">
        <v>10</v>
      </c>
    </row>
    <row r="3630" spans="3:11" x14ac:dyDescent="0.25">
      <c r="C3630" s="1" t="s">
        <v>1905</v>
      </c>
      <c r="D3630" s="1" t="s">
        <v>1906</v>
      </c>
      <c r="E3630" s="1" t="s">
        <v>1907</v>
      </c>
      <c r="F3630" s="1">
        <v>10</v>
      </c>
      <c r="G3630" s="1">
        <v>10</v>
      </c>
      <c r="H3630" s="1">
        <v>0</v>
      </c>
      <c r="I3630" s="1">
        <v>44</v>
      </c>
      <c r="J3630" s="1">
        <v>34</v>
      </c>
      <c r="K3630" s="1">
        <v>10</v>
      </c>
    </row>
    <row r="3631" spans="3:11" x14ac:dyDescent="0.25">
      <c r="C3631" s="1" t="s">
        <v>11322</v>
      </c>
      <c r="D3631" s="1" t="s">
        <v>11323</v>
      </c>
      <c r="E3631" s="1" t="s">
        <v>11324</v>
      </c>
      <c r="F3631" s="1">
        <v>10</v>
      </c>
      <c r="G3631" s="1">
        <v>10</v>
      </c>
      <c r="H3631" s="1">
        <v>0</v>
      </c>
      <c r="I3631" s="1">
        <v>34</v>
      </c>
      <c r="J3631" s="1">
        <v>24</v>
      </c>
      <c r="K3631" s="1">
        <v>10</v>
      </c>
    </row>
    <row r="3632" spans="3:11" x14ac:dyDescent="0.25">
      <c r="C3632" s="1" t="s">
        <v>11325</v>
      </c>
      <c r="D3632" s="1" t="s">
        <v>11326</v>
      </c>
      <c r="E3632" s="1" t="s">
        <v>11327</v>
      </c>
      <c r="F3632" s="1">
        <v>10</v>
      </c>
      <c r="G3632" s="1">
        <v>10</v>
      </c>
      <c r="H3632" s="1">
        <v>0</v>
      </c>
      <c r="I3632" s="1">
        <v>21</v>
      </c>
      <c r="J3632" s="1">
        <v>11</v>
      </c>
      <c r="K3632" s="1">
        <v>10</v>
      </c>
    </row>
    <row r="3633" spans="3:11" x14ac:dyDescent="0.25">
      <c r="C3633" s="1" t="s">
        <v>11328</v>
      </c>
      <c r="D3633" s="1" t="s">
        <v>11329</v>
      </c>
      <c r="E3633" s="1" t="s">
        <v>11330</v>
      </c>
      <c r="F3633" s="1">
        <v>10</v>
      </c>
      <c r="G3633" s="1">
        <v>10</v>
      </c>
      <c r="H3633" s="1">
        <v>0</v>
      </c>
      <c r="I3633" s="1">
        <v>21</v>
      </c>
      <c r="J3633" s="1">
        <v>11</v>
      </c>
      <c r="K3633" s="1">
        <v>10</v>
      </c>
    </row>
    <row r="3634" spans="3:11" x14ac:dyDescent="0.25">
      <c r="C3634" s="1" t="s">
        <v>1980</v>
      </c>
      <c r="D3634" s="1" t="s">
        <v>1981</v>
      </c>
      <c r="E3634" s="1" t="s">
        <v>1982</v>
      </c>
      <c r="F3634" s="1">
        <v>10</v>
      </c>
      <c r="G3634" s="1">
        <v>10</v>
      </c>
      <c r="H3634" s="1">
        <v>0</v>
      </c>
      <c r="I3634" s="1">
        <v>20</v>
      </c>
      <c r="J3634" s="1">
        <v>10</v>
      </c>
      <c r="K3634" s="1">
        <v>10</v>
      </c>
    </row>
    <row r="3635" spans="3:11" x14ac:dyDescent="0.25">
      <c r="C3635" s="1" t="s">
        <v>11331</v>
      </c>
      <c r="D3635" s="1" t="s">
        <v>11332</v>
      </c>
      <c r="E3635" s="1" t="s">
        <v>11333</v>
      </c>
      <c r="F3635" s="1">
        <v>10</v>
      </c>
      <c r="G3635" s="1">
        <v>10</v>
      </c>
      <c r="H3635" s="1">
        <v>0</v>
      </c>
      <c r="I3635" s="1">
        <v>16</v>
      </c>
      <c r="J3635" s="1">
        <v>6</v>
      </c>
      <c r="K3635" s="1">
        <v>10</v>
      </c>
    </row>
    <row r="3636" spans="3:11" x14ac:dyDescent="0.25">
      <c r="C3636" s="1" t="s">
        <v>4048</v>
      </c>
      <c r="D3636" s="1" t="s">
        <v>4049</v>
      </c>
      <c r="E3636" s="1" t="s">
        <v>4050</v>
      </c>
      <c r="F3636" s="1">
        <v>10</v>
      </c>
      <c r="G3636" s="1">
        <v>10</v>
      </c>
      <c r="H3636" s="1">
        <v>0</v>
      </c>
      <c r="I3636" s="1">
        <v>14</v>
      </c>
      <c r="J3636" s="1">
        <v>4</v>
      </c>
      <c r="K3636" s="1">
        <v>10</v>
      </c>
    </row>
    <row r="3637" spans="3:11" x14ac:dyDescent="0.25">
      <c r="C3637" s="1" t="s">
        <v>11334</v>
      </c>
      <c r="D3637" s="1" t="s">
        <v>11335</v>
      </c>
      <c r="E3637" s="1" t="s">
        <v>11336</v>
      </c>
      <c r="F3637" s="1">
        <v>10</v>
      </c>
      <c r="G3637" s="1">
        <v>10</v>
      </c>
      <c r="H3637" s="1">
        <v>0</v>
      </c>
      <c r="I3637" s="1">
        <v>12</v>
      </c>
      <c r="J3637" s="1">
        <v>2</v>
      </c>
      <c r="K3637" s="1">
        <v>10</v>
      </c>
    </row>
    <row r="3638" spans="3:11" x14ac:dyDescent="0.25">
      <c r="D3638" s="1" t="s">
        <v>11337</v>
      </c>
      <c r="E3638" s="1" t="s">
        <v>11338</v>
      </c>
      <c r="F3638" s="1">
        <v>10</v>
      </c>
      <c r="G3638" s="1">
        <v>10</v>
      </c>
      <c r="H3638" s="1">
        <v>0</v>
      </c>
      <c r="I3638" s="1">
        <v>10</v>
      </c>
      <c r="J3638" s="1">
        <v>0</v>
      </c>
      <c r="K3638" s="1">
        <v>10</v>
      </c>
    </row>
    <row r="3639" spans="3:11" x14ac:dyDescent="0.25">
      <c r="C3639" s="1" t="s">
        <v>11339</v>
      </c>
      <c r="D3639" s="1" t="s">
        <v>11340</v>
      </c>
      <c r="E3639" s="1" t="s">
        <v>11341</v>
      </c>
      <c r="F3639" s="1">
        <v>10</v>
      </c>
      <c r="G3639" s="1">
        <v>10</v>
      </c>
      <c r="H3639" s="1">
        <v>0</v>
      </c>
      <c r="I3639" s="1">
        <v>10</v>
      </c>
      <c r="J3639" s="1">
        <v>0</v>
      </c>
      <c r="K3639" s="1">
        <v>10</v>
      </c>
    </row>
    <row r="3640" spans="3:11" x14ac:dyDescent="0.25">
      <c r="C3640" s="1" t="s">
        <v>4087</v>
      </c>
      <c r="D3640" s="1" t="s">
        <v>4088</v>
      </c>
      <c r="E3640" s="1" t="s">
        <v>4089</v>
      </c>
      <c r="F3640" s="1">
        <v>10</v>
      </c>
      <c r="G3640" s="1">
        <v>10</v>
      </c>
      <c r="H3640" s="1">
        <v>0</v>
      </c>
      <c r="I3640" s="1">
        <v>10</v>
      </c>
      <c r="J3640" s="1">
        <v>0</v>
      </c>
      <c r="K3640" s="1">
        <v>10</v>
      </c>
    </row>
    <row r="3641" spans="3:11" x14ac:dyDescent="0.25">
      <c r="C3641" s="1" t="s">
        <v>11342</v>
      </c>
      <c r="D3641" s="1" t="s">
        <v>11343</v>
      </c>
      <c r="E3641" s="1" t="s">
        <v>11344</v>
      </c>
      <c r="F3641" s="1">
        <v>11</v>
      </c>
      <c r="G3641" s="1">
        <v>11</v>
      </c>
      <c r="H3641" s="1">
        <v>0</v>
      </c>
      <c r="I3641" s="1">
        <v>4746</v>
      </c>
      <c r="J3641" s="1">
        <v>4735</v>
      </c>
      <c r="K3641" s="1">
        <v>11</v>
      </c>
    </row>
    <row r="3642" spans="3:11" x14ac:dyDescent="0.25">
      <c r="C3642" s="1" t="s">
        <v>2488</v>
      </c>
      <c r="D3642" s="1" t="s">
        <v>638</v>
      </c>
      <c r="E3642" s="1" t="s">
        <v>2489</v>
      </c>
      <c r="F3642" s="1">
        <v>11</v>
      </c>
      <c r="G3642" s="1">
        <v>11</v>
      </c>
      <c r="H3642" s="1">
        <v>0</v>
      </c>
      <c r="I3642" s="1">
        <v>2191</v>
      </c>
      <c r="J3642" s="1">
        <v>2180</v>
      </c>
      <c r="K3642" s="1">
        <v>11</v>
      </c>
    </row>
    <row r="3643" spans="3:11" x14ac:dyDescent="0.25">
      <c r="C3643" s="1" t="s">
        <v>1251</v>
      </c>
      <c r="D3643" s="1" t="s">
        <v>120</v>
      </c>
      <c r="E3643" s="1" t="s">
        <v>1252</v>
      </c>
      <c r="F3643" s="1">
        <v>11</v>
      </c>
      <c r="G3643" s="1">
        <v>11</v>
      </c>
      <c r="H3643" s="1">
        <v>0</v>
      </c>
      <c r="I3643" s="1">
        <v>1286</v>
      </c>
      <c r="J3643" s="1">
        <v>1275</v>
      </c>
      <c r="K3643" s="1">
        <v>11</v>
      </c>
    </row>
    <row r="3644" spans="3:11" x14ac:dyDescent="0.25">
      <c r="C3644" s="1" t="s">
        <v>2608</v>
      </c>
      <c r="D3644" s="1" t="s">
        <v>2609</v>
      </c>
      <c r="E3644" s="1" t="s">
        <v>2610</v>
      </c>
      <c r="F3644" s="1">
        <v>11</v>
      </c>
      <c r="G3644" s="1">
        <v>11</v>
      </c>
      <c r="H3644" s="1">
        <v>0</v>
      </c>
      <c r="I3644" s="1">
        <v>1160</v>
      </c>
      <c r="J3644" s="1">
        <v>1149</v>
      </c>
      <c r="K3644" s="1">
        <v>11</v>
      </c>
    </row>
    <row r="3645" spans="3:11" x14ac:dyDescent="0.25">
      <c r="C3645" s="1" t="s">
        <v>1105</v>
      </c>
      <c r="D3645" s="1" t="s">
        <v>1106</v>
      </c>
      <c r="E3645" s="1" t="s">
        <v>1107</v>
      </c>
      <c r="F3645" s="1">
        <v>11</v>
      </c>
      <c r="G3645" s="1">
        <v>11</v>
      </c>
      <c r="H3645" s="1">
        <v>0</v>
      </c>
      <c r="I3645" s="1">
        <v>1146</v>
      </c>
      <c r="J3645" s="1">
        <v>1135</v>
      </c>
      <c r="K3645" s="1">
        <v>11</v>
      </c>
    </row>
    <row r="3646" spans="3:11" x14ac:dyDescent="0.25">
      <c r="C3646" s="1" t="s">
        <v>2692</v>
      </c>
      <c r="D3646" s="1" t="s">
        <v>2693</v>
      </c>
      <c r="E3646" s="1" t="s">
        <v>2694</v>
      </c>
      <c r="F3646" s="1">
        <v>11</v>
      </c>
      <c r="G3646" s="1">
        <v>11</v>
      </c>
      <c r="H3646" s="1">
        <v>0</v>
      </c>
      <c r="I3646" s="1">
        <v>854</v>
      </c>
      <c r="J3646" s="1">
        <v>843</v>
      </c>
      <c r="K3646" s="1">
        <v>11</v>
      </c>
    </row>
    <row r="3647" spans="3:11" x14ac:dyDescent="0.25">
      <c r="C3647" s="1" t="s">
        <v>2722</v>
      </c>
      <c r="D3647" s="1" t="s">
        <v>2723</v>
      </c>
      <c r="E3647" s="1" t="s">
        <v>2724</v>
      </c>
      <c r="F3647" s="1">
        <v>11</v>
      </c>
      <c r="G3647" s="1">
        <v>11</v>
      </c>
      <c r="H3647" s="1">
        <v>0</v>
      </c>
      <c r="I3647" s="1">
        <v>767</v>
      </c>
      <c r="J3647" s="1">
        <v>756</v>
      </c>
      <c r="K3647" s="1">
        <v>11</v>
      </c>
    </row>
    <row r="3648" spans="3:11" x14ac:dyDescent="0.25">
      <c r="C3648" s="1" t="s">
        <v>2805</v>
      </c>
      <c r="D3648" s="1" t="s">
        <v>846</v>
      </c>
      <c r="E3648" s="1" t="s">
        <v>2806</v>
      </c>
      <c r="F3648" s="1">
        <v>11</v>
      </c>
      <c r="G3648" s="1">
        <v>11</v>
      </c>
      <c r="H3648" s="1">
        <v>0</v>
      </c>
      <c r="I3648" s="1">
        <v>630</v>
      </c>
      <c r="J3648" s="1">
        <v>619</v>
      </c>
      <c r="K3648" s="1">
        <v>11</v>
      </c>
    </row>
    <row r="3649" spans="3:11" x14ac:dyDescent="0.25">
      <c r="C3649" s="1" t="s">
        <v>2812</v>
      </c>
      <c r="D3649" s="1" t="s">
        <v>653</v>
      </c>
      <c r="E3649" s="1" t="s">
        <v>2813</v>
      </c>
      <c r="F3649" s="1">
        <v>11</v>
      </c>
      <c r="G3649" s="1">
        <v>11</v>
      </c>
      <c r="H3649" s="1">
        <v>0</v>
      </c>
      <c r="I3649" s="1">
        <v>613</v>
      </c>
      <c r="J3649" s="1">
        <v>602</v>
      </c>
      <c r="K3649" s="1">
        <v>11</v>
      </c>
    </row>
    <row r="3650" spans="3:11" x14ac:dyDescent="0.25">
      <c r="C3650" s="1" t="s">
        <v>11345</v>
      </c>
      <c r="D3650" s="1" t="s">
        <v>11346</v>
      </c>
      <c r="E3650" s="1" t="s">
        <v>11347</v>
      </c>
      <c r="F3650" s="1">
        <v>11</v>
      </c>
      <c r="G3650" s="1">
        <v>11</v>
      </c>
      <c r="H3650" s="1">
        <v>0</v>
      </c>
      <c r="I3650" s="1">
        <v>548</v>
      </c>
      <c r="J3650" s="1">
        <v>537</v>
      </c>
      <c r="K3650" s="1">
        <v>11</v>
      </c>
    </row>
    <row r="3651" spans="3:11" x14ac:dyDescent="0.25">
      <c r="C3651" s="1" t="s">
        <v>1273</v>
      </c>
      <c r="D3651" s="1" t="s">
        <v>1274</v>
      </c>
      <c r="E3651" s="1" t="s">
        <v>1275</v>
      </c>
      <c r="F3651" s="1">
        <v>11</v>
      </c>
      <c r="G3651" s="1">
        <v>11</v>
      </c>
      <c r="H3651" s="1">
        <v>0</v>
      </c>
      <c r="I3651" s="1">
        <v>547</v>
      </c>
      <c r="J3651" s="1">
        <v>536</v>
      </c>
      <c r="K3651" s="1">
        <v>11</v>
      </c>
    </row>
    <row r="3652" spans="3:11" x14ac:dyDescent="0.25">
      <c r="C3652" s="1" t="s">
        <v>2263</v>
      </c>
      <c r="D3652" s="1" t="s">
        <v>2264</v>
      </c>
      <c r="E3652" s="1" t="s">
        <v>2265</v>
      </c>
      <c r="F3652" s="1">
        <v>11</v>
      </c>
      <c r="G3652" s="1">
        <v>11</v>
      </c>
      <c r="H3652" s="1">
        <v>0</v>
      </c>
      <c r="I3652" s="1">
        <v>520</v>
      </c>
      <c r="J3652" s="1">
        <v>509</v>
      </c>
      <c r="K3652" s="1">
        <v>11</v>
      </c>
    </row>
    <row r="3653" spans="3:11" x14ac:dyDescent="0.25">
      <c r="C3653" s="1" t="s">
        <v>1338</v>
      </c>
      <c r="D3653" s="1" t="s">
        <v>1339</v>
      </c>
      <c r="E3653" s="1" t="s">
        <v>1340</v>
      </c>
      <c r="F3653" s="1">
        <v>11</v>
      </c>
      <c r="G3653" s="1">
        <v>11</v>
      </c>
      <c r="H3653" s="1">
        <v>0</v>
      </c>
      <c r="I3653" s="1">
        <v>390</v>
      </c>
      <c r="J3653" s="1">
        <v>379</v>
      </c>
      <c r="K3653" s="1">
        <v>11</v>
      </c>
    </row>
    <row r="3654" spans="3:11" x14ac:dyDescent="0.25">
      <c r="C3654" s="1" t="s">
        <v>3118</v>
      </c>
      <c r="D3654" s="1" t="s">
        <v>717</v>
      </c>
      <c r="E3654" s="1" t="s">
        <v>3119</v>
      </c>
      <c r="F3654" s="1">
        <v>11</v>
      </c>
      <c r="G3654" s="1">
        <v>11</v>
      </c>
      <c r="H3654" s="1">
        <v>0</v>
      </c>
      <c r="I3654" s="1">
        <v>232</v>
      </c>
      <c r="J3654" s="1">
        <v>221</v>
      </c>
      <c r="K3654" s="1">
        <v>11</v>
      </c>
    </row>
    <row r="3655" spans="3:11" x14ac:dyDescent="0.25">
      <c r="C3655" s="1" t="s">
        <v>11348</v>
      </c>
      <c r="D3655" s="1" t="s">
        <v>11349</v>
      </c>
      <c r="E3655" s="1" t="s">
        <v>11350</v>
      </c>
      <c r="F3655" s="1">
        <v>11</v>
      </c>
      <c r="G3655" s="1">
        <v>11</v>
      </c>
      <c r="H3655" s="1">
        <v>0</v>
      </c>
      <c r="I3655" s="1">
        <v>174</v>
      </c>
      <c r="J3655" s="1">
        <v>163</v>
      </c>
      <c r="K3655" s="1">
        <v>11</v>
      </c>
    </row>
    <row r="3656" spans="3:11" x14ac:dyDescent="0.25">
      <c r="C3656" s="1" t="s">
        <v>3211</v>
      </c>
      <c r="D3656" s="1" t="s">
        <v>3212</v>
      </c>
      <c r="E3656" s="1" t="s">
        <v>3213</v>
      </c>
      <c r="F3656" s="1">
        <v>11</v>
      </c>
      <c r="G3656" s="1">
        <v>11</v>
      </c>
      <c r="H3656" s="1">
        <v>0</v>
      </c>
      <c r="I3656" s="1">
        <v>172</v>
      </c>
      <c r="J3656" s="1">
        <v>161</v>
      </c>
      <c r="K3656" s="1">
        <v>11</v>
      </c>
    </row>
    <row r="3657" spans="3:11" x14ac:dyDescent="0.25">
      <c r="C3657" s="1" t="s">
        <v>3300</v>
      </c>
      <c r="D3657" s="1" t="s">
        <v>3301</v>
      </c>
      <c r="E3657" s="1" t="s">
        <v>3302</v>
      </c>
      <c r="F3657" s="1">
        <v>11</v>
      </c>
      <c r="G3657" s="1">
        <v>11</v>
      </c>
      <c r="H3657" s="1">
        <v>0</v>
      </c>
      <c r="I3657" s="1">
        <v>127</v>
      </c>
      <c r="J3657" s="1">
        <v>116</v>
      </c>
      <c r="K3657" s="1">
        <v>11</v>
      </c>
    </row>
    <row r="3658" spans="3:11" x14ac:dyDescent="0.25">
      <c r="C3658" s="1" t="s">
        <v>3368</v>
      </c>
      <c r="D3658" s="1" t="s">
        <v>3369</v>
      </c>
      <c r="E3658" s="1" t="s">
        <v>3370</v>
      </c>
      <c r="F3658" s="1">
        <v>11</v>
      </c>
      <c r="G3658" s="1">
        <v>11</v>
      </c>
      <c r="H3658" s="1">
        <v>0</v>
      </c>
      <c r="I3658" s="1">
        <v>102</v>
      </c>
      <c r="J3658" s="1">
        <v>91</v>
      </c>
      <c r="K3658" s="1">
        <v>11</v>
      </c>
    </row>
    <row r="3659" spans="3:11" x14ac:dyDescent="0.25">
      <c r="C3659" s="1" t="s">
        <v>11351</v>
      </c>
      <c r="D3659" s="1" t="s">
        <v>11352</v>
      </c>
      <c r="E3659" s="1" t="s">
        <v>11353</v>
      </c>
      <c r="F3659" s="1">
        <v>11</v>
      </c>
      <c r="G3659" s="1">
        <v>11</v>
      </c>
      <c r="H3659" s="1">
        <v>0</v>
      </c>
      <c r="I3659" s="1">
        <v>89</v>
      </c>
      <c r="J3659" s="1">
        <v>78</v>
      </c>
      <c r="K3659" s="1">
        <v>11</v>
      </c>
    </row>
    <row r="3660" spans="3:11" x14ac:dyDescent="0.25">
      <c r="C3660" s="1" t="s">
        <v>3576</v>
      </c>
      <c r="D3660" s="1" t="s">
        <v>3577</v>
      </c>
      <c r="E3660" s="1" t="s">
        <v>3578</v>
      </c>
      <c r="F3660" s="1">
        <v>11</v>
      </c>
      <c r="G3660" s="1">
        <v>11</v>
      </c>
      <c r="H3660" s="1">
        <v>0</v>
      </c>
      <c r="I3660" s="1">
        <v>62</v>
      </c>
      <c r="J3660" s="1">
        <v>51</v>
      </c>
      <c r="K3660" s="1">
        <v>11</v>
      </c>
    </row>
    <row r="3661" spans="3:11" x14ac:dyDescent="0.25">
      <c r="C3661" s="1" t="s">
        <v>1835</v>
      </c>
      <c r="D3661" s="1" t="s">
        <v>1836</v>
      </c>
      <c r="E3661" s="1" t="s">
        <v>1837</v>
      </c>
      <c r="F3661" s="1">
        <v>11</v>
      </c>
      <c r="G3661" s="1">
        <v>11</v>
      </c>
      <c r="H3661" s="1">
        <v>0</v>
      </c>
      <c r="I3661" s="1">
        <v>52</v>
      </c>
      <c r="J3661" s="1">
        <v>41</v>
      </c>
      <c r="K3661" s="1">
        <v>11</v>
      </c>
    </row>
    <row r="3662" spans="3:11" x14ac:dyDescent="0.25">
      <c r="C3662" s="1" t="s">
        <v>3690</v>
      </c>
      <c r="D3662" s="1" t="s">
        <v>3691</v>
      </c>
      <c r="E3662" s="1" t="s">
        <v>3692</v>
      </c>
      <c r="F3662" s="1">
        <v>11</v>
      </c>
      <c r="G3662" s="1">
        <v>11</v>
      </c>
      <c r="H3662" s="1">
        <v>0</v>
      </c>
      <c r="I3662" s="1">
        <v>46</v>
      </c>
      <c r="J3662" s="1">
        <v>35</v>
      </c>
      <c r="K3662" s="1">
        <v>11</v>
      </c>
    </row>
    <row r="3663" spans="3:11" x14ac:dyDescent="0.25">
      <c r="C3663" s="1" t="s">
        <v>11354</v>
      </c>
      <c r="D3663" s="1" t="s">
        <v>11355</v>
      </c>
      <c r="E3663" s="1" t="s">
        <v>11356</v>
      </c>
      <c r="F3663" s="1">
        <v>11</v>
      </c>
      <c r="G3663" s="1">
        <v>11</v>
      </c>
      <c r="H3663" s="1">
        <v>0</v>
      </c>
      <c r="I3663" s="1">
        <v>44</v>
      </c>
      <c r="J3663" s="1">
        <v>33</v>
      </c>
      <c r="K3663" s="1">
        <v>11</v>
      </c>
    </row>
    <row r="3664" spans="3:11" x14ac:dyDescent="0.25">
      <c r="C3664" s="1" t="s">
        <v>1869</v>
      </c>
      <c r="D3664" s="1" t="s">
        <v>188</v>
      </c>
      <c r="E3664" s="1" t="s">
        <v>1870</v>
      </c>
      <c r="F3664" s="1">
        <v>11</v>
      </c>
      <c r="G3664" s="1">
        <v>11</v>
      </c>
      <c r="H3664" s="1">
        <v>0</v>
      </c>
      <c r="I3664" s="1">
        <v>44</v>
      </c>
      <c r="J3664" s="1">
        <v>33</v>
      </c>
      <c r="K3664" s="1">
        <v>11</v>
      </c>
    </row>
    <row r="3665" spans="3:11" x14ac:dyDescent="0.25">
      <c r="C3665" s="1" t="s">
        <v>3794</v>
      </c>
      <c r="D3665" s="1" t="s">
        <v>3795</v>
      </c>
      <c r="E3665" s="1" t="s">
        <v>3796</v>
      </c>
      <c r="F3665" s="1">
        <v>11</v>
      </c>
      <c r="G3665" s="1">
        <v>11</v>
      </c>
      <c r="H3665" s="1">
        <v>0</v>
      </c>
      <c r="I3665" s="1">
        <v>37</v>
      </c>
      <c r="J3665" s="1">
        <v>26</v>
      </c>
      <c r="K3665" s="1">
        <v>11</v>
      </c>
    </row>
    <row r="3666" spans="3:11" x14ac:dyDescent="0.25">
      <c r="C3666" s="1" t="s">
        <v>11357</v>
      </c>
      <c r="D3666" s="1" t="s">
        <v>11358</v>
      </c>
      <c r="E3666" s="1" t="s">
        <v>11359</v>
      </c>
      <c r="F3666" s="1">
        <v>11</v>
      </c>
      <c r="G3666" s="1">
        <v>11</v>
      </c>
      <c r="H3666" s="1">
        <v>0</v>
      </c>
      <c r="I3666" s="1">
        <v>34</v>
      </c>
      <c r="J3666" s="1">
        <v>23</v>
      </c>
      <c r="K3666" s="1">
        <v>11</v>
      </c>
    </row>
    <row r="3667" spans="3:11" x14ac:dyDescent="0.25">
      <c r="C3667" s="1" t="s">
        <v>11360</v>
      </c>
      <c r="D3667" s="1" t="s">
        <v>11361</v>
      </c>
      <c r="E3667" s="1" t="s">
        <v>11362</v>
      </c>
      <c r="F3667" s="1">
        <v>11</v>
      </c>
      <c r="G3667" s="1">
        <v>11</v>
      </c>
      <c r="H3667" s="1">
        <v>0</v>
      </c>
      <c r="I3667" s="1">
        <v>32</v>
      </c>
      <c r="J3667" s="1">
        <v>21</v>
      </c>
      <c r="K3667" s="1">
        <v>11</v>
      </c>
    </row>
    <row r="3668" spans="3:11" x14ac:dyDescent="0.25">
      <c r="C3668" s="1" t="s">
        <v>11363</v>
      </c>
      <c r="D3668" s="1" t="s">
        <v>11364</v>
      </c>
      <c r="E3668" s="1" t="s">
        <v>11363</v>
      </c>
      <c r="F3668" s="1">
        <v>11</v>
      </c>
      <c r="G3668" s="1">
        <v>11</v>
      </c>
      <c r="H3668" s="1">
        <v>0</v>
      </c>
      <c r="I3668" s="1">
        <v>32</v>
      </c>
      <c r="J3668" s="1">
        <v>21</v>
      </c>
      <c r="K3668" s="1">
        <v>11</v>
      </c>
    </row>
    <row r="3669" spans="3:11" x14ac:dyDescent="0.25">
      <c r="C3669" s="1" t="s">
        <v>11365</v>
      </c>
      <c r="D3669" s="1" t="s">
        <v>11366</v>
      </c>
      <c r="E3669" s="1" t="s">
        <v>11367</v>
      </c>
      <c r="F3669" s="1">
        <v>11</v>
      </c>
      <c r="G3669" s="1">
        <v>11</v>
      </c>
      <c r="H3669" s="1">
        <v>0</v>
      </c>
      <c r="I3669" s="1">
        <v>11</v>
      </c>
      <c r="J3669" s="1">
        <v>0</v>
      </c>
      <c r="K3669" s="1">
        <v>11</v>
      </c>
    </row>
    <row r="3670" spans="3:11" x14ac:dyDescent="0.25">
      <c r="C3670" s="1" t="s">
        <v>11368</v>
      </c>
      <c r="D3670" s="1" t="s">
        <v>11369</v>
      </c>
      <c r="E3670" s="1" t="s">
        <v>11370</v>
      </c>
      <c r="F3670" s="1">
        <v>12</v>
      </c>
      <c r="G3670" s="1">
        <v>12</v>
      </c>
      <c r="H3670" s="1">
        <v>0</v>
      </c>
      <c r="I3670" s="1">
        <v>3225</v>
      </c>
      <c r="J3670" s="1">
        <v>3213</v>
      </c>
      <c r="K3670" s="1">
        <v>12</v>
      </c>
    </row>
    <row r="3671" spans="3:11" x14ac:dyDescent="0.25">
      <c r="C3671" s="1" t="s">
        <v>11371</v>
      </c>
      <c r="D3671" s="1" t="s">
        <v>11372</v>
      </c>
      <c r="E3671" s="1" t="s">
        <v>11373</v>
      </c>
      <c r="F3671" s="1">
        <v>12</v>
      </c>
      <c r="G3671" s="1">
        <v>12</v>
      </c>
      <c r="H3671" s="1">
        <v>0</v>
      </c>
      <c r="I3671" s="1">
        <v>2624</v>
      </c>
      <c r="J3671" s="1">
        <v>2612</v>
      </c>
      <c r="K3671" s="1">
        <v>12</v>
      </c>
    </row>
    <row r="3672" spans="3:11" x14ac:dyDescent="0.25">
      <c r="C3672" s="1" t="s">
        <v>1051</v>
      </c>
      <c r="D3672" s="1" t="s">
        <v>78</v>
      </c>
      <c r="E3672" s="1" t="s">
        <v>1052</v>
      </c>
      <c r="F3672" s="1">
        <v>12</v>
      </c>
      <c r="G3672" s="1">
        <v>12</v>
      </c>
      <c r="H3672" s="1">
        <v>0</v>
      </c>
      <c r="I3672" s="1">
        <v>1523</v>
      </c>
      <c r="J3672" s="1">
        <v>1511</v>
      </c>
      <c r="K3672" s="1">
        <v>12</v>
      </c>
    </row>
    <row r="3673" spans="3:11" x14ac:dyDescent="0.25">
      <c r="C3673" s="1" t="s">
        <v>2611</v>
      </c>
      <c r="D3673" s="1" t="s">
        <v>445</v>
      </c>
      <c r="E3673" s="1" t="s">
        <v>2612</v>
      </c>
      <c r="F3673" s="1">
        <v>12</v>
      </c>
      <c r="G3673" s="1">
        <v>12</v>
      </c>
      <c r="H3673" s="1">
        <v>0</v>
      </c>
      <c r="I3673" s="1">
        <v>1128</v>
      </c>
      <c r="J3673" s="1">
        <v>1116</v>
      </c>
      <c r="K3673" s="1">
        <v>12</v>
      </c>
    </row>
    <row r="3674" spans="3:11" x14ac:dyDescent="0.25">
      <c r="C3674" s="1" t="s">
        <v>2615</v>
      </c>
      <c r="D3674" s="1" t="s">
        <v>446</v>
      </c>
      <c r="E3674" s="1" t="s">
        <v>2616</v>
      </c>
      <c r="F3674" s="1">
        <v>12</v>
      </c>
      <c r="G3674" s="1">
        <v>12</v>
      </c>
      <c r="H3674" s="1">
        <v>0</v>
      </c>
      <c r="I3674" s="1">
        <v>1103</v>
      </c>
      <c r="J3674" s="1">
        <v>1091</v>
      </c>
      <c r="K3674" s="1">
        <v>12</v>
      </c>
    </row>
    <row r="3675" spans="3:11" x14ac:dyDescent="0.25">
      <c r="C3675" s="1" t="s">
        <v>11374</v>
      </c>
      <c r="D3675" s="1" t="s">
        <v>11375</v>
      </c>
      <c r="E3675" s="1" t="s">
        <v>11376</v>
      </c>
      <c r="F3675" s="1">
        <v>12</v>
      </c>
      <c r="G3675" s="1">
        <v>12</v>
      </c>
      <c r="H3675" s="1">
        <v>0</v>
      </c>
      <c r="I3675" s="1">
        <v>1083</v>
      </c>
      <c r="J3675" s="1">
        <v>1071</v>
      </c>
      <c r="K3675" s="1">
        <v>12</v>
      </c>
    </row>
    <row r="3676" spans="3:11" x14ac:dyDescent="0.25">
      <c r="C3676" s="1" t="s">
        <v>11377</v>
      </c>
      <c r="D3676" s="1" t="s">
        <v>11378</v>
      </c>
      <c r="E3676" s="1" t="s">
        <v>11379</v>
      </c>
      <c r="F3676" s="1">
        <v>12</v>
      </c>
      <c r="G3676" s="1">
        <v>12</v>
      </c>
      <c r="H3676" s="1">
        <v>0</v>
      </c>
      <c r="I3676" s="1">
        <v>824</v>
      </c>
      <c r="J3676" s="1">
        <v>812</v>
      </c>
      <c r="K3676" s="1">
        <v>12</v>
      </c>
    </row>
    <row r="3677" spans="3:11" x14ac:dyDescent="0.25">
      <c r="C3677" s="1" t="s">
        <v>11380</v>
      </c>
      <c r="D3677" s="1" t="s">
        <v>11381</v>
      </c>
      <c r="E3677" s="1" t="s">
        <v>11382</v>
      </c>
      <c r="F3677" s="1">
        <v>12</v>
      </c>
      <c r="G3677" s="1">
        <v>12</v>
      </c>
      <c r="H3677" s="1">
        <v>0</v>
      </c>
      <c r="I3677" s="1">
        <v>539</v>
      </c>
      <c r="J3677" s="1">
        <v>527</v>
      </c>
      <c r="K3677" s="1">
        <v>12</v>
      </c>
    </row>
    <row r="3678" spans="3:11" x14ac:dyDescent="0.25">
      <c r="C3678" s="1" t="s">
        <v>3012</v>
      </c>
      <c r="D3678" s="1" t="s">
        <v>3013</v>
      </c>
      <c r="E3678" s="1" t="s">
        <v>3014</v>
      </c>
      <c r="F3678" s="1">
        <v>12</v>
      </c>
      <c r="G3678" s="1">
        <v>12</v>
      </c>
      <c r="H3678" s="1">
        <v>0</v>
      </c>
      <c r="I3678" s="1">
        <v>340</v>
      </c>
      <c r="J3678" s="1">
        <v>328</v>
      </c>
      <c r="K3678" s="1">
        <v>12</v>
      </c>
    </row>
    <row r="3679" spans="3:11" x14ac:dyDescent="0.25">
      <c r="C3679" s="1" t="s">
        <v>3039</v>
      </c>
      <c r="D3679" s="1" t="s">
        <v>3040</v>
      </c>
      <c r="E3679" s="1" t="s">
        <v>3041</v>
      </c>
      <c r="F3679" s="1">
        <v>12</v>
      </c>
      <c r="G3679" s="1">
        <v>12</v>
      </c>
      <c r="H3679" s="1">
        <v>0</v>
      </c>
      <c r="I3679" s="1">
        <v>287</v>
      </c>
      <c r="J3679" s="1">
        <v>275</v>
      </c>
      <c r="K3679" s="1">
        <v>12</v>
      </c>
    </row>
    <row r="3680" spans="3:11" x14ac:dyDescent="0.25">
      <c r="C3680" s="1" t="s">
        <v>3150</v>
      </c>
      <c r="D3680" s="1" t="s">
        <v>606</v>
      </c>
      <c r="E3680" s="1" t="s">
        <v>3151</v>
      </c>
      <c r="F3680" s="1">
        <v>12</v>
      </c>
      <c r="G3680" s="1">
        <v>12</v>
      </c>
      <c r="H3680" s="1">
        <v>0</v>
      </c>
      <c r="I3680" s="1">
        <v>219</v>
      </c>
      <c r="J3680" s="1">
        <v>207</v>
      </c>
      <c r="K3680" s="1">
        <v>12</v>
      </c>
    </row>
    <row r="3681" spans="3:11" x14ac:dyDescent="0.25">
      <c r="C3681" s="1" t="s">
        <v>1705</v>
      </c>
      <c r="D3681" s="1" t="s">
        <v>1706</v>
      </c>
      <c r="E3681" s="1" t="s">
        <v>1707</v>
      </c>
      <c r="F3681" s="1">
        <v>12</v>
      </c>
      <c r="G3681" s="1">
        <v>12</v>
      </c>
      <c r="H3681" s="1">
        <v>0</v>
      </c>
      <c r="I3681" s="1">
        <v>107</v>
      </c>
      <c r="J3681" s="1">
        <v>95</v>
      </c>
      <c r="K3681" s="1">
        <v>12</v>
      </c>
    </row>
    <row r="3682" spans="3:11" x14ac:dyDescent="0.25">
      <c r="C3682" s="1" t="s">
        <v>11383</v>
      </c>
      <c r="D3682" s="1" t="s">
        <v>11384</v>
      </c>
      <c r="E3682" s="1" t="s">
        <v>11385</v>
      </c>
      <c r="F3682" s="1">
        <v>12</v>
      </c>
      <c r="G3682" s="1">
        <v>12</v>
      </c>
      <c r="H3682" s="1">
        <v>0</v>
      </c>
      <c r="I3682" s="1">
        <v>65</v>
      </c>
      <c r="J3682" s="1">
        <v>53</v>
      </c>
      <c r="K3682" s="1">
        <v>12</v>
      </c>
    </row>
    <row r="3683" spans="3:11" x14ac:dyDescent="0.25">
      <c r="C3683" s="1" t="s">
        <v>3812</v>
      </c>
      <c r="D3683" s="1" t="s">
        <v>3813</v>
      </c>
      <c r="E3683" s="1" t="s">
        <v>3814</v>
      </c>
      <c r="F3683" s="1">
        <v>12</v>
      </c>
      <c r="G3683" s="1">
        <v>12</v>
      </c>
      <c r="H3683" s="1">
        <v>0</v>
      </c>
      <c r="I3683" s="1">
        <v>36</v>
      </c>
      <c r="J3683" s="1">
        <v>24</v>
      </c>
      <c r="K3683" s="1">
        <v>12</v>
      </c>
    </row>
    <row r="3684" spans="3:11" x14ac:dyDescent="0.25">
      <c r="C3684" s="1" t="s">
        <v>3895</v>
      </c>
      <c r="D3684" s="1" t="s">
        <v>3896</v>
      </c>
      <c r="E3684" s="1" t="s">
        <v>3897</v>
      </c>
      <c r="F3684" s="1">
        <v>12</v>
      </c>
      <c r="G3684" s="1">
        <v>12</v>
      </c>
      <c r="H3684" s="1">
        <v>0</v>
      </c>
      <c r="I3684" s="1">
        <v>27</v>
      </c>
      <c r="J3684" s="1">
        <v>15</v>
      </c>
      <c r="K3684" s="1">
        <v>12</v>
      </c>
    </row>
    <row r="3685" spans="3:11" x14ac:dyDescent="0.25">
      <c r="C3685" s="1" t="s">
        <v>11386</v>
      </c>
      <c r="D3685" s="1" t="s">
        <v>11387</v>
      </c>
      <c r="E3685" s="1" t="s">
        <v>11388</v>
      </c>
      <c r="F3685" s="1">
        <v>12</v>
      </c>
      <c r="G3685" s="1">
        <v>12</v>
      </c>
      <c r="H3685" s="1">
        <v>0</v>
      </c>
      <c r="I3685" s="1">
        <v>24</v>
      </c>
      <c r="J3685" s="1">
        <v>12</v>
      </c>
      <c r="K3685" s="1">
        <v>12</v>
      </c>
    </row>
    <row r="3686" spans="3:11" x14ac:dyDescent="0.25">
      <c r="C3686" s="1" t="s">
        <v>2124</v>
      </c>
      <c r="D3686" s="1" t="s">
        <v>2125</v>
      </c>
      <c r="E3686" s="1" t="s">
        <v>2126</v>
      </c>
      <c r="F3686" s="1">
        <v>12</v>
      </c>
      <c r="G3686" s="1">
        <v>12</v>
      </c>
      <c r="H3686" s="1">
        <v>0</v>
      </c>
      <c r="I3686" s="1">
        <v>23</v>
      </c>
      <c r="J3686" s="1">
        <v>11</v>
      </c>
      <c r="K3686" s="1">
        <v>12</v>
      </c>
    </row>
    <row r="3687" spans="3:11" x14ac:dyDescent="0.25">
      <c r="C3687" s="1" t="s">
        <v>3976</v>
      </c>
      <c r="D3687" s="1" t="s">
        <v>741</v>
      </c>
      <c r="E3687" s="1" t="s">
        <v>3977</v>
      </c>
      <c r="F3687" s="1">
        <v>12</v>
      </c>
      <c r="G3687" s="1">
        <v>12</v>
      </c>
      <c r="H3687" s="1">
        <v>0</v>
      </c>
      <c r="I3687" s="1">
        <v>20</v>
      </c>
      <c r="J3687" s="1">
        <v>8</v>
      </c>
      <c r="K3687" s="1">
        <v>12</v>
      </c>
    </row>
    <row r="3688" spans="3:11" x14ac:dyDescent="0.25">
      <c r="C3688" s="1" t="s">
        <v>11389</v>
      </c>
      <c r="D3688" s="1" t="s">
        <v>11390</v>
      </c>
      <c r="E3688" s="1" t="s">
        <v>11391</v>
      </c>
      <c r="F3688" s="1">
        <v>12</v>
      </c>
      <c r="G3688" s="1">
        <v>12</v>
      </c>
      <c r="H3688" s="1">
        <v>0</v>
      </c>
      <c r="I3688" s="1">
        <v>15</v>
      </c>
      <c r="J3688" s="1">
        <v>3</v>
      </c>
      <c r="K3688" s="1">
        <v>12</v>
      </c>
    </row>
    <row r="3689" spans="3:11" x14ac:dyDescent="0.25">
      <c r="C3689" s="1" t="s">
        <v>11392</v>
      </c>
      <c r="D3689" s="1" t="s">
        <v>11393</v>
      </c>
      <c r="E3689" s="1" t="s">
        <v>11394</v>
      </c>
      <c r="F3689" s="1">
        <v>12</v>
      </c>
      <c r="G3689" s="1">
        <v>12</v>
      </c>
      <c r="H3689" s="1">
        <v>0</v>
      </c>
      <c r="I3689" s="1">
        <v>14</v>
      </c>
      <c r="J3689" s="1">
        <v>2</v>
      </c>
      <c r="K3689" s="1">
        <v>12</v>
      </c>
    </row>
    <row r="3690" spans="3:11" x14ac:dyDescent="0.25">
      <c r="C3690" s="1" t="s">
        <v>11395</v>
      </c>
      <c r="D3690" s="1" t="s">
        <v>11396</v>
      </c>
      <c r="E3690" s="1" t="s">
        <v>11397</v>
      </c>
      <c r="F3690" s="1">
        <v>12</v>
      </c>
      <c r="G3690" s="1">
        <v>12</v>
      </c>
      <c r="H3690" s="1">
        <v>0</v>
      </c>
      <c r="I3690" s="1">
        <v>13</v>
      </c>
      <c r="J3690" s="1">
        <v>1</v>
      </c>
      <c r="K3690" s="1">
        <v>12</v>
      </c>
    </row>
    <row r="3691" spans="3:11" x14ac:dyDescent="0.25">
      <c r="C3691" s="1" t="s">
        <v>11398</v>
      </c>
      <c r="D3691" s="1" t="s">
        <v>11399</v>
      </c>
      <c r="E3691" s="1" t="s">
        <v>11398</v>
      </c>
      <c r="F3691" s="1">
        <v>12</v>
      </c>
      <c r="G3691" s="1">
        <v>12</v>
      </c>
      <c r="H3691" s="1">
        <v>0</v>
      </c>
      <c r="I3691" s="1">
        <v>12</v>
      </c>
      <c r="J3691" s="1">
        <v>0</v>
      </c>
      <c r="K3691" s="1">
        <v>12</v>
      </c>
    </row>
    <row r="3692" spans="3:11" x14ac:dyDescent="0.25">
      <c r="C3692" s="1" t="s">
        <v>11400</v>
      </c>
      <c r="D3692" s="1" t="s">
        <v>11401</v>
      </c>
      <c r="E3692" s="1" t="s">
        <v>11402</v>
      </c>
      <c r="F3692" s="1">
        <v>12</v>
      </c>
      <c r="G3692" s="1">
        <v>12</v>
      </c>
      <c r="H3692" s="1">
        <v>0</v>
      </c>
      <c r="I3692" s="1">
        <v>12</v>
      </c>
      <c r="J3692" s="1">
        <v>0</v>
      </c>
      <c r="K3692" s="1">
        <v>12</v>
      </c>
    </row>
    <row r="3693" spans="3:11" x14ac:dyDescent="0.25">
      <c r="D3693" s="1" t="s">
        <v>11403</v>
      </c>
      <c r="E3693" s="1" t="s">
        <v>11404</v>
      </c>
      <c r="F3693" s="1">
        <v>12</v>
      </c>
      <c r="G3693" s="1">
        <v>12</v>
      </c>
      <c r="H3693" s="1">
        <v>0</v>
      </c>
      <c r="I3693" s="1">
        <v>12</v>
      </c>
      <c r="J3693" s="1">
        <v>0</v>
      </c>
      <c r="K3693" s="1">
        <v>12</v>
      </c>
    </row>
    <row r="3694" spans="3:11" x14ac:dyDescent="0.25">
      <c r="C3694" s="1" t="s">
        <v>11405</v>
      </c>
      <c r="D3694" s="1" t="s">
        <v>11406</v>
      </c>
      <c r="E3694" s="1" t="s">
        <v>11407</v>
      </c>
      <c r="F3694" s="1">
        <v>12</v>
      </c>
      <c r="G3694" s="1">
        <v>12</v>
      </c>
      <c r="H3694" s="1">
        <v>0</v>
      </c>
      <c r="I3694" s="1">
        <v>12</v>
      </c>
      <c r="J3694" s="1">
        <v>0</v>
      </c>
      <c r="K3694" s="1">
        <v>12</v>
      </c>
    </row>
    <row r="3695" spans="3:11" x14ac:dyDescent="0.25">
      <c r="C3695" s="1" t="s">
        <v>11408</v>
      </c>
      <c r="D3695" s="1" t="s">
        <v>11409</v>
      </c>
      <c r="E3695" s="1" t="s">
        <v>11410</v>
      </c>
      <c r="F3695" s="1">
        <v>13</v>
      </c>
      <c r="G3695" s="1">
        <v>13</v>
      </c>
      <c r="H3695" s="1">
        <v>0</v>
      </c>
      <c r="I3695" s="1">
        <v>18378</v>
      </c>
      <c r="J3695" s="1">
        <v>18365</v>
      </c>
      <c r="K3695" s="1">
        <v>13</v>
      </c>
    </row>
    <row r="3696" spans="3:11" x14ac:dyDescent="0.25">
      <c r="C3696" s="1" t="s">
        <v>11411</v>
      </c>
      <c r="D3696" s="1" t="s">
        <v>11412</v>
      </c>
      <c r="E3696" s="1" t="s">
        <v>11413</v>
      </c>
      <c r="F3696" s="1">
        <v>13</v>
      </c>
      <c r="G3696" s="1">
        <v>13</v>
      </c>
      <c r="H3696" s="1">
        <v>0</v>
      </c>
      <c r="I3696" s="1">
        <v>4996</v>
      </c>
      <c r="J3696" s="1">
        <v>4983</v>
      </c>
      <c r="K3696" s="1">
        <v>13</v>
      </c>
    </row>
    <row r="3697" spans="3:11" x14ac:dyDescent="0.25">
      <c r="C3697" s="1" t="s">
        <v>11414</v>
      </c>
      <c r="D3697" s="1" t="s">
        <v>11415</v>
      </c>
      <c r="E3697" s="1" t="s">
        <v>11416</v>
      </c>
      <c r="F3697" s="1">
        <v>13</v>
      </c>
      <c r="G3697" s="1">
        <v>13</v>
      </c>
      <c r="H3697" s="1">
        <v>0</v>
      </c>
      <c r="I3697" s="1">
        <v>2977</v>
      </c>
      <c r="J3697" s="1">
        <v>2964</v>
      </c>
      <c r="K3697" s="1">
        <v>13</v>
      </c>
    </row>
    <row r="3698" spans="3:11" x14ac:dyDescent="0.25">
      <c r="C3698" s="1" t="s">
        <v>11417</v>
      </c>
      <c r="D3698" s="1" t="s">
        <v>11418</v>
      </c>
      <c r="E3698" s="1" t="s">
        <v>11419</v>
      </c>
      <c r="F3698" s="1">
        <v>13</v>
      </c>
      <c r="G3698" s="1">
        <v>13</v>
      </c>
      <c r="H3698" s="1">
        <v>0</v>
      </c>
      <c r="I3698" s="1">
        <v>2753</v>
      </c>
      <c r="J3698" s="1">
        <v>2740</v>
      </c>
      <c r="K3698" s="1">
        <v>13</v>
      </c>
    </row>
    <row r="3699" spans="3:11" x14ac:dyDescent="0.25">
      <c r="C3699" s="1" t="s">
        <v>2501</v>
      </c>
      <c r="D3699" s="1" t="s">
        <v>639</v>
      </c>
      <c r="E3699" s="1" t="s">
        <v>2502</v>
      </c>
      <c r="F3699" s="1">
        <v>13</v>
      </c>
      <c r="G3699" s="1">
        <v>13</v>
      </c>
      <c r="H3699" s="1">
        <v>0</v>
      </c>
      <c r="I3699" s="1">
        <v>2025</v>
      </c>
      <c r="J3699" s="1">
        <v>2012</v>
      </c>
      <c r="K3699" s="1">
        <v>13</v>
      </c>
    </row>
    <row r="3700" spans="3:11" x14ac:dyDescent="0.25">
      <c r="C3700" s="1" t="s">
        <v>11420</v>
      </c>
      <c r="D3700" s="1" t="s">
        <v>11421</v>
      </c>
      <c r="E3700" s="1" t="s">
        <v>11422</v>
      </c>
      <c r="F3700" s="1">
        <v>13</v>
      </c>
      <c r="G3700" s="1">
        <v>13</v>
      </c>
      <c r="H3700" s="1">
        <v>0</v>
      </c>
      <c r="I3700" s="1">
        <v>1774</v>
      </c>
      <c r="J3700" s="1">
        <v>1761</v>
      </c>
      <c r="K3700" s="1">
        <v>13</v>
      </c>
    </row>
    <row r="3701" spans="3:11" x14ac:dyDescent="0.25">
      <c r="C3701" s="1" t="s">
        <v>1026</v>
      </c>
      <c r="D3701" s="1" t="s">
        <v>67</v>
      </c>
      <c r="E3701" s="1" t="s">
        <v>1027</v>
      </c>
      <c r="F3701" s="1">
        <v>13</v>
      </c>
      <c r="G3701" s="1">
        <v>13</v>
      </c>
      <c r="H3701" s="1">
        <v>0</v>
      </c>
      <c r="I3701" s="1">
        <v>1753</v>
      </c>
      <c r="J3701" s="1">
        <v>1740</v>
      </c>
      <c r="K3701" s="1">
        <v>13</v>
      </c>
    </row>
    <row r="3702" spans="3:11" x14ac:dyDescent="0.25">
      <c r="C3702" s="1" t="s">
        <v>11423</v>
      </c>
      <c r="D3702" s="1" t="s">
        <v>11424</v>
      </c>
      <c r="E3702" s="1" t="s">
        <v>11425</v>
      </c>
      <c r="F3702" s="1">
        <v>13</v>
      </c>
      <c r="G3702" s="1">
        <v>13</v>
      </c>
      <c r="H3702" s="1">
        <v>0</v>
      </c>
      <c r="I3702" s="1">
        <v>454</v>
      </c>
      <c r="J3702" s="1">
        <v>441</v>
      </c>
      <c r="K3702" s="1">
        <v>13</v>
      </c>
    </row>
    <row r="3703" spans="3:11" x14ac:dyDescent="0.25">
      <c r="C3703" s="1" t="s">
        <v>11426</v>
      </c>
      <c r="D3703" s="1" t="s">
        <v>11427</v>
      </c>
      <c r="E3703" s="1" t="s">
        <v>11428</v>
      </c>
      <c r="F3703" s="1">
        <v>13</v>
      </c>
      <c r="G3703" s="1">
        <v>13</v>
      </c>
      <c r="H3703" s="1">
        <v>0</v>
      </c>
      <c r="I3703" s="1">
        <v>423</v>
      </c>
      <c r="J3703" s="1">
        <v>410</v>
      </c>
      <c r="K3703" s="1">
        <v>13</v>
      </c>
    </row>
    <row r="3704" spans="3:11" x14ac:dyDescent="0.25">
      <c r="C3704" s="1" t="s">
        <v>11429</v>
      </c>
      <c r="D3704" s="1" t="s">
        <v>11430</v>
      </c>
      <c r="E3704" s="1" t="s">
        <v>11431</v>
      </c>
      <c r="F3704" s="1">
        <v>13</v>
      </c>
      <c r="G3704" s="1">
        <v>13</v>
      </c>
      <c r="H3704" s="1">
        <v>0</v>
      </c>
      <c r="I3704" s="1">
        <v>389</v>
      </c>
      <c r="J3704" s="1">
        <v>376</v>
      </c>
      <c r="K3704" s="1">
        <v>13</v>
      </c>
    </row>
    <row r="3705" spans="3:11" x14ac:dyDescent="0.25">
      <c r="C3705" s="1" t="s">
        <v>3037</v>
      </c>
      <c r="D3705" s="1" t="s">
        <v>1510</v>
      </c>
      <c r="E3705" s="1" t="s">
        <v>3038</v>
      </c>
      <c r="F3705" s="1">
        <v>13</v>
      </c>
      <c r="G3705" s="1">
        <v>13</v>
      </c>
      <c r="H3705" s="1">
        <v>0</v>
      </c>
      <c r="I3705" s="1">
        <v>288</v>
      </c>
      <c r="J3705" s="1">
        <v>275</v>
      </c>
      <c r="K3705" s="1">
        <v>13</v>
      </c>
    </row>
    <row r="3706" spans="3:11" x14ac:dyDescent="0.25">
      <c r="C3706" s="1" t="s">
        <v>1501</v>
      </c>
      <c r="D3706" s="1" t="s">
        <v>1502</v>
      </c>
      <c r="E3706" s="1" t="s">
        <v>1503</v>
      </c>
      <c r="F3706" s="1">
        <v>13</v>
      </c>
      <c r="G3706" s="1">
        <v>13</v>
      </c>
      <c r="H3706" s="1">
        <v>0</v>
      </c>
      <c r="I3706" s="1">
        <v>252</v>
      </c>
      <c r="J3706" s="1">
        <v>239</v>
      </c>
      <c r="K3706" s="1">
        <v>13</v>
      </c>
    </row>
    <row r="3707" spans="3:11" x14ac:dyDescent="0.25">
      <c r="C3707" s="1" t="s">
        <v>1662</v>
      </c>
      <c r="D3707" s="1" t="s">
        <v>1663</v>
      </c>
      <c r="E3707" s="1" t="s">
        <v>1664</v>
      </c>
      <c r="F3707" s="1">
        <v>13</v>
      </c>
      <c r="G3707" s="1">
        <v>13</v>
      </c>
      <c r="H3707" s="1">
        <v>0</v>
      </c>
      <c r="I3707" s="1">
        <v>140</v>
      </c>
      <c r="J3707" s="1">
        <v>127</v>
      </c>
      <c r="K3707" s="1">
        <v>13</v>
      </c>
    </row>
    <row r="3708" spans="3:11" x14ac:dyDescent="0.25">
      <c r="C3708" s="1" t="s">
        <v>3391</v>
      </c>
      <c r="D3708" s="1" t="s">
        <v>3392</v>
      </c>
      <c r="E3708" s="1" t="s">
        <v>3393</v>
      </c>
      <c r="F3708" s="1">
        <v>13</v>
      </c>
      <c r="G3708" s="1">
        <v>13</v>
      </c>
      <c r="H3708" s="1">
        <v>0</v>
      </c>
      <c r="I3708" s="1">
        <v>98</v>
      </c>
      <c r="J3708" s="1">
        <v>85</v>
      </c>
      <c r="K3708" s="1">
        <v>13</v>
      </c>
    </row>
    <row r="3709" spans="3:11" x14ac:dyDescent="0.25">
      <c r="C3709" s="1" t="s">
        <v>11432</v>
      </c>
      <c r="D3709" s="1" t="s">
        <v>11433</v>
      </c>
      <c r="E3709" s="1" t="s">
        <v>11434</v>
      </c>
      <c r="F3709" s="1">
        <v>13</v>
      </c>
      <c r="G3709" s="1">
        <v>13</v>
      </c>
      <c r="H3709" s="1">
        <v>0</v>
      </c>
      <c r="I3709" s="1">
        <v>61</v>
      </c>
      <c r="J3709" s="1">
        <v>48</v>
      </c>
      <c r="K3709" s="1">
        <v>13</v>
      </c>
    </row>
    <row r="3710" spans="3:11" x14ac:dyDescent="0.25">
      <c r="C3710" s="1" t="s">
        <v>11435</v>
      </c>
      <c r="D3710" s="1" t="s">
        <v>11436</v>
      </c>
      <c r="E3710" s="1" t="s">
        <v>11437</v>
      </c>
      <c r="F3710" s="1">
        <v>13</v>
      </c>
      <c r="G3710" s="1">
        <v>13</v>
      </c>
      <c r="H3710" s="1">
        <v>0</v>
      </c>
      <c r="I3710" s="1">
        <v>60</v>
      </c>
      <c r="J3710" s="1">
        <v>47</v>
      </c>
      <c r="K3710" s="1">
        <v>13</v>
      </c>
    </row>
    <row r="3711" spans="3:11" x14ac:dyDescent="0.25">
      <c r="C3711" s="1" t="s">
        <v>11438</v>
      </c>
      <c r="D3711" s="1" t="s">
        <v>11439</v>
      </c>
      <c r="E3711" s="1" t="s">
        <v>11438</v>
      </c>
      <c r="F3711" s="1">
        <v>13</v>
      </c>
      <c r="G3711" s="1">
        <v>13</v>
      </c>
      <c r="H3711" s="1">
        <v>0</v>
      </c>
      <c r="I3711" s="1">
        <v>43</v>
      </c>
      <c r="J3711" s="1">
        <v>30</v>
      </c>
      <c r="K3711" s="1">
        <v>13</v>
      </c>
    </row>
    <row r="3712" spans="3:11" x14ac:dyDescent="0.25">
      <c r="C3712" s="1" t="s">
        <v>11440</v>
      </c>
      <c r="D3712" s="1" t="s">
        <v>11441</v>
      </c>
      <c r="E3712" s="1" t="s">
        <v>11442</v>
      </c>
      <c r="F3712" s="1">
        <v>13</v>
      </c>
      <c r="G3712" s="1">
        <v>13</v>
      </c>
      <c r="H3712" s="1">
        <v>0</v>
      </c>
      <c r="I3712" s="1">
        <v>30</v>
      </c>
      <c r="J3712" s="1">
        <v>17</v>
      </c>
      <c r="K3712" s="1">
        <v>13</v>
      </c>
    </row>
    <row r="3713" spans="3:11" x14ac:dyDescent="0.25">
      <c r="C3713" s="1" t="s">
        <v>2118</v>
      </c>
      <c r="D3713" s="1" t="s">
        <v>2119</v>
      </c>
      <c r="E3713" s="1" t="s">
        <v>2120</v>
      </c>
      <c r="F3713" s="1">
        <v>13</v>
      </c>
      <c r="G3713" s="1">
        <v>13</v>
      </c>
      <c r="H3713" s="1">
        <v>0</v>
      </c>
      <c r="I3713" s="1">
        <v>26</v>
      </c>
      <c r="J3713" s="1">
        <v>13</v>
      </c>
      <c r="K3713" s="1">
        <v>13</v>
      </c>
    </row>
    <row r="3714" spans="3:11" x14ac:dyDescent="0.25">
      <c r="C3714" s="1" t="s">
        <v>11443</v>
      </c>
      <c r="D3714" s="1" t="s">
        <v>11444</v>
      </c>
      <c r="E3714" s="1" t="s">
        <v>11445</v>
      </c>
      <c r="F3714" s="1">
        <v>13</v>
      </c>
      <c r="G3714" s="1">
        <v>13</v>
      </c>
      <c r="H3714" s="1">
        <v>0</v>
      </c>
      <c r="I3714" s="1">
        <v>17</v>
      </c>
      <c r="J3714" s="1">
        <v>4</v>
      </c>
      <c r="K3714" s="1">
        <v>13</v>
      </c>
    </row>
    <row r="3715" spans="3:11" x14ac:dyDescent="0.25">
      <c r="C3715" s="1" t="s">
        <v>11446</v>
      </c>
      <c r="D3715" s="1" t="s">
        <v>11447</v>
      </c>
      <c r="E3715" s="1" t="s">
        <v>11448</v>
      </c>
      <c r="F3715" s="1">
        <v>13</v>
      </c>
      <c r="G3715" s="1">
        <v>13</v>
      </c>
      <c r="H3715" s="1">
        <v>0</v>
      </c>
      <c r="I3715" s="1">
        <v>13</v>
      </c>
      <c r="J3715" s="1">
        <v>0</v>
      </c>
      <c r="K3715" s="1">
        <v>13</v>
      </c>
    </row>
    <row r="3716" spans="3:11" x14ac:dyDescent="0.25">
      <c r="C3716" s="1" t="s">
        <v>11449</v>
      </c>
      <c r="D3716" s="1" t="s">
        <v>11450</v>
      </c>
      <c r="E3716" s="1" t="s">
        <v>11449</v>
      </c>
      <c r="F3716" s="1">
        <v>13</v>
      </c>
      <c r="G3716" s="1">
        <v>13</v>
      </c>
      <c r="H3716" s="1">
        <v>0</v>
      </c>
      <c r="I3716" s="1">
        <v>13</v>
      </c>
      <c r="J3716" s="1">
        <v>0</v>
      </c>
      <c r="K3716" s="1">
        <v>13</v>
      </c>
    </row>
    <row r="3717" spans="3:11" x14ac:dyDescent="0.25">
      <c r="C3717" s="1" t="s">
        <v>2407</v>
      </c>
      <c r="D3717" s="1" t="s">
        <v>413</v>
      </c>
      <c r="E3717" s="1" t="s">
        <v>2408</v>
      </c>
      <c r="F3717" s="1">
        <v>14</v>
      </c>
      <c r="G3717" s="1">
        <v>14</v>
      </c>
      <c r="H3717" s="1">
        <v>0</v>
      </c>
      <c r="I3717" s="1">
        <v>3982</v>
      </c>
      <c r="J3717" s="1">
        <v>3968</v>
      </c>
      <c r="K3717" s="1">
        <v>14</v>
      </c>
    </row>
    <row r="3718" spans="3:11" x14ac:dyDescent="0.25">
      <c r="C3718" s="1" t="s">
        <v>11451</v>
      </c>
      <c r="D3718" s="1" t="s">
        <v>11452</v>
      </c>
      <c r="E3718" s="1" t="s">
        <v>11453</v>
      </c>
      <c r="F3718" s="1">
        <v>14</v>
      </c>
      <c r="G3718" s="1">
        <v>14</v>
      </c>
      <c r="H3718" s="1">
        <v>0</v>
      </c>
      <c r="I3718" s="1">
        <v>2291</v>
      </c>
      <c r="J3718" s="1">
        <v>2277</v>
      </c>
      <c r="K3718" s="1">
        <v>14</v>
      </c>
    </row>
    <row r="3719" spans="3:11" x14ac:dyDescent="0.25">
      <c r="C3719" s="1" t="s">
        <v>11454</v>
      </c>
      <c r="D3719" s="1" t="s">
        <v>11455</v>
      </c>
      <c r="E3719" s="1" t="s">
        <v>11456</v>
      </c>
      <c r="F3719" s="1">
        <v>14</v>
      </c>
      <c r="G3719" s="1">
        <v>14</v>
      </c>
      <c r="H3719" s="1">
        <v>0</v>
      </c>
      <c r="I3719" s="1">
        <v>1564</v>
      </c>
      <c r="J3719" s="1">
        <v>1550</v>
      </c>
      <c r="K3719" s="1">
        <v>14</v>
      </c>
    </row>
    <row r="3720" spans="3:11" x14ac:dyDescent="0.25">
      <c r="C3720" s="1" t="s">
        <v>11457</v>
      </c>
      <c r="D3720" s="1" t="s">
        <v>11458</v>
      </c>
      <c r="E3720" s="1" t="s">
        <v>11459</v>
      </c>
      <c r="F3720" s="1">
        <v>14</v>
      </c>
      <c r="G3720" s="1">
        <v>14</v>
      </c>
      <c r="H3720" s="1">
        <v>0</v>
      </c>
      <c r="I3720" s="1">
        <v>654</v>
      </c>
      <c r="J3720" s="1">
        <v>640</v>
      </c>
      <c r="K3720" s="1">
        <v>14</v>
      </c>
    </row>
    <row r="3721" spans="3:11" x14ac:dyDescent="0.25">
      <c r="C3721" s="1" t="s">
        <v>11460</v>
      </c>
      <c r="D3721" s="1" t="s">
        <v>11461</v>
      </c>
      <c r="E3721" s="1" t="s">
        <v>11462</v>
      </c>
      <c r="F3721" s="1">
        <v>14</v>
      </c>
      <c r="G3721" s="1">
        <v>14</v>
      </c>
      <c r="H3721" s="1">
        <v>0</v>
      </c>
      <c r="I3721" s="1">
        <v>568</v>
      </c>
      <c r="J3721" s="1">
        <v>554</v>
      </c>
      <c r="K3721" s="1">
        <v>14</v>
      </c>
    </row>
    <row r="3722" spans="3:11" x14ac:dyDescent="0.25">
      <c r="C3722" s="1" t="s">
        <v>2904</v>
      </c>
      <c r="D3722" s="1" t="s">
        <v>2905</v>
      </c>
      <c r="E3722" s="1" t="s">
        <v>2906</v>
      </c>
      <c r="F3722" s="1">
        <v>14</v>
      </c>
      <c r="G3722" s="1">
        <v>14</v>
      </c>
      <c r="H3722" s="1">
        <v>0</v>
      </c>
      <c r="I3722" s="1">
        <v>459</v>
      </c>
      <c r="J3722" s="1">
        <v>445</v>
      </c>
      <c r="K3722" s="1">
        <v>14</v>
      </c>
    </row>
    <row r="3723" spans="3:11" x14ac:dyDescent="0.25">
      <c r="C3723" s="1" t="s">
        <v>2976</v>
      </c>
      <c r="D3723" s="1" t="s">
        <v>2977</v>
      </c>
      <c r="E3723" s="1" t="s">
        <v>2978</v>
      </c>
      <c r="F3723" s="1">
        <v>14</v>
      </c>
      <c r="G3723" s="1">
        <v>14</v>
      </c>
      <c r="H3723" s="1">
        <v>0</v>
      </c>
      <c r="I3723" s="1">
        <v>361</v>
      </c>
      <c r="J3723" s="1">
        <v>347</v>
      </c>
      <c r="K3723" s="1">
        <v>14</v>
      </c>
    </row>
    <row r="3724" spans="3:11" x14ac:dyDescent="0.25">
      <c r="C3724" s="1" t="s">
        <v>11463</v>
      </c>
      <c r="D3724" s="1" t="s">
        <v>11464</v>
      </c>
      <c r="E3724" s="1" t="s">
        <v>11465</v>
      </c>
      <c r="F3724" s="1">
        <v>14</v>
      </c>
      <c r="G3724" s="1">
        <v>14</v>
      </c>
      <c r="H3724" s="1">
        <v>0</v>
      </c>
      <c r="I3724" s="1">
        <v>345</v>
      </c>
      <c r="J3724" s="1">
        <v>331</v>
      </c>
      <c r="K3724" s="1">
        <v>14</v>
      </c>
    </row>
    <row r="3725" spans="3:11" x14ac:dyDescent="0.25">
      <c r="C3725" s="1" t="s">
        <v>1495</v>
      </c>
      <c r="D3725" s="1" t="s">
        <v>1496</v>
      </c>
      <c r="E3725" s="1" t="s">
        <v>1497</v>
      </c>
      <c r="F3725" s="1">
        <v>14</v>
      </c>
      <c r="G3725" s="1">
        <v>14</v>
      </c>
      <c r="H3725" s="1">
        <v>0</v>
      </c>
      <c r="I3725" s="1">
        <v>342</v>
      </c>
      <c r="J3725" s="1">
        <v>328</v>
      </c>
      <c r="K3725" s="1">
        <v>14</v>
      </c>
    </row>
    <row r="3726" spans="3:11" x14ac:dyDescent="0.25">
      <c r="C3726" s="1" t="s">
        <v>11466</v>
      </c>
      <c r="D3726" s="1" t="s">
        <v>11467</v>
      </c>
      <c r="E3726" s="1" t="s">
        <v>11468</v>
      </c>
      <c r="F3726" s="1">
        <v>14</v>
      </c>
      <c r="G3726" s="1">
        <v>14</v>
      </c>
      <c r="H3726" s="1">
        <v>0</v>
      </c>
      <c r="I3726" s="1">
        <v>336</v>
      </c>
      <c r="J3726" s="1">
        <v>322</v>
      </c>
      <c r="K3726" s="1">
        <v>14</v>
      </c>
    </row>
    <row r="3727" spans="3:11" x14ac:dyDescent="0.25">
      <c r="C3727" s="1" t="s">
        <v>1418</v>
      </c>
      <c r="D3727" s="1" t="s">
        <v>141</v>
      </c>
      <c r="E3727" s="1" t="s">
        <v>1419</v>
      </c>
      <c r="F3727" s="1">
        <v>14</v>
      </c>
      <c r="G3727" s="1">
        <v>14</v>
      </c>
      <c r="H3727" s="1">
        <v>0</v>
      </c>
      <c r="I3727" s="1">
        <v>314</v>
      </c>
      <c r="J3727" s="1">
        <v>300</v>
      </c>
      <c r="K3727" s="1">
        <v>14</v>
      </c>
    </row>
    <row r="3728" spans="3:11" x14ac:dyDescent="0.25">
      <c r="C3728" s="1" t="s">
        <v>1438</v>
      </c>
      <c r="D3728" s="1" t="s">
        <v>1439</v>
      </c>
      <c r="E3728" s="1" t="s">
        <v>1440</v>
      </c>
      <c r="F3728" s="1">
        <v>14</v>
      </c>
      <c r="G3728" s="1">
        <v>14</v>
      </c>
      <c r="H3728" s="1">
        <v>0</v>
      </c>
      <c r="I3728" s="1">
        <v>298</v>
      </c>
      <c r="J3728" s="1">
        <v>284</v>
      </c>
      <c r="K3728" s="1">
        <v>14</v>
      </c>
    </row>
    <row r="3729" spans="3:11" x14ac:dyDescent="0.25">
      <c r="C3729" s="1" t="s">
        <v>11469</v>
      </c>
      <c r="D3729" s="1" t="s">
        <v>11470</v>
      </c>
      <c r="E3729" s="1" t="s">
        <v>11471</v>
      </c>
      <c r="F3729" s="1">
        <v>14</v>
      </c>
      <c r="G3729" s="1">
        <v>14</v>
      </c>
      <c r="H3729" s="1">
        <v>0</v>
      </c>
      <c r="I3729" s="1">
        <v>265</v>
      </c>
      <c r="J3729" s="1">
        <v>251</v>
      </c>
      <c r="K3729" s="1">
        <v>14</v>
      </c>
    </row>
    <row r="3730" spans="3:11" x14ac:dyDescent="0.25">
      <c r="C3730" s="1" t="s">
        <v>11472</v>
      </c>
      <c r="D3730" s="1" t="s">
        <v>11473</v>
      </c>
      <c r="E3730" s="1" t="s">
        <v>11472</v>
      </c>
      <c r="F3730" s="1">
        <v>14</v>
      </c>
      <c r="G3730" s="1">
        <v>14</v>
      </c>
      <c r="H3730" s="1">
        <v>0</v>
      </c>
      <c r="I3730" s="1">
        <v>241</v>
      </c>
      <c r="J3730" s="1">
        <v>227</v>
      </c>
      <c r="K3730" s="1">
        <v>14</v>
      </c>
    </row>
    <row r="3731" spans="3:11" x14ac:dyDescent="0.25">
      <c r="C3731" s="1" t="s">
        <v>3230</v>
      </c>
      <c r="D3731" s="1" t="s">
        <v>3231</v>
      </c>
      <c r="E3731" s="1" t="s">
        <v>3232</v>
      </c>
      <c r="F3731" s="1">
        <v>14</v>
      </c>
      <c r="G3731" s="1">
        <v>14</v>
      </c>
      <c r="H3731" s="1">
        <v>0</v>
      </c>
      <c r="I3731" s="1">
        <v>158</v>
      </c>
      <c r="J3731" s="1">
        <v>144</v>
      </c>
      <c r="K3731" s="1">
        <v>14</v>
      </c>
    </row>
    <row r="3732" spans="3:11" x14ac:dyDescent="0.25">
      <c r="C3732" s="1" t="s">
        <v>1670</v>
      </c>
      <c r="D3732" s="1" t="s">
        <v>1671</v>
      </c>
      <c r="E3732" s="1" t="s">
        <v>1672</v>
      </c>
      <c r="F3732" s="1">
        <v>14</v>
      </c>
      <c r="G3732" s="1">
        <v>14</v>
      </c>
      <c r="H3732" s="1">
        <v>0</v>
      </c>
      <c r="I3732" s="1">
        <v>121</v>
      </c>
      <c r="J3732" s="1">
        <v>107</v>
      </c>
      <c r="K3732" s="1">
        <v>14</v>
      </c>
    </row>
    <row r="3733" spans="3:11" x14ac:dyDescent="0.25">
      <c r="C3733" s="1" t="s">
        <v>11474</v>
      </c>
      <c r="D3733" s="1" t="s">
        <v>11475</v>
      </c>
      <c r="E3733" s="1" t="s">
        <v>11474</v>
      </c>
      <c r="F3733" s="1">
        <v>14</v>
      </c>
      <c r="G3733" s="1">
        <v>14</v>
      </c>
      <c r="H3733" s="1">
        <v>0</v>
      </c>
      <c r="I3733" s="1">
        <v>120</v>
      </c>
      <c r="J3733" s="1">
        <v>106</v>
      </c>
      <c r="K3733" s="1">
        <v>14</v>
      </c>
    </row>
    <row r="3734" spans="3:11" x14ac:dyDescent="0.25">
      <c r="C3734" s="1" t="s">
        <v>11476</v>
      </c>
      <c r="D3734" s="1" t="s">
        <v>11477</v>
      </c>
      <c r="E3734" s="1" t="s">
        <v>11478</v>
      </c>
      <c r="F3734" s="1">
        <v>14</v>
      </c>
      <c r="G3734" s="1">
        <v>14</v>
      </c>
      <c r="H3734" s="1">
        <v>0</v>
      </c>
      <c r="I3734" s="1">
        <v>93</v>
      </c>
      <c r="J3734" s="1">
        <v>79</v>
      </c>
      <c r="K3734" s="1">
        <v>14</v>
      </c>
    </row>
    <row r="3735" spans="3:11" x14ac:dyDescent="0.25">
      <c r="C3735" s="1" t="s">
        <v>3505</v>
      </c>
      <c r="D3735" s="1" t="s">
        <v>2134</v>
      </c>
      <c r="E3735" s="1" t="s">
        <v>3506</v>
      </c>
      <c r="F3735" s="1">
        <v>14</v>
      </c>
      <c r="G3735" s="1">
        <v>14</v>
      </c>
      <c r="H3735" s="1">
        <v>0</v>
      </c>
      <c r="I3735" s="1">
        <v>75</v>
      </c>
      <c r="J3735" s="1">
        <v>61</v>
      </c>
      <c r="K3735" s="1">
        <v>14</v>
      </c>
    </row>
    <row r="3736" spans="3:11" x14ac:dyDescent="0.25">
      <c r="C3736" s="1" t="s">
        <v>11479</v>
      </c>
      <c r="D3736" s="1" t="s">
        <v>11480</v>
      </c>
      <c r="E3736" s="1" t="s">
        <v>11481</v>
      </c>
      <c r="F3736" s="1">
        <v>14</v>
      </c>
      <c r="G3736" s="1">
        <v>14</v>
      </c>
      <c r="H3736" s="1">
        <v>0</v>
      </c>
      <c r="I3736" s="1">
        <v>31</v>
      </c>
      <c r="J3736" s="1">
        <v>17</v>
      </c>
      <c r="K3736" s="1">
        <v>14</v>
      </c>
    </row>
    <row r="3737" spans="3:11" x14ac:dyDescent="0.25">
      <c r="C3737" s="1" t="s">
        <v>11482</v>
      </c>
      <c r="D3737" s="1" t="s">
        <v>11483</v>
      </c>
      <c r="E3737" s="1" t="s">
        <v>11484</v>
      </c>
      <c r="F3737" s="1">
        <v>14</v>
      </c>
      <c r="G3737" s="1">
        <v>14</v>
      </c>
      <c r="H3737" s="1">
        <v>0</v>
      </c>
      <c r="I3737" s="1">
        <v>27</v>
      </c>
      <c r="J3737" s="1">
        <v>13</v>
      </c>
      <c r="K3737" s="1">
        <v>14</v>
      </c>
    </row>
    <row r="3738" spans="3:11" x14ac:dyDescent="0.25">
      <c r="C3738" s="1" t="s">
        <v>11485</v>
      </c>
      <c r="D3738" s="1" t="s">
        <v>11486</v>
      </c>
      <c r="E3738" s="1" t="s">
        <v>11487</v>
      </c>
      <c r="F3738" s="1">
        <v>14</v>
      </c>
      <c r="G3738" s="1">
        <v>14</v>
      </c>
      <c r="H3738" s="1">
        <v>0</v>
      </c>
      <c r="I3738" s="1">
        <v>26</v>
      </c>
      <c r="J3738" s="1">
        <v>12</v>
      </c>
      <c r="K3738" s="1">
        <v>14</v>
      </c>
    </row>
    <row r="3739" spans="3:11" x14ac:dyDescent="0.25">
      <c r="C3739" s="1" t="s">
        <v>11488</v>
      </c>
      <c r="D3739" s="1" t="s">
        <v>11489</v>
      </c>
      <c r="E3739" s="1" t="s">
        <v>11490</v>
      </c>
      <c r="F3739" s="1">
        <v>14</v>
      </c>
      <c r="G3739" s="1">
        <v>14</v>
      </c>
      <c r="H3739" s="1">
        <v>0</v>
      </c>
      <c r="I3739" s="1">
        <v>22</v>
      </c>
      <c r="J3739" s="1">
        <v>8</v>
      </c>
      <c r="K3739" s="1">
        <v>14</v>
      </c>
    </row>
    <row r="3740" spans="3:11" x14ac:dyDescent="0.25">
      <c r="C3740" s="1" t="s">
        <v>11491</v>
      </c>
      <c r="D3740" s="1" t="s">
        <v>11492</v>
      </c>
      <c r="E3740" s="1" t="s">
        <v>11493</v>
      </c>
      <c r="F3740" s="1">
        <v>14</v>
      </c>
      <c r="G3740" s="1">
        <v>14</v>
      </c>
      <c r="H3740" s="1">
        <v>0</v>
      </c>
      <c r="I3740" s="1">
        <v>16</v>
      </c>
      <c r="J3740" s="1">
        <v>2</v>
      </c>
      <c r="K3740" s="1">
        <v>14</v>
      </c>
    </row>
    <row r="3741" spans="3:11" x14ac:dyDescent="0.25">
      <c r="C3741" s="1" t="s">
        <v>11494</v>
      </c>
      <c r="D3741" s="1" t="s">
        <v>11495</v>
      </c>
      <c r="E3741" s="1" t="s">
        <v>11496</v>
      </c>
      <c r="F3741" s="1">
        <v>14</v>
      </c>
      <c r="G3741" s="1">
        <v>14</v>
      </c>
      <c r="H3741" s="1">
        <v>0</v>
      </c>
      <c r="I3741" s="1">
        <v>15</v>
      </c>
      <c r="J3741" s="1">
        <v>1</v>
      </c>
      <c r="K3741" s="1">
        <v>14</v>
      </c>
    </row>
    <row r="3742" spans="3:11" x14ac:dyDescent="0.25">
      <c r="C3742" s="1" t="s">
        <v>11497</v>
      </c>
      <c r="D3742" s="1" t="s">
        <v>11498</v>
      </c>
      <c r="E3742" s="1" t="s">
        <v>11497</v>
      </c>
      <c r="F3742" s="1">
        <v>14</v>
      </c>
      <c r="G3742" s="1">
        <v>14</v>
      </c>
      <c r="H3742" s="1">
        <v>0</v>
      </c>
      <c r="I3742" s="1">
        <v>15</v>
      </c>
      <c r="J3742" s="1">
        <v>1</v>
      </c>
      <c r="K3742" s="1">
        <v>14</v>
      </c>
    </row>
    <row r="3743" spans="3:11" x14ac:dyDescent="0.25">
      <c r="C3743" s="1" t="s">
        <v>11499</v>
      </c>
      <c r="D3743" s="1" t="s">
        <v>11500</v>
      </c>
      <c r="E3743" s="1" t="s">
        <v>11501</v>
      </c>
      <c r="F3743" s="1">
        <v>15</v>
      </c>
      <c r="G3743" s="1">
        <v>15</v>
      </c>
      <c r="H3743" s="1">
        <v>0</v>
      </c>
      <c r="I3743" s="1">
        <v>3447</v>
      </c>
      <c r="J3743" s="1">
        <v>3432</v>
      </c>
      <c r="K3743" s="1">
        <v>15</v>
      </c>
    </row>
    <row r="3744" spans="3:11" x14ac:dyDescent="0.25">
      <c r="C3744" s="1" t="s">
        <v>11502</v>
      </c>
      <c r="D3744" s="1" t="s">
        <v>11503</v>
      </c>
      <c r="E3744" s="1" t="s">
        <v>11504</v>
      </c>
      <c r="F3744" s="1">
        <v>15</v>
      </c>
      <c r="G3744" s="1">
        <v>15</v>
      </c>
      <c r="H3744" s="1">
        <v>0</v>
      </c>
      <c r="I3744" s="1">
        <v>2007</v>
      </c>
      <c r="J3744" s="1">
        <v>1992</v>
      </c>
      <c r="K3744" s="1">
        <v>15</v>
      </c>
    </row>
    <row r="3745" spans="3:11" x14ac:dyDescent="0.25">
      <c r="C3745" s="1" t="s">
        <v>11505</v>
      </c>
      <c r="D3745" s="1" t="s">
        <v>11506</v>
      </c>
      <c r="E3745" s="1" t="s">
        <v>11507</v>
      </c>
      <c r="F3745" s="1">
        <v>15</v>
      </c>
      <c r="G3745" s="1">
        <v>15</v>
      </c>
      <c r="H3745" s="1">
        <v>0</v>
      </c>
      <c r="I3745" s="1">
        <v>1956</v>
      </c>
      <c r="J3745" s="1">
        <v>1941</v>
      </c>
      <c r="K3745" s="1">
        <v>15</v>
      </c>
    </row>
    <row r="3746" spans="3:11" x14ac:dyDescent="0.25">
      <c r="C3746" s="1" t="s">
        <v>2515</v>
      </c>
      <c r="D3746" s="1" t="s">
        <v>2516</v>
      </c>
      <c r="E3746" s="1" t="s">
        <v>2517</v>
      </c>
      <c r="F3746" s="1">
        <v>15</v>
      </c>
      <c r="G3746" s="1">
        <v>15</v>
      </c>
      <c r="H3746" s="1">
        <v>0</v>
      </c>
      <c r="I3746" s="1">
        <v>1821</v>
      </c>
      <c r="J3746" s="1">
        <v>1806</v>
      </c>
      <c r="K3746" s="1">
        <v>15</v>
      </c>
    </row>
    <row r="3747" spans="3:11" x14ac:dyDescent="0.25">
      <c r="C3747" s="1" t="s">
        <v>11508</v>
      </c>
      <c r="D3747" s="1" t="s">
        <v>11509</v>
      </c>
      <c r="E3747" s="1" t="s">
        <v>11510</v>
      </c>
      <c r="F3747" s="1">
        <v>15</v>
      </c>
      <c r="G3747" s="1">
        <v>15</v>
      </c>
      <c r="H3747" s="1">
        <v>0</v>
      </c>
      <c r="I3747" s="1">
        <v>1206</v>
      </c>
      <c r="J3747" s="1">
        <v>1191</v>
      </c>
      <c r="K3747" s="1">
        <v>15</v>
      </c>
    </row>
    <row r="3748" spans="3:11" x14ac:dyDescent="0.25">
      <c r="C3748" s="1" t="s">
        <v>11511</v>
      </c>
      <c r="D3748" s="1" t="s">
        <v>11512</v>
      </c>
      <c r="E3748" s="1" t="s">
        <v>11513</v>
      </c>
      <c r="F3748" s="1">
        <v>15</v>
      </c>
      <c r="G3748" s="1">
        <v>15</v>
      </c>
      <c r="H3748" s="1">
        <v>0</v>
      </c>
      <c r="I3748" s="1">
        <v>771</v>
      </c>
      <c r="J3748" s="1">
        <v>756</v>
      </c>
      <c r="K3748" s="1">
        <v>15</v>
      </c>
    </row>
    <row r="3749" spans="3:11" x14ac:dyDescent="0.25">
      <c r="C3749" s="1" t="s">
        <v>11514</v>
      </c>
      <c r="D3749" s="1" t="s">
        <v>11515</v>
      </c>
      <c r="E3749" s="1" t="s">
        <v>11516</v>
      </c>
      <c r="F3749" s="1">
        <v>15</v>
      </c>
      <c r="G3749" s="1">
        <v>15</v>
      </c>
      <c r="H3749" s="1">
        <v>0</v>
      </c>
      <c r="I3749" s="1">
        <v>711</v>
      </c>
      <c r="J3749" s="1">
        <v>696</v>
      </c>
      <c r="K3749" s="1">
        <v>15</v>
      </c>
    </row>
    <row r="3750" spans="3:11" x14ac:dyDescent="0.25">
      <c r="C3750" s="1" t="s">
        <v>1278</v>
      </c>
      <c r="D3750" s="1" t="s">
        <v>1279</v>
      </c>
      <c r="E3750" s="1" t="s">
        <v>1280</v>
      </c>
      <c r="F3750" s="1">
        <v>15</v>
      </c>
      <c r="G3750" s="1">
        <v>15</v>
      </c>
      <c r="H3750" s="1">
        <v>0</v>
      </c>
      <c r="I3750" s="1">
        <v>522</v>
      </c>
      <c r="J3750" s="1">
        <v>507</v>
      </c>
      <c r="K3750" s="1">
        <v>15</v>
      </c>
    </row>
    <row r="3751" spans="3:11" x14ac:dyDescent="0.25">
      <c r="C3751" s="1" t="s">
        <v>11517</v>
      </c>
      <c r="D3751" s="1" t="s">
        <v>11518</v>
      </c>
      <c r="E3751" s="1" t="s">
        <v>11519</v>
      </c>
      <c r="F3751" s="1">
        <v>15</v>
      </c>
      <c r="G3751" s="1">
        <v>15</v>
      </c>
      <c r="H3751" s="1">
        <v>0</v>
      </c>
      <c r="I3751" s="1">
        <v>454</v>
      </c>
      <c r="J3751" s="1">
        <v>439</v>
      </c>
      <c r="K3751" s="1">
        <v>15</v>
      </c>
    </row>
    <row r="3752" spans="3:11" x14ac:dyDescent="0.25">
      <c r="C3752" s="1" t="s">
        <v>11520</v>
      </c>
      <c r="D3752" s="1" t="s">
        <v>11521</v>
      </c>
      <c r="E3752" s="1" t="s">
        <v>11522</v>
      </c>
      <c r="F3752" s="1">
        <v>15</v>
      </c>
      <c r="G3752" s="1">
        <v>15</v>
      </c>
      <c r="H3752" s="1">
        <v>0</v>
      </c>
      <c r="I3752" s="1">
        <v>427</v>
      </c>
      <c r="J3752" s="1">
        <v>412</v>
      </c>
      <c r="K3752" s="1">
        <v>15</v>
      </c>
    </row>
    <row r="3753" spans="3:11" x14ac:dyDescent="0.25">
      <c r="C3753" s="1" t="s">
        <v>11523</v>
      </c>
      <c r="D3753" s="1" t="s">
        <v>11524</v>
      </c>
      <c r="E3753" s="1" t="s">
        <v>11525</v>
      </c>
      <c r="F3753" s="1">
        <v>15</v>
      </c>
      <c r="G3753" s="1">
        <v>15</v>
      </c>
      <c r="H3753" s="1">
        <v>0</v>
      </c>
      <c r="I3753" s="1">
        <v>392</v>
      </c>
      <c r="J3753" s="1">
        <v>377</v>
      </c>
      <c r="K3753" s="1">
        <v>15</v>
      </c>
    </row>
    <row r="3754" spans="3:11" x14ac:dyDescent="0.25">
      <c r="C3754" s="1" t="s">
        <v>1384</v>
      </c>
      <c r="D3754" s="1" t="s">
        <v>1385</v>
      </c>
      <c r="E3754" s="1" t="s">
        <v>1386</v>
      </c>
      <c r="F3754" s="1">
        <v>15</v>
      </c>
      <c r="G3754" s="1">
        <v>15</v>
      </c>
      <c r="H3754" s="1">
        <v>0</v>
      </c>
      <c r="I3754" s="1">
        <v>357</v>
      </c>
      <c r="J3754" s="1">
        <v>342</v>
      </c>
      <c r="K3754" s="1">
        <v>15</v>
      </c>
    </row>
    <row r="3755" spans="3:11" x14ac:dyDescent="0.25">
      <c r="C3755" s="1" t="s">
        <v>1393</v>
      </c>
      <c r="D3755" s="1" t="s">
        <v>137</v>
      </c>
      <c r="E3755" s="1" t="s">
        <v>1394</v>
      </c>
      <c r="F3755" s="1">
        <v>15</v>
      </c>
      <c r="G3755" s="1">
        <v>15</v>
      </c>
      <c r="H3755" s="1">
        <v>0</v>
      </c>
      <c r="I3755" s="1">
        <v>340</v>
      </c>
      <c r="J3755" s="1">
        <v>325</v>
      </c>
      <c r="K3755" s="1">
        <v>15</v>
      </c>
    </row>
    <row r="3756" spans="3:11" x14ac:dyDescent="0.25">
      <c r="C3756" s="1" t="s">
        <v>1485</v>
      </c>
      <c r="D3756" s="1" t="s">
        <v>1486</v>
      </c>
      <c r="E3756" s="1" t="s">
        <v>1487</v>
      </c>
      <c r="F3756" s="1">
        <v>15</v>
      </c>
      <c r="G3756" s="1">
        <v>15</v>
      </c>
      <c r="H3756" s="1">
        <v>0</v>
      </c>
      <c r="I3756" s="1">
        <v>322</v>
      </c>
      <c r="J3756" s="1">
        <v>307</v>
      </c>
      <c r="K3756" s="1">
        <v>15</v>
      </c>
    </row>
    <row r="3757" spans="3:11" x14ac:dyDescent="0.25">
      <c r="C3757" s="1" t="s">
        <v>3323</v>
      </c>
      <c r="D3757" s="1" t="s">
        <v>483</v>
      </c>
      <c r="E3757" s="1" t="s">
        <v>3324</v>
      </c>
      <c r="F3757" s="1">
        <v>15</v>
      </c>
      <c r="G3757" s="1">
        <v>15</v>
      </c>
      <c r="H3757" s="1">
        <v>0</v>
      </c>
      <c r="I3757" s="1">
        <v>119</v>
      </c>
      <c r="J3757" s="1">
        <v>104</v>
      </c>
      <c r="K3757" s="1">
        <v>15</v>
      </c>
    </row>
    <row r="3758" spans="3:11" x14ac:dyDescent="0.25">
      <c r="C3758" s="1" t="s">
        <v>3473</v>
      </c>
      <c r="D3758" s="1" t="s">
        <v>3474</v>
      </c>
      <c r="E3758" s="1" t="s">
        <v>3475</v>
      </c>
      <c r="F3758" s="1">
        <v>15</v>
      </c>
      <c r="G3758" s="1">
        <v>15</v>
      </c>
      <c r="H3758" s="1">
        <v>0</v>
      </c>
      <c r="I3758" s="1">
        <v>79</v>
      </c>
      <c r="J3758" s="1">
        <v>64</v>
      </c>
      <c r="K3758" s="1">
        <v>15</v>
      </c>
    </row>
    <row r="3759" spans="3:11" x14ac:dyDescent="0.25">
      <c r="C3759" s="1" t="s">
        <v>11526</v>
      </c>
      <c r="D3759" s="1" t="s">
        <v>11527</v>
      </c>
      <c r="E3759" s="1" t="s">
        <v>11528</v>
      </c>
      <c r="F3759" s="1">
        <v>15</v>
      </c>
      <c r="G3759" s="1">
        <v>15</v>
      </c>
      <c r="H3759" s="1">
        <v>0</v>
      </c>
      <c r="I3759" s="1">
        <v>75</v>
      </c>
      <c r="J3759" s="1">
        <v>60</v>
      </c>
      <c r="K3759" s="1">
        <v>15</v>
      </c>
    </row>
    <row r="3760" spans="3:11" x14ac:dyDescent="0.25">
      <c r="C3760" s="1" t="s">
        <v>1819</v>
      </c>
      <c r="D3760" s="1" t="s">
        <v>1820</v>
      </c>
      <c r="E3760" s="1" t="s">
        <v>1821</v>
      </c>
      <c r="F3760" s="1">
        <v>15</v>
      </c>
      <c r="G3760" s="1">
        <v>15</v>
      </c>
      <c r="H3760" s="1">
        <v>0</v>
      </c>
      <c r="I3760" s="1">
        <v>75</v>
      </c>
      <c r="J3760" s="1">
        <v>60</v>
      </c>
      <c r="K3760" s="1">
        <v>15</v>
      </c>
    </row>
    <row r="3761" spans="3:11" x14ac:dyDescent="0.25">
      <c r="C3761" s="1" t="s">
        <v>3507</v>
      </c>
      <c r="D3761" s="1" t="s">
        <v>3508</v>
      </c>
      <c r="E3761" s="1" t="s">
        <v>3509</v>
      </c>
      <c r="F3761" s="1">
        <v>15</v>
      </c>
      <c r="G3761" s="1">
        <v>15</v>
      </c>
      <c r="H3761" s="1">
        <v>0</v>
      </c>
      <c r="I3761" s="1">
        <v>74</v>
      </c>
      <c r="J3761" s="1">
        <v>59</v>
      </c>
      <c r="K3761" s="1">
        <v>15</v>
      </c>
    </row>
    <row r="3762" spans="3:11" x14ac:dyDescent="0.25">
      <c r="C3762" s="1" t="s">
        <v>11529</v>
      </c>
      <c r="D3762" s="1" t="s">
        <v>11530</v>
      </c>
      <c r="E3762" s="1" t="s">
        <v>11529</v>
      </c>
      <c r="F3762" s="1">
        <v>15</v>
      </c>
      <c r="G3762" s="1">
        <v>15</v>
      </c>
      <c r="H3762" s="1">
        <v>0</v>
      </c>
      <c r="I3762" s="1">
        <v>72</v>
      </c>
      <c r="J3762" s="1">
        <v>57</v>
      </c>
      <c r="K3762" s="1">
        <v>15</v>
      </c>
    </row>
    <row r="3763" spans="3:11" x14ac:dyDescent="0.25">
      <c r="C3763" s="1" t="s">
        <v>3549</v>
      </c>
      <c r="D3763" s="1" t="s">
        <v>3550</v>
      </c>
      <c r="E3763" s="1" t="s">
        <v>3551</v>
      </c>
      <c r="F3763" s="1">
        <v>15</v>
      </c>
      <c r="G3763" s="1">
        <v>15</v>
      </c>
      <c r="H3763" s="1">
        <v>0</v>
      </c>
      <c r="I3763" s="1">
        <v>65</v>
      </c>
      <c r="J3763" s="1">
        <v>50</v>
      </c>
      <c r="K3763" s="1">
        <v>15</v>
      </c>
    </row>
    <row r="3764" spans="3:11" x14ac:dyDescent="0.25">
      <c r="C3764" s="1" t="s">
        <v>3631</v>
      </c>
      <c r="D3764" s="1" t="s">
        <v>3632</v>
      </c>
      <c r="E3764" s="1" t="s">
        <v>3633</v>
      </c>
      <c r="F3764" s="1">
        <v>15</v>
      </c>
      <c r="G3764" s="1">
        <v>15</v>
      </c>
      <c r="H3764" s="1">
        <v>0</v>
      </c>
      <c r="I3764" s="1">
        <v>54</v>
      </c>
      <c r="J3764" s="1">
        <v>39</v>
      </c>
      <c r="K3764" s="1">
        <v>15</v>
      </c>
    </row>
    <row r="3765" spans="3:11" x14ac:dyDescent="0.25">
      <c r="C3765" s="1" t="s">
        <v>1941</v>
      </c>
      <c r="D3765" s="1" t="s">
        <v>1942</v>
      </c>
      <c r="E3765" s="1" t="s">
        <v>1943</v>
      </c>
      <c r="F3765" s="1">
        <v>15</v>
      </c>
      <c r="G3765" s="1">
        <v>15</v>
      </c>
      <c r="H3765" s="1">
        <v>0</v>
      </c>
      <c r="I3765" s="1">
        <v>54</v>
      </c>
      <c r="J3765" s="1">
        <v>39</v>
      </c>
      <c r="K3765" s="1">
        <v>15</v>
      </c>
    </row>
    <row r="3766" spans="3:11" x14ac:dyDescent="0.25">
      <c r="C3766" s="1" t="s">
        <v>11531</v>
      </c>
      <c r="D3766" s="1" t="s">
        <v>11532</v>
      </c>
      <c r="E3766" s="1" t="s">
        <v>11533</v>
      </c>
      <c r="F3766" s="1">
        <v>15</v>
      </c>
      <c r="G3766" s="1">
        <v>15</v>
      </c>
      <c r="H3766" s="1">
        <v>0</v>
      </c>
      <c r="I3766" s="1">
        <v>44</v>
      </c>
      <c r="J3766" s="1">
        <v>29</v>
      </c>
      <c r="K3766" s="1">
        <v>15</v>
      </c>
    </row>
    <row r="3767" spans="3:11" x14ac:dyDescent="0.25">
      <c r="C3767" s="1" t="s">
        <v>3869</v>
      </c>
      <c r="D3767" s="1" t="s">
        <v>3870</v>
      </c>
      <c r="E3767" s="1" t="s">
        <v>3871</v>
      </c>
      <c r="F3767" s="1">
        <v>15</v>
      </c>
      <c r="G3767" s="1">
        <v>15</v>
      </c>
      <c r="H3767" s="1">
        <v>0</v>
      </c>
      <c r="I3767" s="1">
        <v>30</v>
      </c>
      <c r="J3767" s="1">
        <v>15</v>
      </c>
      <c r="K3767" s="1">
        <v>15</v>
      </c>
    </row>
    <row r="3768" spans="3:11" x14ac:dyDescent="0.25">
      <c r="C3768" s="1" t="s">
        <v>3884</v>
      </c>
      <c r="D3768" s="1" t="s">
        <v>3885</v>
      </c>
      <c r="E3768" s="1" t="s">
        <v>3886</v>
      </c>
      <c r="F3768" s="1">
        <v>15</v>
      </c>
      <c r="G3768" s="1">
        <v>15</v>
      </c>
      <c r="H3768" s="1">
        <v>0</v>
      </c>
      <c r="I3768" s="1">
        <v>29</v>
      </c>
      <c r="J3768" s="1">
        <v>14</v>
      </c>
      <c r="K3768" s="1">
        <v>15</v>
      </c>
    </row>
    <row r="3769" spans="3:11" x14ac:dyDescent="0.25">
      <c r="D3769" s="1" t="s">
        <v>11534</v>
      </c>
      <c r="E3769" s="1" t="s">
        <v>11535</v>
      </c>
      <c r="F3769" s="1">
        <v>15</v>
      </c>
      <c r="G3769" s="1">
        <v>15</v>
      </c>
      <c r="H3769" s="1">
        <v>0</v>
      </c>
      <c r="I3769" s="1">
        <v>24</v>
      </c>
      <c r="J3769" s="1">
        <v>9</v>
      </c>
      <c r="K3769" s="1">
        <v>15</v>
      </c>
    </row>
    <row r="3770" spans="3:11" x14ac:dyDescent="0.25">
      <c r="C3770" s="1" t="s">
        <v>11536</v>
      </c>
      <c r="D3770" s="1" t="s">
        <v>11537</v>
      </c>
      <c r="E3770" s="1" t="s">
        <v>11538</v>
      </c>
      <c r="F3770" s="1">
        <v>15</v>
      </c>
      <c r="G3770" s="1">
        <v>15</v>
      </c>
      <c r="H3770" s="1">
        <v>0</v>
      </c>
      <c r="I3770" s="1">
        <v>20</v>
      </c>
      <c r="J3770" s="1">
        <v>5</v>
      </c>
      <c r="K3770" s="1">
        <v>15</v>
      </c>
    </row>
    <row r="3771" spans="3:11" x14ac:dyDescent="0.25">
      <c r="C3771" s="1" t="s">
        <v>11539</v>
      </c>
      <c r="D3771" s="1" t="s">
        <v>11540</v>
      </c>
      <c r="E3771" s="1" t="s">
        <v>11539</v>
      </c>
      <c r="F3771" s="1">
        <v>15</v>
      </c>
      <c r="G3771" s="1">
        <v>15</v>
      </c>
      <c r="H3771" s="1">
        <v>0</v>
      </c>
      <c r="I3771" s="1">
        <v>20</v>
      </c>
      <c r="J3771" s="1">
        <v>5</v>
      </c>
      <c r="K3771" s="1">
        <v>15</v>
      </c>
    </row>
    <row r="3772" spans="3:11" x14ac:dyDescent="0.25">
      <c r="C3772" s="1" t="s">
        <v>11541</v>
      </c>
      <c r="D3772" s="1" t="s">
        <v>11542</v>
      </c>
      <c r="E3772" s="1" t="s">
        <v>11543</v>
      </c>
      <c r="F3772" s="1">
        <v>15</v>
      </c>
      <c r="G3772" s="1">
        <v>15</v>
      </c>
      <c r="H3772" s="1">
        <v>0</v>
      </c>
      <c r="I3772" s="1">
        <v>18</v>
      </c>
      <c r="J3772" s="1">
        <v>3</v>
      </c>
      <c r="K3772" s="1">
        <v>15</v>
      </c>
    </row>
    <row r="3773" spans="3:11" x14ac:dyDescent="0.25">
      <c r="C3773" s="1" t="s">
        <v>11544</v>
      </c>
      <c r="D3773" s="1" t="s">
        <v>11545</v>
      </c>
      <c r="E3773" s="1" t="s">
        <v>11546</v>
      </c>
      <c r="F3773" s="1">
        <v>15</v>
      </c>
      <c r="G3773" s="1">
        <v>15</v>
      </c>
      <c r="H3773" s="1">
        <v>0</v>
      </c>
      <c r="I3773" s="1">
        <v>15</v>
      </c>
      <c r="J3773" s="1">
        <v>0</v>
      </c>
      <c r="K3773" s="1">
        <v>15</v>
      </c>
    </row>
    <row r="3774" spans="3:11" x14ac:dyDescent="0.25">
      <c r="C3774" s="1" t="s">
        <v>2478</v>
      </c>
      <c r="D3774" s="1" t="s">
        <v>601</v>
      </c>
      <c r="E3774" s="1" t="s">
        <v>2479</v>
      </c>
      <c r="F3774" s="1">
        <v>16</v>
      </c>
      <c r="G3774" s="1">
        <v>16</v>
      </c>
      <c r="H3774" s="1">
        <v>0</v>
      </c>
      <c r="I3774" s="1">
        <v>2316</v>
      </c>
      <c r="J3774" s="1">
        <v>2300</v>
      </c>
      <c r="K3774" s="1">
        <v>16</v>
      </c>
    </row>
    <row r="3775" spans="3:11" x14ac:dyDescent="0.25">
      <c r="C3775" s="1" t="s">
        <v>1048</v>
      </c>
      <c r="D3775" s="1" t="s">
        <v>77</v>
      </c>
      <c r="E3775" s="1" t="s">
        <v>1048</v>
      </c>
      <c r="F3775" s="1">
        <v>16</v>
      </c>
      <c r="G3775" s="1">
        <v>16</v>
      </c>
      <c r="H3775" s="1">
        <v>0</v>
      </c>
      <c r="I3775" s="1">
        <v>1886</v>
      </c>
      <c r="J3775" s="1">
        <v>1870</v>
      </c>
      <c r="K3775" s="1">
        <v>16</v>
      </c>
    </row>
    <row r="3776" spans="3:11" x14ac:dyDescent="0.25">
      <c r="C3776" s="1" t="s">
        <v>11547</v>
      </c>
      <c r="D3776" s="1" t="s">
        <v>11548</v>
      </c>
      <c r="E3776" s="1" t="s">
        <v>11549</v>
      </c>
      <c r="F3776" s="1">
        <v>16</v>
      </c>
      <c r="G3776" s="1">
        <v>16</v>
      </c>
      <c r="H3776" s="1">
        <v>0</v>
      </c>
      <c r="I3776" s="1">
        <v>1590</v>
      </c>
      <c r="J3776" s="1">
        <v>1574</v>
      </c>
      <c r="K3776" s="1">
        <v>16</v>
      </c>
    </row>
    <row r="3777" spans="3:11" x14ac:dyDescent="0.25">
      <c r="C3777" s="1" t="s">
        <v>11550</v>
      </c>
      <c r="D3777" s="1" t="s">
        <v>11551</v>
      </c>
      <c r="E3777" s="1" t="s">
        <v>11552</v>
      </c>
      <c r="F3777" s="1">
        <v>16</v>
      </c>
      <c r="G3777" s="1">
        <v>16</v>
      </c>
      <c r="H3777" s="1">
        <v>0</v>
      </c>
      <c r="I3777" s="1">
        <v>1589</v>
      </c>
      <c r="J3777" s="1">
        <v>1573</v>
      </c>
      <c r="K3777" s="1">
        <v>16</v>
      </c>
    </row>
    <row r="3778" spans="3:11" x14ac:dyDescent="0.25">
      <c r="C3778" s="1" t="s">
        <v>11553</v>
      </c>
      <c r="D3778" s="1" t="s">
        <v>11554</v>
      </c>
      <c r="E3778" s="1" t="s">
        <v>11555</v>
      </c>
      <c r="F3778" s="1">
        <v>16</v>
      </c>
      <c r="G3778" s="1">
        <v>16</v>
      </c>
      <c r="H3778" s="1">
        <v>0</v>
      </c>
      <c r="I3778" s="1">
        <v>913</v>
      </c>
      <c r="J3778" s="1">
        <v>897</v>
      </c>
      <c r="K3778" s="1">
        <v>16</v>
      </c>
    </row>
    <row r="3779" spans="3:11" x14ac:dyDescent="0.25">
      <c r="C3779" s="1" t="s">
        <v>11556</v>
      </c>
      <c r="D3779" s="1" t="s">
        <v>11557</v>
      </c>
      <c r="E3779" s="1" t="s">
        <v>11558</v>
      </c>
      <c r="F3779" s="1">
        <v>16</v>
      </c>
      <c r="G3779" s="1">
        <v>16</v>
      </c>
      <c r="H3779" s="1">
        <v>0</v>
      </c>
      <c r="I3779" s="1">
        <v>676</v>
      </c>
      <c r="J3779" s="1">
        <v>660</v>
      </c>
      <c r="K3779" s="1">
        <v>16</v>
      </c>
    </row>
    <row r="3780" spans="3:11" x14ac:dyDescent="0.25">
      <c r="C3780" s="1" t="s">
        <v>11559</v>
      </c>
      <c r="D3780" s="1" t="s">
        <v>11560</v>
      </c>
      <c r="E3780" s="1" t="s">
        <v>11561</v>
      </c>
      <c r="F3780" s="1">
        <v>16</v>
      </c>
      <c r="G3780" s="1">
        <v>16</v>
      </c>
      <c r="H3780" s="1">
        <v>0</v>
      </c>
      <c r="I3780" s="1">
        <v>609</v>
      </c>
      <c r="J3780" s="1">
        <v>593</v>
      </c>
      <c r="K3780" s="1">
        <v>16</v>
      </c>
    </row>
    <row r="3781" spans="3:11" x14ac:dyDescent="0.25">
      <c r="C3781" s="1" t="s">
        <v>2839</v>
      </c>
      <c r="D3781" s="1" t="s">
        <v>462</v>
      </c>
      <c r="E3781" s="1" t="s">
        <v>2840</v>
      </c>
      <c r="F3781" s="1">
        <v>16</v>
      </c>
      <c r="G3781" s="1">
        <v>16</v>
      </c>
      <c r="H3781" s="1">
        <v>0</v>
      </c>
      <c r="I3781" s="1">
        <v>568</v>
      </c>
      <c r="J3781" s="1">
        <v>552</v>
      </c>
      <c r="K3781" s="1">
        <v>16</v>
      </c>
    </row>
    <row r="3782" spans="3:11" x14ac:dyDescent="0.25">
      <c r="C3782" s="1" t="s">
        <v>1404</v>
      </c>
      <c r="D3782" s="1" t="s">
        <v>1405</v>
      </c>
      <c r="E3782" s="1" t="s">
        <v>1406</v>
      </c>
      <c r="F3782" s="1">
        <v>16</v>
      </c>
      <c r="G3782" s="1">
        <v>16</v>
      </c>
      <c r="H3782" s="1">
        <v>0</v>
      </c>
      <c r="I3782" s="1">
        <v>350</v>
      </c>
      <c r="J3782" s="1">
        <v>334</v>
      </c>
      <c r="K3782" s="1">
        <v>16</v>
      </c>
    </row>
    <row r="3783" spans="3:11" x14ac:dyDescent="0.25">
      <c r="C3783" s="1" t="s">
        <v>11562</v>
      </c>
      <c r="D3783" s="1" t="s">
        <v>11563</v>
      </c>
      <c r="E3783" s="1" t="s">
        <v>11564</v>
      </c>
      <c r="F3783" s="1">
        <v>16</v>
      </c>
      <c r="G3783" s="1">
        <v>16</v>
      </c>
      <c r="H3783" s="1">
        <v>0</v>
      </c>
      <c r="I3783" s="1">
        <v>331</v>
      </c>
      <c r="J3783" s="1">
        <v>315</v>
      </c>
      <c r="K3783" s="1">
        <v>16</v>
      </c>
    </row>
    <row r="3784" spans="3:11" x14ac:dyDescent="0.25">
      <c r="C3784" s="1" t="s">
        <v>11565</v>
      </c>
      <c r="D3784" s="1" t="s">
        <v>11566</v>
      </c>
      <c r="E3784" s="1" t="s">
        <v>11567</v>
      </c>
      <c r="F3784" s="1">
        <v>16</v>
      </c>
      <c r="G3784" s="1">
        <v>16</v>
      </c>
      <c r="H3784" s="1">
        <v>0</v>
      </c>
      <c r="I3784" s="1">
        <v>309</v>
      </c>
      <c r="J3784" s="1">
        <v>293</v>
      </c>
      <c r="K3784" s="1">
        <v>16</v>
      </c>
    </row>
    <row r="3785" spans="3:11" x14ac:dyDescent="0.25">
      <c r="C3785" s="1" t="s">
        <v>1463</v>
      </c>
      <c r="D3785" s="1" t="s">
        <v>1464</v>
      </c>
      <c r="E3785" s="1" t="s">
        <v>1465</v>
      </c>
      <c r="F3785" s="1">
        <v>16</v>
      </c>
      <c r="G3785" s="1">
        <v>16</v>
      </c>
      <c r="H3785" s="1">
        <v>0</v>
      </c>
      <c r="I3785" s="1">
        <v>302</v>
      </c>
      <c r="J3785" s="1">
        <v>286</v>
      </c>
      <c r="K3785" s="1">
        <v>16</v>
      </c>
    </row>
    <row r="3786" spans="3:11" x14ac:dyDescent="0.25">
      <c r="C3786" s="1" t="s">
        <v>11568</v>
      </c>
      <c r="D3786" s="1" t="s">
        <v>11569</v>
      </c>
      <c r="E3786" s="1" t="s">
        <v>11570</v>
      </c>
      <c r="F3786" s="1">
        <v>16</v>
      </c>
      <c r="G3786" s="1">
        <v>16</v>
      </c>
      <c r="H3786" s="1">
        <v>0</v>
      </c>
      <c r="I3786" s="1">
        <v>288</v>
      </c>
      <c r="J3786" s="1">
        <v>272</v>
      </c>
      <c r="K3786" s="1">
        <v>16</v>
      </c>
    </row>
    <row r="3787" spans="3:11" x14ac:dyDescent="0.25">
      <c r="C3787" s="1" t="s">
        <v>11571</v>
      </c>
      <c r="D3787" s="1" t="s">
        <v>11572</v>
      </c>
      <c r="E3787" s="1" t="s">
        <v>11571</v>
      </c>
      <c r="F3787" s="1">
        <v>16</v>
      </c>
      <c r="G3787" s="1">
        <v>16</v>
      </c>
      <c r="H3787" s="1">
        <v>0</v>
      </c>
      <c r="I3787" s="1">
        <v>234</v>
      </c>
      <c r="J3787" s="1">
        <v>218</v>
      </c>
      <c r="K3787" s="1">
        <v>16</v>
      </c>
    </row>
    <row r="3788" spans="3:11" x14ac:dyDescent="0.25">
      <c r="C3788" s="1" t="s">
        <v>1643</v>
      </c>
      <c r="D3788" s="1" t="s">
        <v>1644</v>
      </c>
      <c r="E3788" s="1" t="s">
        <v>1645</v>
      </c>
      <c r="F3788" s="1">
        <v>16</v>
      </c>
      <c r="G3788" s="1">
        <v>16</v>
      </c>
      <c r="H3788" s="1">
        <v>0</v>
      </c>
      <c r="I3788" s="1">
        <v>128</v>
      </c>
      <c r="J3788" s="1">
        <v>112</v>
      </c>
      <c r="K3788" s="1">
        <v>16</v>
      </c>
    </row>
    <row r="3789" spans="3:11" x14ac:dyDescent="0.25">
      <c r="C3789" s="1" t="s">
        <v>3346</v>
      </c>
      <c r="D3789" s="1" t="s">
        <v>614</v>
      </c>
      <c r="E3789" s="1" t="s">
        <v>3347</v>
      </c>
      <c r="F3789" s="1">
        <v>16</v>
      </c>
      <c r="G3789" s="1">
        <v>16</v>
      </c>
      <c r="H3789" s="1">
        <v>0</v>
      </c>
      <c r="I3789" s="1">
        <v>110</v>
      </c>
      <c r="J3789" s="1">
        <v>94</v>
      </c>
      <c r="K3789" s="1">
        <v>16</v>
      </c>
    </row>
    <row r="3790" spans="3:11" x14ac:dyDescent="0.25">
      <c r="C3790" s="1" t="s">
        <v>3348</v>
      </c>
      <c r="D3790" s="1" t="s">
        <v>484</v>
      </c>
      <c r="E3790" s="1" t="s">
        <v>3349</v>
      </c>
      <c r="F3790" s="1">
        <v>16</v>
      </c>
      <c r="G3790" s="1">
        <v>16</v>
      </c>
      <c r="H3790" s="1">
        <v>0</v>
      </c>
      <c r="I3790" s="1">
        <v>109</v>
      </c>
      <c r="J3790" s="1">
        <v>93</v>
      </c>
      <c r="K3790" s="1">
        <v>16</v>
      </c>
    </row>
    <row r="3791" spans="3:11" x14ac:dyDescent="0.25">
      <c r="C3791" s="1" t="s">
        <v>11573</v>
      </c>
      <c r="D3791" s="1" t="s">
        <v>11574</v>
      </c>
      <c r="E3791" s="1" t="s">
        <v>11573</v>
      </c>
      <c r="F3791" s="1">
        <v>16</v>
      </c>
      <c r="G3791" s="1">
        <v>16</v>
      </c>
      <c r="H3791" s="1">
        <v>0</v>
      </c>
      <c r="I3791" s="1">
        <v>80</v>
      </c>
      <c r="J3791" s="1">
        <v>64</v>
      </c>
      <c r="K3791" s="1">
        <v>16</v>
      </c>
    </row>
    <row r="3792" spans="3:11" x14ac:dyDescent="0.25">
      <c r="C3792" s="1" t="s">
        <v>11575</v>
      </c>
      <c r="D3792" s="1" t="s">
        <v>11576</v>
      </c>
      <c r="E3792" s="1" t="s">
        <v>11577</v>
      </c>
      <c r="F3792" s="1">
        <v>16</v>
      </c>
      <c r="G3792" s="1">
        <v>16</v>
      </c>
      <c r="H3792" s="1">
        <v>0</v>
      </c>
      <c r="I3792" s="1">
        <v>36</v>
      </c>
      <c r="J3792" s="1">
        <v>20</v>
      </c>
      <c r="K3792" s="1">
        <v>16</v>
      </c>
    </row>
    <row r="3793" spans="3:11" x14ac:dyDescent="0.25">
      <c r="C3793" s="1" t="s">
        <v>11578</v>
      </c>
      <c r="D3793" s="1" t="s">
        <v>11579</v>
      </c>
      <c r="E3793" s="1" t="s">
        <v>11580</v>
      </c>
      <c r="F3793" s="1">
        <v>16</v>
      </c>
      <c r="G3793" s="1">
        <v>16</v>
      </c>
      <c r="H3793" s="1">
        <v>0</v>
      </c>
      <c r="I3793" s="1">
        <v>36</v>
      </c>
      <c r="J3793" s="1">
        <v>20</v>
      </c>
      <c r="K3793" s="1">
        <v>16</v>
      </c>
    </row>
    <row r="3794" spans="3:11" x14ac:dyDescent="0.25">
      <c r="C3794" s="1" t="s">
        <v>11581</v>
      </c>
      <c r="D3794" s="1" t="s">
        <v>11582</v>
      </c>
      <c r="E3794" s="1" t="s">
        <v>11583</v>
      </c>
      <c r="F3794" s="1">
        <v>16</v>
      </c>
      <c r="G3794" s="1">
        <v>16</v>
      </c>
      <c r="H3794" s="1">
        <v>0</v>
      </c>
      <c r="I3794" s="1">
        <v>28</v>
      </c>
      <c r="J3794" s="1">
        <v>12</v>
      </c>
      <c r="K3794" s="1">
        <v>16</v>
      </c>
    </row>
    <row r="3795" spans="3:11" x14ac:dyDescent="0.25">
      <c r="C3795" s="1" t="s">
        <v>11584</v>
      </c>
      <c r="D3795" s="1" t="s">
        <v>11585</v>
      </c>
      <c r="E3795" s="1" t="s">
        <v>11586</v>
      </c>
      <c r="F3795" s="1">
        <v>16</v>
      </c>
      <c r="G3795" s="1">
        <v>16</v>
      </c>
      <c r="H3795" s="1">
        <v>0</v>
      </c>
      <c r="I3795" s="1">
        <v>22</v>
      </c>
      <c r="J3795" s="1">
        <v>6</v>
      </c>
      <c r="K3795" s="1">
        <v>16</v>
      </c>
    </row>
    <row r="3796" spans="3:11" x14ac:dyDescent="0.25">
      <c r="C3796" s="1" t="s">
        <v>11587</v>
      </c>
      <c r="D3796" s="1" t="s">
        <v>11588</v>
      </c>
      <c r="E3796" s="1" t="s">
        <v>11587</v>
      </c>
      <c r="F3796" s="1">
        <v>16</v>
      </c>
      <c r="G3796" s="1">
        <v>16</v>
      </c>
      <c r="H3796" s="1">
        <v>0</v>
      </c>
      <c r="I3796" s="1">
        <v>16</v>
      </c>
      <c r="J3796" s="1">
        <v>0</v>
      </c>
      <c r="K3796" s="1">
        <v>16</v>
      </c>
    </row>
    <row r="3797" spans="3:11" x14ac:dyDescent="0.25">
      <c r="C3797" s="1" t="s">
        <v>957</v>
      </c>
      <c r="D3797" s="1" t="s">
        <v>50</v>
      </c>
      <c r="E3797" s="1" t="s">
        <v>958</v>
      </c>
      <c r="F3797" s="1">
        <v>17</v>
      </c>
      <c r="G3797" s="1">
        <v>17</v>
      </c>
      <c r="H3797" s="1">
        <v>0</v>
      </c>
      <c r="I3797" s="1">
        <v>2628</v>
      </c>
      <c r="J3797" s="1">
        <v>2611</v>
      </c>
      <c r="K3797" s="1">
        <v>17</v>
      </c>
    </row>
    <row r="3798" spans="3:11" x14ac:dyDescent="0.25">
      <c r="C3798" s="1" t="s">
        <v>11589</v>
      </c>
      <c r="D3798" s="1" t="s">
        <v>11590</v>
      </c>
      <c r="E3798" s="1" t="s">
        <v>11591</v>
      </c>
      <c r="F3798" s="1">
        <v>17</v>
      </c>
      <c r="G3798" s="1">
        <v>17</v>
      </c>
      <c r="H3798" s="1">
        <v>0</v>
      </c>
      <c r="I3798" s="1">
        <v>2130</v>
      </c>
      <c r="J3798" s="1">
        <v>2113</v>
      </c>
      <c r="K3798" s="1">
        <v>17</v>
      </c>
    </row>
    <row r="3799" spans="3:11" x14ac:dyDescent="0.25">
      <c r="C3799" s="1" t="s">
        <v>2499</v>
      </c>
      <c r="D3799" s="1" t="s">
        <v>430</v>
      </c>
      <c r="E3799" s="1" t="s">
        <v>2500</v>
      </c>
      <c r="F3799" s="1">
        <v>17</v>
      </c>
      <c r="G3799" s="1">
        <v>17</v>
      </c>
      <c r="H3799" s="1">
        <v>0</v>
      </c>
      <c r="I3799" s="1">
        <v>2076</v>
      </c>
      <c r="J3799" s="1">
        <v>2059</v>
      </c>
      <c r="K3799" s="1">
        <v>17</v>
      </c>
    </row>
    <row r="3800" spans="3:11" x14ac:dyDescent="0.25">
      <c r="C3800" s="1" t="s">
        <v>2560</v>
      </c>
      <c r="D3800" s="1" t="s">
        <v>642</v>
      </c>
      <c r="E3800" s="1" t="s">
        <v>2561</v>
      </c>
      <c r="F3800" s="1">
        <v>17</v>
      </c>
      <c r="G3800" s="1">
        <v>17</v>
      </c>
      <c r="H3800" s="1">
        <v>0</v>
      </c>
      <c r="I3800" s="1">
        <v>1485</v>
      </c>
      <c r="J3800" s="1">
        <v>1468</v>
      </c>
      <c r="K3800" s="1">
        <v>17</v>
      </c>
    </row>
    <row r="3801" spans="3:11" x14ac:dyDescent="0.25">
      <c r="C3801" s="1" t="s">
        <v>11592</v>
      </c>
      <c r="D3801" s="1" t="s">
        <v>11593</v>
      </c>
      <c r="E3801" s="1" t="s">
        <v>11592</v>
      </c>
      <c r="F3801" s="1">
        <v>17</v>
      </c>
      <c r="G3801" s="1">
        <v>17</v>
      </c>
      <c r="H3801" s="1">
        <v>0</v>
      </c>
      <c r="I3801" s="1">
        <v>1002</v>
      </c>
      <c r="J3801" s="1">
        <v>985</v>
      </c>
      <c r="K3801" s="1">
        <v>17</v>
      </c>
    </row>
    <row r="3802" spans="3:11" x14ac:dyDescent="0.25">
      <c r="C3802" s="1" t="s">
        <v>1146</v>
      </c>
      <c r="D3802" s="1" t="s">
        <v>97</v>
      </c>
      <c r="E3802" s="1" t="s">
        <v>1147</v>
      </c>
      <c r="F3802" s="1">
        <v>17</v>
      </c>
      <c r="G3802" s="1">
        <v>17</v>
      </c>
      <c r="H3802" s="1">
        <v>0</v>
      </c>
      <c r="I3802" s="1">
        <v>946</v>
      </c>
      <c r="J3802" s="1">
        <v>929</v>
      </c>
      <c r="K3802" s="1">
        <v>17</v>
      </c>
    </row>
    <row r="3803" spans="3:11" x14ac:dyDescent="0.25">
      <c r="C3803" s="1" t="s">
        <v>11594</v>
      </c>
      <c r="D3803" s="1" t="s">
        <v>11595</v>
      </c>
      <c r="E3803" s="1" t="s">
        <v>11596</v>
      </c>
      <c r="F3803" s="1">
        <v>17</v>
      </c>
      <c r="G3803" s="1">
        <v>17</v>
      </c>
      <c r="H3803" s="1">
        <v>0</v>
      </c>
      <c r="I3803" s="1">
        <v>652</v>
      </c>
      <c r="J3803" s="1">
        <v>635</v>
      </c>
      <c r="K3803" s="1">
        <v>17</v>
      </c>
    </row>
    <row r="3804" spans="3:11" x14ac:dyDescent="0.25">
      <c r="C3804" s="1" t="s">
        <v>2837</v>
      </c>
      <c r="D3804" s="1" t="s">
        <v>872</v>
      </c>
      <c r="E3804" s="1" t="s">
        <v>2838</v>
      </c>
      <c r="F3804" s="1">
        <v>17</v>
      </c>
      <c r="G3804" s="1">
        <v>17</v>
      </c>
      <c r="H3804" s="1">
        <v>0</v>
      </c>
      <c r="I3804" s="1">
        <v>572</v>
      </c>
      <c r="J3804" s="1">
        <v>555</v>
      </c>
      <c r="K3804" s="1">
        <v>17</v>
      </c>
    </row>
    <row r="3805" spans="3:11" x14ac:dyDescent="0.25">
      <c r="C3805" s="1" t="s">
        <v>2919</v>
      </c>
      <c r="D3805" s="1" t="s">
        <v>708</v>
      </c>
      <c r="E3805" s="1" t="s">
        <v>2920</v>
      </c>
      <c r="F3805" s="1">
        <v>17</v>
      </c>
      <c r="G3805" s="1">
        <v>17</v>
      </c>
      <c r="H3805" s="1">
        <v>0</v>
      </c>
      <c r="I3805" s="1">
        <v>432</v>
      </c>
      <c r="J3805" s="1">
        <v>415</v>
      </c>
      <c r="K3805" s="1">
        <v>17</v>
      </c>
    </row>
    <row r="3806" spans="3:11" x14ac:dyDescent="0.25">
      <c r="C3806" s="1" t="s">
        <v>2972</v>
      </c>
      <c r="D3806" s="1" t="s">
        <v>818</v>
      </c>
      <c r="E3806" s="1" t="s">
        <v>2973</v>
      </c>
      <c r="F3806" s="1">
        <v>17</v>
      </c>
      <c r="G3806" s="1">
        <v>17</v>
      </c>
      <c r="H3806" s="1">
        <v>0</v>
      </c>
      <c r="I3806" s="1">
        <v>363</v>
      </c>
      <c r="J3806" s="1">
        <v>346</v>
      </c>
      <c r="K3806" s="1">
        <v>17</v>
      </c>
    </row>
    <row r="3807" spans="3:11" x14ac:dyDescent="0.25">
      <c r="C3807" s="1" t="s">
        <v>11597</v>
      </c>
      <c r="D3807" s="1" t="s">
        <v>11598</v>
      </c>
      <c r="E3807" s="1" t="s">
        <v>11597</v>
      </c>
      <c r="F3807" s="1">
        <v>17</v>
      </c>
      <c r="G3807" s="1">
        <v>17</v>
      </c>
      <c r="H3807" s="1">
        <v>0</v>
      </c>
      <c r="I3807" s="1">
        <v>346</v>
      </c>
      <c r="J3807" s="1">
        <v>329</v>
      </c>
      <c r="K3807" s="1">
        <v>17</v>
      </c>
    </row>
    <row r="3808" spans="3:11" x14ac:dyDescent="0.25">
      <c r="C3808" s="1" t="s">
        <v>4328</v>
      </c>
      <c r="D3808" s="1" t="s">
        <v>4329</v>
      </c>
      <c r="E3808" s="1" t="s">
        <v>4330</v>
      </c>
      <c r="F3808" s="1">
        <v>17</v>
      </c>
      <c r="G3808" s="1">
        <v>17</v>
      </c>
      <c r="H3808" s="1">
        <v>0</v>
      </c>
      <c r="I3808" s="1">
        <v>256</v>
      </c>
      <c r="J3808" s="1">
        <v>239</v>
      </c>
      <c r="K3808" s="1">
        <v>17</v>
      </c>
    </row>
    <row r="3809" spans="3:11" x14ac:dyDescent="0.25">
      <c r="C3809" s="1" t="s">
        <v>1676</v>
      </c>
      <c r="D3809" s="1" t="s">
        <v>177</v>
      </c>
      <c r="E3809" s="1" t="s">
        <v>1677</v>
      </c>
      <c r="F3809" s="1">
        <v>17</v>
      </c>
      <c r="G3809" s="1">
        <v>17</v>
      </c>
      <c r="H3809" s="1">
        <v>0</v>
      </c>
      <c r="I3809" s="1">
        <v>142</v>
      </c>
      <c r="J3809" s="1">
        <v>125</v>
      </c>
      <c r="K3809" s="1">
        <v>17</v>
      </c>
    </row>
    <row r="3810" spans="3:11" x14ac:dyDescent="0.25">
      <c r="C3810" s="1" t="s">
        <v>3274</v>
      </c>
      <c r="D3810" s="1" t="s">
        <v>3275</v>
      </c>
      <c r="E3810" s="1" t="s">
        <v>3274</v>
      </c>
      <c r="F3810" s="1">
        <v>17</v>
      </c>
      <c r="G3810" s="1">
        <v>17</v>
      </c>
      <c r="H3810" s="1">
        <v>0</v>
      </c>
      <c r="I3810" s="1">
        <v>135</v>
      </c>
      <c r="J3810" s="1">
        <v>118</v>
      </c>
      <c r="K3810" s="1">
        <v>17</v>
      </c>
    </row>
    <row r="3811" spans="3:11" x14ac:dyDescent="0.25">
      <c r="C3811" s="1" t="s">
        <v>1877</v>
      </c>
      <c r="D3811" s="1" t="s">
        <v>1878</v>
      </c>
      <c r="E3811" s="1" t="s">
        <v>1877</v>
      </c>
      <c r="F3811" s="1">
        <v>17</v>
      </c>
      <c r="G3811" s="1">
        <v>17</v>
      </c>
      <c r="H3811" s="1">
        <v>0</v>
      </c>
      <c r="I3811" s="1">
        <v>96</v>
      </c>
      <c r="J3811" s="1">
        <v>79</v>
      </c>
      <c r="K3811" s="1">
        <v>17</v>
      </c>
    </row>
    <row r="3812" spans="3:11" x14ac:dyDescent="0.25">
      <c r="C3812" s="1" t="s">
        <v>1743</v>
      </c>
      <c r="D3812" s="1" t="s">
        <v>1744</v>
      </c>
      <c r="E3812" s="1" t="s">
        <v>1745</v>
      </c>
      <c r="F3812" s="1">
        <v>17</v>
      </c>
      <c r="G3812" s="1">
        <v>17</v>
      </c>
      <c r="H3812" s="1">
        <v>0</v>
      </c>
      <c r="I3812" s="1">
        <v>93</v>
      </c>
      <c r="J3812" s="1">
        <v>76</v>
      </c>
      <c r="K3812" s="1">
        <v>17</v>
      </c>
    </row>
    <row r="3813" spans="3:11" x14ac:dyDescent="0.25">
      <c r="C3813" s="1" t="s">
        <v>3471</v>
      </c>
      <c r="D3813" s="1" t="s">
        <v>857</v>
      </c>
      <c r="E3813" s="1" t="s">
        <v>3472</v>
      </c>
      <c r="F3813" s="1">
        <v>17</v>
      </c>
      <c r="G3813" s="1">
        <v>17</v>
      </c>
      <c r="H3813" s="1">
        <v>0</v>
      </c>
      <c r="I3813" s="1">
        <v>80</v>
      </c>
      <c r="J3813" s="1">
        <v>63</v>
      </c>
      <c r="K3813" s="1">
        <v>17</v>
      </c>
    </row>
    <row r="3814" spans="3:11" x14ac:dyDescent="0.25">
      <c r="C3814" s="1" t="s">
        <v>11599</v>
      </c>
      <c r="D3814" s="1" t="s">
        <v>11600</v>
      </c>
      <c r="E3814" s="1" t="s">
        <v>11601</v>
      </c>
      <c r="F3814" s="1">
        <v>17</v>
      </c>
      <c r="G3814" s="1">
        <v>17</v>
      </c>
      <c r="H3814" s="1">
        <v>0</v>
      </c>
      <c r="I3814" s="1">
        <v>38</v>
      </c>
      <c r="J3814" s="1">
        <v>21</v>
      </c>
      <c r="K3814" s="1">
        <v>17</v>
      </c>
    </row>
    <row r="3815" spans="3:11" x14ac:dyDescent="0.25">
      <c r="C3815" s="1" t="s">
        <v>1885</v>
      </c>
      <c r="D3815" s="1" t="s">
        <v>1886</v>
      </c>
      <c r="E3815" s="1" t="s">
        <v>1887</v>
      </c>
      <c r="F3815" s="1">
        <v>17</v>
      </c>
      <c r="G3815" s="1">
        <v>17</v>
      </c>
      <c r="H3815" s="1">
        <v>0</v>
      </c>
      <c r="I3815" s="1">
        <v>38</v>
      </c>
      <c r="J3815" s="1">
        <v>21</v>
      </c>
      <c r="K3815" s="1">
        <v>17</v>
      </c>
    </row>
    <row r="3816" spans="3:11" x14ac:dyDescent="0.25">
      <c r="C3816" s="1" t="s">
        <v>11602</v>
      </c>
      <c r="D3816" s="1" t="s">
        <v>11603</v>
      </c>
      <c r="E3816" s="1" t="s">
        <v>11604</v>
      </c>
      <c r="F3816" s="1">
        <v>17</v>
      </c>
      <c r="G3816" s="1">
        <v>17</v>
      </c>
      <c r="H3816" s="1">
        <v>0</v>
      </c>
      <c r="I3816" s="1">
        <v>33</v>
      </c>
      <c r="J3816" s="1">
        <v>16</v>
      </c>
      <c r="K3816" s="1">
        <v>17</v>
      </c>
    </row>
    <row r="3817" spans="3:11" x14ac:dyDescent="0.25">
      <c r="C3817" s="1" t="s">
        <v>11605</v>
      </c>
      <c r="D3817" s="1" t="s">
        <v>11606</v>
      </c>
      <c r="E3817" s="1" t="s">
        <v>11607</v>
      </c>
      <c r="F3817" s="1">
        <v>17</v>
      </c>
      <c r="G3817" s="1">
        <v>17</v>
      </c>
      <c r="H3817" s="1">
        <v>0</v>
      </c>
      <c r="I3817" s="1">
        <v>31</v>
      </c>
      <c r="J3817" s="1">
        <v>14</v>
      </c>
      <c r="K3817" s="1">
        <v>17</v>
      </c>
    </row>
    <row r="3818" spans="3:11" x14ac:dyDescent="0.25">
      <c r="C3818" s="1" t="s">
        <v>11608</v>
      </c>
      <c r="D3818" s="1" t="s">
        <v>11609</v>
      </c>
      <c r="E3818" s="1" t="s">
        <v>11608</v>
      </c>
      <c r="F3818" s="1">
        <v>17</v>
      </c>
      <c r="G3818" s="1">
        <v>17</v>
      </c>
      <c r="H3818" s="1">
        <v>0</v>
      </c>
      <c r="I3818" s="1">
        <v>18</v>
      </c>
      <c r="J3818" s="1">
        <v>1</v>
      </c>
      <c r="K3818" s="1">
        <v>17</v>
      </c>
    </row>
    <row r="3819" spans="3:11" x14ac:dyDescent="0.25">
      <c r="C3819" s="1" t="s">
        <v>2383</v>
      </c>
      <c r="D3819" s="1" t="s">
        <v>26</v>
      </c>
      <c r="E3819" s="1" t="s">
        <v>2384</v>
      </c>
      <c r="F3819" s="1">
        <v>18</v>
      </c>
      <c r="G3819" s="1">
        <v>18</v>
      </c>
      <c r="H3819" s="1">
        <v>0</v>
      </c>
      <c r="I3819" s="1">
        <v>4795</v>
      </c>
      <c r="J3819" s="1">
        <v>4777</v>
      </c>
      <c r="K3819" s="1">
        <v>18</v>
      </c>
    </row>
    <row r="3820" spans="3:11" x14ac:dyDescent="0.25">
      <c r="C3820" s="1" t="s">
        <v>11610</v>
      </c>
      <c r="D3820" s="1" t="s">
        <v>11611</v>
      </c>
      <c r="E3820" s="1" t="s">
        <v>11612</v>
      </c>
      <c r="F3820" s="1">
        <v>18</v>
      </c>
      <c r="G3820" s="1">
        <v>18</v>
      </c>
      <c r="H3820" s="1">
        <v>0</v>
      </c>
      <c r="I3820" s="1">
        <v>4538</v>
      </c>
      <c r="J3820" s="1">
        <v>4520</v>
      </c>
      <c r="K3820" s="1">
        <v>18</v>
      </c>
    </row>
    <row r="3821" spans="3:11" x14ac:dyDescent="0.25">
      <c r="C3821" s="1" t="s">
        <v>11613</v>
      </c>
      <c r="D3821" s="1" t="s">
        <v>11614</v>
      </c>
      <c r="E3821" s="1" t="s">
        <v>11615</v>
      </c>
      <c r="F3821" s="1">
        <v>18</v>
      </c>
      <c r="G3821" s="1">
        <v>18</v>
      </c>
      <c r="H3821" s="1">
        <v>0</v>
      </c>
      <c r="I3821" s="1">
        <v>1204</v>
      </c>
      <c r="J3821" s="1">
        <v>1186</v>
      </c>
      <c r="K3821" s="1">
        <v>18</v>
      </c>
    </row>
    <row r="3822" spans="3:11" x14ac:dyDescent="0.25">
      <c r="C3822" s="1" t="s">
        <v>2775</v>
      </c>
      <c r="D3822" s="1" t="s">
        <v>698</v>
      </c>
      <c r="E3822" s="1" t="s">
        <v>2776</v>
      </c>
      <c r="F3822" s="1">
        <v>18</v>
      </c>
      <c r="G3822" s="1">
        <v>18</v>
      </c>
      <c r="H3822" s="1">
        <v>0</v>
      </c>
      <c r="I3822" s="1">
        <v>692</v>
      </c>
      <c r="J3822" s="1">
        <v>674</v>
      </c>
      <c r="K3822" s="1">
        <v>18</v>
      </c>
    </row>
    <row r="3823" spans="3:11" x14ac:dyDescent="0.25">
      <c r="C3823" s="1" t="s">
        <v>2785</v>
      </c>
      <c r="D3823" s="1" t="s">
        <v>845</v>
      </c>
      <c r="E3823" s="1" t="s">
        <v>2786</v>
      </c>
      <c r="F3823" s="1">
        <v>18</v>
      </c>
      <c r="G3823" s="1">
        <v>18</v>
      </c>
      <c r="H3823" s="1">
        <v>0</v>
      </c>
      <c r="I3823" s="1">
        <v>672</v>
      </c>
      <c r="J3823" s="1">
        <v>654</v>
      </c>
      <c r="K3823" s="1">
        <v>18</v>
      </c>
    </row>
    <row r="3824" spans="3:11" x14ac:dyDescent="0.25">
      <c r="C3824" s="1" t="s">
        <v>3089</v>
      </c>
      <c r="D3824" s="1" t="s">
        <v>622</v>
      </c>
      <c r="E3824" s="1" t="s">
        <v>623</v>
      </c>
      <c r="F3824" s="1">
        <v>18</v>
      </c>
      <c r="G3824" s="1">
        <v>18</v>
      </c>
      <c r="H3824" s="1">
        <v>0</v>
      </c>
      <c r="I3824" s="1">
        <v>248</v>
      </c>
      <c r="J3824" s="1">
        <v>230</v>
      </c>
      <c r="K3824" s="1">
        <v>18</v>
      </c>
    </row>
    <row r="3825" spans="3:11" x14ac:dyDescent="0.25">
      <c r="C3825" s="1" t="s">
        <v>1544</v>
      </c>
      <c r="D3825" s="1" t="s">
        <v>1545</v>
      </c>
      <c r="E3825" s="1" t="s">
        <v>1546</v>
      </c>
      <c r="F3825" s="1">
        <v>18</v>
      </c>
      <c r="G3825" s="1">
        <v>18</v>
      </c>
      <c r="H3825" s="1">
        <v>0</v>
      </c>
      <c r="I3825" s="1">
        <v>236</v>
      </c>
      <c r="J3825" s="1">
        <v>218</v>
      </c>
      <c r="K3825" s="1">
        <v>18</v>
      </c>
    </row>
    <row r="3826" spans="3:11" x14ac:dyDescent="0.25">
      <c r="C3826" s="1" t="s">
        <v>11616</v>
      </c>
      <c r="D3826" s="1" t="s">
        <v>11617</v>
      </c>
      <c r="E3826" s="1" t="s">
        <v>11618</v>
      </c>
      <c r="F3826" s="1">
        <v>18</v>
      </c>
      <c r="G3826" s="1">
        <v>18</v>
      </c>
      <c r="H3826" s="1">
        <v>0</v>
      </c>
      <c r="I3826" s="1">
        <v>192</v>
      </c>
      <c r="J3826" s="1">
        <v>174</v>
      </c>
      <c r="K3826" s="1">
        <v>18</v>
      </c>
    </row>
    <row r="3827" spans="3:11" x14ac:dyDescent="0.25">
      <c r="C3827" s="1" t="s">
        <v>1684</v>
      </c>
      <c r="D3827" s="1" t="s">
        <v>1685</v>
      </c>
      <c r="E3827" s="1" t="s">
        <v>1686</v>
      </c>
      <c r="F3827" s="1">
        <v>18</v>
      </c>
      <c r="G3827" s="1">
        <v>18</v>
      </c>
      <c r="H3827" s="1">
        <v>0</v>
      </c>
      <c r="I3827" s="1">
        <v>121</v>
      </c>
      <c r="J3827" s="1">
        <v>103</v>
      </c>
      <c r="K3827" s="1">
        <v>18</v>
      </c>
    </row>
    <row r="3828" spans="3:11" x14ac:dyDescent="0.25">
      <c r="C3828" s="1" t="s">
        <v>1722</v>
      </c>
      <c r="D3828" s="1" t="s">
        <v>1723</v>
      </c>
      <c r="E3828" s="1" t="s">
        <v>1724</v>
      </c>
      <c r="F3828" s="1">
        <v>18</v>
      </c>
      <c r="G3828" s="1">
        <v>18</v>
      </c>
      <c r="H3828" s="1">
        <v>0</v>
      </c>
      <c r="I3828" s="1">
        <v>98</v>
      </c>
      <c r="J3828" s="1">
        <v>80</v>
      </c>
      <c r="K3828" s="1">
        <v>18</v>
      </c>
    </row>
    <row r="3829" spans="3:11" x14ac:dyDescent="0.25">
      <c r="C3829" s="1" t="s">
        <v>11619</v>
      </c>
      <c r="D3829" s="1" t="s">
        <v>11620</v>
      </c>
      <c r="E3829" s="1" t="s">
        <v>11621</v>
      </c>
      <c r="F3829" s="1">
        <v>18</v>
      </c>
      <c r="G3829" s="1">
        <v>18</v>
      </c>
      <c r="H3829" s="1">
        <v>0</v>
      </c>
      <c r="I3829" s="1">
        <v>60</v>
      </c>
      <c r="J3829" s="1">
        <v>42</v>
      </c>
      <c r="K3829" s="1">
        <v>18</v>
      </c>
    </row>
    <row r="3830" spans="3:11" x14ac:dyDescent="0.25">
      <c r="C3830" s="1" t="s">
        <v>3642</v>
      </c>
      <c r="D3830" s="1" t="s">
        <v>490</v>
      </c>
      <c r="E3830" s="1" t="s">
        <v>3643</v>
      </c>
      <c r="F3830" s="1">
        <v>18</v>
      </c>
      <c r="G3830" s="1">
        <v>18</v>
      </c>
      <c r="H3830" s="1">
        <v>0</v>
      </c>
      <c r="I3830" s="1">
        <v>53</v>
      </c>
      <c r="J3830" s="1">
        <v>35</v>
      </c>
      <c r="K3830" s="1">
        <v>18</v>
      </c>
    </row>
    <row r="3831" spans="3:11" x14ac:dyDescent="0.25">
      <c r="C3831" s="1" t="s">
        <v>3803</v>
      </c>
      <c r="D3831" s="1" t="s">
        <v>3804</v>
      </c>
      <c r="E3831" s="1" t="s">
        <v>3805</v>
      </c>
      <c r="F3831" s="1">
        <v>18</v>
      </c>
      <c r="G3831" s="1">
        <v>18</v>
      </c>
      <c r="H3831" s="1">
        <v>0</v>
      </c>
      <c r="I3831" s="1">
        <v>45</v>
      </c>
      <c r="J3831" s="1">
        <v>27</v>
      </c>
      <c r="K3831" s="1">
        <v>18</v>
      </c>
    </row>
    <row r="3832" spans="3:11" x14ac:dyDescent="0.25">
      <c r="C3832" s="1" t="s">
        <v>11622</v>
      </c>
      <c r="D3832" s="1" t="s">
        <v>11623</v>
      </c>
      <c r="E3832" s="1" t="s">
        <v>11624</v>
      </c>
      <c r="F3832" s="1">
        <v>18</v>
      </c>
      <c r="G3832" s="1">
        <v>18</v>
      </c>
      <c r="H3832" s="1">
        <v>0</v>
      </c>
      <c r="I3832" s="1">
        <v>42</v>
      </c>
      <c r="J3832" s="1">
        <v>24</v>
      </c>
      <c r="K3832" s="1">
        <v>18</v>
      </c>
    </row>
    <row r="3833" spans="3:11" x14ac:dyDescent="0.25">
      <c r="C3833" s="1" t="s">
        <v>3758</v>
      </c>
      <c r="D3833" s="1" t="s">
        <v>858</v>
      </c>
      <c r="E3833" s="1" t="s">
        <v>3759</v>
      </c>
      <c r="F3833" s="1">
        <v>18</v>
      </c>
      <c r="G3833" s="1">
        <v>18</v>
      </c>
      <c r="H3833" s="1">
        <v>0</v>
      </c>
      <c r="I3833" s="1">
        <v>40</v>
      </c>
      <c r="J3833" s="1">
        <v>22</v>
      </c>
      <c r="K3833" s="1">
        <v>18</v>
      </c>
    </row>
    <row r="3834" spans="3:11" x14ac:dyDescent="0.25">
      <c r="C3834" s="1" t="s">
        <v>11625</v>
      </c>
      <c r="D3834" s="1" t="s">
        <v>11626</v>
      </c>
      <c r="E3834" s="1" t="s">
        <v>11627</v>
      </c>
      <c r="F3834" s="1">
        <v>18</v>
      </c>
      <c r="G3834" s="1">
        <v>18</v>
      </c>
      <c r="H3834" s="1">
        <v>0</v>
      </c>
      <c r="I3834" s="1">
        <v>32</v>
      </c>
      <c r="J3834" s="1">
        <v>14</v>
      </c>
      <c r="K3834" s="1">
        <v>18</v>
      </c>
    </row>
    <row r="3835" spans="3:11" x14ac:dyDescent="0.25">
      <c r="C3835" s="1" t="s">
        <v>11628</v>
      </c>
      <c r="D3835" s="1" t="s">
        <v>11629</v>
      </c>
      <c r="E3835" s="1" t="s">
        <v>11630</v>
      </c>
      <c r="F3835" s="1">
        <v>18</v>
      </c>
      <c r="G3835" s="1">
        <v>18</v>
      </c>
      <c r="H3835" s="1">
        <v>0</v>
      </c>
      <c r="I3835" s="1">
        <v>20</v>
      </c>
      <c r="J3835" s="1">
        <v>2</v>
      </c>
      <c r="K3835" s="1">
        <v>18</v>
      </c>
    </row>
    <row r="3836" spans="3:11" x14ac:dyDescent="0.25">
      <c r="C3836" s="1" t="s">
        <v>11631</v>
      </c>
      <c r="D3836" s="1" t="s">
        <v>11632</v>
      </c>
      <c r="E3836" s="1" t="s">
        <v>11633</v>
      </c>
      <c r="F3836" s="1">
        <v>18</v>
      </c>
      <c r="G3836" s="1">
        <v>18</v>
      </c>
      <c r="H3836" s="1">
        <v>0</v>
      </c>
      <c r="I3836" s="1">
        <v>18</v>
      </c>
      <c r="J3836" s="1">
        <v>0</v>
      </c>
      <c r="K3836" s="1">
        <v>18</v>
      </c>
    </row>
    <row r="3837" spans="3:11" x14ac:dyDescent="0.25">
      <c r="C3837" s="1" t="s">
        <v>11634</v>
      </c>
      <c r="D3837" s="1" t="s">
        <v>11635</v>
      </c>
      <c r="E3837" s="1" t="s">
        <v>11636</v>
      </c>
      <c r="F3837" s="1">
        <v>19</v>
      </c>
      <c r="G3837" s="1">
        <v>19</v>
      </c>
      <c r="H3837" s="1">
        <v>0</v>
      </c>
      <c r="I3837" s="1">
        <v>286</v>
      </c>
      <c r="J3837" s="1">
        <v>267</v>
      </c>
      <c r="K3837" s="1">
        <v>19</v>
      </c>
    </row>
    <row r="3838" spans="3:11" x14ac:dyDescent="0.25">
      <c r="C3838" s="1" t="s">
        <v>11637</v>
      </c>
      <c r="D3838" s="1" t="s">
        <v>11638</v>
      </c>
      <c r="E3838" s="1" t="s">
        <v>11639</v>
      </c>
      <c r="F3838" s="1">
        <v>19</v>
      </c>
      <c r="G3838" s="1">
        <v>19</v>
      </c>
      <c r="H3838" s="1">
        <v>0</v>
      </c>
      <c r="I3838" s="1">
        <v>242</v>
      </c>
      <c r="J3838" s="1">
        <v>223</v>
      </c>
      <c r="K3838" s="1">
        <v>19</v>
      </c>
    </row>
    <row r="3839" spans="3:11" x14ac:dyDescent="0.25">
      <c r="C3839" s="1" t="s">
        <v>11640</v>
      </c>
      <c r="D3839" s="1" t="s">
        <v>11641</v>
      </c>
      <c r="E3839" s="1" t="s">
        <v>11642</v>
      </c>
      <c r="F3839" s="1">
        <v>19</v>
      </c>
      <c r="G3839" s="1">
        <v>19</v>
      </c>
      <c r="H3839" s="1">
        <v>0</v>
      </c>
      <c r="I3839" s="1">
        <v>119</v>
      </c>
      <c r="J3839" s="1">
        <v>100</v>
      </c>
      <c r="K3839" s="1">
        <v>19</v>
      </c>
    </row>
    <row r="3840" spans="3:11" x14ac:dyDescent="0.25">
      <c r="C3840" s="1" t="s">
        <v>11643</v>
      </c>
      <c r="D3840" s="1" t="s">
        <v>11644</v>
      </c>
      <c r="E3840" s="1" t="s">
        <v>11643</v>
      </c>
      <c r="F3840" s="1">
        <v>19</v>
      </c>
      <c r="G3840" s="1">
        <v>19</v>
      </c>
      <c r="H3840" s="1">
        <v>0</v>
      </c>
      <c r="I3840" s="1">
        <v>94</v>
      </c>
      <c r="J3840" s="1">
        <v>75</v>
      </c>
      <c r="K3840" s="1">
        <v>19</v>
      </c>
    </row>
    <row r="3841" spans="3:11" x14ac:dyDescent="0.25">
      <c r="C3841" s="1" t="s">
        <v>11645</v>
      </c>
      <c r="D3841" s="1" t="s">
        <v>11646</v>
      </c>
      <c r="E3841" s="1" t="s">
        <v>11647</v>
      </c>
      <c r="F3841" s="1">
        <v>19</v>
      </c>
      <c r="G3841" s="1">
        <v>19</v>
      </c>
      <c r="H3841" s="1">
        <v>0</v>
      </c>
      <c r="I3841" s="1">
        <v>84</v>
      </c>
      <c r="J3841" s="1">
        <v>65</v>
      </c>
      <c r="K3841" s="1">
        <v>19</v>
      </c>
    </row>
    <row r="3842" spans="3:11" x14ac:dyDescent="0.25">
      <c r="C3842" s="1" t="s">
        <v>11648</v>
      </c>
      <c r="D3842" s="1" t="s">
        <v>11649</v>
      </c>
      <c r="E3842" s="1" t="s">
        <v>11650</v>
      </c>
      <c r="F3842" s="1">
        <v>19</v>
      </c>
      <c r="G3842" s="1">
        <v>19</v>
      </c>
      <c r="H3842" s="1">
        <v>0</v>
      </c>
      <c r="I3842" s="1">
        <v>72</v>
      </c>
      <c r="J3842" s="1">
        <v>53</v>
      </c>
      <c r="K3842" s="1">
        <v>19</v>
      </c>
    </row>
    <row r="3843" spans="3:11" x14ac:dyDescent="0.25">
      <c r="C3843" s="1" t="s">
        <v>3567</v>
      </c>
      <c r="D3843" s="1" t="s">
        <v>3568</v>
      </c>
      <c r="E3843" s="1" t="s">
        <v>3569</v>
      </c>
      <c r="F3843" s="1">
        <v>19</v>
      </c>
      <c r="G3843" s="1">
        <v>19</v>
      </c>
      <c r="H3843" s="1">
        <v>0</v>
      </c>
      <c r="I3843" s="1">
        <v>63</v>
      </c>
      <c r="J3843" s="1">
        <v>44</v>
      </c>
      <c r="K3843" s="1">
        <v>19</v>
      </c>
    </row>
    <row r="3844" spans="3:11" x14ac:dyDescent="0.25">
      <c r="C3844" s="1" t="s">
        <v>3670</v>
      </c>
      <c r="D3844" s="1" t="s">
        <v>491</v>
      </c>
      <c r="E3844" s="1" t="s">
        <v>3670</v>
      </c>
      <c r="F3844" s="1">
        <v>19</v>
      </c>
      <c r="G3844" s="1">
        <v>19</v>
      </c>
      <c r="H3844" s="1">
        <v>0</v>
      </c>
      <c r="I3844" s="1">
        <v>49</v>
      </c>
      <c r="J3844" s="1">
        <v>30</v>
      </c>
      <c r="K3844" s="1">
        <v>19</v>
      </c>
    </row>
    <row r="3845" spans="3:11" x14ac:dyDescent="0.25">
      <c r="C3845" s="1" t="s">
        <v>11651</v>
      </c>
      <c r="D3845" s="1" t="s">
        <v>11652</v>
      </c>
      <c r="E3845" s="1" t="s">
        <v>11653</v>
      </c>
      <c r="F3845" s="1">
        <v>19</v>
      </c>
      <c r="G3845" s="1">
        <v>19</v>
      </c>
      <c r="H3845" s="1">
        <v>0</v>
      </c>
      <c r="I3845" s="1">
        <v>40</v>
      </c>
      <c r="J3845" s="1">
        <v>21</v>
      </c>
      <c r="K3845" s="1">
        <v>19</v>
      </c>
    </row>
    <row r="3846" spans="3:11" x14ac:dyDescent="0.25">
      <c r="C3846" s="1" t="s">
        <v>11654</v>
      </c>
      <c r="D3846" s="1" t="s">
        <v>11655</v>
      </c>
      <c r="E3846" s="1" t="s">
        <v>11656</v>
      </c>
      <c r="F3846" s="1">
        <v>19</v>
      </c>
      <c r="G3846" s="1">
        <v>19</v>
      </c>
      <c r="H3846" s="1">
        <v>0</v>
      </c>
      <c r="I3846" s="1">
        <v>36</v>
      </c>
      <c r="J3846" s="1">
        <v>17</v>
      </c>
      <c r="K3846" s="1">
        <v>19</v>
      </c>
    </row>
    <row r="3847" spans="3:11" x14ac:dyDescent="0.25">
      <c r="C3847" s="1" t="s">
        <v>11657</v>
      </c>
      <c r="D3847" s="1" t="s">
        <v>11658</v>
      </c>
      <c r="E3847" s="1" t="s">
        <v>11659</v>
      </c>
      <c r="F3847" s="1">
        <v>19</v>
      </c>
      <c r="G3847" s="1">
        <v>19</v>
      </c>
      <c r="H3847" s="1">
        <v>0</v>
      </c>
      <c r="I3847" s="1">
        <v>33</v>
      </c>
      <c r="J3847" s="1">
        <v>14</v>
      </c>
      <c r="K3847" s="1">
        <v>19</v>
      </c>
    </row>
    <row r="3848" spans="3:11" x14ac:dyDescent="0.25">
      <c r="C3848" s="1" t="s">
        <v>11660</v>
      </c>
      <c r="D3848" s="1" t="s">
        <v>11661</v>
      </c>
      <c r="E3848" s="1" t="s">
        <v>11662</v>
      </c>
      <c r="F3848" s="1">
        <v>20</v>
      </c>
      <c r="G3848" s="1">
        <v>20</v>
      </c>
      <c r="H3848" s="1">
        <v>0</v>
      </c>
      <c r="I3848" s="1">
        <v>2027</v>
      </c>
      <c r="J3848" s="1">
        <v>2007</v>
      </c>
      <c r="K3848" s="1">
        <v>20</v>
      </c>
    </row>
    <row r="3849" spans="3:11" x14ac:dyDescent="0.25">
      <c r="C3849" s="1" t="s">
        <v>11663</v>
      </c>
      <c r="D3849" s="1" t="s">
        <v>11664</v>
      </c>
      <c r="E3849" s="1" t="s">
        <v>11665</v>
      </c>
      <c r="F3849" s="1">
        <v>20</v>
      </c>
      <c r="G3849" s="1">
        <v>20</v>
      </c>
      <c r="H3849" s="1">
        <v>0</v>
      </c>
      <c r="I3849" s="1">
        <v>1866</v>
      </c>
      <c r="J3849" s="1">
        <v>1846</v>
      </c>
      <c r="K3849" s="1">
        <v>20</v>
      </c>
    </row>
    <row r="3850" spans="3:11" x14ac:dyDescent="0.25">
      <c r="C3850" s="1" t="s">
        <v>2727</v>
      </c>
      <c r="D3850" s="1" t="s">
        <v>458</v>
      </c>
      <c r="E3850" s="1" t="s">
        <v>2728</v>
      </c>
      <c r="F3850" s="1">
        <v>20</v>
      </c>
      <c r="G3850" s="1">
        <v>20</v>
      </c>
      <c r="H3850" s="1">
        <v>0</v>
      </c>
      <c r="I3850" s="1">
        <v>758</v>
      </c>
      <c r="J3850" s="1">
        <v>738</v>
      </c>
      <c r="K3850" s="1">
        <v>20</v>
      </c>
    </row>
    <row r="3851" spans="3:11" x14ac:dyDescent="0.25">
      <c r="C3851" s="1" t="s">
        <v>1471</v>
      </c>
      <c r="D3851" s="1" t="s">
        <v>152</v>
      </c>
      <c r="E3851" s="1" t="s">
        <v>1472</v>
      </c>
      <c r="F3851" s="1">
        <v>20</v>
      </c>
      <c r="G3851" s="1">
        <v>20</v>
      </c>
      <c r="H3851" s="1">
        <v>0</v>
      </c>
      <c r="I3851" s="1">
        <v>464</v>
      </c>
      <c r="J3851" s="1">
        <v>444</v>
      </c>
      <c r="K3851" s="1">
        <v>20</v>
      </c>
    </row>
    <row r="3852" spans="3:11" x14ac:dyDescent="0.25">
      <c r="C3852" s="1" t="s">
        <v>2949</v>
      </c>
      <c r="D3852" s="1" t="s">
        <v>663</v>
      </c>
      <c r="E3852" s="1" t="s">
        <v>2950</v>
      </c>
      <c r="F3852" s="1">
        <v>20</v>
      </c>
      <c r="G3852" s="1">
        <v>20</v>
      </c>
      <c r="H3852" s="1">
        <v>0</v>
      </c>
      <c r="I3852" s="1">
        <v>396</v>
      </c>
      <c r="J3852" s="1">
        <v>376</v>
      </c>
      <c r="K3852" s="1">
        <v>20</v>
      </c>
    </row>
    <row r="3853" spans="3:11" x14ac:dyDescent="0.25">
      <c r="C3853" s="1" t="s">
        <v>11666</v>
      </c>
      <c r="D3853" s="1" t="s">
        <v>11667</v>
      </c>
      <c r="E3853" s="1" t="s">
        <v>11668</v>
      </c>
      <c r="F3853" s="1">
        <v>20</v>
      </c>
      <c r="G3853" s="1">
        <v>20</v>
      </c>
      <c r="H3853" s="1">
        <v>0</v>
      </c>
      <c r="I3853" s="1">
        <v>382</v>
      </c>
      <c r="J3853" s="1">
        <v>362</v>
      </c>
      <c r="K3853" s="1">
        <v>20</v>
      </c>
    </row>
    <row r="3854" spans="3:11" x14ac:dyDescent="0.25">
      <c r="C3854" s="1" t="s">
        <v>11669</v>
      </c>
      <c r="D3854" s="1" t="s">
        <v>11670</v>
      </c>
      <c r="E3854" s="1" t="s">
        <v>11671</v>
      </c>
      <c r="F3854" s="1">
        <v>20</v>
      </c>
      <c r="G3854" s="1">
        <v>20</v>
      </c>
      <c r="H3854" s="1">
        <v>0</v>
      </c>
      <c r="I3854" s="1">
        <v>200</v>
      </c>
      <c r="J3854" s="1">
        <v>180</v>
      </c>
      <c r="K3854" s="1">
        <v>20</v>
      </c>
    </row>
    <row r="3855" spans="3:11" x14ac:dyDescent="0.25">
      <c r="C3855" s="1" t="s">
        <v>1792</v>
      </c>
      <c r="D3855" s="1" t="s">
        <v>1793</v>
      </c>
      <c r="E3855" s="1" t="s">
        <v>1794</v>
      </c>
      <c r="F3855" s="1">
        <v>20</v>
      </c>
      <c r="G3855" s="1">
        <v>20</v>
      </c>
      <c r="H3855" s="1">
        <v>0</v>
      </c>
      <c r="I3855" s="1">
        <v>128</v>
      </c>
      <c r="J3855" s="1">
        <v>108</v>
      </c>
      <c r="K3855" s="1">
        <v>20</v>
      </c>
    </row>
    <row r="3856" spans="3:11" x14ac:dyDescent="0.25">
      <c r="C3856" s="1" t="s">
        <v>11672</v>
      </c>
      <c r="D3856" s="1" t="s">
        <v>11673</v>
      </c>
      <c r="E3856" s="1" t="s">
        <v>11674</v>
      </c>
      <c r="F3856" s="1">
        <v>20</v>
      </c>
      <c r="G3856" s="1">
        <v>20</v>
      </c>
      <c r="H3856" s="1">
        <v>0</v>
      </c>
      <c r="I3856" s="1">
        <v>65</v>
      </c>
      <c r="J3856" s="1">
        <v>45</v>
      </c>
      <c r="K3856" s="1">
        <v>20</v>
      </c>
    </row>
    <row r="3857" spans="3:11" x14ac:dyDescent="0.25">
      <c r="C3857" s="1" t="s">
        <v>3622</v>
      </c>
      <c r="D3857" s="1" t="s">
        <v>3623</v>
      </c>
      <c r="E3857" s="1" t="s">
        <v>3624</v>
      </c>
      <c r="F3857" s="1">
        <v>20</v>
      </c>
      <c r="G3857" s="1">
        <v>20</v>
      </c>
      <c r="H3857" s="1">
        <v>0</v>
      </c>
      <c r="I3857" s="1">
        <v>64</v>
      </c>
      <c r="J3857" s="1">
        <v>44</v>
      </c>
      <c r="K3857" s="1">
        <v>20</v>
      </c>
    </row>
    <row r="3858" spans="3:11" x14ac:dyDescent="0.25">
      <c r="C3858" s="1" t="s">
        <v>11675</v>
      </c>
      <c r="D3858" s="1" t="s">
        <v>11676</v>
      </c>
      <c r="E3858" s="1" t="s">
        <v>11677</v>
      </c>
      <c r="F3858" s="1">
        <v>20</v>
      </c>
      <c r="G3858" s="1">
        <v>20</v>
      </c>
      <c r="H3858" s="1">
        <v>0</v>
      </c>
      <c r="I3858" s="1">
        <v>31</v>
      </c>
      <c r="J3858" s="1">
        <v>11</v>
      </c>
      <c r="K3858" s="1">
        <v>20</v>
      </c>
    </row>
    <row r="3859" spans="3:11" x14ac:dyDescent="0.25">
      <c r="C3859" s="1" t="s">
        <v>11678</v>
      </c>
      <c r="D3859" s="1" t="s">
        <v>11679</v>
      </c>
      <c r="E3859" s="1" t="s">
        <v>11680</v>
      </c>
      <c r="F3859" s="1">
        <v>20</v>
      </c>
      <c r="G3859" s="1">
        <v>20</v>
      </c>
      <c r="H3859" s="1">
        <v>0</v>
      </c>
      <c r="I3859" s="1">
        <v>30</v>
      </c>
      <c r="J3859" s="1">
        <v>10</v>
      </c>
      <c r="K3859" s="1">
        <v>20</v>
      </c>
    </row>
    <row r="3860" spans="3:11" x14ac:dyDescent="0.25">
      <c r="C3860" s="1" t="s">
        <v>11681</v>
      </c>
      <c r="D3860" s="1" t="s">
        <v>11682</v>
      </c>
      <c r="E3860" s="1" t="s">
        <v>11683</v>
      </c>
      <c r="F3860" s="1">
        <v>20</v>
      </c>
      <c r="G3860" s="1">
        <v>20</v>
      </c>
      <c r="H3860" s="1">
        <v>0</v>
      </c>
      <c r="I3860" s="1">
        <v>25</v>
      </c>
      <c r="J3860" s="1">
        <v>5</v>
      </c>
      <c r="K3860" s="1">
        <v>20</v>
      </c>
    </row>
    <row r="3861" spans="3:11" x14ac:dyDescent="0.25">
      <c r="C3861" s="1" t="s">
        <v>11684</v>
      </c>
      <c r="D3861" s="1" t="s">
        <v>11685</v>
      </c>
      <c r="E3861" s="1" t="s">
        <v>11686</v>
      </c>
      <c r="F3861" s="1">
        <v>20</v>
      </c>
      <c r="G3861" s="1">
        <v>20</v>
      </c>
      <c r="H3861" s="1">
        <v>0</v>
      </c>
      <c r="I3861" s="1">
        <v>24</v>
      </c>
      <c r="J3861" s="1">
        <v>4</v>
      </c>
      <c r="K3861" s="1">
        <v>20</v>
      </c>
    </row>
    <row r="3862" spans="3:11" x14ac:dyDescent="0.25">
      <c r="C3862" s="1" t="s">
        <v>11687</v>
      </c>
      <c r="D3862" s="1" t="s">
        <v>11688</v>
      </c>
      <c r="E3862" s="1" t="s">
        <v>11689</v>
      </c>
      <c r="F3862" s="1">
        <v>20</v>
      </c>
      <c r="G3862" s="1">
        <v>20</v>
      </c>
      <c r="H3862" s="1">
        <v>0</v>
      </c>
      <c r="I3862" s="1">
        <v>22</v>
      </c>
      <c r="J3862" s="1">
        <v>2</v>
      </c>
      <c r="K3862" s="1">
        <v>20</v>
      </c>
    </row>
    <row r="3863" spans="3:11" x14ac:dyDescent="0.25">
      <c r="C3863" s="1" t="s">
        <v>11690</v>
      </c>
      <c r="D3863" s="1" t="s">
        <v>11691</v>
      </c>
      <c r="E3863" s="1" t="s">
        <v>11692</v>
      </c>
      <c r="F3863" s="1">
        <v>21</v>
      </c>
      <c r="G3863" s="1">
        <v>21</v>
      </c>
      <c r="H3863" s="1">
        <v>0</v>
      </c>
      <c r="I3863" s="1">
        <v>2034</v>
      </c>
      <c r="J3863" s="1">
        <v>2013</v>
      </c>
      <c r="K3863" s="1">
        <v>21</v>
      </c>
    </row>
    <row r="3864" spans="3:11" x14ac:dyDescent="0.25">
      <c r="C3864" s="1" t="s">
        <v>11693</v>
      </c>
      <c r="D3864" s="1" t="s">
        <v>11694</v>
      </c>
      <c r="E3864" s="1" t="s">
        <v>11695</v>
      </c>
      <c r="F3864" s="1">
        <v>21</v>
      </c>
      <c r="G3864" s="1">
        <v>21</v>
      </c>
      <c r="H3864" s="1">
        <v>0</v>
      </c>
      <c r="I3864" s="1">
        <v>1617</v>
      </c>
      <c r="J3864" s="1">
        <v>1596</v>
      </c>
      <c r="K3864" s="1">
        <v>21</v>
      </c>
    </row>
    <row r="3865" spans="3:11" x14ac:dyDescent="0.25">
      <c r="C3865" s="1" t="s">
        <v>11696</v>
      </c>
      <c r="D3865" s="1" t="s">
        <v>11697</v>
      </c>
      <c r="E3865" s="1" t="s">
        <v>11698</v>
      </c>
      <c r="F3865" s="1">
        <v>21</v>
      </c>
      <c r="G3865" s="1">
        <v>21</v>
      </c>
      <c r="H3865" s="1">
        <v>0</v>
      </c>
      <c r="I3865" s="1">
        <v>1233</v>
      </c>
      <c r="J3865" s="1">
        <v>1212</v>
      </c>
      <c r="K3865" s="1">
        <v>21</v>
      </c>
    </row>
    <row r="3866" spans="3:11" x14ac:dyDescent="0.25">
      <c r="C3866" s="1" t="s">
        <v>1099</v>
      </c>
      <c r="D3866" s="1" t="s">
        <v>87</v>
      </c>
      <c r="E3866" s="1" t="s">
        <v>1100</v>
      </c>
      <c r="F3866" s="1">
        <v>21</v>
      </c>
      <c r="G3866" s="1">
        <v>21</v>
      </c>
      <c r="H3866" s="1">
        <v>0</v>
      </c>
      <c r="I3866" s="1">
        <v>1186</v>
      </c>
      <c r="J3866" s="1">
        <v>1165</v>
      </c>
      <c r="K3866" s="1">
        <v>21</v>
      </c>
    </row>
    <row r="3867" spans="3:11" x14ac:dyDescent="0.25">
      <c r="C3867" s="1" t="s">
        <v>2712</v>
      </c>
      <c r="D3867" s="1" t="s">
        <v>2713</v>
      </c>
      <c r="E3867" s="1" t="s">
        <v>2714</v>
      </c>
      <c r="F3867" s="1">
        <v>21</v>
      </c>
      <c r="G3867" s="1">
        <v>21</v>
      </c>
      <c r="H3867" s="1">
        <v>0</v>
      </c>
      <c r="I3867" s="1">
        <v>800</v>
      </c>
      <c r="J3867" s="1">
        <v>779</v>
      </c>
      <c r="K3867" s="1">
        <v>21</v>
      </c>
    </row>
    <row r="3868" spans="3:11" x14ac:dyDescent="0.25">
      <c r="C3868" s="1" t="s">
        <v>3035</v>
      </c>
      <c r="D3868" s="1" t="s">
        <v>707</v>
      </c>
      <c r="E3868" s="1" t="s">
        <v>3036</v>
      </c>
      <c r="F3868" s="1">
        <v>21</v>
      </c>
      <c r="G3868" s="1">
        <v>21</v>
      </c>
      <c r="H3868" s="1">
        <v>0</v>
      </c>
      <c r="I3868" s="1">
        <v>288</v>
      </c>
      <c r="J3868" s="1">
        <v>267</v>
      </c>
      <c r="K3868" s="1">
        <v>21</v>
      </c>
    </row>
    <row r="3869" spans="3:11" x14ac:dyDescent="0.25">
      <c r="C3869" s="1" t="s">
        <v>11699</v>
      </c>
      <c r="D3869" s="1" t="s">
        <v>11700</v>
      </c>
      <c r="E3869" s="1" t="s">
        <v>11701</v>
      </c>
      <c r="F3869" s="1">
        <v>21</v>
      </c>
      <c r="G3869" s="1">
        <v>21</v>
      </c>
      <c r="H3869" s="1">
        <v>0</v>
      </c>
      <c r="I3869" s="1">
        <v>282</v>
      </c>
      <c r="J3869" s="1">
        <v>261</v>
      </c>
      <c r="K3869" s="1">
        <v>21</v>
      </c>
    </row>
    <row r="3870" spans="3:11" x14ac:dyDescent="0.25">
      <c r="C3870" s="1" t="s">
        <v>3258</v>
      </c>
      <c r="D3870" s="1" t="s">
        <v>2164</v>
      </c>
      <c r="E3870" s="1" t="s">
        <v>3259</v>
      </c>
      <c r="F3870" s="1">
        <v>21</v>
      </c>
      <c r="G3870" s="1">
        <v>21</v>
      </c>
      <c r="H3870" s="1">
        <v>0</v>
      </c>
      <c r="I3870" s="1">
        <v>144</v>
      </c>
      <c r="J3870" s="1">
        <v>123</v>
      </c>
      <c r="K3870" s="1">
        <v>21</v>
      </c>
    </row>
    <row r="3871" spans="3:11" x14ac:dyDescent="0.25">
      <c r="C3871" s="1" t="s">
        <v>1832</v>
      </c>
      <c r="D3871" s="1" t="s">
        <v>1833</v>
      </c>
      <c r="E3871" s="1" t="s">
        <v>1834</v>
      </c>
      <c r="F3871" s="1">
        <v>21</v>
      </c>
      <c r="G3871" s="1">
        <v>21</v>
      </c>
      <c r="H3871" s="1">
        <v>0</v>
      </c>
      <c r="I3871" s="1">
        <v>52</v>
      </c>
      <c r="J3871" s="1">
        <v>31</v>
      </c>
      <c r="K3871" s="1">
        <v>21</v>
      </c>
    </row>
    <row r="3872" spans="3:11" x14ac:dyDescent="0.25">
      <c r="C3872" s="1" t="s">
        <v>3671</v>
      </c>
      <c r="D3872" s="1" t="s">
        <v>3672</v>
      </c>
      <c r="E3872" s="1" t="s">
        <v>3673</v>
      </c>
      <c r="F3872" s="1">
        <v>21</v>
      </c>
      <c r="G3872" s="1">
        <v>21</v>
      </c>
      <c r="H3872" s="1">
        <v>0</v>
      </c>
      <c r="I3872" s="1">
        <v>48</v>
      </c>
      <c r="J3872" s="1">
        <v>27</v>
      </c>
      <c r="K3872" s="1">
        <v>21</v>
      </c>
    </row>
    <row r="3873" spans="3:11" x14ac:dyDescent="0.25">
      <c r="C3873" s="1" t="s">
        <v>11702</v>
      </c>
      <c r="D3873" s="1" t="s">
        <v>11703</v>
      </c>
      <c r="E3873" s="1" t="s">
        <v>11704</v>
      </c>
      <c r="F3873" s="1">
        <v>21</v>
      </c>
      <c r="G3873" s="1">
        <v>21</v>
      </c>
      <c r="H3873" s="1">
        <v>0</v>
      </c>
      <c r="I3873" s="1">
        <v>43</v>
      </c>
      <c r="J3873" s="1">
        <v>22</v>
      </c>
      <c r="K3873" s="1">
        <v>21</v>
      </c>
    </row>
    <row r="3874" spans="3:11" x14ac:dyDescent="0.25">
      <c r="C3874" s="1" t="s">
        <v>3933</v>
      </c>
      <c r="D3874" s="1" t="s">
        <v>3934</v>
      </c>
      <c r="E3874" s="1" t="s">
        <v>3935</v>
      </c>
      <c r="F3874" s="1">
        <v>21</v>
      </c>
      <c r="G3874" s="1">
        <v>21</v>
      </c>
      <c r="H3874" s="1">
        <v>0</v>
      </c>
      <c r="I3874" s="1">
        <v>24</v>
      </c>
      <c r="J3874" s="1">
        <v>3</v>
      </c>
      <c r="K3874" s="1">
        <v>21</v>
      </c>
    </row>
    <row r="3875" spans="3:11" x14ac:dyDescent="0.25">
      <c r="C3875" s="1" t="s">
        <v>2411</v>
      </c>
      <c r="D3875" s="1" t="s">
        <v>415</v>
      </c>
      <c r="E3875" s="1" t="s">
        <v>2412</v>
      </c>
      <c r="F3875" s="1">
        <v>22</v>
      </c>
      <c r="G3875" s="1">
        <v>22</v>
      </c>
      <c r="H3875" s="1">
        <v>0</v>
      </c>
      <c r="I3875" s="1">
        <v>3861</v>
      </c>
      <c r="J3875" s="1">
        <v>3839</v>
      </c>
      <c r="K3875" s="1">
        <v>22</v>
      </c>
    </row>
    <row r="3876" spans="3:11" x14ac:dyDescent="0.25">
      <c r="C3876" s="1" t="s">
        <v>11705</v>
      </c>
      <c r="D3876" s="1" t="s">
        <v>11706</v>
      </c>
      <c r="E3876" s="1" t="s">
        <v>11707</v>
      </c>
      <c r="F3876" s="1">
        <v>22</v>
      </c>
      <c r="G3876" s="1">
        <v>22</v>
      </c>
      <c r="H3876" s="1">
        <v>0</v>
      </c>
      <c r="I3876" s="1">
        <v>3720</v>
      </c>
      <c r="J3876" s="1">
        <v>3698</v>
      </c>
      <c r="K3876" s="1">
        <v>22</v>
      </c>
    </row>
    <row r="3877" spans="3:11" x14ac:dyDescent="0.25">
      <c r="C3877" s="1" t="s">
        <v>11708</v>
      </c>
      <c r="D3877" s="1" t="s">
        <v>11709</v>
      </c>
      <c r="E3877" s="1" t="s">
        <v>11710</v>
      </c>
      <c r="F3877" s="1">
        <v>22</v>
      </c>
      <c r="G3877" s="1">
        <v>22</v>
      </c>
      <c r="H3877" s="1">
        <v>0</v>
      </c>
      <c r="I3877" s="1">
        <v>662</v>
      </c>
      <c r="J3877" s="1">
        <v>640</v>
      </c>
      <c r="K3877" s="1">
        <v>22</v>
      </c>
    </row>
    <row r="3878" spans="3:11" x14ac:dyDescent="0.25">
      <c r="C3878" s="1" t="s">
        <v>1291</v>
      </c>
      <c r="D3878" s="1" t="s">
        <v>1292</v>
      </c>
      <c r="E3878" s="1" t="s">
        <v>1293</v>
      </c>
      <c r="F3878" s="1">
        <v>22</v>
      </c>
      <c r="G3878" s="1">
        <v>22</v>
      </c>
      <c r="H3878" s="1">
        <v>0</v>
      </c>
      <c r="I3878" s="1">
        <v>559</v>
      </c>
      <c r="J3878" s="1">
        <v>537</v>
      </c>
      <c r="K3878" s="1">
        <v>22</v>
      </c>
    </row>
    <row r="3879" spans="3:11" x14ac:dyDescent="0.25">
      <c r="C3879" s="1" t="s">
        <v>11711</v>
      </c>
      <c r="D3879" s="1" t="s">
        <v>11712</v>
      </c>
      <c r="E3879" s="1" t="s">
        <v>11713</v>
      </c>
      <c r="F3879" s="1">
        <v>22</v>
      </c>
      <c r="G3879" s="1">
        <v>22</v>
      </c>
      <c r="H3879" s="1">
        <v>0</v>
      </c>
      <c r="I3879" s="1">
        <v>448</v>
      </c>
      <c r="J3879" s="1">
        <v>426</v>
      </c>
      <c r="K3879" s="1">
        <v>22</v>
      </c>
    </row>
    <row r="3880" spans="3:11" x14ac:dyDescent="0.25">
      <c r="C3880" s="1" t="s">
        <v>11714</v>
      </c>
      <c r="D3880" s="1" t="s">
        <v>11715</v>
      </c>
      <c r="E3880" s="1" t="s">
        <v>11716</v>
      </c>
      <c r="F3880" s="1">
        <v>22</v>
      </c>
      <c r="G3880" s="1">
        <v>22</v>
      </c>
      <c r="H3880" s="1">
        <v>0</v>
      </c>
      <c r="I3880" s="1">
        <v>347</v>
      </c>
      <c r="J3880" s="1">
        <v>325</v>
      </c>
      <c r="K3880" s="1">
        <v>22</v>
      </c>
    </row>
    <row r="3881" spans="3:11" x14ac:dyDescent="0.25">
      <c r="C3881" s="1" t="s">
        <v>3186</v>
      </c>
      <c r="D3881" s="1" t="s">
        <v>624</v>
      </c>
      <c r="E3881" s="1" t="s">
        <v>625</v>
      </c>
      <c r="F3881" s="1">
        <v>22</v>
      </c>
      <c r="G3881" s="1">
        <v>22</v>
      </c>
      <c r="H3881" s="1">
        <v>0</v>
      </c>
      <c r="I3881" s="1">
        <v>192</v>
      </c>
      <c r="J3881" s="1">
        <v>170</v>
      </c>
      <c r="K3881" s="1">
        <v>22</v>
      </c>
    </row>
    <row r="3882" spans="3:11" x14ac:dyDescent="0.25">
      <c r="C3882" s="1" t="s">
        <v>11717</v>
      </c>
      <c r="D3882" s="1" t="s">
        <v>11718</v>
      </c>
      <c r="E3882" s="1" t="s">
        <v>11719</v>
      </c>
      <c r="F3882" s="1">
        <v>22</v>
      </c>
      <c r="G3882" s="1">
        <v>22</v>
      </c>
      <c r="H3882" s="1">
        <v>0</v>
      </c>
      <c r="I3882" s="1">
        <v>82</v>
      </c>
      <c r="J3882" s="1">
        <v>60</v>
      </c>
      <c r="K3882" s="1">
        <v>22</v>
      </c>
    </row>
    <row r="3883" spans="3:11" x14ac:dyDescent="0.25">
      <c r="C3883" s="1" t="s">
        <v>11720</v>
      </c>
      <c r="D3883" s="1" t="s">
        <v>11721</v>
      </c>
      <c r="E3883" s="1" t="s">
        <v>11720</v>
      </c>
      <c r="F3883" s="1">
        <v>22</v>
      </c>
      <c r="G3883" s="1">
        <v>22</v>
      </c>
      <c r="H3883" s="1">
        <v>0</v>
      </c>
      <c r="I3883" s="1">
        <v>66</v>
      </c>
      <c r="J3883" s="1">
        <v>44</v>
      </c>
      <c r="K3883" s="1">
        <v>22</v>
      </c>
    </row>
    <row r="3884" spans="3:11" x14ac:dyDescent="0.25">
      <c r="C3884" s="1" t="s">
        <v>11722</v>
      </c>
      <c r="D3884" s="1" t="s">
        <v>11723</v>
      </c>
      <c r="E3884" s="1" t="s">
        <v>11724</v>
      </c>
      <c r="F3884" s="1">
        <v>22</v>
      </c>
      <c r="G3884" s="1">
        <v>22</v>
      </c>
      <c r="H3884" s="1">
        <v>0</v>
      </c>
      <c r="I3884" s="1">
        <v>28</v>
      </c>
      <c r="J3884" s="1">
        <v>6</v>
      </c>
      <c r="K3884" s="1">
        <v>22</v>
      </c>
    </row>
    <row r="3885" spans="3:11" x14ac:dyDescent="0.25">
      <c r="C3885" s="1" t="s">
        <v>11725</v>
      </c>
      <c r="D3885" s="1" t="s">
        <v>11726</v>
      </c>
      <c r="E3885" s="1" t="s">
        <v>11727</v>
      </c>
      <c r="F3885" s="1">
        <v>22</v>
      </c>
      <c r="G3885" s="1">
        <v>22</v>
      </c>
      <c r="H3885" s="1">
        <v>0</v>
      </c>
      <c r="I3885" s="1">
        <v>23</v>
      </c>
      <c r="J3885" s="1">
        <v>1</v>
      </c>
      <c r="K3885" s="1">
        <v>22</v>
      </c>
    </row>
    <row r="3886" spans="3:11" x14ac:dyDescent="0.25">
      <c r="C3886" s="1" t="s">
        <v>11728</v>
      </c>
      <c r="D3886" s="1" t="s">
        <v>11729</v>
      </c>
      <c r="E3886" s="1" t="s">
        <v>11730</v>
      </c>
      <c r="F3886" s="1">
        <v>22</v>
      </c>
      <c r="G3886" s="1">
        <v>22</v>
      </c>
      <c r="H3886" s="1">
        <v>0</v>
      </c>
      <c r="I3886" s="1">
        <v>22</v>
      </c>
      <c r="J3886" s="1">
        <v>0</v>
      </c>
      <c r="K3886" s="1">
        <v>22</v>
      </c>
    </row>
    <row r="3887" spans="3:11" x14ac:dyDescent="0.25">
      <c r="C3887" s="1" t="s">
        <v>11731</v>
      </c>
      <c r="D3887" s="1" t="s">
        <v>11732</v>
      </c>
      <c r="E3887" s="1" t="s">
        <v>11733</v>
      </c>
      <c r="F3887" s="1">
        <v>22</v>
      </c>
      <c r="G3887" s="1">
        <v>22</v>
      </c>
      <c r="H3887" s="1">
        <v>0</v>
      </c>
      <c r="I3887" s="1">
        <v>22</v>
      </c>
      <c r="J3887" s="1">
        <v>0</v>
      </c>
      <c r="K3887" s="1">
        <v>22</v>
      </c>
    </row>
    <row r="3888" spans="3:11" x14ac:dyDescent="0.25">
      <c r="C3888" s="1" t="s">
        <v>2364</v>
      </c>
      <c r="D3888" s="1" t="s">
        <v>16</v>
      </c>
      <c r="E3888" s="1" t="s">
        <v>2365</v>
      </c>
      <c r="F3888" s="1">
        <v>23</v>
      </c>
      <c r="G3888" s="1">
        <v>23</v>
      </c>
      <c r="H3888" s="1">
        <v>0</v>
      </c>
      <c r="I3888" s="1">
        <v>6913</v>
      </c>
      <c r="J3888" s="1">
        <v>6890</v>
      </c>
      <c r="K3888" s="1">
        <v>23</v>
      </c>
    </row>
    <row r="3889" spans="3:11" x14ac:dyDescent="0.25">
      <c r="C3889" s="1" t="s">
        <v>11734</v>
      </c>
      <c r="D3889" s="1" t="s">
        <v>11735</v>
      </c>
      <c r="E3889" s="1" t="s">
        <v>11736</v>
      </c>
      <c r="F3889" s="1">
        <v>23</v>
      </c>
      <c r="G3889" s="1">
        <v>23</v>
      </c>
      <c r="H3889" s="1">
        <v>0</v>
      </c>
      <c r="I3889" s="1">
        <v>3733</v>
      </c>
      <c r="J3889" s="1">
        <v>3710</v>
      </c>
      <c r="K3889" s="1">
        <v>23</v>
      </c>
    </row>
    <row r="3890" spans="3:11" x14ac:dyDescent="0.25">
      <c r="C3890" s="1" t="s">
        <v>11737</v>
      </c>
      <c r="D3890" s="1" t="s">
        <v>11738</v>
      </c>
      <c r="E3890" s="1" t="s">
        <v>11739</v>
      </c>
      <c r="F3890" s="1">
        <v>23</v>
      </c>
      <c r="G3890" s="1">
        <v>23</v>
      </c>
      <c r="H3890" s="1">
        <v>0</v>
      </c>
      <c r="I3890" s="1">
        <v>1597</v>
      </c>
      <c r="J3890" s="1">
        <v>1574</v>
      </c>
      <c r="K3890" s="1">
        <v>23</v>
      </c>
    </row>
    <row r="3891" spans="3:11" x14ac:dyDescent="0.25">
      <c r="C3891" s="1" t="s">
        <v>2547</v>
      </c>
      <c r="D3891" s="1" t="s">
        <v>839</v>
      </c>
      <c r="E3891" s="1" t="s">
        <v>2548</v>
      </c>
      <c r="F3891" s="1">
        <v>23</v>
      </c>
      <c r="G3891" s="1">
        <v>23</v>
      </c>
      <c r="H3891" s="1">
        <v>0</v>
      </c>
      <c r="I3891" s="1">
        <v>1544</v>
      </c>
      <c r="J3891" s="1">
        <v>1521</v>
      </c>
      <c r="K3891" s="1">
        <v>23</v>
      </c>
    </row>
    <row r="3892" spans="3:11" x14ac:dyDescent="0.25">
      <c r="C3892" s="1" t="s">
        <v>2828</v>
      </c>
      <c r="D3892" s="1" t="s">
        <v>808</v>
      </c>
      <c r="E3892" s="1" t="s">
        <v>2829</v>
      </c>
      <c r="F3892" s="1">
        <v>23</v>
      </c>
      <c r="G3892" s="1">
        <v>23</v>
      </c>
      <c r="H3892" s="1">
        <v>0</v>
      </c>
      <c r="I3892" s="1">
        <v>580</v>
      </c>
      <c r="J3892" s="1">
        <v>557</v>
      </c>
      <c r="K3892" s="1">
        <v>23</v>
      </c>
    </row>
    <row r="3893" spans="3:11" x14ac:dyDescent="0.25">
      <c r="C3893" s="1" t="s">
        <v>1294</v>
      </c>
      <c r="D3893" s="1" t="s">
        <v>127</v>
      </c>
      <c r="E3893" s="1" t="s">
        <v>1295</v>
      </c>
      <c r="F3893" s="1">
        <v>23</v>
      </c>
      <c r="G3893" s="1">
        <v>23</v>
      </c>
      <c r="H3893" s="1">
        <v>0</v>
      </c>
      <c r="I3893" s="1">
        <v>575</v>
      </c>
      <c r="J3893" s="1">
        <v>552</v>
      </c>
      <c r="K3893" s="1">
        <v>23</v>
      </c>
    </row>
    <row r="3894" spans="3:11" x14ac:dyDescent="0.25">
      <c r="C3894" s="1" t="s">
        <v>1498</v>
      </c>
      <c r="D3894" s="1" t="s">
        <v>1499</v>
      </c>
      <c r="E3894" s="1" t="s">
        <v>1500</v>
      </c>
      <c r="F3894" s="1">
        <v>23</v>
      </c>
      <c r="G3894" s="1">
        <v>23</v>
      </c>
      <c r="H3894" s="1">
        <v>0</v>
      </c>
      <c r="I3894" s="1">
        <v>282</v>
      </c>
      <c r="J3894" s="1">
        <v>259</v>
      </c>
      <c r="K3894" s="1">
        <v>23</v>
      </c>
    </row>
    <row r="3895" spans="3:11" x14ac:dyDescent="0.25">
      <c r="C3895" s="1" t="s">
        <v>3064</v>
      </c>
      <c r="D3895" s="1" t="s">
        <v>711</v>
      </c>
      <c r="E3895" s="1" t="s">
        <v>3065</v>
      </c>
      <c r="F3895" s="1">
        <v>23</v>
      </c>
      <c r="G3895" s="1">
        <v>23</v>
      </c>
      <c r="H3895" s="1">
        <v>0</v>
      </c>
      <c r="I3895" s="1">
        <v>266</v>
      </c>
      <c r="J3895" s="1">
        <v>243</v>
      </c>
      <c r="K3895" s="1">
        <v>23</v>
      </c>
    </row>
    <row r="3896" spans="3:11" x14ac:dyDescent="0.25">
      <c r="C3896" s="1" t="s">
        <v>3093</v>
      </c>
      <c r="D3896" s="1" t="s">
        <v>3094</v>
      </c>
      <c r="E3896" s="1" t="s">
        <v>3095</v>
      </c>
      <c r="F3896" s="1">
        <v>23</v>
      </c>
      <c r="G3896" s="1">
        <v>23</v>
      </c>
      <c r="H3896" s="1">
        <v>0</v>
      </c>
      <c r="I3896" s="1">
        <v>250</v>
      </c>
      <c r="J3896" s="1">
        <v>227</v>
      </c>
      <c r="K3896" s="1">
        <v>23</v>
      </c>
    </row>
    <row r="3897" spans="3:11" x14ac:dyDescent="0.25">
      <c r="C3897" s="1" t="s">
        <v>11740</v>
      </c>
      <c r="D3897" s="1" t="s">
        <v>11741</v>
      </c>
      <c r="E3897" s="1" t="s">
        <v>11742</v>
      </c>
      <c r="F3897" s="1">
        <v>23</v>
      </c>
      <c r="G3897" s="1">
        <v>23</v>
      </c>
      <c r="H3897" s="1">
        <v>0</v>
      </c>
      <c r="I3897" s="1">
        <v>224</v>
      </c>
      <c r="J3897" s="1">
        <v>201</v>
      </c>
      <c r="K3897" s="1">
        <v>23</v>
      </c>
    </row>
    <row r="3898" spans="3:11" x14ac:dyDescent="0.25">
      <c r="C3898" s="1" t="s">
        <v>2049</v>
      </c>
      <c r="D3898" s="1" t="s">
        <v>2050</v>
      </c>
      <c r="E3898" s="1" t="s">
        <v>2051</v>
      </c>
      <c r="F3898" s="1">
        <v>23</v>
      </c>
      <c r="G3898" s="1">
        <v>23</v>
      </c>
      <c r="H3898" s="1">
        <v>0</v>
      </c>
      <c r="I3898" s="1">
        <v>148</v>
      </c>
      <c r="J3898" s="1">
        <v>125</v>
      </c>
      <c r="K3898" s="1">
        <v>23</v>
      </c>
    </row>
    <row r="3899" spans="3:11" x14ac:dyDescent="0.25">
      <c r="C3899" s="1" t="s">
        <v>1755</v>
      </c>
      <c r="D3899" s="1" t="s">
        <v>1756</v>
      </c>
      <c r="E3899" s="1" t="s">
        <v>1757</v>
      </c>
      <c r="F3899" s="1">
        <v>23</v>
      </c>
      <c r="G3899" s="1">
        <v>23</v>
      </c>
      <c r="H3899" s="1">
        <v>0</v>
      </c>
      <c r="I3899" s="1">
        <v>95</v>
      </c>
      <c r="J3899" s="1">
        <v>72</v>
      </c>
      <c r="K3899" s="1">
        <v>23</v>
      </c>
    </row>
    <row r="3900" spans="3:11" x14ac:dyDescent="0.25">
      <c r="C3900" s="1" t="s">
        <v>3443</v>
      </c>
      <c r="D3900" s="1" t="s">
        <v>823</v>
      </c>
      <c r="E3900" s="1" t="s">
        <v>3444</v>
      </c>
      <c r="F3900" s="1">
        <v>23</v>
      </c>
      <c r="G3900" s="1">
        <v>23</v>
      </c>
      <c r="H3900" s="1">
        <v>0</v>
      </c>
      <c r="I3900" s="1">
        <v>89</v>
      </c>
      <c r="J3900" s="1">
        <v>66</v>
      </c>
      <c r="K3900" s="1">
        <v>23</v>
      </c>
    </row>
    <row r="3901" spans="3:11" x14ac:dyDescent="0.25">
      <c r="C3901" s="1" t="s">
        <v>11743</v>
      </c>
      <c r="D3901" s="1" t="s">
        <v>11744</v>
      </c>
      <c r="E3901" s="1" t="s">
        <v>11745</v>
      </c>
      <c r="F3901" s="1">
        <v>23</v>
      </c>
      <c r="G3901" s="1">
        <v>23</v>
      </c>
      <c r="H3901" s="1">
        <v>0</v>
      </c>
      <c r="I3901" s="1">
        <v>70</v>
      </c>
      <c r="J3901" s="1">
        <v>47</v>
      </c>
      <c r="K3901" s="1">
        <v>23</v>
      </c>
    </row>
    <row r="3902" spans="3:11" x14ac:dyDescent="0.25">
      <c r="C3902" s="1" t="s">
        <v>2138</v>
      </c>
      <c r="D3902" s="1" t="s">
        <v>2139</v>
      </c>
      <c r="E3902" s="1" t="s">
        <v>2140</v>
      </c>
      <c r="F3902" s="1">
        <v>23</v>
      </c>
      <c r="G3902" s="1">
        <v>23</v>
      </c>
      <c r="H3902" s="1">
        <v>0</v>
      </c>
      <c r="I3902" s="1">
        <v>69</v>
      </c>
      <c r="J3902" s="1">
        <v>46</v>
      </c>
      <c r="K3902" s="1">
        <v>23</v>
      </c>
    </row>
    <row r="3903" spans="3:11" x14ac:dyDescent="0.25">
      <c r="C3903" s="1" t="s">
        <v>3563</v>
      </c>
      <c r="D3903" s="1" t="s">
        <v>488</v>
      </c>
      <c r="E3903" s="1" t="s">
        <v>3564</v>
      </c>
      <c r="F3903" s="1">
        <v>23</v>
      </c>
      <c r="G3903" s="1">
        <v>23</v>
      </c>
      <c r="H3903" s="1">
        <v>0</v>
      </c>
      <c r="I3903" s="1">
        <v>64</v>
      </c>
      <c r="J3903" s="1">
        <v>41</v>
      </c>
      <c r="K3903" s="1">
        <v>23</v>
      </c>
    </row>
    <row r="3904" spans="3:11" x14ac:dyDescent="0.25">
      <c r="C3904" s="1" t="s">
        <v>1801</v>
      </c>
      <c r="D3904" s="1" t="s">
        <v>1802</v>
      </c>
      <c r="E3904" s="1" t="s">
        <v>1803</v>
      </c>
      <c r="F3904" s="1">
        <v>23</v>
      </c>
      <c r="G3904" s="1">
        <v>23</v>
      </c>
      <c r="H3904" s="1">
        <v>0</v>
      </c>
      <c r="I3904" s="1">
        <v>60</v>
      </c>
      <c r="J3904" s="1">
        <v>37</v>
      </c>
      <c r="K3904" s="1">
        <v>23</v>
      </c>
    </row>
    <row r="3905" spans="3:11" x14ac:dyDescent="0.25">
      <c r="D3905" s="1" t="s">
        <v>11746</v>
      </c>
      <c r="E3905" s="1" t="s">
        <v>11747</v>
      </c>
      <c r="F3905" s="1">
        <v>23</v>
      </c>
      <c r="G3905" s="1">
        <v>23</v>
      </c>
      <c r="H3905" s="1">
        <v>0</v>
      </c>
      <c r="I3905" s="1">
        <v>48</v>
      </c>
      <c r="J3905" s="1">
        <v>25</v>
      </c>
      <c r="K3905" s="1">
        <v>23</v>
      </c>
    </row>
    <row r="3906" spans="3:11" x14ac:dyDescent="0.25">
      <c r="C3906" s="1" t="s">
        <v>11748</v>
      </c>
      <c r="D3906" s="1" t="s">
        <v>11749</v>
      </c>
      <c r="E3906" s="1" t="s">
        <v>11750</v>
      </c>
      <c r="F3906" s="1">
        <v>23</v>
      </c>
      <c r="G3906" s="1">
        <v>23</v>
      </c>
      <c r="H3906" s="1">
        <v>0</v>
      </c>
      <c r="I3906" s="1">
        <v>40</v>
      </c>
      <c r="J3906" s="1">
        <v>17</v>
      </c>
      <c r="K3906" s="1">
        <v>23</v>
      </c>
    </row>
    <row r="3907" spans="3:11" x14ac:dyDescent="0.25">
      <c r="C3907" s="1" t="s">
        <v>3760</v>
      </c>
      <c r="D3907" s="1" t="s">
        <v>859</v>
      </c>
      <c r="E3907" s="1" t="s">
        <v>3761</v>
      </c>
      <c r="F3907" s="1">
        <v>23</v>
      </c>
      <c r="G3907" s="1">
        <v>23</v>
      </c>
      <c r="H3907" s="1">
        <v>0</v>
      </c>
      <c r="I3907" s="1">
        <v>40</v>
      </c>
      <c r="J3907" s="1">
        <v>17</v>
      </c>
      <c r="K3907" s="1">
        <v>23</v>
      </c>
    </row>
    <row r="3908" spans="3:11" x14ac:dyDescent="0.25">
      <c r="C3908" s="1" t="s">
        <v>3762</v>
      </c>
      <c r="D3908" s="1" t="s">
        <v>860</v>
      </c>
      <c r="E3908" s="1" t="s">
        <v>3763</v>
      </c>
      <c r="F3908" s="1">
        <v>23</v>
      </c>
      <c r="G3908" s="1">
        <v>23</v>
      </c>
      <c r="H3908" s="1">
        <v>0</v>
      </c>
      <c r="I3908" s="1">
        <v>40</v>
      </c>
      <c r="J3908" s="1">
        <v>17</v>
      </c>
      <c r="K3908" s="1">
        <v>23</v>
      </c>
    </row>
    <row r="3909" spans="3:11" x14ac:dyDescent="0.25">
      <c r="C3909" s="1" t="s">
        <v>11751</v>
      </c>
      <c r="D3909" s="1" t="s">
        <v>11752</v>
      </c>
      <c r="E3909" s="1" t="s">
        <v>11751</v>
      </c>
      <c r="F3909" s="1">
        <v>23</v>
      </c>
      <c r="G3909" s="1">
        <v>23</v>
      </c>
      <c r="H3909" s="1">
        <v>0</v>
      </c>
      <c r="I3909" s="1">
        <v>29</v>
      </c>
      <c r="J3909" s="1">
        <v>6</v>
      </c>
      <c r="K3909" s="1">
        <v>23</v>
      </c>
    </row>
    <row r="3910" spans="3:11" x14ac:dyDescent="0.25">
      <c r="C3910" s="1" t="s">
        <v>11753</v>
      </c>
      <c r="D3910" s="1" t="s">
        <v>11754</v>
      </c>
      <c r="E3910" s="1" t="s">
        <v>11755</v>
      </c>
      <c r="F3910" s="1">
        <v>23</v>
      </c>
      <c r="G3910" s="1">
        <v>23</v>
      </c>
      <c r="H3910" s="1">
        <v>0</v>
      </c>
      <c r="I3910" s="1">
        <v>27</v>
      </c>
      <c r="J3910" s="1">
        <v>4</v>
      </c>
      <c r="K3910" s="1">
        <v>23</v>
      </c>
    </row>
    <row r="3911" spans="3:11" x14ac:dyDescent="0.25">
      <c r="C3911" s="1" t="s">
        <v>11756</v>
      </c>
      <c r="D3911" s="1" t="s">
        <v>11757</v>
      </c>
      <c r="E3911" s="1" t="s">
        <v>11758</v>
      </c>
      <c r="F3911" s="1">
        <v>23</v>
      </c>
      <c r="G3911" s="1">
        <v>23</v>
      </c>
      <c r="H3911" s="1">
        <v>0</v>
      </c>
      <c r="I3911" s="1">
        <v>25</v>
      </c>
      <c r="J3911" s="1">
        <v>2</v>
      </c>
      <c r="K3911" s="1">
        <v>23</v>
      </c>
    </row>
    <row r="3912" spans="3:11" x14ac:dyDescent="0.25">
      <c r="C3912" s="1" t="s">
        <v>11759</v>
      </c>
      <c r="D3912" s="1" t="s">
        <v>11760</v>
      </c>
      <c r="E3912" s="1" t="s">
        <v>11761</v>
      </c>
      <c r="F3912" s="1">
        <v>24</v>
      </c>
      <c r="G3912" s="1">
        <v>24</v>
      </c>
      <c r="H3912" s="1">
        <v>0</v>
      </c>
      <c r="I3912" s="1">
        <v>2330</v>
      </c>
      <c r="J3912" s="1">
        <v>2306</v>
      </c>
      <c r="K3912" s="1">
        <v>24</v>
      </c>
    </row>
    <row r="3913" spans="3:11" x14ac:dyDescent="0.25">
      <c r="C3913" s="1" t="s">
        <v>2490</v>
      </c>
      <c r="D3913" s="1" t="s">
        <v>2491</v>
      </c>
      <c r="E3913" s="1" t="s">
        <v>2492</v>
      </c>
      <c r="F3913" s="1">
        <v>24</v>
      </c>
      <c r="G3913" s="1">
        <v>24</v>
      </c>
      <c r="H3913" s="1">
        <v>0</v>
      </c>
      <c r="I3913" s="1">
        <v>2188</v>
      </c>
      <c r="J3913" s="1">
        <v>2164</v>
      </c>
      <c r="K3913" s="1">
        <v>24</v>
      </c>
    </row>
    <row r="3914" spans="3:11" x14ac:dyDescent="0.25">
      <c r="C3914" s="1" t="s">
        <v>11762</v>
      </c>
      <c r="D3914" s="1" t="s">
        <v>11763</v>
      </c>
      <c r="E3914" s="1" t="s">
        <v>11764</v>
      </c>
      <c r="F3914" s="1">
        <v>24</v>
      </c>
      <c r="G3914" s="1">
        <v>24</v>
      </c>
      <c r="H3914" s="1">
        <v>0</v>
      </c>
      <c r="I3914" s="1">
        <v>1764</v>
      </c>
      <c r="J3914" s="1">
        <v>1740</v>
      </c>
      <c r="K3914" s="1">
        <v>24</v>
      </c>
    </row>
    <row r="3915" spans="3:11" x14ac:dyDescent="0.25">
      <c r="C3915" s="1" t="s">
        <v>1150</v>
      </c>
      <c r="D3915" s="1" t="s">
        <v>99</v>
      </c>
      <c r="E3915" s="1" t="s">
        <v>1151</v>
      </c>
      <c r="F3915" s="1">
        <v>24</v>
      </c>
      <c r="G3915" s="1">
        <v>24</v>
      </c>
      <c r="H3915" s="1">
        <v>0</v>
      </c>
      <c r="I3915" s="1">
        <v>1448</v>
      </c>
      <c r="J3915" s="1">
        <v>1424</v>
      </c>
      <c r="K3915" s="1">
        <v>24</v>
      </c>
    </row>
    <row r="3916" spans="3:11" x14ac:dyDescent="0.25">
      <c r="C3916" s="1" t="s">
        <v>11765</v>
      </c>
      <c r="D3916" s="1" t="s">
        <v>11766</v>
      </c>
      <c r="E3916" s="1" t="s">
        <v>11765</v>
      </c>
      <c r="F3916" s="1">
        <v>24</v>
      </c>
      <c r="G3916" s="1">
        <v>24</v>
      </c>
      <c r="H3916" s="1">
        <v>0</v>
      </c>
      <c r="I3916" s="1">
        <v>1374</v>
      </c>
      <c r="J3916" s="1">
        <v>1350</v>
      </c>
      <c r="K3916" s="1">
        <v>24</v>
      </c>
    </row>
    <row r="3917" spans="3:11" x14ac:dyDescent="0.25">
      <c r="C3917" s="1" t="s">
        <v>1108</v>
      </c>
      <c r="D3917" s="1" t="s">
        <v>91</v>
      </c>
      <c r="E3917" s="1" t="s">
        <v>1109</v>
      </c>
      <c r="F3917" s="1">
        <v>24</v>
      </c>
      <c r="G3917" s="1">
        <v>24</v>
      </c>
      <c r="H3917" s="1">
        <v>0</v>
      </c>
      <c r="I3917" s="1">
        <v>1159</v>
      </c>
      <c r="J3917" s="1">
        <v>1135</v>
      </c>
      <c r="K3917" s="1">
        <v>24</v>
      </c>
    </row>
    <row r="3918" spans="3:11" x14ac:dyDescent="0.25">
      <c r="C3918" s="1" t="s">
        <v>2703</v>
      </c>
      <c r="D3918" s="1" t="s">
        <v>843</v>
      </c>
      <c r="E3918" s="1" t="s">
        <v>2704</v>
      </c>
      <c r="F3918" s="1">
        <v>24</v>
      </c>
      <c r="G3918" s="1">
        <v>24</v>
      </c>
      <c r="H3918" s="1">
        <v>0</v>
      </c>
      <c r="I3918" s="1">
        <v>809</v>
      </c>
      <c r="J3918" s="1">
        <v>785</v>
      </c>
      <c r="K3918" s="1">
        <v>24</v>
      </c>
    </row>
    <row r="3919" spans="3:11" x14ac:dyDescent="0.25">
      <c r="C3919" s="1" t="s">
        <v>11767</v>
      </c>
      <c r="D3919" s="1" t="s">
        <v>11768</v>
      </c>
      <c r="E3919" s="1" t="s">
        <v>11769</v>
      </c>
      <c r="F3919" s="1">
        <v>24</v>
      </c>
      <c r="G3919" s="1">
        <v>24</v>
      </c>
      <c r="H3919" s="1">
        <v>0</v>
      </c>
      <c r="I3919" s="1">
        <v>469</v>
      </c>
      <c r="J3919" s="1">
        <v>445</v>
      </c>
      <c r="K3919" s="1">
        <v>24</v>
      </c>
    </row>
    <row r="3920" spans="3:11" x14ac:dyDescent="0.25">
      <c r="C3920" s="1" t="s">
        <v>11770</v>
      </c>
      <c r="D3920" s="1" t="s">
        <v>11771</v>
      </c>
      <c r="E3920" s="1" t="s">
        <v>11772</v>
      </c>
      <c r="F3920" s="1">
        <v>24</v>
      </c>
      <c r="G3920" s="1">
        <v>24</v>
      </c>
      <c r="H3920" s="1">
        <v>0</v>
      </c>
      <c r="I3920" s="1">
        <v>266</v>
      </c>
      <c r="J3920" s="1">
        <v>242</v>
      </c>
      <c r="K3920" s="1">
        <v>24</v>
      </c>
    </row>
    <row r="3921" spans="3:11" x14ac:dyDescent="0.25">
      <c r="C3921" s="1" t="s">
        <v>3340</v>
      </c>
      <c r="D3921" s="1" t="s">
        <v>3341</v>
      </c>
      <c r="E3921" s="1" t="s">
        <v>3342</v>
      </c>
      <c r="F3921" s="1">
        <v>24</v>
      </c>
      <c r="G3921" s="1">
        <v>24</v>
      </c>
      <c r="H3921" s="1">
        <v>0</v>
      </c>
      <c r="I3921" s="1">
        <v>116</v>
      </c>
      <c r="J3921" s="1">
        <v>92</v>
      </c>
      <c r="K3921" s="1">
        <v>24</v>
      </c>
    </row>
    <row r="3922" spans="3:11" x14ac:dyDescent="0.25">
      <c r="C3922" s="1" t="s">
        <v>11773</v>
      </c>
      <c r="D3922" s="1" t="s">
        <v>11774</v>
      </c>
      <c r="E3922" s="1" t="s">
        <v>11775</v>
      </c>
      <c r="F3922" s="1">
        <v>24</v>
      </c>
      <c r="G3922" s="1">
        <v>24</v>
      </c>
      <c r="H3922" s="1">
        <v>0</v>
      </c>
      <c r="I3922" s="1">
        <v>106</v>
      </c>
      <c r="J3922" s="1">
        <v>82</v>
      </c>
      <c r="K3922" s="1">
        <v>24</v>
      </c>
    </row>
    <row r="3923" spans="3:11" x14ac:dyDescent="0.25">
      <c r="C3923" s="1" t="s">
        <v>3434</v>
      </c>
      <c r="D3923" s="1" t="s">
        <v>3435</v>
      </c>
      <c r="E3923" s="1" t="s">
        <v>3436</v>
      </c>
      <c r="F3923" s="1">
        <v>24</v>
      </c>
      <c r="G3923" s="1">
        <v>24</v>
      </c>
      <c r="H3923" s="1">
        <v>0</v>
      </c>
      <c r="I3923" s="1">
        <v>90</v>
      </c>
      <c r="J3923" s="1">
        <v>66</v>
      </c>
      <c r="K3923" s="1">
        <v>24</v>
      </c>
    </row>
    <row r="3924" spans="3:11" x14ac:dyDescent="0.25">
      <c r="C3924" s="1" t="s">
        <v>11776</v>
      </c>
      <c r="D3924" s="1" t="s">
        <v>11777</v>
      </c>
      <c r="E3924" s="1" t="s">
        <v>11778</v>
      </c>
      <c r="F3924" s="1">
        <v>24</v>
      </c>
      <c r="G3924" s="1">
        <v>24</v>
      </c>
      <c r="H3924" s="1">
        <v>0</v>
      </c>
      <c r="I3924" s="1">
        <v>80</v>
      </c>
      <c r="J3924" s="1">
        <v>56</v>
      </c>
      <c r="K3924" s="1">
        <v>24</v>
      </c>
    </row>
    <row r="3925" spans="3:11" x14ac:dyDescent="0.25">
      <c r="C3925" s="1" t="s">
        <v>11779</v>
      </c>
      <c r="D3925" s="1" t="s">
        <v>11780</v>
      </c>
      <c r="E3925" s="1" t="s">
        <v>11779</v>
      </c>
      <c r="F3925" s="1">
        <v>24</v>
      </c>
      <c r="G3925" s="1">
        <v>24</v>
      </c>
      <c r="H3925" s="1">
        <v>0</v>
      </c>
      <c r="I3925" s="1">
        <v>72</v>
      </c>
      <c r="J3925" s="1">
        <v>48</v>
      </c>
      <c r="K3925" s="1">
        <v>24</v>
      </c>
    </row>
    <row r="3926" spans="3:11" x14ac:dyDescent="0.25">
      <c r="C3926" s="1" t="s">
        <v>11781</v>
      </c>
      <c r="D3926" s="1" t="s">
        <v>11782</v>
      </c>
      <c r="E3926" s="1" t="s">
        <v>11783</v>
      </c>
      <c r="F3926" s="1">
        <v>24</v>
      </c>
      <c r="G3926" s="1">
        <v>24</v>
      </c>
      <c r="H3926" s="1">
        <v>0</v>
      </c>
      <c r="I3926" s="1">
        <v>24</v>
      </c>
      <c r="J3926" s="1">
        <v>0</v>
      </c>
      <c r="K3926" s="1">
        <v>24</v>
      </c>
    </row>
    <row r="3927" spans="3:11" x14ac:dyDescent="0.25">
      <c r="C3927" s="1" t="s">
        <v>11784</v>
      </c>
      <c r="D3927" s="1" t="s">
        <v>11785</v>
      </c>
      <c r="E3927" s="1" t="s">
        <v>11786</v>
      </c>
      <c r="F3927" s="1">
        <v>24</v>
      </c>
      <c r="G3927" s="1">
        <v>24</v>
      </c>
      <c r="H3927" s="1">
        <v>0</v>
      </c>
      <c r="I3927" s="1">
        <v>24</v>
      </c>
      <c r="J3927" s="1">
        <v>0</v>
      </c>
      <c r="K3927" s="1">
        <v>24</v>
      </c>
    </row>
    <row r="3928" spans="3:11" x14ac:dyDescent="0.25">
      <c r="C3928" s="1" t="s">
        <v>11787</v>
      </c>
      <c r="D3928" s="1" t="s">
        <v>11788</v>
      </c>
      <c r="E3928" s="1" t="s">
        <v>11789</v>
      </c>
      <c r="F3928" s="1">
        <v>24</v>
      </c>
      <c r="G3928" s="1">
        <v>24</v>
      </c>
      <c r="H3928" s="1">
        <v>0</v>
      </c>
      <c r="I3928" s="1">
        <v>24</v>
      </c>
      <c r="J3928" s="1">
        <v>0</v>
      </c>
      <c r="K3928" s="1">
        <v>24</v>
      </c>
    </row>
    <row r="3929" spans="3:11" x14ac:dyDescent="0.25">
      <c r="C3929" s="1" t="s">
        <v>2429</v>
      </c>
      <c r="D3929" s="1" t="s">
        <v>420</v>
      </c>
      <c r="E3929" s="1" t="s">
        <v>2430</v>
      </c>
      <c r="F3929" s="1">
        <v>25</v>
      </c>
      <c r="G3929" s="1">
        <v>25</v>
      </c>
      <c r="H3929" s="1">
        <v>0</v>
      </c>
      <c r="I3929" s="1">
        <v>3285</v>
      </c>
      <c r="J3929" s="1">
        <v>3260</v>
      </c>
      <c r="K3929" s="1">
        <v>25</v>
      </c>
    </row>
    <row r="3930" spans="3:11" x14ac:dyDescent="0.25">
      <c r="C3930" s="1" t="s">
        <v>2454</v>
      </c>
      <c r="D3930" s="1" t="s">
        <v>683</v>
      </c>
      <c r="E3930" s="1" t="s">
        <v>2455</v>
      </c>
      <c r="F3930" s="1">
        <v>25</v>
      </c>
      <c r="G3930" s="1">
        <v>25</v>
      </c>
      <c r="H3930" s="1">
        <v>0</v>
      </c>
      <c r="I3930" s="1">
        <v>2818</v>
      </c>
      <c r="J3930" s="1">
        <v>2793</v>
      </c>
      <c r="K3930" s="1">
        <v>25</v>
      </c>
    </row>
    <row r="3931" spans="3:11" x14ac:dyDescent="0.25">
      <c r="C3931" s="1" t="s">
        <v>1083</v>
      </c>
      <c r="D3931" s="1" t="s">
        <v>92</v>
      </c>
      <c r="E3931" s="1" t="s">
        <v>1084</v>
      </c>
      <c r="F3931" s="1">
        <v>25</v>
      </c>
      <c r="G3931" s="1">
        <v>25</v>
      </c>
      <c r="H3931" s="1">
        <v>0</v>
      </c>
      <c r="I3931" s="1">
        <v>2250</v>
      </c>
      <c r="J3931" s="1">
        <v>2225</v>
      </c>
      <c r="K3931" s="1">
        <v>25</v>
      </c>
    </row>
    <row r="3932" spans="3:11" x14ac:dyDescent="0.25">
      <c r="C3932" s="1" t="s">
        <v>11790</v>
      </c>
      <c r="D3932" s="1" t="s">
        <v>11791</v>
      </c>
      <c r="E3932" s="1" t="s">
        <v>11792</v>
      </c>
      <c r="F3932" s="1">
        <v>25</v>
      </c>
      <c r="G3932" s="1">
        <v>25</v>
      </c>
      <c r="H3932" s="1">
        <v>0</v>
      </c>
      <c r="I3932" s="1">
        <v>958</v>
      </c>
      <c r="J3932" s="1">
        <v>933</v>
      </c>
      <c r="K3932" s="1">
        <v>25</v>
      </c>
    </row>
    <row r="3933" spans="3:11" x14ac:dyDescent="0.25">
      <c r="C3933" s="1" t="s">
        <v>2807</v>
      </c>
      <c r="D3933" s="1" t="s">
        <v>460</v>
      </c>
      <c r="E3933" s="1" t="s">
        <v>2807</v>
      </c>
      <c r="F3933" s="1">
        <v>25</v>
      </c>
      <c r="G3933" s="1">
        <v>25</v>
      </c>
      <c r="H3933" s="1">
        <v>0</v>
      </c>
      <c r="I3933" s="1">
        <v>628</v>
      </c>
      <c r="J3933" s="1">
        <v>603</v>
      </c>
      <c r="K3933" s="1">
        <v>25</v>
      </c>
    </row>
    <row r="3934" spans="3:11" x14ac:dyDescent="0.25">
      <c r="C3934" s="1" t="s">
        <v>11793</v>
      </c>
      <c r="D3934" s="1" t="s">
        <v>11794</v>
      </c>
      <c r="E3934" s="1" t="s">
        <v>11795</v>
      </c>
      <c r="F3934" s="1">
        <v>25</v>
      </c>
      <c r="G3934" s="1">
        <v>25</v>
      </c>
      <c r="H3934" s="1">
        <v>0</v>
      </c>
      <c r="I3934" s="1">
        <v>115</v>
      </c>
      <c r="J3934" s="1">
        <v>90</v>
      </c>
      <c r="K3934" s="1">
        <v>25</v>
      </c>
    </row>
    <row r="3935" spans="3:11" x14ac:dyDescent="0.25">
      <c r="C3935" s="1" t="s">
        <v>11796</v>
      </c>
      <c r="D3935" s="1" t="s">
        <v>11797</v>
      </c>
      <c r="E3935" s="1" t="s">
        <v>11798</v>
      </c>
      <c r="F3935" s="1">
        <v>25</v>
      </c>
      <c r="G3935" s="1">
        <v>25</v>
      </c>
      <c r="H3935" s="1">
        <v>0</v>
      </c>
      <c r="I3935" s="1">
        <v>26</v>
      </c>
      <c r="J3935" s="1">
        <v>1</v>
      </c>
      <c r="K3935" s="1">
        <v>25</v>
      </c>
    </row>
    <row r="3936" spans="3:11" x14ac:dyDescent="0.25">
      <c r="C3936" s="1" t="s">
        <v>11799</v>
      </c>
      <c r="D3936" s="1" t="s">
        <v>11800</v>
      </c>
      <c r="E3936" s="1" t="s">
        <v>11801</v>
      </c>
      <c r="F3936" s="1">
        <v>25</v>
      </c>
      <c r="G3936" s="1">
        <v>25</v>
      </c>
      <c r="H3936" s="1">
        <v>0</v>
      </c>
      <c r="I3936" s="1">
        <v>25</v>
      </c>
      <c r="J3936" s="1">
        <v>0</v>
      </c>
      <c r="K3936" s="1">
        <v>25</v>
      </c>
    </row>
    <row r="3937" spans="3:11" x14ac:dyDescent="0.25">
      <c r="C3937" s="1" t="s">
        <v>11802</v>
      </c>
      <c r="D3937" s="1" t="s">
        <v>11803</v>
      </c>
      <c r="E3937" s="1" t="s">
        <v>11804</v>
      </c>
      <c r="F3937" s="1">
        <v>25</v>
      </c>
      <c r="G3937" s="1">
        <v>25</v>
      </c>
      <c r="H3937" s="1">
        <v>0</v>
      </c>
      <c r="I3937" s="1">
        <v>25</v>
      </c>
      <c r="J3937" s="1">
        <v>0</v>
      </c>
      <c r="K3937" s="1">
        <v>25</v>
      </c>
    </row>
    <row r="3938" spans="3:11" x14ac:dyDescent="0.25">
      <c r="C3938" s="1" t="s">
        <v>11805</v>
      </c>
      <c r="D3938" s="1" t="s">
        <v>11806</v>
      </c>
      <c r="E3938" s="1" t="s">
        <v>11807</v>
      </c>
      <c r="F3938" s="1">
        <v>26</v>
      </c>
      <c r="G3938" s="1">
        <v>26</v>
      </c>
      <c r="H3938" s="1">
        <v>0</v>
      </c>
      <c r="I3938" s="1">
        <v>4112</v>
      </c>
      <c r="J3938" s="1">
        <v>4086</v>
      </c>
      <c r="K3938" s="1">
        <v>26</v>
      </c>
    </row>
    <row r="3939" spans="3:11" x14ac:dyDescent="0.25">
      <c r="C3939" s="1" t="s">
        <v>11808</v>
      </c>
      <c r="D3939" s="1" t="s">
        <v>11809</v>
      </c>
      <c r="E3939" s="1" t="s">
        <v>11810</v>
      </c>
      <c r="F3939" s="1">
        <v>26</v>
      </c>
      <c r="G3939" s="1">
        <v>26</v>
      </c>
      <c r="H3939" s="1">
        <v>0</v>
      </c>
      <c r="I3939" s="1">
        <v>1944</v>
      </c>
      <c r="J3939" s="1">
        <v>1918</v>
      </c>
      <c r="K3939" s="1">
        <v>26</v>
      </c>
    </row>
    <row r="3940" spans="3:11" x14ac:dyDescent="0.25">
      <c r="C3940" s="1" t="s">
        <v>2258</v>
      </c>
      <c r="D3940" s="1" t="s">
        <v>2251</v>
      </c>
      <c r="E3940" s="1" t="s">
        <v>2259</v>
      </c>
      <c r="F3940" s="1">
        <v>26</v>
      </c>
      <c r="G3940" s="1">
        <v>26</v>
      </c>
      <c r="H3940" s="1">
        <v>0</v>
      </c>
      <c r="I3940" s="1">
        <v>431</v>
      </c>
      <c r="J3940" s="1">
        <v>405</v>
      </c>
      <c r="K3940" s="1">
        <v>26</v>
      </c>
    </row>
    <row r="3941" spans="3:11" x14ac:dyDescent="0.25">
      <c r="C3941" s="1" t="s">
        <v>1789</v>
      </c>
      <c r="D3941" s="1" t="s">
        <v>1790</v>
      </c>
      <c r="E3941" s="1" t="s">
        <v>1791</v>
      </c>
      <c r="F3941" s="1">
        <v>26</v>
      </c>
      <c r="G3941" s="1">
        <v>26</v>
      </c>
      <c r="H3941" s="1">
        <v>0</v>
      </c>
      <c r="I3941" s="1">
        <v>79</v>
      </c>
      <c r="J3941" s="1">
        <v>53</v>
      </c>
      <c r="K3941" s="1">
        <v>26</v>
      </c>
    </row>
    <row r="3942" spans="3:11" x14ac:dyDescent="0.25">
      <c r="C3942" s="1" t="s">
        <v>11811</v>
      </c>
      <c r="D3942" s="1" t="s">
        <v>11812</v>
      </c>
      <c r="E3942" s="1" t="s">
        <v>11813</v>
      </c>
      <c r="F3942" s="1">
        <v>26</v>
      </c>
      <c r="G3942" s="1">
        <v>26</v>
      </c>
      <c r="H3942" s="1">
        <v>0</v>
      </c>
      <c r="I3942" s="1">
        <v>57</v>
      </c>
      <c r="J3942" s="1">
        <v>31</v>
      </c>
      <c r="K3942" s="1">
        <v>26</v>
      </c>
    </row>
    <row r="3943" spans="3:11" x14ac:dyDescent="0.25">
      <c r="C3943" s="1" t="s">
        <v>11814</v>
      </c>
      <c r="D3943" s="1" t="s">
        <v>11815</v>
      </c>
      <c r="E3943" s="1" t="s">
        <v>11816</v>
      </c>
      <c r="F3943" s="1">
        <v>26</v>
      </c>
      <c r="G3943" s="1">
        <v>26</v>
      </c>
      <c r="H3943" s="1">
        <v>0</v>
      </c>
      <c r="I3943" s="1">
        <v>42</v>
      </c>
      <c r="J3943" s="1">
        <v>16</v>
      </c>
      <c r="K3943" s="1">
        <v>26</v>
      </c>
    </row>
    <row r="3944" spans="3:11" x14ac:dyDescent="0.25">
      <c r="C3944" s="1" t="s">
        <v>952</v>
      </c>
      <c r="D3944" s="1" t="s">
        <v>48</v>
      </c>
      <c r="E3944" s="1" t="s">
        <v>953</v>
      </c>
      <c r="F3944" s="1">
        <v>27</v>
      </c>
      <c r="G3944" s="1">
        <v>27</v>
      </c>
      <c r="H3944" s="1">
        <v>0</v>
      </c>
      <c r="I3944" s="1">
        <v>5428</v>
      </c>
      <c r="J3944" s="1">
        <v>5401</v>
      </c>
      <c r="K3944" s="1">
        <v>27</v>
      </c>
    </row>
    <row r="3945" spans="3:11" x14ac:dyDescent="0.25">
      <c r="C3945" s="1" t="s">
        <v>11817</v>
      </c>
      <c r="D3945" s="1" t="s">
        <v>11818</v>
      </c>
      <c r="E3945" s="1" t="s">
        <v>11819</v>
      </c>
      <c r="F3945" s="1">
        <v>27</v>
      </c>
      <c r="G3945" s="1">
        <v>27</v>
      </c>
      <c r="H3945" s="1">
        <v>0</v>
      </c>
      <c r="I3945" s="1">
        <v>5293</v>
      </c>
      <c r="J3945" s="1">
        <v>5266</v>
      </c>
      <c r="K3945" s="1">
        <v>27</v>
      </c>
    </row>
    <row r="3946" spans="3:11" x14ac:dyDescent="0.25">
      <c r="C3946" s="1" t="s">
        <v>1073</v>
      </c>
      <c r="D3946" s="1" t="s">
        <v>84</v>
      </c>
      <c r="E3946" s="1" t="s">
        <v>1074</v>
      </c>
      <c r="F3946" s="1">
        <v>27</v>
      </c>
      <c r="G3946" s="1">
        <v>27</v>
      </c>
      <c r="H3946" s="1">
        <v>0</v>
      </c>
      <c r="I3946" s="1">
        <v>1314</v>
      </c>
      <c r="J3946" s="1">
        <v>1287</v>
      </c>
      <c r="K3946" s="1">
        <v>27</v>
      </c>
    </row>
    <row r="3947" spans="3:11" x14ac:dyDescent="0.25">
      <c r="C3947" s="1" t="s">
        <v>2642</v>
      </c>
      <c r="D3947" s="1" t="s">
        <v>692</v>
      </c>
      <c r="E3947" s="1" t="s">
        <v>2643</v>
      </c>
      <c r="F3947" s="1">
        <v>27</v>
      </c>
      <c r="G3947" s="1">
        <v>27</v>
      </c>
      <c r="H3947" s="1">
        <v>0</v>
      </c>
      <c r="I3947" s="1">
        <v>977</v>
      </c>
      <c r="J3947" s="1">
        <v>950</v>
      </c>
      <c r="K3947" s="1">
        <v>27</v>
      </c>
    </row>
    <row r="3948" spans="3:11" x14ac:dyDescent="0.25">
      <c r="C3948" s="1" t="s">
        <v>2686</v>
      </c>
      <c r="D3948" s="1" t="s">
        <v>842</v>
      </c>
      <c r="E3948" s="1" t="s">
        <v>2687</v>
      </c>
      <c r="F3948" s="1">
        <v>27</v>
      </c>
      <c r="G3948" s="1">
        <v>27</v>
      </c>
      <c r="H3948" s="1">
        <v>0</v>
      </c>
      <c r="I3948" s="1">
        <v>860</v>
      </c>
      <c r="J3948" s="1">
        <v>833</v>
      </c>
      <c r="K3948" s="1">
        <v>27</v>
      </c>
    </row>
    <row r="3949" spans="3:11" x14ac:dyDescent="0.25">
      <c r="C3949" s="1" t="s">
        <v>11820</v>
      </c>
      <c r="D3949" s="1" t="s">
        <v>11821</v>
      </c>
      <c r="E3949" s="1" t="s">
        <v>11822</v>
      </c>
      <c r="F3949" s="1">
        <v>27</v>
      </c>
      <c r="G3949" s="1">
        <v>27</v>
      </c>
      <c r="H3949" s="1">
        <v>0</v>
      </c>
      <c r="I3949" s="1">
        <v>451</v>
      </c>
      <c r="J3949" s="1">
        <v>424</v>
      </c>
      <c r="K3949" s="1">
        <v>27</v>
      </c>
    </row>
    <row r="3950" spans="3:11" x14ac:dyDescent="0.25">
      <c r="C3950" s="1" t="s">
        <v>11823</v>
      </c>
      <c r="D3950" s="1" t="s">
        <v>11824</v>
      </c>
      <c r="E3950" s="1" t="s">
        <v>11823</v>
      </c>
      <c r="F3950" s="1">
        <v>27</v>
      </c>
      <c r="G3950" s="1">
        <v>27</v>
      </c>
      <c r="H3950" s="1">
        <v>0</v>
      </c>
      <c r="I3950" s="1">
        <v>438</v>
      </c>
      <c r="J3950" s="1">
        <v>411</v>
      </c>
      <c r="K3950" s="1">
        <v>27</v>
      </c>
    </row>
    <row r="3951" spans="3:11" x14ac:dyDescent="0.25">
      <c r="C3951" s="1" t="s">
        <v>11825</v>
      </c>
      <c r="D3951" s="1" t="s">
        <v>11826</v>
      </c>
      <c r="E3951" s="1" t="s">
        <v>11825</v>
      </c>
      <c r="F3951" s="1">
        <v>27</v>
      </c>
      <c r="G3951" s="1">
        <v>27</v>
      </c>
      <c r="H3951" s="1">
        <v>0</v>
      </c>
      <c r="I3951" s="1">
        <v>352</v>
      </c>
      <c r="J3951" s="1">
        <v>325</v>
      </c>
      <c r="K3951" s="1">
        <v>27</v>
      </c>
    </row>
    <row r="3952" spans="3:11" x14ac:dyDescent="0.25">
      <c r="C3952" s="1" t="s">
        <v>3010</v>
      </c>
      <c r="D3952" s="1" t="s">
        <v>669</v>
      </c>
      <c r="E3952" s="1" t="s">
        <v>3011</v>
      </c>
      <c r="F3952" s="1">
        <v>27</v>
      </c>
      <c r="G3952" s="1">
        <v>27</v>
      </c>
      <c r="H3952" s="1">
        <v>0</v>
      </c>
      <c r="I3952" s="1">
        <v>331</v>
      </c>
      <c r="J3952" s="1">
        <v>304</v>
      </c>
      <c r="K3952" s="1">
        <v>27</v>
      </c>
    </row>
    <row r="3953" spans="3:11" x14ac:dyDescent="0.25">
      <c r="C3953" s="1" t="s">
        <v>1395</v>
      </c>
      <c r="D3953" s="1" t="s">
        <v>138</v>
      </c>
      <c r="E3953" s="1" t="s">
        <v>1396</v>
      </c>
      <c r="F3953" s="1">
        <v>27</v>
      </c>
      <c r="G3953" s="1">
        <v>27</v>
      </c>
      <c r="H3953" s="1">
        <v>0</v>
      </c>
      <c r="I3953" s="1">
        <v>330</v>
      </c>
      <c r="J3953" s="1">
        <v>303</v>
      </c>
      <c r="K3953" s="1">
        <v>27</v>
      </c>
    </row>
    <row r="3954" spans="3:11" x14ac:dyDescent="0.25">
      <c r="C3954" s="1" t="s">
        <v>3057</v>
      </c>
      <c r="D3954" s="1" t="s">
        <v>474</v>
      </c>
      <c r="E3954" s="1" t="s">
        <v>3058</v>
      </c>
      <c r="F3954" s="1">
        <v>27</v>
      </c>
      <c r="G3954" s="1">
        <v>27</v>
      </c>
      <c r="H3954" s="1">
        <v>0</v>
      </c>
      <c r="I3954" s="1">
        <v>279</v>
      </c>
      <c r="J3954" s="1">
        <v>252</v>
      </c>
      <c r="K3954" s="1">
        <v>27</v>
      </c>
    </row>
    <row r="3955" spans="3:11" x14ac:dyDescent="0.25">
      <c r="C3955" s="1" t="s">
        <v>11827</v>
      </c>
      <c r="D3955" s="1" t="s">
        <v>11828</v>
      </c>
      <c r="E3955" s="1" t="s">
        <v>11829</v>
      </c>
      <c r="F3955" s="1">
        <v>27</v>
      </c>
      <c r="G3955" s="1">
        <v>27</v>
      </c>
      <c r="H3955" s="1">
        <v>0</v>
      </c>
      <c r="I3955" s="1">
        <v>238</v>
      </c>
      <c r="J3955" s="1">
        <v>211</v>
      </c>
      <c r="K3955" s="1">
        <v>27</v>
      </c>
    </row>
    <row r="3956" spans="3:11" x14ac:dyDescent="0.25">
      <c r="C3956" s="1" t="s">
        <v>11830</v>
      </c>
      <c r="D3956" s="1" t="s">
        <v>11831</v>
      </c>
      <c r="E3956" s="1" t="s">
        <v>11830</v>
      </c>
      <c r="F3956" s="1">
        <v>27</v>
      </c>
      <c r="G3956" s="1">
        <v>27</v>
      </c>
      <c r="H3956" s="1">
        <v>0</v>
      </c>
      <c r="I3956" s="1">
        <v>135</v>
      </c>
      <c r="J3956" s="1">
        <v>108</v>
      </c>
      <c r="K3956" s="1">
        <v>27</v>
      </c>
    </row>
    <row r="3957" spans="3:11" x14ac:dyDescent="0.25">
      <c r="C3957" s="1" t="s">
        <v>11832</v>
      </c>
      <c r="D3957" s="1" t="s">
        <v>11833</v>
      </c>
      <c r="E3957" s="1" t="s">
        <v>11834</v>
      </c>
      <c r="F3957" s="1">
        <v>27</v>
      </c>
      <c r="G3957" s="1">
        <v>27</v>
      </c>
      <c r="H3957" s="1">
        <v>0</v>
      </c>
      <c r="I3957" s="1">
        <v>133</v>
      </c>
      <c r="J3957" s="1">
        <v>106</v>
      </c>
      <c r="K3957" s="1">
        <v>27</v>
      </c>
    </row>
    <row r="3958" spans="3:11" x14ac:dyDescent="0.25">
      <c r="C3958" s="1" t="s">
        <v>3722</v>
      </c>
      <c r="D3958" s="1" t="s">
        <v>3723</v>
      </c>
      <c r="E3958" s="1" t="s">
        <v>3724</v>
      </c>
      <c r="F3958" s="1">
        <v>27</v>
      </c>
      <c r="G3958" s="1">
        <v>27</v>
      </c>
      <c r="H3958" s="1">
        <v>0</v>
      </c>
      <c r="I3958" s="1">
        <v>42</v>
      </c>
      <c r="J3958" s="1">
        <v>15</v>
      </c>
      <c r="K3958" s="1">
        <v>27</v>
      </c>
    </row>
    <row r="3959" spans="3:11" x14ac:dyDescent="0.25">
      <c r="C3959" s="1" t="s">
        <v>11835</v>
      </c>
      <c r="D3959" s="1" t="s">
        <v>11836</v>
      </c>
      <c r="E3959" s="1" t="s">
        <v>11837</v>
      </c>
      <c r="F3959" s="1">
        <v>27</v>
      </c>
      <c r="G3959" s="1">
        <v>27</v>
      </c>
      <c r="H3959" s="1">
        <v>0</v>
      </c>
      <c r="I3959" s="1">
        <v>27</v>
      </c>
      <c r="J3959" s="1">
        <v>0</v>
      </c>
      <c r="K3959" s="1">
        <v>27</v>
      </c>
    </row>
    <row r="3960" spans="3:11" x14ac:dyDescent="0.25">
      <c r="C3960" s="1" t="s">
        <v>1077</v>
      </c>
      <c r="D3960" s="1" t="s">
        <v>1078</v>
      </c>
      <c r="E3960" s="1" t="s">
        <v>1079</v>
      </c>
      <c r="F3960" s="1">
        <v>28</v>
      </c>
      <c r="G3960" s="1">
        <v>28</v>
      </c>
      <c r="H3960" s="1">
        <v>0</v>
      </c>
      <c r="I3960" s="1">
        <v>1296</v>
      </c>
      <c r="J3960" s="1">
        <v>1268</v>
      </c>
      <c r="K3960" s="1">
        <v>28</v>
      </c>
    </row>
    <row r="3961" spans="3:11" x14ac:dyDescent="0.25">
      <c r="C3961" s="1" t="s">
        <v>1382</v>
      </c>
      <c r="D3961" s="1" t="s">
        <v>136</v>
      </c>
      <c r="E3961" s="1" t="s">
        <v>1383</v>
      </c>
      <c r="F3961" s="1">
        <v>28</v>
      </c>
      <c r="G3961" s="1">
        <v>28</v>
      </c>
      <c r="H3961" s="1">
        <v>0</v>
      </c>
      <c r="I3961" s="1">
        <v>372</v>
      </c>
      <c r="J3961" s="1">
        <v>344</v>
      </c>
      <c r="K3961" s="1">
        <v>28</v>
      </c>
    </row>
    <row r="3962" spans="3:11" x14ac:dyDescent="0.25">
      <c r="C3962" s="1" t="s">
        <v>11838</v>
      </c>
      <c r="D3962" s="1" t="s">
        <v>11839</v>
      </c>
      <c r="E3962" s="1" t="s">
        <v>11840</v>
      </c>
      <c r="F3962" s="1">
        <v>28</v>
      </c>
      <c r="G3962" s="1">
        <v>28</v>
      </c>
      <c r="H3962" s="1">
        <v>0</v>
      </c>
      <c r="I3962" s="1">
        <v>192</v>
      </c>
      <c r="J3962" s="1">
        <v>164</v>
      </c>
      <c r="K3962" s="1">
        <v>28</v>
      </c>
    </row>
    <row r="3963" spans="3:11" x14ac:dyDescent="0.25">
      <c r="C3963" s="1" t="s">
        <v>3205</v>
      </c>
      <c r="D3963" s="1" t="s">
        <v>3206</v>
      </c>
      <c r="E3963" s="1" t="s">
        <v>3207</v>
      </c>
      <c r="F3963" s="1">
        <v>28</v>
      </c>
      <c r="G3963" s="1">
        <v>28</v>
      </c>
      <c r="H3963" s="1">
        <v>0</v>
      </c>
      <c r="I3963" s="1">
        <v>174</v>
      </c>
      <c r="J3963" s="1">
        <v>146</v>
      </c>
      <c r="K3963" s="1">
        <v>28</v>
      </c>
    </row>
    <row r="3964" spans="3:11" x14ac:dyDescent="0.25">
      <c r="C3964" s="1" t="s">
        <v>3415</v>
      </c>
      <c r="D3964" s="1" t="s">
        <v>3416</v>
      </c>
      <c r="E3964" s="1" t="s">
        <v>3417</v>
      </c>
      <c r="F3964" s="1">
        <v>28</v>
      </c>
      <c r="G3964" s="1">
        <v>28</v>
      </c>
      <c r="H3964" s="1">
        <v>0</v>
      </c>
      <c r="I3964" s="1">
        <v>94</v>
      </c>
      <c r="J3964" s="1">
        <v>66</v>
      </c>
      <c r="K3964" s="1">
        <v>28</v>
      </c>
    </row>
    <row r="3965" spans="3:11" x14ac:dyDescent="0.25">
      <c r="C3965" s="1" t="s">
        <v>3426</v>
      </c>
      <c r="D3965" s="1" t="s">
        <v>730</v>
      </c>
      <c r="E3965" s="1" t="s">
        <v>3427</v>
      </c>
      <c r="F3965" s="1">
        <v>28</v>
      </c>
      <c r="G3965" s="1">
        <v>28</v>
      </c>
      <c r="H3965" s="1">
        <v>0</v>
      </c>
      <c r="I3965" s="1">
        <v>91</v>
      </c>
      <c r="J3965" s="1">
        <v>63</v>
      </c>
      <c r="K3965" s="1">
        <v>28</v>
      </c>
    </row>
    <row r="3966" spans="3:11" x14ac:dyDescent="0.25">
      <c r="C3966" s="1" t="s">
        <v>1813</v>
      </c>
      <c r="D3966" s="1" t="s">
        <v>1814</v>
      </c>
      <c r="E3966" s="1" t="s">
        <v>1813</v>
      </c>
      <c r="F3966" s="1">
        <v>28</v>
      </c>
      <c r="G3966" s="1">
        <v>28</v>
      </c>
      <c r="H3966" s="1">
        <v>0</v>
      </c>
      <c r="I3966" s="1">
        <v>64</v>
      </c>
      <c r="J3966" s="1">
        <v>36</v>
      </c>
      <c r="K3966" s="1">
        <v>28</v>
      </c>
    </row>
    <row r="3967" spans="3:11" x14ac:dyDescent="0.25">
      <c r="C3967" s="1" t="s">
        <v>11841</v>
      </c>
      <c r="D3967" s="1" t="s">
        <v>11842</v>
      </c>
      <c r="E3967" s="1" t="s">
        <v>11843</v>
      </c>
      <c r="F3967" s="1">
        <v>28</v>
      </c>
      <c r="G3967" s="1">
        <v>28</v>
      </c>
      <c r="H3967" s="1">
        <v>0</v>
      </c>
      <c r="I3967" s="1">
        <v>28</v>
      </c>
      <c r="J3967" s="1">
        <v>0</v>
      </c>
      <c r="K3967" s="1">
        <v>28</v>
      </c>
    </row>
    <row r="3968" spans="3:11" x14ac:dyDescent="0.25">
      <c r="C3968" s="1" t="s">
        <v>11844</v>
      </c>
      <c r="D3968" s="1" t="s">
        <v>11845</v>
      </c>
      <c r="E3968" s="1" t="s">
        <v>11846</v>
      </c>
      <c r="F3968" s="1">
        <v>29</v>
      </c>
      <c r="G3968" s="1">
        <v>29</v>
      </c>
      <c r="H3968" s="1">
        <v>0</v>
      </c>
      <c r="I3968" s="1">
        <v>1654</v>
      </c>
      <c r="J3968" s="1">
        <v>1625</v>
      </c>
      <c r="K3968" s="1">
        <v>29</v>
      </c>
    </row>
    <row r="3969" spans="3:11" x14ac:dyDescent="0.25">
      <c r="C3969" s="1" t="s">
        <v>1130</v>
      </c>
      <c r="D3969" s="1" t="s">
        <v>95</v>
      </c>
      <c r="E3969" s="1" t="s">
        <v>1131</v>
      </c>
      <c r="F3969" s="1">
        <v>29</v>
      </c>
      <c r="G3969" s="1">
        <v>29</v>
      </c>
      <c r="H3969" s="1">
        <v>0</v>
      </c>
      <c r="I3969" s="1">
        <v>1005</v>
      </c>
      <c r="J3969" s="1">
        <v>976</v>
      </c>
      <c r="K3969" s="1">
        <v>29</v>
      </c>
    </row>
    <row r="3970" spans="3:11" x14ac:dyDescent="0.25">
      <c r="C3970" s="1" t="s">
        <v>2690</v>
      </c>
      <c r="D3970" s="1" t="s">
        <v>691</v>
      </c>
      <c r="E3970" s="1" t="s">
        <v>2691</v>
      </c>
      <c r="F3970" s="1">
        <v>29</v>
      </c>
      <c r="G3970" s="1">
        <v>29</v>
      </c>
      <c r="H3970" s="1">
        <v>0</v>
      </c>
      <c r="I3970" s="1">
        <v>850</v>
      </c>
      <c r="J3970" s="1">
        <v>821</v>
      </c>
      <c r="K3970" s="1">
        <v>29</v>
      </c>
    </row>
    <row r="3971" spans="3:11" x14ac:dyDescent="0.25">
      <c r="C3971" s="1" t="s">
        <v>11847</v>
      </c>
      <c r="D3971" s="1" t="s">
        <v>11848</v>
      </c>
      <c r="E3971" s="1" t="s">
        <v>11849</v>
      </c>
      <c r="F3971" s="1">
        <v>30</v>
      </c>
      <c r="G3971" s="1">
        <v>30</v>
      </c>
      <c r="H3971" s="1">
        <v>0</v>
      </c>
      <c r="I3971" s="1">
        <v>4223</v>
      </c>
      <c r="J3971" s="1">
        <v>4193</v>
      </c>
      <c r="K3971" s="1">
        <v>30</v>
      </c>
    </row>
    <row r="3972" spans="3:11" x14ac:dyDescent="0.25">
      <c r="C3972" s="1" t="s">
        <v>2493</v>
      </c>
      <c r="D3972" s="1" t="s">
        <v>434</v>
      </c>
      <c r="E3972" s="1" t="s">
        <v>2494</v>
      </c>
      <c r="F3972" s="1">
        <v>30</v>
      </c>
      <c r="G3972" s="1">
        <v>30</v>
      </c>
      <c r="H3972" s="1">
        <v>0</v>
      </c>
      <c r="I3972" s="1">
        <v>2128</v>
      </c>
      <c r="J3972" s="1">
        <v>2098</v>
      </c>
      <c r="K3972" s="1">
        <v>30</v>
      </c>
    </row>
    <row r="3973" spans="3:11" x14ac:dyDescent="0.25">
      <c r="C3973" s="1" t="s">
        <v>11850</v>
      </c>
      <c r="D3973" s="1" t="s">
        <v>11851</v>
      </c>
      <c r="E3973" s="1" t="s">
        <v>11852</v>
      </c>
      <c r="F3973" s="1">
        <v>30</v>
      </c>
      <c r="G3973" s="1">
        <v>30</v>
      </c>
      <c r="H3973" s="1">
        <v>0</v>
      </c>
      <c r="I3973" s="1">
        <v>317</v>
      </c>
      <c r="J3973" s="1">
        <v>287</v>
      </c>
      <c r="K3973" s="1">
        <v>30</v>
      </c>
    </row>
    <row r="3974" spans="3:11" x14ac:dyDescent="0.25">
      <c r="C3974" s="1" t="s">
        <v>11853</v>
      </c>
      <c r="D3974" s="1" t="s">
        <v>11854</v>
      </c>
      <c r="E3974" s="1" t="s">
        <v>11855</v>
      </c>
      <c r="F3974" s="1">
        <v>30</v>
      </c>
      <c r="G3974" s="1">
        <v>30</v>
      </c>
      <c r="H3974" s="1">
        <v>0</v>
      </c>
      <c r="I3974" s="1">
        <v>193</v>
      </c>
      <c r="J3974" s="1">
        <v>163</v>
      </c>
      <c r="K3974" s="1">
        <v>30</v>
      </c>
    </row>
    <row r="3975" spans="3:11" x14ac:dyDescent="0.25">
      <c r="C3975" s="1" t="s">
        <v>3218</v>
      </c>
      <c r="D3975" s="1" t="s">
        <v>735</v>
      </c>
      <c r="E3975" s="1" t="s">
        <v>3219</v>
      </c>
      <c r="F3975" s="1">
        <v>30</v>
      </c>
      <c r="G3975" s="1">
        <v>30</v>
      </c>
      <c r="H3975" s="1">
        <v>0</v>
      </c>
      <c r="I3975" s="1">
        <v>168</v>
      </c>
      <c r="J3975" s="1">
        <v>138</v>
      </c>
      <c r="K3975" s="1">
        <v>30</v>
      </c>
    </row>
    <row r="3976" spans="3:11" x14ac:dyDescent="0.25">
      <c r="C3976" s="1" t="s">
        <v>11856</v>
      </c>
      <c r="D3976" s="1" t="s">
        <v>11857</v>
      </c>
      <c r="E3976" s="1" t="s">
        <v>11856</v>
      </c>
      <c r="F3976" s="1">
        <v>30</v>
      </c>
      <c r="G3976" s="1">
        <v>30</v>
      </c>
      <c r="H3976" s="1">
        <v>0</v>
      </c>
      <c r="I3976" s="1">
        <v>75</v>
      </c>
      <c r="J3976" s="1">
        <v>45</v>
      </c>
      <c r="K3976" s="1">
        <v>30</v>
      </c>
    </row>
    <row r="3977" spans="3:11" x14ac:dyDescent="0.25">
      <c r="C3977" s="1" t="s">
        <v>11858</v>
      </c>
      <c r="D3977" s="1" t="s">
        <v>11859</v>
      </c>
      <c r="E3977" s="1" t="s">
        <v>11860</v>
      </c>
      <c r="F3977" s="1">
        <v>31</v>
      </c>
      <c r="G3977" s="1">
        <v>31</v>
      </c>
      <c r="H3977" s="1">
        <v>0</v>
      </c>
      <c r="I3977" s="1">
        <v>2361</v>
      </c>
      <c r="J3977" s="1">
        <v>2330</v>
      </c>
      <c r="K3977" s="1">
        <v>31</v>
      </c>
    </row>
    <row r="3978" spans="3:11" x14ac:dyDescent="0.25">
      <c r="C3978" s="1" t="s">
        <v>1095</v>
      </c>
      <c r="D3978" s="1" t="s">
        <v>89</v>
      </c>
      <c r="E3978" s="1" t="s">
        <v>1096</v>
      </c>
      <c r="F3978" s="1">
        <v>31</v>
      </c>
      <c r="G3978" s="1">
        <v>31</v>
      </c>
      <c r="H3978" s="1">
        <v>0</v>
      </c>
      <c r="I3978" s="1">
        <v>1194</v>
      </c>
      <c r="J3978" s="1">
        <v>1163</v>
      </c>
      <c r="K3978" s="1">
        <v>31</v>
      </c>
    </row>
    <row r="3979" spans="3:11" x14ac:dyDescent="0.25">
      <c r="C3979" s="1" t="s">
        <v>1287</v>
      </c>
      <c r="D3979" s="1" t="s">
        <v>125</v>
      </c>
      <c r="E3979" s="1" t="s">
        <v>1288</v>
      </c>
      <c r="F3979" s="1">
        <v>31</v>
      </c>
      <c r="G3979" s="1">
        <v>31</v>
      </c>
      <c r="H3979" s="1">
        <v>0</v>
      </c>
      <c r="I3979" s="1">
        <v>626</v>
      </c>
      <c r="J3979" s="1">
        <v>595</v>
      </c>
      <c r="K3979" s="1">
        <v>31</v>
      </c>
    </row>
    <row r="3980" spans="3:11" x14ac:dyDescent="0.25">
      <c r="C3980" s="1" t="s">
        <v>11861</v>
      </c>
      <c r="D3980" s="1" t="s">
        <v>11862</v>
      </c>
      <c r="E3980" s="1" t="s">
        <v>11863</v>
      </c>
      <c r="F3980" s="1">
        <v>31</v>
      </c>
      <c r="G3980" s="1">
        <v>31</v>
      </c>
      <c r="H3980" s="1">
        <v>0</v>
      </c>
      <c r="I3980" s="1">
        <v>438</v>
      </c>
      <c r="J3980" s="1">
        <v>407</v>
      </c>
      <c r="K3980" s="1">
        <v>31</v>
      </c>
    </row>
    <row r="3981" spans="3:11" x14ac:dyDescent="0.25">
      <c r="C3981" s="1" t="s">
        <v>11864</v>
      </c>
      <c r="D3981" s="1" t="s">
        <v>11865</v>
      </c>
      <c r="E3981" s="1" t="s">
        <v>11866</v>
      </c>
      <c r="F3981" s="1">
        <v>31</v>
      </c>
      <c r="G3981" s="1">
        <v>31</v>
      </c>
      <c r="H3981" s="1">
        <v>0</v>
      </c>
      <c r="I3981" s="1">
        <v>88</v>
      </c>
      <c r="J3981" s="1">
        <v>57</v>
      </c>
      <c r="K3981" s="1">
        <v>31</v>
      </c>
    </row>
    <row r="3982" spans="3:11" x14ac:dyDescent="0.25">
      <c r="C3982" s="1" t="s">
        <v>11867</v>
      </c>
      <c r="D3982" s="1" t="s">
        <v>11868</v>
      </c>
      <c r="E3982" s="1" t="s">
        <v>11869</v>
      </c>
      <c r="F3982" s="1">
        <v>31</v>
      </c>
      <c r="G3982" s="1">
        <v>31</v>
      </c>
      <c r="H3982" s="1">
        <v>0</v>
      </c>
      <c r="I3982" s="1">
        <v>60</v>
      </c>
      <c r="J3982" s="1">
        <v>29</v>
      </c>
      <c r="K3982" s="1">
        <v>31</v>
      </c>
    </row>
    <row r="3983" spans="3:11" x14ac:dyDescent="0.25">
      <c r="C3983" s="1" t="s">
        <v>11870</v>
      </c>
      <c r="D3983" s="1" t="s">
        <v>11871</v>
      </c>
      <c r="E3983" s="1" t="s">
        <v>11872</v>
      </c>
      <c r="F3983" s="1">
        <v>31</v>
      </c>
      <c r="G3983" s="1">
        <v>31</v>
      </c>
      <c r="H3983" s="1">
        <v>0</v>
      </c>
      <c r="I3983" s="1">
        <v>31</v>
      </c>
      <c r="J3983" s="1">
        <v>0</v>
      </c>
      <c r="K3983" s="1">
        <v>31</v>
      </c>
    </row>
    <row r="3984" spans="3:11" x14ac:dyDescent="0.25">
      <c r="C3984" s="1" t="s">
        <v>11873</v>
      </c>
      <c r="D3984" s="1" t="s">
        <v>11874</v>
      </c>
      <c r="E3984" s="1" t="s">
        <v>11875</v>
      </c>
      <c r="F3984" s="1">
        <v>32</v>
      </c>
      <c r="G3984" s="1">
        <v>32</v>
      </c>
      <c r="H3984" s="1">
        <v>0</v>
      </c>
      <c r="I3984" s="1">
        <v>685</v>
      </c>
      <c r="J3984" s="1">
        <v>653</v>
      </c>
      <c r="K3984" s="1">
        <v>32</v>
      </c>
    </row>
    <row r="3985" spans="3:11" x14ac:dyDescent="0.25">
      <c r="C3985" s="1" t="s">
        <v>11876</v>
      </c>
      <c r="D3985" s="1" t="s">
        <v>11877</v>
      </c>
      <c r="E3985" s="1" t="s">
        <v>11878</v>
      </c>
      <c r="F3985" s="1">
        <v>32</v>
      </c>
      <c r="G3985" s="1">
        <v>32</v>
      </c>
      <c r="H3985" s="1">
        <v>0</v>
      </c>
      <c r="I3985" s="1">
        <v>565</v>
      </c>
      <c r="J3985" s="1">
        <v>533</v>
      </c>
      <c r="K3985" s="1">
        <v>32</v>
      </c>
    </row>
    <row r="3986" spans="3:11" x14ac:dyDescent="0.25">
      <c r="C3986" s="1" t="s">
        <v>1321</v>
      </c>
      <c r="D3986" s="1" t="s">
        <v>131</v>
      </c>
      <c r="E3986" s="1" t="s">
        <v>1322</v>
      </c>
      <c r="F3986" s="1">
        <v>32</v>
      </c>
      <c r="G3986" s="1">
        <v>32</v>
      </c>
      <c r="H3986" s="1">
        <v>0</v>
      </c>
      <c r="I3986" s="1">
        <v>441</v>
      </c>
      <c r="J3986" s="1">
        <v>409</v>
      </c>
      <c r="K3986" s="1">
        <v>32</v>
      </c>
    </row>
    <row r="3987" spans="3:11" x14ac:dyDescent="0.25">
      <c r="C3987" s="1" t="s">
        <v>2967</v>
      </c>
      <c r="D3987" s="1" t="s">
        <v>605</v>
      </c>
      <c r="E3987" s="1" t="s">
        <v>2968</v>
      </c>
      <c r="F3987" s="1">
        <v>32</v>
      </c>
      <c r="G3987" s="1">
        <v>32</v>
      </c>
      <c r="H3987" s="1">
        <v>0</v>
      </c>
      <c r="I3987" s="1">
        <v>375</v>
      </c>
      <c r="J3987" s="1">
        <v>343</v>
      </c>
      <c r="K3987" s="1">
        <v>32</v>
      </c>
    </row>
    <row r="3988" spans="3:11" x14ac:dyDescent="0.25">
      <c r="C3988" s="1" t="s">
        <v>3195</v>
      </c>
      <c r="D3988" s="1" t="s">
        <v>481</v>
      </c>
      <c r="E3988" s="1" t="s">
        <v>3196</v>
      </c>
      <c r="F3988" s="1">
        <v>32</v>
      </c>
      <c r="G3988" s="1">
        <v>32</v>
      </c>
      <c r="H3988" s="1">
        <v>0</v>
      </c>
      <c r="I3988" s="1">
        <v>181</v>
      </c>
      <c r="J3988" s="1">
        <v>149</v>
      </c>
      <c r="K3988" s="1">
        <v>32</v>
      </c>
    </row>
    <row r="3989" spans="3:11" x14ac:dyDescent="0.25">
      <c r="C3989" s="1" t="s">
        <v>11879</v>
      </c>
      <c r="D3989" s="1" t="s">
        <v>11880</v>
      </c>
      <c r="E3989" s="1" t="s">
        <v>11879</v>
      </c>
      <c r="F3989" s="1">
        <v>32</v>
      </c>
      <c r="G3989" s="1">
        <v>32</v>
      </c>
      <c r="H3989" s="1">
        <v>0</v>
      </c>
      <c r="I3989" s="1">
        <v>40</v>
      </c>
      <c r="J3989" s="1">
        <v>8</v>
      </c>
      <c r="K3989" s="1">
        <v>32</v>
      </c>
    </row>
    <row r="3990" spans="3:11" x14ac:dyDescent="0.25">
      <c r="C3990" s="1" t="s">
        <v>11881</v>
      </c>
      <c r="D3990" s="1" t="s">
        <v>11882</v>
      </c>
      <c r="E3990" s="1" t="s">
        <v>11883</v>
      </c>
      <c r="F3990" s="1">
        <v>33</v>
      </c>
      <c r="G3990" s="1">
        <v>33</v>
      </c>
      <c r="H3990" s="1">
        <v>0</v>
      </c>
      <c r="I3990" s="1">
        <v>2406</v>
      </c>
      <c r="J3990" s="1">
        <v>2373</v>
      </c>
      <c r="K3990" s="1">
        <v>33</v>
      </c>
    </row>
    <row r="3991" spans="3:11" x14ac:dyDescent="0.25">
      <c r="C3991" s="1" t="s">
        <v>2486</v>
      </c>
      <c r="D3991" s="1" t="s">
        <v>433</v>
      </c>
      <c r="E3991" s="1" t="s">
        <v>2487</v>
      </c>
      <c r="F3991" s="1">
        <v>33</v>
      </c>
      <c r="G3991" s="1">
        <v>33</v>
      </c>
      <c r="H3991" s="1">
        <v>0</v>
      </c>
      <c r="I3991" s="1">
        <v>2194</v>
      </c>
      <c r="J3991" s="1">
        <v>2161</v>
      </c>
      <c r="K3991" s="1">
        <v>33</v>
      </c>
    </row>
    <row r="3992" spans="3:11" x14ac:dyDescent="0.25">
      <c r="C3992" s="1" t="s">
        <v>11884</v>
      </c>
      <c r="D3992" s="1" t="s">
        <v>11885</v>
      </c>
      <c r="E3992" s="1" t="s">
        <v>11886</v>
      </c>
      <c r="F3992" s="1">
        <v>33</v>
      </c>
      <c r="G3992" s="1">
        <v>33</v>
      </c>
      <c r="H3992" s="1">
        <v>0</v>
      </c>
      <c r="I3992" s="1">
        <v>2035</v>
      </c>
      <c r="J3992" s="1">
        <v>2002</v>
      </c>
      <c r="K3992" s="1">
        <v>33</v>
      </c>
    </row>
    <row r="3993" spans="3:11" x14ac:dyDescent="0.25">
      <c r="C3993" s="1" t="s">
        <v>11887</v>
      </c>
      <c r="D3993" s="1" t="s">
        <v>11888</v>
      </c>
      <c r="E3993" s="1" t="s">
        <v>11889</v>
      </c>
      <c r="F3993" s="1">
        <v>33</v>
      </c>
      <c r="G3993" s="1">
        <v>33</v>
      </c>
      <c r="H3993" s="1">
        <v>0</v>
      </c>
      <c r="I3993" s="1">
        <v>1810</v>
      </c>
      <c r="J3993" s="1">
        <v>1777</v>
      </c>
      <c r="K3993" s="1">
        <v>33</v>
      </c>
    </row>
    <row r="3994" spans="3:11" x14ac:dyDescent="0.25">
      <c r="C3994" s="1" t="s">
        <v>11890</v>
      </c>
      <c r="D3994" s="1" t="s">
        <v>11891</v>
      </c>
      <c r="E3994" s="1" t="s">
        <v>11892</v>
      </c>
      <c r="F3994" s="1">
        <v>33</v>
      </c>
      <c r="G3994" s="1">
        <v>33</v>
      </c>
      <c r="H3994" s="1">
        <v>0</v>
      </c>
      <c r="I3994" s="1">
        <v>1502</v>
      </c>
      <c r="J3994" s="1">
        <v>1469</v>
      </c>
      <c r="K3994" s="1">
        <v>33</v>
      </c>
    </row>
    <row r="3995" spans="3:11" x14ac:dyDescent="0.25">
      <c r="C3995" s="1" t="s">
        <v>11893</v>
      </c>
      <c r="D3995" s="1" t="s">
        <v>11894</v>
      </c>
      <c r="E3995" s="1" t="s">
        <v>11895</v>
      </c>
      <c r="F3995" s="1">
        <v>33</v>
      </c>
      <c r="G3995" s="1">
        <v>33</v>
      </c>
      <c r="H3995" s="1">
        <v>0</v>
      </c>
      <c r="I3995" s="1">
        <v>735</v>
      </c>
      <c r="J3995" s="1">
        <v>702</v>
      </c>
      <c r="K3995" s="1">
        <v>33</v>
      </c>
    </row>
    <row r="3996" spans="3:11" x14ac:dyDescent="0.25">
      <c r="C3996" s="1" t="s">
        <v>2841</v>
      </c>
      <c r="D3996" s="1" t="s">
        <v>656</v>
      </c>
      <c r="E3996" s="1" t="s">
        <v>2842</v>
      </c>
      <c r="F3996" s="1">
        <v>33</v>
      </c>
      <c r="G3996" s="1">
        <v>33</v>
      </c>
      <c r="H3996" s="1">
        <v>0</v>
      </c>
      <c r="I3996" s="1">
        <v>565</v>
      </c>
      <c r="J3996" s="1">
        <v>532</v>
      </c>
      <c r="K3996" s="1">
        <v>33</v>
      </c>
    </row>
    <row r="3997" spans="3:11" x14ac:dyDescent="0.25">
      <c r="C3997" s="1" t="s">
        <v>2883</v>
      </c>
      <c r="D3997" s="1" t="s">
        <v>465</v>
      </c>
      <c r="E3997" s="1" t="s">
        <v>2884</v>
      </c>
      <c r="F3997" s="1">
        <v>33</v>
      </c>
      <c r="G3997" s="1">
        <v>33</v>
      </c>
      <c r="H3997" s="1">
        <v>0</v>
      </c>
      <c r="I3997" s="1">
        <v>489</v>
      </c>
      <c r="J3997" s="1">
        <v>456</v>
      </c>
      <c r="K3997" s="1">
        <v>33</v>
      </c>
    </row>
    <row r="3998" spans="3:11" x14ac:dyDescent="0.25">
      <c r="C3998" s="1" t="s">
        <v>11896</v>
      </c>
      <c r="D3998" s="1" t="s">
        <v>11897</v>
      </c>
      <c r="E3998" s="1" t="s">
        <v>11898</v>
      </c>
      <c r="F3998" s="1">
        <v>33</v>
      </c>
      <c r="G3998" s="1">
        <v>33</v>
      </c>
      <c r="H3998" s="1">
        <v>0</v>
      </c>
      <c r="I3998" s="1">
        <v>484</v>
      </c>
      <c r="J3998" s="1">
        <v>451</v>
      </c>
      <c r="K3998" s="1">
        <v>33</v>
      </c>
    </row>
    <row r="3999" spans="3:11" x14ac:dyDescent="0.25">
      <c r="C3999" s="1" t="s">
        <v>2945</v>
      </c>
      <c r="D3999" s="1" t="s">
        <v>480</v>
      </c>
      <c r="E3999" s="1" t="s">
        <v>2946</v>
      </c>
      <c r="F3999" s="1">
        <v>33</v>
      </c>
      <c r="G3999" s="1">
        <v>33</v>
      </c>
      <c r="H3999" s="1">
        <v>0</v>
      </c>
      <c r="I3999" s="1">
        <v>406</v>
      </c>
      <c r="J3999" s="1">
        <v>373</v>
      </c>
      <c r="K3999" s="1">
        <v>33</v>
      </c>
    </row>
    <row r="4000" spans="3:11" x14ac:dyDescent="0.25">
      <c r="C4000" s="1" t="s">
        <v>703</v>
      </c>
      <c r="D4000" s="1" t="s">
        <v>704</v>
      </c>
      <c r="E4000" s="1" t="s">
        <v>2961</v>
      </c>
      <c r="F4000" s="1">
        <v>33</v>
      </c>
      <c r="G4000" s="1">
        <v>33</v>
      </c>
      <c r="H4000" s="1">
        <v>0</v>
      </c>
      <c r="I4000" s="1">
        <v>385</v>
      </c>
      <c r="J4000" s="1">
        <v>352</v>
      </c>
      <c r="K4000" s="1">
        <v>33</v>
      </c>
    </row>
    <row r="4001" spans="3:11" x14ac:dyDescent="0.25">
      <c r="C4001" s="1" t="s">
        <v>11899</v>
      </c>
      <c r="D4001" s="1" t="s">
        <v>11900</v>
      </c>
      <c r="E4001" s="1" t="s">
        <v>11901</v>
      </c>
      <c r="F4001" s="1">
        <v>33</v>
      </c>
      <c r="G4001" s="1">
        <v>33</v>
      </c>
      <c r="H4001" s="1">
        <v>0</v>
      </c>
      <c r="I4001" s="1">
        <v>361</v>
      </c>
      <c r="J4001" s="1">
        <v>328</v>
      </c>
      <c r="K4001" s="1">
        <v>33</v>
      </c>
    </row>
    <row r="4002" spans="3:11" x14ac:dyDescent="0.25">
      <c r="C4002" s="1" t="s">
        <v>1435</v>
      </c>
      <c r="D4002" s="1" t="s">
        <v>1436</v>
      </c>
      <c r="E4002" s="1" t="s">
        <v>1437</v>
      </c>
      <c r="F4002" s="1">
        <v>33</v>
      </c>
      <c r="G4002" s="1">
        <v>33</v>
      </c>
      <c r="H4002" s="1">
        <v>0</v>
      </c>
      <c r="I4002" s="1">
        <v>299</v>
      </c>
      <c r="J4002" s="1">
        <v>266</v>
      </c>
      <c r="K4002" s="1">
        <v>33</v>
      </c>
    </row>
    <row r="4003" spans="3:11" x14ac:dyDescent="0.25">
      <c r="C4003" s="1" t="s">
        <v>1668</v>
      </c>
      <c r="D4003" s="1" t="s">
        <v>176</v>
      </c>
      <c r="E4003" s="1" t="s">
        <v>1669</v>
      </c>
      <c r="F4003" s="1">
        <v>33</v>
      </c>
      <c r="G4003" s="1">
        <v>33</v>
      </c>
      <c r="H4003" s="1">
        <v>0</v>
      </c>
      <c r="I4003" s="1">
        <v>123</v>
      </c>
      <c r="J4003" s="1">
        <v>90</v>
      </c>
      <c r="K4003" s="1">
        <v>33</v>
      </c>
    </row>
    <row r="4004" spans="3:11" x14ac:dyDescent="0.25">
      <c r="C4004" s="1" t="s">
        <v>1761</v>
      </c>
      <c r="D4004" s="1" t="s">
        <v>181</v>
      </c>
      <c r="E4004" s="1" t="s">
        <v>1762</v>
      </c>
      <c r="F4004" s="1">
        <v>33</v>
      </c>
      <c r="G4004" s="1">
        <v>33</v>
      </c>
      <c r="H4004" s="1">
        <v>0</v>
      </c>
      <c r="I4004" s="1">
        <v>121</v>
      </c>
      <c r="J4004" s="1">
        <v>88</v>
      </c>
      <c r="K4004" s="1">
        <v>33</v>
      </c>
    </row>
    <row r="4005" spans="3:11" x14ac:dyDescent="0.25">
      <c r="C4005" s="1" t="s">
        <v>11902</v>
      </c>
      <c r="D4005" s="1" t="s">
        <v>11903</v>
      </c>
      <c r="E4005" s="1" t="s">
        <v>11904</v>
      </c>
      <c r="F4005" s="1">
        <v>33</v>
      </c>
      <c r="G4005" s="1">
        <v>33</v>
      </c>
      <c r="H4005" s="1">
        <v>0</v>
      </c>
      <c r="I4005" s="1">
        <v>40</v>
      </c>
      <c r="J4005" s="1">
        <v>7</v>
      </c>
      <c r="K4005" s="1">
        <v>33</v>
      </c>
    </row>
    <row r="4006" spans="3:11" x14ac:dyDescent="0.25">
      <c r="C4006" s="1" t="s">
        <v>2141</v>
      </c>
      <c r="D4006" s="1" t="s">
        <v>2077</v>
      </c>
      <c r="E4006" s="1" t="s">
        <v>2142</v>
      </c>
      <c r="F4006" s="1">
        <v>34</v>
      </c>
      <c r="G4006" s="1">
        <v>34</v>
      </c>
      <c r="H4006" s="1">
        <v>0</v>
      </c>
      <c r="I4006" s="1">
        <v>2766</v>
      </c>
      <c r="J4006" s="1">
        <v>2732</v>
      </c>
      <c r="K4006" s="1">
        <v>34</v>
      </c>
    </row>
    <row r="4007" spans="3:11" x14ac:dyDescent="0.25">
      <c r="C4007" s="1" t="s">
        <v>11905</v>
      </c>
      <c r="D4007" s="1" t="s">
        <v>11906</v>
      </c>
      <c r="E4007" s="1" t="s">
        <v>11907</v>
      </c>
      <c r="F4007" s="1">
        <v>34</v>
      </c>
      <c r="G4007" s="1">
        <v>34</v>
      </c>
      <c r="H4007" s="1">
        <v>0</v>
      </c>
      <c r="I4007" s="1">
        <v>799</v>
      </c>
      <c r="J4007" s="1">
        <v>765</v>
      </c>
      <c r="K4007" s="1">
        <v>34</v>
      </c>
    </row>
    <row r="4008" spans="3:11" x14ac:dyDescent="0.25">
      <c r="C4008" s="1" t="s">
        <v>3359</v>
      </c>
      <c r="D4008" s="1" t="s">
        <v>615</v>
      </c>
      <c r="E4008" s="1" t="s">
        <v>3360</v>
      </c>
      <c r="F4008" s="1">
        <v>34</v>
      </c>
      <c r="G4008" s="1">
        <v>34</v>
      </c>
      <c r="H4008" s="1">
        <v>0</v>
      </c>
      <c r="I4008" s="1">
        <v>105</v>
      </c>
      <c r="J4008" s="1">
        <v>71</v>
      </c>
      <c r="K4008" s="1">
        <v>34</v>
      </c>
    </row>
    <row r="4009" spans="3:11" x14ac:dyDescent="0.25">
      <c r="C4009" s="1" t="s">
        <v>11908</v>
      </c>
      <c r="D4009" s="1" t="s">
        <v>11909</v>
      </c>
      <c r="E4009" s="1" t="s">
        <v>11910</v>
      </c>
      <c r="F4009" s="1">
        <v>34</v>
      </c>
      <c r="G4009" s="1">
        <v>34</v>
      </c>
      <c r="H4009" s="1">
        <v>0</v>
      </c>
      <c r="I4009" s="1">
        <v>34</v>
      </c>
      <c r="J4009" s="1">
        <v>0</v>
      </c>
      <c r="K4009" s="1">
        <v>34</v>
      </c>
    </row>
    <row r="4010" spans="3:11" x14ac:dyDescent="0.25">
      <c r="C4010" s="1" t="s">
        <v>11911</v>
      </c>
      <c r="D4010" s="1" t="s">
        <v>11912</v>
      </c>
      <c r="E4010" s="1" t="s">
        <v>11913</v>
      </c>
      <c r="F4010" s="1">
        <v>35</v>
      </c>
      <c r="G4010" s="1">
        <v>35</v>
      </c>
      <c r="H4010" s="1">
        <v>0</v>
      </c>
      <c r="I4010" s="1">
        <v>2349</v>
      </c>
      <c r="J4010" s="1">
        <v>2314</v>
      </c>
      <c r="K4010" s="1">
        <v>35</v>
      </c>
    </row>
    <row r="4011" spans="3:11" x14ac:dyDescent="0.25">
      <c r="C4011" s="1" t="s">
        <v>11914</v>
      </c>
      <c r="D4011" s="1" t="s">
        <v>11915</v>
      </c>
      <c r="E4011" s="1" t="s">
        <v>11916</v>
      </c>
      <c r="F4011" s="1">
        <v>35</v>
      </c>
      <c r="G4011" s="1">
        <v>35</v>
      </c>
      <c r="H4011" s="1">
        <v>0</v>
      </c>
      <c r="I4011" s="1">
        <v>71</v>
      </c>
      <c r="J4011" s="1">
        <v>36</v>
      </c>
      <c r="K4011" s="1">
        <v>35</v>
      </c>
    </row>
    <row r="4012" spans="3:11" x14ac:dyDescent="0.25">
      <c r="C4012" s="1" t="s">
        <v>11917</v>
      </c>
      <c r="D4012" s="1" t="s">
        <v>11918</v>
      </c>
      <c r="E4012" s="1" t="s">
        <v>11919</v>
      </c>
      <c r="F4012" s="1">
        <v>36</v>
      </c>
      <c r="G4012" s="1">
        <v>36</v>
      </c>
      <c r="H4012" s="1">
        <v>0</v>
      </c>
      <c r="I4012" s="1">
        <v>3090</v>
      </c>
      <c r="J4012" s="1">
        <v>3054</v>
      </c>
      <c r="K4012" s="1">
        <v>36</v>
      </c>
    </row>
    <row r="4013" spans="3:11" x14ac:dyDescent="0.25">
      <c r="C4013" s="1" t="s">
        <v>11920</v>
      </c>
      <c r="D4013" s="1" t="s">
        <v>11921</v>
      </c>
      <c r="E4013" s="1" t="s">
        <v>11922</v>
      </c>
      <c r="F4013" s="1">
        <v>36</v>
      </c>
      <c r="G4013" s="1">
        <v>36</v>
      </c>
      <c r="H4013" s="1">
        <v>0</v>
      </c>
      <c r="I4013" s="1">
        <v>2811</v>
      </c>
      <c r="J4013" s="1">
        <v>2775</v>
      </c>
      <c r="K4013" s="1">
        <v>36</v>
      </c>
    </row>
    <row r="4014" spans="3:11" x14ac:dyDescent="0.25">
      <c r="C4014" s="1" t="s">
        <v>971</v>
      </c>
      <c r="D4014" s="1" t="s">
        <v>54</v>
      </c>
      <c r="E4014" s="1" t="s">
        <v>972</v>
      </c>
      <c r="F4014" s="1">
        <v>36</v>
      </c>
      <c r="G4014" s="1">
        <v>36</v>
      </c>
      <c r="H4014" s="1">
        <v>0</v>
      </c>
      <c r="I4014" s="1">
        <v>2205</v>
      </c>
      <c r="J4014" s="1">
        <v>2169</v>
      </c>
      <c r="K4014" s="1">
        <v>36</v>
      </c>
    </row>
    <row r="4015" spans="3:11" x14ac:dyDescent="0.25">
      <c r="C4015" s="1" t="s">
        <v>1651</v>
      </c>
      <c r="D4015" s="1" t="s">
        <v>175</v>
      </c>
      <c r="E4015" s="1" t="s">
        <v>1652</v>
      </c>
      <c r="F4015" s="1">
        <v>36</v>
      </c>
      <c r="G4015" s="1">
        <v>36</v>
      </c>
      <c r="H4015" s="1">
        <v>0</v>
      </c>
      <c r="I4015" s="1">
        <v>154</v>
      </c>
      <c r="J4015" s="1">
        <v>118</v>
      </c>
      <c r="K4015" s="1">
        <v>36</v>
      </c>
    </row>
    <row r="4016" spans="3:11" x14ac:dyDescent="0.25">
      <c r="C4016" s="1" t="s">
        <v>11923</v>
      </c>
      <c r="D4016" s="1" t="s">
        <v>11924</v>
      </c>
      <c r="E4016" s="1" t="s">
        <v>11925</v>
      </c>
      <c r="F4016" s="1">
        <v>36</v>
      </c>
      <c r="G4016" s="1">
        <v>36</v>
      </c>
      <c r="H4016" s="1">
        <v>0</v>
      </c>
      <c r="I4016" s="1">
        <v>109</v>
      </c>
      <c r="J4016" s="1">
        <v>73</v>
      </c>
      <c r="K4016" s="1">
        <v>36</v>
      </c>
    </row>
    <row r="4017" spans="3:11" x14ac:dyDescent="0.25">
      <c r="C4017" s="1" t="s">
        <v>3730</v>
      </c>
      <c r="D4017" s="1" t="s">
        <v>494</v>
      </c>
      <c r="E4017" s="1" t="s">
        <v>3731</v>
      </c>
      <c r="F4017" s="1">
        <v>36</v>
      </c>
      <c r="G4017" s="1">
        <v>36</v>
      </c>
      <c r="H4017" s="1">
        <v>0</v>
      </c>
      <c r="I4017" s="1">
        <v>41</v>
      </c>
      <c r="J4017" s="1">
        <v>5</v>
      </c>
      <c r="K4017" s="1">
        <v>36</v>
      </c>
    </row>
    <row r="4018" spans="3:11" x14ac:dyDescent="0.25">
      <c r="C4018" s="1" t="s">
        <v>11926</v>
      </c>
      <c r="D4018" s="1" t="s">
        <v>11927</v>
      </c>
      <c r="E4018" s="1" t="s">
        <v>11928</v>
      </c>
      <c r="F4018" s="1">
        <v>36</v>
      </c>
      <c r="G4018" s="1">
        <v>36</v>
      </c>
      <c r="H4018" s="1">
        <v>0</v>
      </c>
      <c r="I4018" s="1">
        <v>40</v>
      </c>
      <c r="J4018" s="1">
        <v>4</v>
      </c>
      <c r="K4018" s="1">
        <v>36</v>
      </c>
    </row>
    <row r="4019" spans="3:11" x14ac:dyDescent="0.25">
      <c r="C4019" s="1" t="s">
        <v>11929</v>
      </c>
      <c r="D4019" s="1" t="s">
        <v>11930</v>
      </c>
      <c r="E4019" s="1" t="s">
        <v>11931</v>
      </c>
      <c r="F4019" s="1">
        <v>36</v>
      </c>
      <c r="G4019" s="1">
        <v>36</v>
      </c>
      <c r="H4019" s="1">
        <v>0</v>
      </c>
      <c r="I4019" s="1">
        <v>37</v>
      </c>
      <c r="J4019" s="1">
        <v>1</v>
      </c>
      <c r="K4019" s="1">
        <v>36</v>
      </c>
    </row>
    <row r="4020" spans="3:11" x14ac:dyDescent="0.25">
      <c r="C4020" s="1" t="s">
        <v>996</v>
      </c>
      <c r="D4020" s="1" t="s">
        <v>60</v>
      </c>
      <c r="E4020" s="1" t="s">
        <v>996</v>
      </c>
      <c r="F4020" s="1">
        <v>37</v>
      </c>
      <c r="G4020" s="1">
        <v>37</v>
      </c>
      <c r="H4020" s="1">
        <v>0</v>
      </c>
      <c r="I4020" s="1">
        <v>2095</v>
      </c>
      <c r="J4020" s="1">
        <v>2058</v>
      </c>
      <c r="K4020" s="1">
        <v>37</v>
      </c>
    </row>
    <row r="4021" spans="3:11" x14ac:dyDescent="0.25">
      <c r="C4021" s="1" t="s">
        <v>11932</v>
      </c>
      <c r="D4021" s="1" t="s">
        <v>11933</v>
      </c>
      <c r="E4021" s="1" t="s">
        <v>11934</v>
      </c>
      <c r="F4021" s="1">
        <v>37</v>
      </c>
      <c r="G4021" s="1">
        <v>37</v>
      </c>
      <c r="H4021" s="1">
        <v>0</v>
      </c>
      <c r="I4021" s="1">
        <v>2084</v>
      </c>
      <c r="J4021" s="1">
        <v>2047</v>
      </c>
      <c r="K4021" s="1">
        <v>37</v>
      </c>
    </row>
    <row r="4022" spans="3:11" x14ac:dyDescent="0.25">
      <c r="C4022" s="1" t="s">
        <v>1049</v>
      </c>
      <c r="D4022" s="1" t="s">
        <v>86</v>
      </c>
      <c r="E4022" s="1" t="s">
        <v>1050</v>
      </c>
      <c r="F4022" s="1">
        <v>37</v>
      </c>
      <c r="G4022" s="1">
        <v>37</v>
      </c>
      <c r="H4022" s="1">
        <v>0</v>
      </c>
      <c r="I4022" s="1">
        <v>1703</v>
      </c>
      <c r="J4022" s="1">
        <v>1666</v>
      </c>
      <c r="K4022" s="1">
        <v>37</v>
      </c>
    </row>
    <row r="4023" spans="3:11" x14ac:dyDescent="0.25">
      <c r="C4023" s="1" t="s">
        <v>1271</v>
      </c>
      <c r="D4023" s="1" t="s">
        <v>124</v>
      </c>
      <c r="E4023" s="1" t="s">
        <v>1272</v>
      </c>
      <c r="F4023" s="1">
        <v>37</v>
      </c>
      <c r="G4023" s="1">
        <v>37</v>
      </c>
      <c r="H4023" s="1">
        <v>0</v>
      </c>
      <c r="I4023" s="1">
        <v>530</v>
      </c>
      <c r="J4023" s="1">
        <v>493</v>
      </c>
      <c r="K4023" s="1">
        <v>37</v>
      </c>
    </row>
    <row r="4024" spans="3:11" x14ac:dyDescent="0.25">
      <c r="C4024" s="1" t="s">
        <v>11935</v>
      </c>
      <c r="D4024" s="1" t="s">
        <v>11936</v>
      </c>
      <c r="E4024" s="1" t="s">
        <v>11937</v>
      </c>
      <c r="F4024" s="1">
        <v>37</v>
      </c>
      <c r="G4024" s="1">
        <v>37</v>
      </c>
      <c r="H4024" s="1">
        <v>0</v>
      </c>
      <c r="I4024" s="1">
        <v>213</v>
      </c>
      <c r="J4024" s="1">
        <v>176</v>
      </c>
      <c r="K4024" s="1">
        <v>37</v>
      </c>
    </row>
    <row r="4025" spans="3:11" x14ac:dyDescent="0.25">
      <c r="C4025" s="1" t="s">
        <v>2135</v>
      </c>
      <c r="D4025" s="1" t="s">
        <v>2136</v>
      </c>
      <c r="E4025" s="1" t="s">
        <v>2137</v>
      </c>
      <c r="F4025" s="1">
        <v>37</v>
      </c>
      <c r="G4025" s="1">
        <v>37</v>
      </c>
      <c r="H4025" s="1">
        <v>0</v>
      </c>
      <c r="I4025" s="1">
        <v>165</v>
      </c>
      <c r="J4025" s="1">
        <v>128</v>
      </c>
      <c r="K4025" s="1">
        <v>37</v>
      </c>
    </row>
    <row r="4026" spans="3:11" x14ac:dyDescent="0.25">
      <c r="C4026" s="1" t="s">
        <v>4378</v>
      </c>
      <c r="D4026" s="1" t="s">
        <v>4356</v>
      </c>
      <c r="E4026" s="1" t="s">
        <v>4379</v>
      </c>
      <c r="F4026" s="1">
        <v>37</v>
      </c>
      <c r="G4026" s="1">
        <v>37</v>
      </c>
      <c r="H4026" s="1">
        <v>0</v>
      </c>
      <c r="I4026" s="1">
        <v>44</v>
      </c>
      <c r="J4026" s="1">
        <v>7</v>
      </c>
      <c r="K4026" s="1">
        <v>37</v>
      </c>
    </row>
    <row r="4027" spans="3:11" x14ac:dyDescent="0.25">
      <c r="C4027" s="1" t="s">
        <v>11938</v>
      </c>
      <c r="D4027" s="1" t="s">
        <v>11939</v>
      </c>
      <c r="E4027" s="1" t="s">
        <v>11940</v>
      </c>
      <c r="F4027" s="1">
        <v>37</v>
      </c>
      <c r="G4027" s="1">
        <v>37</v>
      </c>
      <c r="H4027" s="1">
        <v>0</v>
      </c>
      <c r="I4027" s="1">
        <v>40</v>
      </c>
      <c r="J4027" s="1">
        <v>3</v>
      </c>
      <c r="K4027" s="1">
        <v>37</v>
      </c>
    </row>
    <row r="4028" spans="3:11" x14ac:dyDescent="0.25">
      <c r="C4028" s="1" t="s">
        <v>2600</v>
      </c>
      <c r="D4028" s="1" t="s">
        <v>805</v>
      </c>
      <c r="E4028" s="1" t="s">
        <v>2601</v>
      </c>
      <c r="F4028" s="1">
        <v>38</v>
      </c>
      <c r="G4028" s="1">
        <v>38</v>
      </c>
      <c r="H4028" s="1">
        <v>0</v>
      </c>
      <c r="I4028" s="1">
        <v>1354</v>
      </c>
      <c r="J4028" s="1">
        <v>1316</v>
      </c>
      <c r="K4028" s="1">
        <v>38</v>
      </c>
    </row>
    <row r="4029" spans="3:11" x14ac:dyDescent="0.25">
      <c r="C4029" s="1" t="s">
        <v>2659</v>
      </c>
      <c r="D4029" s="1" t="s">
        <v>451</v>
      </c>
      <c r="E4029" s="1" t="s">
        <v>2660</v>
      </c>
      <c r="F4029" s="1">
        <v>38</v>
      </c>
      <c r="G4029" s="1">
        <v>38</v>
      </c>
      <c r="H4029" s="1">
        <v>0</v>
      </c>
      <c r="I4029" s="1">
        <v>937</v>
      </c>
      <c r="J4029" s="1">
        <v>899</v>
      </c>
      <c r="K4029" s="1">
        <v>38</v>
      </c>
    </row>
    <row r="4030" spans="3:11" x14ac:dyDescent="0.25">
      <c r="C4030" s="1" t="s">
        <v>11941</v>
      </c>
      <c r="D4030" s="1" t="s">
        <v>11942</v>
      </c>
      <c r="E4030" s="1" t="s">
        <v>11943</v>
      </c>
      <c r="F4030" s="1">
        <v>39</v>
      </c>
      <c r="G4030" s="1">
        <v>39</v>
      </c>
      <c r="H4030" s="1">
        <v>0</v>
      </c>
      <c r="I4030" s="1">
        <v>5906</v>
      </c>
      <c r="J4030" s="1">
        <v>5867</v>
      </c>
      <c r="K4030" s="1">
        <v>39</v>
      </c>
    </row>
    <row r="4031" spans="3:11" x14ac:dyDescent="0.25">
      <c r="C4031" s="1" t="s">
        <v>2808</v>
      </c>
      <c r="D4031" s="1" t="s">
        <v>696</v>
      </c>
      <c r="E4031" s="1" t="s">
        <v>2809</v>
      </c>
      <c r="F4031" s="1">
        <v>39</v>
      </c>
      <c r="G4031" s="1">
        <v>39</v>
      </c>
      <c r="H4031" s="1">
        <v>0</v>
      </c>
      <c r="I4031" s="1">
        <v>627</v>
      </c>
      <c r="J4031" s="1">
        <v>588</v>
      </c>
      <c r="K4031" s="1">
        <v>39</v>
      </c>
    </row>
    <row r="4032" spans="3:11" x14ac:dyDescent="0.25">
      <c r="C4032" s="1" t="s">
        <v>2990</v>
      </c>
      <c r="D4032" s="1" t="s">
        <v>477</v>
      </c>
      <c r="E4032" s="1" t="s">
        <v>2991</v>
      </c>
      <c r="F4032" s="1">
        <v>39</v>
      </c>
      <c r="G4032" s="1">
        <v>39</v>
      </c>
      <c r="H4032" s="1">
        <v>0</v>
      </c>
      <c r="I4032" s="1">
        <v>399</v>
      </c>
      <c r="J4032" s="1">
        <v>360</v>
      </c>
      <c r="K4032" s="1">
        <v>39</v>
      </c>
    </row>
    <row r="4033" spans="3:11" x14ac:dyDescent="0.25">
      <c r="C4033" s="1" t="s">
        <v>11944</v>
      </c>
      <c r="D4033" s="1" t="s">
        <v>11945</v>
      </c>
      <c r="E4033" s="1" t="s">
        <v>11946</v>
      </c>
      <c r="F4033" s="1">
        <v>39</v>
      </c>
      <c r="G4033" s="1">
        <v>39</v>
      </c>
      <c r="H4033" s="1">
        <v>0</v>
      </c>
      <c r="I4033" s="1">
        <v>299</v>
      </c>
      <c r="J4033" s="1">
        <v>260</v>
      </c>
      <c r="K4033" s="1">
        <v>39</v>
      </c>
    </row>
    <row r="4034" spans="3:11" x14ac:dyDescent="0.25">
      <c r="C4034" s="1" t="s">
        <v>3226</v>
      </c>
      <c r="D4034" s="1" t="s">
        <v>722</v>
      </c>
      <c r="E4034" s="1" t="s">
        <v>3227</v>
      </c>
      <c r="F4034" s="1">
        <v>39</v>
      </c>
      <c r="G4034" s="1">
        <v>39</v>
      </c>
      <c r="H4034" s="1">
        <v>0</v>
      </c>
      <c r="I4034" s="1">
        <v>162</v>
      </c>
      <c r="J4034" s="1">
        <v>123</v>
      </c>
      <c r="K4034" s="1">
        <v>39</v>
      </c>
    </row>
    <row r="4035" spans="3:11" x14ac:dyDescent="0.25">
      <c r="C4035" s="1" t="s">
        <v>11947</v>
      </c>
      <c r="D4035" s="1" t="s">
        <v>11948</v>
      </c>
      <c r="E4035" s="1" t="s">
        <v>11949</v>
      </c>
      <c r="F4035" s="1">
        <v>40</v>
      </c>
      <c r="G4035" s="1">
        <v>40</v>
      </c>
      <c r="H4035" s="1">
        <v>0</v>
      </c>
      <c r="I4035" s="1">
        <v>2886</v>
      </c>
      <c r="J4035" s="1">
        <v>2846</v>
      </c>
      <c r="K4035" s="1">
        <v>40</v>
      </c>
    </row>
    <row r="4036" spans="3:11" x14ac:dyDescent="0.25">
      <c r="C4036" s="1" t="s">
        <v>11950</v>
      </c>
      <c r="D4036" s="1" t="s">
        <v>11951</v>
      </c>
      <c r="E4036" s="1" t="s">
        <v>11952</v>
      </c>
      <c r="F4036" s="1">
        <v>40</v>
      </c>
      <c r="G4036" s="1">
        <v>40</v>
      </c>
      <c r="H4036" s="1">
        <v>0</v>
      </c>
      <c r="I4036" s="1">
        <v>505</v>
      </c>
      <c r="J4036" s="1">
        <v>465</v>
      </c>
      <c r="K4036" s="1">
        <v>40</v>
      </c>
    </row>
    <row r="4037" spans="3:11" x14ac:dyDescent="0.25">
      <c r="C4037" s="1" t="s">
        <v>11953</v>
      </c>
      <c r="D4037" s="1" t="s">
        <v>11954</v>
      </c>
      <c r="E4037" s="1" t="s">
        <v>11955</v>
      </c>
      <c r="F4037" s="1">
        <v>40</v>
      </c>
      <c r="G4037" s="1">
        <v>40</v>
      </c>
      <c r="H4037" s="1">
        <v>0</v>
      </c>
      <c r="I4037" s="1">
        <v>72</v>
      </c>
      <c r="J4037" s="1">
        <v>32</v>
      </c>
      <c r="K4037" s="1">
        <v>40</v>
      </c>
    </row>
    <row r="4038" spans="3:11" x14ac:dyDescent="0.25">
      <c r="C4038" s="1" t="s">
        <v>11956</v>
      </c>
      <c r="D4038" s="1" t="s">
        <v>11957</v>
      </c>
      <c r="E4038" s="1" t="s">
        <v>11956</v>
      </c>
      <c r="F4038" s="1">
        <v>40</v>
      </c>
      <c r="G4038" s="1">
        <v>40</v>
      </c>
      <c r="H4038" s="1">
        <v>0</v>
      </c>
      <c r="I4038" s="1">
        <v>48</v>
      </c>
      <c r="J4038" s="1">
        <v>8</v>
      </c>
      <c r="K4038" s="1">
        <v>40</v>
      </c>
    </row>
    <row r="4039" spans="3:11" x14ac:dyDescent="0.25">
      <c r="C4039" s="1" t="s">
        <v>609</v>
      </c>
      <c r="D4039" s="1" t="s">
        <v>610</v>
      </c>
      <c r="E4039" s="1" t="s">
        <v>609</v>
      </c>
      <c r="F4039" s="1">
        <v>40</v>
      </c>
      <c r="G4039" s="1">
        <v>40</v>
      </c>
      <c r="H4039" s="1">
        <v>0</v>
      </c>
      <c r="I4039" s="1">
        <v>42</v>
      </c>
      <c r="J4039" s="1">
        <v>2</v>
      </c>
      <c r="K4039" s="1">
        <v>40</v>
      </c>
    </row>
    <row r="4040" spans="3:11" x14ac:dyDescent="0.25">
      <c r="C4040" s="1" t="s">
        <v>11958</v>
      </c>
      <c r="D4040" s="1" t="s">
        <v>11959</v>
      </c>
      <c r="E4040" s="1" t="s">
        <v>11960</v>
      </c>
      <c r="F4040" s="1">
        <v>40</v>
      </c>
      <c r="G4040" s="1">
        <v>40</v>
      </c>
      <c r="H4040" s="1">
        <v>0</v>
      </c>
      <c r="I4040" s="1">
        <v>40</v>
      </c>
      <c r="J4040" s="1">
        <v>0</v>
      </c>
      <c r="K4040" s="1">
        <v>40</v>
      </c>
    </row>
    <row r="4041" spans="3:11" x14ac:dyDescent="0.25">
      <c r="C4041" s="1" t="s">
        <v>11961</v>
      </c>
      <c r="D4041" s="1" t="s">
        <v>11962</v>
      </c>
      <c r="E4041" s="1" t="s">
        <v>11963</v>
      </c>
      <c r="F4041" s="1">
        <v>40</v>
      </c>
      <c r="G4041" s="1">
        <v>40</v>
      </c>
      <c r="H4041" s="1">
        <v>0</v>
      </c>
      <c r="I4041" s="1">
        <v>40</v>
      </c>
      <c r="J4041" s="1">
        <v>0</v>
      </c>
      <c r="K4041" s="1">
        <v>40</v>
      </c>
    </row>
    <row r="4042" spans="3:11" x14ac:dyDescent="0.25">
      <c r="C4042" s="1" t="s">
        <v>11964</v>
      </c>
      <c r="D4042" s="1" t="s">
        <v>11965</v>
      </c>
      <c r="E4042" s="1" t="s">
        <v>11966</v>
      </c>
      <c r="F4042" s="1">
        <v>40</v>
      </c>
      <c r="G4042" s="1">
        <v>40</v>
      </c>
      <c r="H4042" s="1">
        <v>0</v>
      </c>
      <c r="I4042" s="1">
        <v>40</v>
      </c>
      <c r="J4042" s="1">
        <v>0</v>
      </c>
      <c r="K4042" s="1">
        <v>40</v>
      </c>
    </row>
    <row r="4043" spans="3:11" x14ac:dyDescent="0.25">
      <c r="C4043" s="1" t="s">
        <v>3747</v>
      </c>
      <c r="D4043" s="1" t="s">
        <v>495</v>
      </c>
      <c r="E4043" s="1" t="s">
        <v>3748</v>
      </c>
      <c r="F4043" s="1">
        <v>40</v>
      </c>
      <c r="G4043" s="1">
        <v>40</v>
      </c>
      <c r="H4043" s="1">
        <v>0</v>
      </c>
      <c r="I4043" s="1">
        <v>40</v>
      </c>
      <c r="J4043" s="1">
        <v>0</v>
      </c>
      <c r="K4043" s="1">
        <v>40</v>
      </c>
    </row>
    <row r="4044" spans="3:11" x14ac:dyDescent="0.25">
      <c r="C4044" s="1" t="s">
        <v>3073</v>
      </c>
      <c r="D4044" s="1" t="s">
        <v>712</v>
      </c>
      <c r="E4044" s="1" t="s">
        <v>3074</v>
      </c>
      <c r="F4044" s="1">
        <v>41</v>
      </c>
      <c r="G4044" s="1">
        <v>41</v>
      </c>
      <c r="H4044" s="1">
        <v>0</v>
      </c>
      <c r="I4044" s="1">
        <v>263</v>
      </c>
      <c r="J4044" s="1">
        <v>222</v>
      </c>
      <c r="K4044" s="1">
        <v>41</v>
      </c>
    </row>
    <row r="4045" spans="3:11" x14ac:dyDescent="0.25">
      <c r="C4045" s="1" t="s">
        <v>1533</v>
      </c>
      <c r="D4045" s="1" t="s">
        <v>1534</v>
      </c>
      <c r="E4045" s="1" t="s">
        <v>1535</v>
      </c>
      <c r="F4045" s="1">
        <v>41</v>
      </c>
      <c r="G4045" s="1">
        <v>41</v>
      </c>
      <c r="H4045" s="1">
        <v>0</v>
      </c>
      <c r="I4045" s="1">
        <v>218</v>
      </c>
      <c r="J4045" s="1">
        <v>177</v>
      </c>
      <c r="K4045" s="1">
        <v>41</v>
      </c>
    </row>
    <row r="4046" spans="3:11" x14ac:dyDescent="0.25">
      <c r="C4046" s="1" t="s">
        <v>3242</v>
      </c>
      <c r="D4046" s="1" t="s">
        <v>724</v>
      </c>
      <c r="E4046" s="1" t="s">
        <v>3243</v>
      </c>
      <c r="F4046" s="1">
        <v>41</v>
      </c>
      <c r="G4046" s="1">
        <v>41</v>
      </c>
      <c r="H4046" s="1">
        <v>0</v>
      </c>
      <c r="I4046" s="1">
        <v>151</v>
      </c>
      <c r="J4046" s="1">
        <v>110</v>
      </c>
      <c r="K4046" s="1">
        <v>41</v>
      </c>
    </row>
    <row r="4047" spans="3:11" x14ac:dyDescent="0.25">
      <c r="C4047" s="1" t="s">
        <v>11967</v>
      </c>
      <c r="D4047" s="1" t="s">
        <v>11968</v>
      </c>
      <c r="E4047" s="1" t="s">
        <v>11969</v>
      </c>
      <c r="F4047" s="1">
        <v>41</v>
      </c>
      <c r="G4047" s="1">
        <v>41</v>
      </c>
      <c r="H4047" s="1">
        <v>0</v>
      </c>
      <c r="I4047" s="1">
        <v>100</v>
      </c>
      <c r="J4047" s="1">
        <v>59</v>
      </c>
      <c r="K4047" s="1">
        <v>41</v>
      </c>
    </row>
    <row r="4048" spans="3:11" x14ac:dyDescent="0.25">
      <c r="C4048" s="1" t="s">
        <v>2598</v>
      </c>
      <c r="D4048" s="1" t="s">
        <v>443</v>
      </c>
      <c r="E4048" s="1" t="s">
        <v>2599</v>
      </c>
      <c r="F4048" s="1">
        <v>42</v>
      </c>
      <c r="G4048" s="1">
        <v>42</v>
      </c>
      <c r="H4048" s="1">
        <v>0</v>
      </c>
      <c r="I4048" s="1">
        <v>1237</v>
      </c>
      <c r="J4048" s="1">
        <v>1195</v>
      </c>
      <c r="K4048" s="1">
        <v>42</v>
      </c>
    </row>
    <row r="4049" spans="3:11" x14ac:dyDescent="0.25">
      <c r="C4049" s="1" t="s">
        <v>2604</v>
      </c>
      <c r="D4049" s="1" t="s">
        <v>689</v>
      </c>
      <c r="E4049" s="1" t="s">
        <v>2605</v>
      </c>
      <c r="F4049" s="1">
        <v>42</v>
      </c>
      <c r="G4049" s="1">
        <v>42</v>
      </c>
      <c r="H4049" s="1">
        <v>0</v>
      </c>
      <c r="I4049" s="1">
        <v>1219</v>
      </c>
      <c r="J4049" s="1">
        <v>1177</v>
      </c>
      <c r="K4049" s="1">
        <v>42</v>
      </c>
    </row>
    <row r="4050" spans="3:11" x14ac:dyDescent="0.25">
      <c r="C4050" s="1" t="s">
        <v>11970</v>
      </c>
      <c r="D4050" s="1" t="s">
        <v>11971</v>
      </c>
      <c r="E4050" s="1" t="s">
        <v>11972</v>
      </c>
      <c r="F4050" s="1">
        <v>42</v>
      </c>
      <c r="G4050" s="1">
        <v>42</v>
      </c>
      <c r="H4050" s="1">
        <v>0</v>
      </c>
      <c r="I4050" s="1">
        <v>262</v>
      </c>
      <c r="J4050" s="1">
        <v>220</v>
      </c>
      <c r="K4050" s="1">
        <v>42</v>
      </c>
    </row>
    <row r="4051" spans="3:11" x14ac:dyDescent="0.25">
      <c r="C4051" s="1" t="s">
        <v>3147</v>
      </c>
      <c r="D4051" s="1" t="s">
        <v>3148</v>
      </c>
      <c r="E4051" s="1" t="s">
        <v>3149</v>
      </c>
      <c r="F4051" s="1">
        <v>42</v>
      </c>
      <c r="G4051" s="1">
        <v>42</v>
      </c>
      <c r="H4051" s="1">
        <v>0</v>
      </c>
      <c r="I4051" s="1">
        <v>219</v>
      </c>
      <c r="J4051" s="1">
        <v>177</v>
      </c>
      <c r="K4051" s="1">
        <v>42</v>
      </c>
    </row>
    <row r="4052" spans="3:11" x14ac:dyDescent="0.25">
      <c r="C4052" s="1" t="s">
        <v>11973</v>
      </c>
      <c r="D4052" s="1" t="s">
        <v>11974</v>
      </c>
      <c r="E4052" s="1" t="s">
        <v>11973</v>
      </c>
      <c r="F4052" s="1">
        <v>42</v>
      </c>
      <c r="G4052" s="1">
        <v>42</v>
      </c>
      <c r="H4052" s="1">
        <v>0</v>
      </c>
      <c r="I4052" s="1">
        <v>147</v>
      </c>
      <c r="J4052" s="1">
        <v>105</v>
      </c>
      <c r="K4052" s="1">
        <v>42</v>
      </c>
    </row>
    <row r="4053" spans="3:11" x14ac:dyDescent="0.25">
      <c r="C4053" s="1" t="s">
        <v>11975</v>
      </c>
      <c r="D4053" s="1" t="s">
        <v>11976</v>
      </c>
      <c r="E4053" s="1" t="s">
        <v>11977</v>
      </c>
      <c r="F4053" s="1">
        <v>42</v>
      </c>
      <c r="G4053" s="1">
        <v>42</v>
      </c>
      <c r="H4053" s="1">
        <v>0</v>
      </c>
      <c r="I4053" s="1">
        <v>145</v>
      </c>
      <c r="J4053" s="1">
        <v>103</v>
      </c>
      <c r="K4053" s="1">
        <v>42</v>
      </c>
    </row>
    <row r="4054" spans="3:11" x14ac:dyDescent="0.25">
      <c r="C4054" s="1" t="s">
        <v>3256</v>
      </c>
      <c r="D4054" s="1" t="s">
        <v>485</v>
      </c>
      <c r="E4054" s="1" t="s">
        <v>3257</v>
      </c>
      <c r="F4054" s="1">
        <v>42</v>
      </c>
      <c r="G4054" s="1">
        <v>42</v>
      </c>
      <c r="H4054" s="1">
        <v>0</v>
      </c>
      <c r="I4054" s="1">
        <v>145</v>
      </c>
      <c r="J4054" s="1">
        <v>103</v>
      </c>
      <c r="K4054" s="1">
        <v>42</v>
      </c>
    </row>
    <row r="4055" spans="3:11" x14ac:dyDescent="0.25">
      <c r="C4055" s="1" t="s">
        <v>2296</v>
      </c>
      <c r="D4055" s="1" t="s">
        <v>2297</v>
      </c>
      <c r="E4055" s="1" t="s">
        <v>2298</v>
      </c>
      <c r="F4055" s="1">
        <v>42</v>
      </c>
      <c r="G4055" s="1">
        <v>42</v>
      </c>
      <c r="H4055" s="1">
        <v>0</v>
      </c>
      <c r="I4055" s="1">
        <v>48</v>
      </c>
      <c r="J4055" s="1">
        <v>6</v>
      </c>
      <c r="K4055" s="1">
        <v>42</v>
      </c>
    </row>
    <row r="4056" spans="3:11" x14ac:dyDescent="0.25">
      <c r="C4056" s="1" t="s">
        <v>1179</v>
      </c>
      <c r="D4056" s="1" t="s">
        <v>106</v>
      </c>
      <c r="E4056" s="1" t="s">
        <v>1180</v>
      </c>
      <c r="F4056" s="1">
        <v>43</v>
      </c>
      <c r="G4056" s="1">
        <v>43</v>
      </c>
      <c r="H4056" s="1">
        <v>0</v>
      </c>
      <c r="I4056" s="1">
        <v>867</v>
      </c>
      <c r="J4056" s="1">
        <v>824</v>
      </c>
      <c r="K4056" s="1">
        <v>43</v>
      </c>
    </row>
    <row r="4057" spans="3:11" x14ac:dyDescent="0.25">
      <c r="C4057" s="1" t="s">
        <v>2917</v>
      </c>
      <c r="D4057" s="1" t="s">
        <v>2175</v>
      </c>
      <c r="E4057" s="1" t="s">
        <v>2918</v>
      </c>
      <c r="F4057" s="1">
        <v>43</v>
      </c>
      <c r="G4057" s="1">
        <v>43</v>
      </c>
      <c r="H4057" s="1">
        <v>0</v>
      </c>
      <c r="I4057" s="1">
        <v>435</v>
      </c>
      <c r="J4057" s="1">
        <v>392</v>
      </c>
      <c r="K4057" s="1">
        <v>43</v>
      </c>
    </row>
    <row r="4058" spans="3:11" x14ac:dyDescent="0.25">
      <c r="C4058" s="1" t="s">
        <v>11978</v>
      </c>
      <c r="D4058" s="1" t="s">
        <v>11979</v>
      </c>
      <c r="E4058" s="1" t="s">
        <v>11980</v>
      </c>
      <c r="F4058" s="1">
        <v>43</v>
      </c>
      <c r="G4058" s="1">
        <v>43</v>
      </c>
      <c r="H4058" s="1">
        <v>0</v>
      </c>
      <c r="I4058" s="1">
        <v>371</v>
      </c>
      <c r="J4058" s="1">
        <v>328</v>
      </c>
      <c r="K4058" s="1">
        <v>43</v>
      </c>
    </row>
    <row r="4059" spans="3:11" x14ac:dyDescent="0.25">
      <c r="C4059" s="1" t="s">
        <v>2043</v>
      </c>
      <c r="D4059" s="1" t="s">
        <v>2044</v>
      </c>
      <c r="E4059" s="1" t="s">
        <v>2045</v>
      </c>
      <c r="F4059" s="1">
        <v>43</v>
      </c>
      <c r="G4059" s="1">
        <v>43</v>
      </c>
      <c r="H4059" s="1">
        <v>0</v>
      </c>
      <c r="I4059" s="1">
        <v>298</v>
      </c>
      <c r="J4059" s="1">
        <v>255</v>
      </c>
      <c r="K4059" s="1">
        <v>43</v>
      </c>
    </row>
    <row r="4060" spans="3:11" x14ac:dyDescent="0.25">
      <c r="C4060" s="1" t="s">
        <v>1594</v>
      </c>
      <c r="D4060" s="1" t="s">
        <v>1595</v>
      </c>
      <c r="E4060" s="1" t="s">
        <v>1596</v>
      </c>
      <c r="F4060" s="1">
        <v>43</v>
      </c>
      <c r="G4060" s="1">
        <v>43</v>
      </c>
      <c r="H4060" s="1">
        <v>0</v>
      </c>
      <c r="I4060" s="1">
        <v>180</v>
      </c>
      <c r="J4060" s="1">
        <v>137</v>
      </c>
      <c r="K4060" s="1">
        <v>43</v>
      </c>
    </row>
    <row r="4061" spans="3:11" x14ac:dyDescent="0.25">
      <c r="C4061" s="1" t="s">
        <v>3560</v>
      </c>
      <c r="D4061" s="1" t="s">
        <v>3561</v>
      </c>
      <c r="E4061" s="1" t="s">
        <v>3562</v>
      </c>
      <c r="F4061" s="1">
        <v>43</v>
      </c>
      <c r="G4061" s="1">
        <v>43</v>
      </c>
      <c r="H4061" s="1">
        <v>0</v>
      </c>
      <c r="I4061" s="1">
        <v>64</v>
      </c>
      <c r="J4061" s="1">
        <v>21</v>
      </c>
      <c r="K4061" s="1">
        <v>43</v>
      </c>
    </row>
    <row r="4062" spans="3:11" x14ac:dyDescent="0.25">
      <c r="C4062" s="1" t="s">
        <v>1181</v>
      </c>
      <c r="D4062" s="1" t="s">
        <v>107</v>
      </c>
      <c r="E4062" s="1" t="s">
        <v>1182</v>
      </c>
      <c r="F4062" s="1">
        <v>44</v>
      </c>
      <c r="G4062" s="1">
        <v>44</v>
      </c>
      <c r="H4062" s="1">
        <v>0</v>
      </c>
      <c r="I4062" s="1">
        <v>792</v>
      </c>
      <c r="J4062" s="1">
        <v>748</v>
      </c>
      <c r="K4062" s="1">
        <v>44</v>
      </c>
    </row>
    <row r="4063" spans="3:11" x14ac:dyDescent="0.25">
      <c r="C4063" s="1" t="s">
        <v>2858</v>
      </c>
      <c r="D4063" s="1" t="s">
        <v>467</v>
      </c>
      <c r="E4063" s="1" t="s">
        <v>2859</v>
      </c>
      <c r="F4063" s="1">
        <v>44</v>
      </c>
      <c r="G4063" s="1">
        <v>44</v>
      </c>
      <c r="H4063" s="1">
        <v>0</v>
      </c>
      <c r="I4063" s="1">
        <v>574</v>
      </c>
      <c r="J4063" s="1">
        <v>530</v>
      </c>
      <c r="K4063" s="1">
        <v>44</v>
      </c>
    </row>
    <row r="4064" spans="3:11" x14ac:dyDescent="0.25">
      <c r="C4064" s="1" t="s">
        <v>3502</v>
      </c>
      <c r="D4064" s="1" t="s">
        <v>3503</v>
      </c>
      <c r="E4064" s="1" t="s">
        <v>3504</v>
      </c>
      <c r="F4064" s="1">
        <v>44</v>
      </c>
      <c r="G4064" s="1">
        <v>44</v>
      </c>
      <c r="H4064" s="1">
        <v>0</v>
      </c>
      <c r="I4064" s="1">
        <v>80</v>
      </c>
      <c r="J4064" s="1">
        <v>36</v>
      </c>
      <c r="K4064" s="1">
        <v>44</v>
      </c>
    </row>
    <row r="4065" spans="3:11" x14ac:dyDescent="0.25">
      <c r="C4065" s="1" t="s">
        <v>11981</v>
      </c>
      <c r="D4065" s="1" t="s">
        <v>11982</v>
      </c>
      <c r="E4065" s="1" t="s">
        <v>11983</v>
      </c>
      <c r="F4065" s="1">
        <v>44</v>
      </c>
      <c r="G4065" s="1">
        <v>44</v>
      </c>
      <c r="H4065" s="1">
        <v>0</v>
      </c>
      <c r="I4065" s="1">
        <v>57</v>
      </c>
      <c r="J4065" s="1">
        <v>13</v>
      </c>
      <c r="K4065" s="1">
        <v>44</v>
      </c>
    </row>
    <row r="4066" spans="3:11" x14ac:dyDescent="0.25">
      <c r="C4066" s="1" t="s">
        <v>11984</v>
      </c>
      <c r="D4066" s="1" t="s">
        <v>11985</v>
      </c>
      <c r="E4066" s="1" t="s">
        <v>11986</v>
      </c>
      <c r="F4066" s="1">
        <v>45</v>
      </c>
      <c r="G4066" s="1">
        <v>45</v>
      </c>
      <c r="H4066" s="1">
        <v>0</v>
      </c>
      <c r="I4066" s="1">
        <v>6600</v>
      </c>
      <c r="J4066" s="1">
        <v>6555</v>
      </c>
      <c r="K4066" s="1">
        <v>45</v>
      </c>
    </row>
    <row r="4067" spans="3:11" x14ac:dyDescent="0.25">
      <c r="C4067" s="1" t="s">
        <v>2720</v>
      </c>
      <c r="D4067" s="1" t="s">
        <v>455</v>
      </c>
      <c r="E4067" s="1" t="s">
        <v>2721</v>
      </c>
      <c r="F4067" s="1">
        <v>45</v>
      </c>
      <c r="G4067" s="1">
        <v>45</v>
      </c>
      <c r="H4067" s="1">
        <v>0</v>
      </c>
      <c r="I4067" s="1">
        <v>772</v>
      </c>
      <c r="J4067" s="1">
        <v>727</v>
      </c>
      <c r="K4067" s="1">
        <v>45</v>
      </c>
    </row>
    <row r="4068" spans="3:11" x14ac:dyDescent="0.25">
      <c r="C4068" s="1" t="s">
        <v>2819</v>
      </c>
      <c r="D4068" s="1" t="s">
        <v>697</v>
      </c>
      <c r="E4068" s="1" t="s">
        <v>2820</v>
      </c>
      <c r="F4068" s="1">
        <v>45</v>
      </c>
      <c r="G4068" s="1">
        <v>45</v>
      </c>
      <c r="H4068" s="1">
        <v>0</v>
      </c>
      <c r="I4068" s="1">
        <v>600</v>
      </c>
      <c r="J4068" s="1">
        <v>555</v>
      </c>
      <c r="K4068" s="1">
        <v>45</v>
      </c>
    </row>
    <row r="4069" spans="3:11" x14ac:dyDescent="0.25">
      <c r="C4069" s="1" t="s">
        <v>3020</v>
      </c>
      <c r="D4069" s="1" t="s">
        <v>2255</v>
      </c>
      <c r="E4069" s="1" t="s">
        <v>3021</v>
      </c>
      <c r="F4069" s="1">
        <v>45</v>
      </c>
      <c r="G4069" s="1">
        <v>45</v>
      </c>
      <c r="H4069" s="1">
        <v>0</v>
      </c>
      <c r="I4069" s="1">
        <v>449</v>
      </c>
      <c r="J4069" s="1">
        <v>404</v>
      </c>
      <c r="K4069" s="1">
        <v>45</v>
      </c>
    </row>
    <row r="4070" spans="3:11" x14ac:dyDescent="0.25">
      <c r="C4070" s="1" t="s">
        <v>2962</v>
      </c>
      <c r="D4070" s="1" t="s">
        <v>664</v>
      </c>
      <c r="E4070" s="1" t="s">
        <v>2963</v>
      </c>
      <c r="F4070" s="1">
        <v>45</v>
      </c>
      <c r="G4070" s="1">
        <v>45</v>
      </c>
      <c r="H4070" s="1">
        <v>0</v>
      </c>
      <c r="I4070" s="1">
        <v>380</v>
      </c>
      <c r="J4070" s="1">
        <v>335</v>
      </c>
      <c r="K4070" s="1">
        <v>45</v>
      </c>
    </row>
    <row r="4071" spans="3:11" x14ac:dyDescent="0.25">
      <c r="C4071" s="1" t="s">
        <v>1390</v>
      </c>
      <c r="D4071" s="1" t="s">
        <v>1391</v>
      </c>
      <c r="E4071" s="1" t="s">
        <v>1392</v>
      </c>
      <c r="F4071" s="1">
        <v>45</v>
      </c>
      <c r="G4071" s="1">
        <v>45</v>
      </c>
      <c r="H4071" s="1">
        <v>0</v>
      </c>
      <c r="I4071" s="1">
        <v>352</v>
      </c>
      <c r="J4071" s="1">
        <v>307</v>
      </c>
      <c r="K4071" s="1">
        <v>45</v>
      </c>
    </row>
    <row r="4072" spans="3:11" x14ac:dyDescent="0.25">
      <c r="C4072" s="1" t="s">
        <v>3269</v>
      </c>
      <c r="D4072" s="1" t="s">
        <v>727</v>
      </c>
      <c r="E4072" s="1" t="s">
        <v>3270</v>
      </c>
      <c r="F4072" s="1">
        <v>45</v>
      </c>
      <c r="G4072" s="1">
        <v>45</v>
      </c>
      <c r="H4072" s="1">
        <v>0</v>
      </c>
      <c r="I4072" s="1">
        <v>137</v>
      </c>
      <c r="J4072" s="1">
        <v>92</v>
      </c>
      <c r="K4072" s="1">
        <v>45</v>
      </c>
    </row>
    <row r="4073" spans="3:11" x14ac:dyDescent="0.25">
      <c r="C4073" s="1" t="s">
        <v>1728</v>
      </c>
      <c r="D4073" s="1" t="s">
        <v>1729</v>
      </c>
      <c r="E4073" s="1" t="s">
        <v>1730</v>
      </c>
      <c r="F4073" s="1">
        <v>45</v>
      </c>
      <c r="G4073" s="1">
        <v>45</v>
      </c>
      <c r="H4073" s="1">
        <v>0</v>
      </c>
      <c r="I4073" s="1">
        <v>100</v>
      </c>
      <c r="J4073" s="1">
        <v>55</v>
      </c>
      <c r="K4073" s="1">
        <v>45</v>
      </c>
    </row>
    <row r="4074" spans="3:11" x14ac:dyDescent="0.25">
      <c r="C4074" s="1" t="s">
        <v>11987</v>
      </c>
      <c r="D4074" s="1" t="s">
        <v>11988</v>
      </c>
      <c r="E4074" s="1" t="s">
        <v>11989</v>
      </c>
      <c r="F4074" s="1">
        <v>45</v>
      </c>
      <c r="G4074" s="1">
        <v>45</v>
      </c>
      <c r="H4074" s="1">
        <v>0</v>
      </c>
      <c r="I4074" s="1">
        <v>54</v>
      </c>
      <c r="J4074" s="1">
        <v>9</v>
      </c>
      <c r="K4074" s="1">
        <v>45</v>
      </c>
    </row>
    <row r="4075" spans="3:11" x14ac:dyDescent="0.25">
      <c r="C4075" s="1" t="s">
        <v>11990</v>
      </c>
      <c r="D4075" s="1" t="s">
        <v>11991</v>
      </c>
      <c r="E4075" s="1" t="s">
        <v>11992</v>
      </c>
      <c r="F4075" s="1">
        <v>45</v>
      </c>
      <c r="G4075" s="1">
        <v>45</v>
      </c>
      <c r="H4075" s="1">
        <v>0</v>
      </c>
      <c r="I4075" s="1">
        <v>45</v>
      </c>
      <c r="J4075" s="1">
        <v>0</v>
      </c>
      <c r="K4075" s="1">
        <v>45</v>
      </c>
    </row>
    <row r="4076" spans="3:11" x14ac:dyDescent="0.25">
      <c r="C4076" s="1" t="s">
        <v>2468</v>
      </c>
      <c r="D4076" s="1" t="s">
        <v>423</v>
      </c>
      <c r="E4076" s="1" t="s">
        <v>2469</v>
      </c>
      <c r="F4076" s="1">
        <v>46</v>
      </c>
      <c r="G4076" s="1">
        <v>46</v>
      </c>
      <c r="H4076" s="1">
        <v>0</v>
      </c>
      <c r="I4076" s="1">
        <v>2505</v>
      </c>
      <c r="J4076" s="1">
        <v>2459</v>
      </c>
      <c r="K4076" s="1">
        <v>46</v>
      </c>
    </row>
    <row r="4077" spans="3:11" x14ac:dyDescent="0.25">
      <c r="C4077" s="1" t="s">
        <v>1478</v>
      </c>
      <c r="D4077" s="1" t="s">
        <v>1479</v>
      </c>
      <c r="E4077" s="1" t="s">
        <v>1480</v>
      </c>
      <c r="F4077" s="1">
        <v>46</v>
      </c>
      <c r="G4077" s="1">
        <v>46</v>
      </c>
      <c r="H4077" s="1">
        <v>0</v>
      </c>
      <c r="I4077" s="1">
        <v>303</v>
      </c>
      <c r="J4077" s="1">
        <v>257</v>
      </c>
      <c r="K4077" s="1">
        <v>46</v>
      </c>
    </row>
    <row r="4078" spans="3:11" x14ac:dyDescent="0.25">
      <c r="C4078" s="1" t="s">
        <v>2299</v>
      </c>
      <c r="D4078" s="1" t="s">
        <v>2300</v>
      </c>
      <c r="E4078" s="1" t="s">
        <v>2301</v>
      </c>
      <c r="F4078" s="1">
        <v>46</v>
      </c>
      <c r="G4078" s="1">
        <v>46</v>
      </c>
      <c r="H4078" s="1">
        <v>0</v>
      </c>
      <c r="I4078" s="1">
        <v>48</v>
      </c>
      <c r="J4078" s="1">
        <v>2</v>
      </c>
      <c r="K4078" s="1">
        <v>46</v>
      </c>
    </row>
    <row r="4079" spans="3:11" x14ac:dyDescent="0.25">
      <c r="C4079" s="1" t="s">
        <v>11993</v>
      </c>
      <c r="D4079" s="1" t="s">
        <v>11994</v>
      </c>
      <c r="E4079" s="1" t="s">
        <v>11995</v>
      </c>
      <c r="F4079" s="1">
        <v>47</v>
      </c>
      <c r="G4079" s="1">
        <v>47</v>
      </c>
      <c r="H4079" s="1">
        <v>0</v>
      </c>
      <c r="I4079" s="1">
        <v>1671</v>
      </c>
      <c r="J4079" s="1">
        <v>1624</v>
      </c>
      <c r="K4079" s="1">
        <v>47</v>
      </c>
    </row>
    <row r="4080" spans="3:11" x14ac:dyDescent="0.25">
      <c r="C4080" s="1" t="s">
        <v>2718</v>
      </c>
      <c r="D4080" s="1" t="s">
        <v>457</v>
      </c>
      <c r="E4080" s="1" t="s">
        <v>2719</v>
      </c>
      <c r="F4080" s="1">
        <v>47</v>
      </c>
      <c r="G4080" s="1">
        <v>47</v>
      </c>
      <c r="H4080" s="1">
        <v>0</v>
      </c>
      <c r="I4080" s="1">
        <v>800</v>
      </c>
      <c r="J4080" s="1">
        <v>753</v>
      </c>
      <c r="K4080" s="1">
        <v>47</v>
      </c>
    </row>
    <row r="4081" spans="3:11" x14ac:dyDescent="0.25">
      <c r="C4081" s="1" t="s">
        <v>2260</v>
      </c>
      <c r="D4081" s="1" t="s">
        <v>2261</v>
      </c>
      <c r="E4081" s="1" t="s">
        <v>2262</v>
      </c>
      <c r="F4081" s="1">
        <v>47</v>
      </c>
      <c r="G4081" s="1">
        <v>47</v>
      </c>
      <c r="H4081" s="1">
        <v>0</v>
      </c>
      <c r="I4081" s="1">
        <v>353</v>
      </c>
      <c r="J4081" s="1">
        <v>306</v>
      </c>
      <c r="K4081" s="1">
        <v>47</v>
      </c>
    </row>
    <row r="4082" spans="3:11" x14ac:dyDescent="0.25">
      <c r="C4082" s="1" t="s">
        <v>3098</v>
      </c>
      <c r="D4082" s="1" t="s">
        <v>479</v>
      </c>
      <c r="E4082" s="1" t="s">
        <v>3099</v>
      </c>
      <c r="F4082" s="1">
        <v>47</v>
      </c>
      <c r="G4082" s="1">
        <v>47</v>
      </c>
      <c r="H4082" s="1">
        <v>0</v>
      </c>
      <c r="I4082" s="1">
        <v>283</v>
      </c>
      <c r="J4082" s="1">
        <v>236</v>
      </c>
      <c r="K4082" s="1">
        <v>47</v>
      </c>
    </row>
    <row r="4083" spans="3:11" x14ac:dyDescent="0.25">
      <c r="C4083" s="1" t="s">
        <v>1763</v>
      </c>
      <c r="D4083" s="1" t="s">
        <v>182</v>
      </c>
      <c r="E4083" s="1" t="s">
        <v>1764</v>
      </c>
      <c r="F4083" s="1">
        <v>47</v>
      </c>
      <c r="G4083" s="1">
        <v>47</v>
      </c>
      <c r="H4083" s="1">
        <v>0</v>
      </c>
      <c r="I4083" s="1">
        <v>81</v>
      </c>
      <c r="J4083" s="1">
        <v>34</v>
      </c>
      <c r="K4083" s="1">
        <v>47</v>
      </c>
    </row>
    <row r="4084" spans="3:11" x14ac:dyDescent="0.25">
      <c r="C4084" s="1" t="s">
        <v>4376</v>
      </c>
      <c r="D4084" s="1" t="s">
        <v>4353</v>
      </c>
      <c r="E4084" s="1" t="s">
        <v>4377</v>
      </c>
      <c r="F4084" s="1">
        <v>48</v>
      </c>
      <c r="G4084" s="1">
        <v>48</v>
      </c>
      <c r="H4084" s="1">
        <v>0</v>
      </c>
      <c r="I4084" s="1">
        <v>60</v>
      </c>
      <c r="J4084" s="1">
        <v>12</v>
      </c>
      <c r="K4084" s="1">
        <v>48</v>
      </c>
    </row>
    <row r="4085" spans="3:11" x14ac:dyDescent="0.25">
      <c r="C4085" s="1" t="s">
        <v>11996</v>
      </c>
      <c r="D4085" s="1" t="s">
        <v>11997</v>
      </c>
      <c r="E4085" s="1" t="s">
        <v>11998</v>
      </c>
      <c r="F4085" s="1">
        <v>48</v>
      </c>
      <c r="G4085" s="1">
        <v>48</v>
      </c>
      <c r="H4085" s="1">
        <v>0</v>
      </c>
      <c r="I4085" s="1">
        <v>48</v>
      </c>
      <c r="J4085" s="1">
        <v>0</v>
      </c>
      <c r="K4085" s="1">
        <v>48</v>
      </c>
    </row>
    <row r="4086" spans="3:11" x14ac:dyDescent="0.25">
      <c r="C4086" s="1" t="s">
        <v>2302</v>
      </c>
      <c r="D4086" s="1" t="s">
        <v>2303</v>
      </c>
      <c r="E4086" s="1" t="s">
        <v>2304</v>
      </c>
      <c r="F4086" s="1">
        <v>48</v>
      </c>
      <c r="G4086" s="1">
        <v>48</v>
      </c>
      <c r="H4086" s="1">
        <v>0</v>
      </c>
      <c r="I4086" s="1">
        <v>48</v>
      </c>
      <c r="J4086" s="1">
        <v>0</v>
      </c>
      <c r="K4086" s="1">
        <v>48</v>
      </c>
    </row>
    <row r="4087" spans="3:11" x14ac:dyDescent="0.25">
      <c r="C4087" s="1" t="s">
        <v>11999</v>
      </c>
      <c r="D4087" s="1" t="s">
        <v>12000</v>
      </c>
      <c r="E4087" s="1" t="s">
        <v>12001</v>
      </c>
      <c r="F4087" s="1">
        <v>49</v>
      </c>
      <c r="G4087" s="1">
        <v>49</v>
      </c>
      <c r="H4087" s="1">
        <v>0</v>
      </c>
      <c r="I4087" s="1">
        <v>7863</v>
      </c>
      <c r="J4087" s="1">
        <v>7814</v>
      </c>
      <c r="K4087" s="1">
        <v>49</v>
      </c>
    </row>
    <row r="4088" spans="3:11" x14ac:dyDescent="0.25">
      <c r="C4088" s="1" t="s">
        <v>2399</v>
      </c>
      <c r="D4088" s="1" t="s">
        <v>414</v>
      </c>
      <c r="E4088" s="1" t="s">
        <v>2400</v>
      </c>
      <c r="F4088" s="1">
        <v>49</v>
      </c>
      <c r="G4088" s="1">
        <v>49</v>
      </c>
      <c r="H4088" s="1">
        <v>0</v>
      </c>
      <c r="I4088" s="1">
        <v>4109</v>
      </c>
      <c r="J4088" s="1">
        <v>4060</v>
      </c>
      <c r="K4088" s="1">
        <v>49</v>
      </c>
    </row>
    <row r="4089" spans="3:11" x14ac:dyDescent="0.25">
      <c r="C4089" s="1" t="s">
        <v>12002</v>
      </c>
      <c r="D4089" s="1" t="s">
        <v>12003</v>
      </c>
      <c r="E4089" s="1" t="s">
        <v>12004</v>
      </c>
      <c r="F4089" s="1">
        <v>49</v>
      </c>
      <c r="G4089" s="1">
        <v>49</v>
      </c>
      <c r="H4089" s="1">
        <v>0</v>
      </c>
      <c r="I4089" s="1">
        <v>1610</v>
      </c>
      <c r="J4089" s="1">
        <v>1561</v>
      </c>
      <c r="K4089" s="1">
        <v>49</v>
      </c>
    </row>
    <row r="4090" spans="3:11" x14ac:dyDescent="0.25">
      <c r="C4090" s="1" t="s">
        <v>12005</v>
      </c>
      <c r="D4090" s="1" t="s">
        <v>12006</v>
      </c>
      <c r="E4090" s="1" t="s">
        <v>12007</v>
      </c>
      <c r="F4090" s="1">
        <v>49</v>
      </c>
      <c r="G4090" s="1">
        <v>49</v>
      </c>
      <c r="H4090" s="1">
        <v>0</v>
      </c>
      <c r="I4090" s="1">
        <v>367</v>
      </c>
      <c r="J4090" s="1">
        <v>318</v>
      </c>
      <c r="K4090" s="1">
        <v>49</v>
      </c>
    </row>
    <row r="4091" spans="3:11" x14ac:dyDescent="0.25">
      <c r="C4091" s="1" t="s">
        <v>3312</v>
      </c>
      <c r="D4091" s="1" t="s">
        <v>825</v>
      </c>
      <c r="E4091" s="1" t="s">
        <v>3313</v>
      </c>
      <c r="F4091" s="1">
        <v>49</v>
      </c>
      <c r="G4091" s="1">
        <v>49</v>
      </c>
      <c r="H4091" s="1">
        <v>0</v>
      </c>
      <c r="I4091" s="1">
        <v>171</v>
      </c>
      <c r="J4091" s="1">
        <v>122</v>
      </c>
      <c r="K4091" s="1">
        <v>49</v>
      </c>
    </row>
    <row r="4092" spans="3:11" x14ac:dyDescent="0.25">
      <c r="C4092" s="1" t="s">
        <v>12008</v>
      </c>
      <c r="D4092" s="1" t="s">
        <v>12009</v>
      </c>
      <c r="E4092" s="1" t="s">
        <v>12010</v>
      </c>
      <c r="F4092" s="1">
        <v>49</v>
      </c>
      <c r="G4092" s="1">
        <v>49</v>
      </c>
      <c r="H4092" s="1">
        <v>0</v>
      </c>
      <c r="I4092" s="1">
        <v>122</v>
      </c>
      <c r="J4092" s="1">
        <v>73</v>
      </c>
      <c r="K4092" s="1">
        <v>49</v>
      </c>
    </row>
    <row r="4093" spans="3:11" x14ac:dyDescent="0.25">
      <c r="C4093" s="1" t="s">
        <v>3176</v>
      </c>
      <c r="D4093" s="1" t="s">
        <v>855</v>
      </c>
      <c r="E4093" s="1" t="s">
        <v>3177</v>
      </c>
      <c r="F4093" s="1">
        <v>50</v>
      </c>
      <c r="G4093" s="1">
        <v>50</v>
      </c>
      <c r="H4093" s="1">
        <v>0</v>
      </c>
      <c r="I4093" s="1">
        <v>199</v>
      </c>
      <c r="J4093" s="1">
        <v>149</v>
      </c>
      <c r="K4093" s="1">
        <v>50</v>
      </c>
    </row>
    <row r="4094" spans="3:11" x14ac:dyDescent="0.25">
      <c r="C4094" s="1" t="s">
        <v>12011</v>
      </c>
      <c r="D4094" s="1" t="s">
        <v>12012</v>
      </c>
      <c r="E4094" s="1" t="s">
        <v>12013</v>
      </c>
      <c r="F4094" s="1">
        <v>51</v>
      </c>
      <c r="G4094" s="1">
        <v>51</v>
      </c>
      <c r="H4094" s="1">
        <v>0</v>
      </c>
      <c r="I4094" s="1">
        <v>434</v>
      </c>
      <c r="J4094" s="1">
        <v>383</v>
      </c>
      <c r="K4094" s="1">
        <v>51</v>
      </c>
    </row>
    <row r="4095" spans="3:11" x14ac:dyDescent="0.25">
      <c r="C4095" s="1" t="s">
        <v>1281</v>
      </c>
      <c r="D4095" s="1" t="s">
        <v>1282</v>
      </c>
      <c r="E4095" s="1" t="s">
        <v>1283</v>
      </c>
      <c r="F4095" s="1">
        <v>52</v>
      </c>
      <c r="G4095" s="1">
        <v>52</v>
      </c>
      <c r="H4095" s="1">
        <v>0</v>
      </c>
      <c r="I4095" s="1">
        <v>509</v>
      </c>
      <c r="J4095" s="1">
        <v>457</v>
      </c>
      <c r="K4095" s="1">
        <v>52</v>
      </c>
    </row>
    <row r="4096" spans="3:11" x14ac:dyDescent="0.25">
      <c r="C4096" s="1" t="s">
        <v>3650</v>
      </c>
      <c r="D4096" s="1" t="s">
        <v>3651</v>
      </c>
      <c r="E4096" s="1" t="s">
        <v>3652</v>
      </c>
      <c r="F4096" s="1">
        <v>52</v>
      </c>
      <c r="G4096" s="1">
        <v>52</v>
      </c>
      <c r="H4096" s="1">
        <v>0</v>
      </c>
      <c r="I4096" s="1">
        <v>52</v>
      </c>
      <c r="J4096" s="1">
        <v>0</v>
      </c>
      <c r="K4096" s="1">
        <v>52</v>
      </c>
    </row>
    <row r="4097" spans="3:11" x14ac:dyDescent="0.25">
      <c r="C4097" s="1" t="s">
        <v>1304</v>
      </c>
      <c r="D4097" s="1" t="s">
        <v>128</v>
      </c>
      <c r="E4097" s="1" t="s">
        <v>1305</v>
      </c>
      <c r="F4097" s="1">
        <v>53</v>
      </c>
      <c r="G4097" s="1">
        <v>53</v>
      </c>
      <c r="H4097" s="1">
        <v>0</v>
      </c>
      <c r="I4097" s="1">
        <v>548</v>
      </c>
      <c r="J4097" s="1">
        <v>495</v>
      </c>
      <c r="K4097" s="1">
        <v>53</v>
      </c>
    </row>
    <row r="4098" spans="3:11" x14ac:dyDescent="0.25">
      <c r="C4098" s="1" t="s">
        <v>1784</v>
      </c>
      <c r="D4098" s="1" t="s">
        <v>184</v>
      </c>
      <c r="E4098" s="1" t="s">
        <v>1785</v>
      </c>
      <c r="F4098" s="1">
        <v>53</v>
      </c>
      <c r="G4098" s="1">
        <v>53</v>
      </c>
      <c r="H4098" s="1">
        <v>0</v>
      </c>
      <c r="I4098" s="1">
        <v>122</v>
      </c>
      <c r="J4098" s="1">
        <v>69</v>
      </c>
      <c r="K4098" s="1">
        <v>53</v>
      </c>
    </row>
    <row r="4099" spans="3:11" x14ac:dyDescent="0.25">
      <c r="C4099" s="1" t="s">
        <v>1711</v>
      </c>
      <c r="D4099" s="1" t="s">
        <v>178</v>
      </c>
      <c r="E4099" s="1" t="s">
        <v>1712</v>
      </c>
      <c r="F4099" s="1">
        <v>53</v>
      </c>
      <c r="G4099" s="1">
        <v>53</v>
      </c>
      <c r="H4099" s="1">
        <v>0</v>
      </c>
      <c r="I4099" s="1">
        <v>104</v>
      </c>
      <c r="J4099" s="1">
        <v>51</v>
      </c>
      <c r="K4099" s="1">
        <v>53</v>
      </c>
    </row>
    <row r="4100" spans="3:11" x14ac:dyDescent="0.25">
      <c r="C4100" s="1" t="s">
        <v>12014</v>
      </c>
      <c r="D4100" s="1" t="s">
        <v>12015</v>
      </c>
      <c r="E4100" s="1" t="s">
        <v>12016</v>
      </c>
      <c r="F4100" s="1">
        <v>54</v>
      </c>
      <c r="G4100" s="1">
        <v>54</v>
      </c>
      <c r="H4100" s="1">
        <v>0</v>
      </c>
      <c r="I4100" s="1">
        <v>1937</v>
      </c>
      <c r="J4100" s="1">
        <v>1883</v>
      </c>
      <c r="K4100" s="1">
        <v>54</v>
      </c>
    </row>
    <row r="4101" spans="3:11" x14ac:dyDescent="0.25">
      <c r="C4101" s="1" t="s">
        <v>12017</v>
      </c>
      <c r="D4101" s="1" t="s">
        <v>12018</v>
      </c>
      <c r="E4101" s="1" t="s">
        <v>12019</v>
      </c>
      <c r="F4101" s="1">
        <v>54</v>
      </c>
      <c r="G4101" s="1">
        <v>54</v>
      </c>
      <c r="H4101" s="1">
        <v>0</v>
      </c>
      <c r="I4101" s="1">
        <v>609</v>
      </c>
      <c r="J4101" s="1">
        <v>555</v>
      </c>
      <c r="K4101" s="1">
        <v>54</v>
      </c>
    </row>
    <row r="4102" spans="3:11" x14ac:dyDescent="0.25">
      <c r="C4102" s="1" t="s">
        <v>12020</v>
      </c>
      <c r="D4102" s="1" t="s">
        <v>12021</v>
      </c>
      <c r="E4102" s="1" t="s">
        <v>12022</v>
      </c>
      <c r="F4102" s="1">
        <v>54</v>
      </c>
      <c r="G4102" s="1">
        <v>54</v>
      </c>
      <c r="H4102" s="1">
        <v>0</v>
      </c>
      <c r="I4102" s="1">
        <v>168</v>
      </c>
      <c r="J4102" s="1">
        <v>114</v>
      </c>
      <c r="K4102" s="1">
        <v>54</v>
      </c>
    </row>
    <row r="4103" spans="3:11" x14ac:dyDescent="0.25">
      <c r="C4103" s="1" t="s">
        <v>12023</v>
      </c>
      <c r="D4103" s="1" t="s">
        <v>12024</v>
      </c>
      <c r="E4103" s="1" t="s">
        <v>12025</v>
      </c>
      <c r="F4103" s="1">
        <v>54</v>
      </c>
      <c r="G4103" s="1">
        <v>54</v>
      </c>
      <c r="H4103" s="1">
        <v>0</v>
      </c>
      <c r="I4103" s="1">
        <v>72</v>
      </c>
      <c r="J4103" s="1">
        <v>18</v>
      </c>
      <c r="K4103" s="1">
        <v>54</v>
      </c>
    </row>
    <row r="4104" spans="3:11" x14ac:dyDescent="0.25">
      <c r="C4104" s="1" t="s">
        <v>2617</v>
      </c>
      <c r="D4104" s="1" t="s">
        <v>463</v>
      </c>
      <c r="E4104" s="1" t="s">
        <v>2618</v>
      </c>
      <c r="F4104" s="1">
        <v>55</v>
      </c>
      <c r="G4104" s="1">
        <v>55</v>
      </c>
      <c r="H4104" s="1">
        <v>0</v>
      </c>
      <c r="I4104" s="1">
        <v>1094</v>
      </c>
      <c r="J4104" s="1">
        <v>1039</v>
      </c>
      <c r="K4104" s="1">
        <v>55</v>
      </c>
    </row>
    <row r="4105" spans="3:11" x14ac:dyDescent="0.25">
      <c r="C4105" s="1" t="s">
        <v>2871</v>
      </c>
      <c r="D4105" s="1" t="s">
        <v>466</v>
      </c>
      <c r="E4105" s="1" t="s">
        <v>2872</v>
      </c>
      <c r="F4105" s="1">
        <v>55</v>
      </c>
      <c r="G4105" s="1">
        <v>55</v>
      </c>
      <c r="H4105" s="1">
        <v>0</v>
      </c>
      <c r="I4105" s="1">
        <v>516</v>
      </c>
      <c r="J4105" s="1">
        <v>461</v>
      </c>
      <c r="K4105" s="1">
        <v>55</v>
      </c>
    </row>
    <row r="4106" spans="3:11" x14ac:dyDescent="0.25">
      <c r="C4106" s="1" t="s">
        <v>3085</v>
      </c>
      <c r="D4106" s="1" t="s">
        <v>820</v>
      </c>
      <c r="E4106" s="1" t="s">
        <v>3086</v>
      </c>
      <c r="F4106" s="1">
        <v>55</v>
      </c>
      <c r="G4106" s="1">
        <v>55</v>
      </c>
      <c r="H4106" s="1">
        <v>0</v>
      </c>
      <c r="I4106" s="1">
        <v>302</v>
      </c>
      <c r="J4106" s="1">
        <v>247</v>
      </c>
      <c r="K4106" s="1">
        <v>55</v>
      </c>
    </row>
    <row r="4107" spans="3:11" x14ac:dyDescent="0.25">
      <c r="C4107" s="1" t="s">
        <v>1840</v>
      </c>
      <c r="D4107" s="1" t="s">
        <v>187</v>
      </c>
      <c r="E4107" s="1" t="s">
        <v>1841</v>
      </c>
      <c r="F4107" s="1">
        <v>55</v>
      </c>
      <c r="G4107" s="1">
        <v>55</v>
      </c>
      <c r="H4107" s="1">
        <v>0</v>
      </c>
      <c r="I4107" s="1">
        <v>107</v>
      </c>
      <c r="J4107" s="1">
        <v>52</v>
      </c>
      <c r="K4107" s="1">
        <v>55</v>
      </c>
    </row>
    <row r="4108" spans="3:11" x14ac:dyDescent="0.25">
      <c r="C4108" s="1" t="s">
        <v>3467</v>
      </c>
      <c r="D4108" s="1" t="s">
        <v>616</v>
      </c>
      <c r="E4108" s="1" t="s">
        <v>3468</v>
      </c>
      <c r="F4108" s="1">
        <v>55</v>
      </c>
      <c r="G4108" s="1">
        <v>55</v>
      </c>
      <c r="H4108" s="1">
        <v>0</v>
      </c>
      <c r="I4108" s="1">
        <v>81</v>
      </c>
      <c r="J4108" s="1">
        <v>26</v>
      </c>
      <c r="K4108" s="1">
        <v>55</v>
      </c>
    </row>
    <row r="4109" spans="3:11" x14ac:dyDescent="0.25">
      <c r="C4109" s="1" t="s">
        <v>12026</v>
      </c>
      <c r="D4109" s="1" t="s">
        <v>12027</v>
      </c>
      <c r="E4109" s="1" t="s">
        <v>12028</v>
      </c>
      <c r="F4109" s="1">
        <v>56</v>
      </c>
      <c r="G4109" s="1">
        <v>56</v>
      </c>
      <c r="H4109" s="1">
        <v>0</v>
      </c>
      <c r="I4109" s="1">
        <v>5902</v>
      </c>
      <c r="J4109" s="1">
        <v>5846</v>
      </c>
      <c r="K4109" s="1">
        <v>56</v>
      </c>
    </row>
    <row r="4110" spans="3:11" x14ac:dyDescent="0.25">
      <c r="C4110" s="1" t="s">
        <v>1094</v>
      </c>
      <c r="D4110" s="1" t="s">
        <v>94</v>
      </c>
      <c r="E4110" s="1" t="s">
        <v>1094</v>
      </c>
      <c r="F4110" s="1">
        <v>56</v>
      </c>
      <c r="G4110" s="1">
        <v>56</v>
      </c>
      <c r="H4110" s="1">
        <v>0</v>
      </c>
      <c r="I4110" s="1">
        <v>1221</v>
      </c>
      <c r="J4110" s="1">
        <v>1165</v>
      </c>
      <c r="K4110" s="1">
        <v>56</v>
      </c>
    </row>
    <row r="4111" spans="3:11" x14ac:dyDescent="0.25">
      <c r="C4111" s="1" t="s">
        <v>2621</v>
      </c>
      <c r="D4111" s="1" t="s">
        <v>647</v>
      </c>
      <c r="E4111" s="1" t="s">
        <v>2622</v>
      </c>
      <c r="F4111" s="1">
        <v>57</v>
      </c>
      <c r="G4111" s="1">
        <v>57</v>
      </c>
      <c r="H4111" s="1">
        <v>0</v>
      </c>
      <c r="I4111" s="1">
        <v>1049</v>
      </c>
      <c r="J4111" s="1">
        <v>992</v>
      </c>
      <c r="K4111" s="1">
        <v>57</v>
      </c>
    </row>
    <row r="4112" spans="3:11" x14ac:dyDescent="0.25">
      <c r="C4112" s="1" t="s">
        <v>12029</v>
      </c>
      <c r="D4112" s="1" t="s">
        <v>12030</v>
      </c>
      <c r="E4112" s="1" t="s">
        <v>12031</v>
      </c>
      <c r="F4112" s="1">
        <v>57</v>
      </c>
      <c r="G4112" s="1">
        <v>57</v>
      </c>
      <c r="H4112" s="1">
        <v>0</v>
      </c>
      <c r="I4112" s="1">
        <v>194</v>
      </c>
      <c r="J4112" s="1">
        <v>137</v>
      </c>
      <c r="K4112" s="1">
        <v>57</v>
      </c>
    </row>
    <row r="4113" spans="3:11" x14ac:dyDescent="0.25">
      <c r="C4113" s="1" t="s">
        <v>3137</v>
      </c>
      <c r="D4113" s="1" t="s">
        <v>737</v>
      </c>
      <c r="E4113" s="1" t="s">
        <v>3138</v>
      </c>
      <c r="F4113" s="1">
        <v>58</v>
      </c>
      <c r="G4113" s="1">
        <v>58</v>
      </c>
      <c r="H4113" s="1">
        <v>0</v>
      </c>
      <c r="I4113" s="1">
        <v>224</v>
      </c>
      <c r="J4113" s="1">
        <v>166</v>
      </c>
      <c r="K4113" s="1">
        <v>58</v>
      </c>
    </row>
    <row r="4114" spans="3:11" x14ac:dyDescent="0.25">
      <c r="C4114" s="1" t="s">
        <v>12032</v>
      </c>
      <c r="D4114" s="1" t="s">
        <v>12033</v>
      </c>
      <c r="E4114" s="1" t="s">
        <v>12034</v>
      </c>
      <c r="F4114" s="1">
        <v>58</v>
      </c>
      <c r="G4114" s="1">
        <v>58</v>
      </c>
      <c r="H4114" s="1">
        <v>0</v>
      </c>
      <c r="I4114" s="1">
        <v>102</v>
      </c>
      <c r="J4114" s="1">
        <v>44</v>
      </c>
      <c r="K4114" s="1">
        <v>58</v>
      </c>
    </row>
    <row r="4115" spans="3:11" x14ac:dyDescent="0.25">
      <c r="C4115" s="1" t="s">
        <v>607</v>
      </c>
      <c r="D4115" s="1" t="s">
        <v>608</v>
      </c>
      <c r="E4115" s="1" t="s">
        <v>607</v>
      </c>
      <c r="F4115" s="1">
        <v>58</v>
      </c>
      <c r="G4115" s="1">
        <v>58</v>
      </c>
      <c r="H4115" s="1">
        <v>0</v>
      </c>
      <c r="I4115" s="1">
        <v>89</v>
      </c>
      <c r="J4115" s="1">
        <v>31</v>
      </c>
      <c r="K4115" s="1">
        <v>58</v>
      </c>
    </row>
    <row r="4116" spans="3:11" x14ac:dyDescent="0.25">
      <c r="C4116" s="1" t="s">
        <v>987</v>
      </c>
      <c r="D4116" s="1" t="s">
        <v>79</v>
      </c>
      <c r="E4116" s="1" t="s">
        <v>988</v>
      </c>
      <c r="F4116" s="1">
        <v>59</v>
      </c>
      <c r="G4116" s="1">
        <v>59</v>
      </c>
      <c r="H4116" s="1">
        <v>0</v>
      </c>
      <c r="I4116" s="1">
        <v>2056</v>
      </c>
      <c r="J4116" s="1">
        <v>1997</v>
      </c>
      <c r="K4116" s="1">
        <v>59</v>
      </c>
    </row>
    <row r="4117" spans="3:11" x14ac:dyDescent="0.25">
      <c r="C4117" s="1" t="s">
        <v>1214</v>
      </c>
      <c r="D4117" s="1" t="s">
        <v>113</v>
      </c>
      <c r="E4117" s="1" t="s">
        <v>1215</v>
      </c>
      <c r="F4117" s="1">
        <v>59</v>
      </c>
      <c r="G4117" s="1">
        <v>59</v>
      </c>
      <c r="H4117" s="1">
        <v>0</v>
      </c>
      <c r="I4117" s="1">
        <v>749</v>
      </c>
      <c r="J4117" s="1">
        <v>690</v>
      </c>
      <c r="K4117" s="1">
        <v>59</v>
      </c>
    </row>
    <row r="4118" spans="3:11" x14ac:dyDescent="0.25">
      <c r="C4118" s="1" t="s">
        <v>2766</v>
      </c>
      <c r="D4118" s="1" t="s">
        <v>454</v>
      </c>
      <c r="E4118" s="1" t="s">
        <v>2767</v>
      </c>
      <c r="F4118" s="1">
        <v>59</v>
      </c>
      <c r="G4118" s="1">
        <v>59</v>
      </c>
      <c r="H4118" s="1">
        <v>0</v>
      </c>
      <c r="I4118" s="1">
        <v>707</v>
      </c>
      <c r="J4118" s="1">
        <v>648</v>
      </c>
      <c r="K4118" s="1">
        <v>59</v>
      </c>
    </row>
    <row r="4119" spans="3:11" x14ac:dyDescent="0.25">
      <c r="C4119" s="1" t="s">
        <v>1526</v>
      </c>
      <c r="D4119" s="1" t="s">
        <v>160</v>
      </c>
      <c r="E4119" s="1" t="s">
        <v>1527</v>
      </c>
      <c r="F4119" s="1">
        <v>59</v>
      </c>
      <c r="G4119" s="1">
        <v>59</v>
      </c>
      <c r="H4119" s="1">
        <v>0</v>
      </c>
      <c r="I4119" s="1">
        <v>297</v>
      </c>
      <c r="J4119" s="1">
        <v>238</v>
      </c>
      <c r="K4119" s="1">
        <v>59</v>
      </c>
    </row>
    <row r="4120" spans="3:11" x14ac:dyDescent="0.25">
      <c r="C4120" s="1" t="s">
        <v>3267</v>
      </c>
      <c r="D4120" s="1" t="s">
        <v>726</v>
      </c>
      <c r="E4120" s="1" t="s">
        <v>3268</v>
      </c>
      <c r="F4120" s="1">
        <v>59</v>
      </c>
      <c r="G4120" s="1">
        <v>59</v>
      </c>
      <c r="H4120" s="1">
        <v>0</v>
      </c>
      <c r="I4120" s="1">
        <v>140</v>
      </c>
      <c r="J4120" s="1">
        <v>81</v>
      </c>
      <c r="K4120" s="1">
        <v>59</v>
      </c>
    </row>
    <row r="4121" spans="3:11" x14ac:dyDescent="0.25">
      <c r="C4121" s="1" t="s">
        <v>12035</v>
      </c>
      <c r="D4121" s="1" t="s">
        <v>12036</v>
      </c>
      <c r="E4121" s="1" t="s">
        <v>12037</v>
      </c>
      <c r="F4121" s="1">
        <v>60</v>
      </c>
      <c r="G4121" s="1">
        <v>60</v>
      </c>
      <c r="H4121" s="1">
        <v>0</v>
      </c>
      <c r="I4121" s="1">
        <v>1493</v>
      </c>
      <c r="J4121" s="1">
        <v>1433</v>
      </c>
      <c r="K4121" s="1">
        <v>60</v>
      </c>
    </row>
    <row r="4122" spans="3:11" x14ac:dyDescent="0.25">
      <c r="C4122" s="1" t="s">
        <v>1138</v>
      </c>
      <c r="D4122" s="1" t="s">
        <v>96</v>
      </c>
      <c r="E4122" s="1" t="s">
        <v>1139</v>
      </c>
      <c r="F4122" s="1">
        <v>60</v>
      </c>
      <c r="G4122" s="1">
        <v>60</v>
      </c>
      <c r="H4122" s="1">
        <v>0</v>
      </c>
      <c r="I4122" s="1">
        <v>969</v>
      </c>
      <c r="J4122" s="1">
        <v>909</v>
      </c>
      <c r="K4122" s="1">
        <v>60</v>
      </c>
    </row>
    <row r="4123" spans="3:11" x14ac:dyDescent="0.25">
      <c r="C4123" s="1" t="s">
        <v>1426</v>
      </c>
      <c r="D4123" s="1" t="s">
        <v>142</v>
      </c>
      <c r="E4123" s="1" t="s">
        <v>1427</v>
      </c>
      <c r="F4123" s="1">
        <v>60</v>
      </c>
      <c r="G4123" s="1">
        <v>60</v>
      </c>
      <c r="H4123" s="1">
        <v>0</v>
      </c>
      <c r="I4123" s="1">
        <v>383</v>
      </c>
      <c r="J4123" s="1">
        <v>323</v>
      </c>
      <c r="K4123" s="1">
        <v>60</v>
      </c>
    </row>
    <row r="4124" spans="3:11" x14ac:dyDescent="0.25">
      <c r="C4124" s="1" t="s">
        <v>1782</v>
      </c>
      <c r="D4124" s="1" t="s">
        <v>183</v>
      </c>
      <c r="E4124" s="1" t="s">
        <v>1783</v>
      </c>
      <c r="F4124" s="1">
        <v>60</v>
      </c>
      <c r="G4124" s="1">
        <v>60</v>
      </c>
      <c r="H4124" s="1">
        <v>0</v>
      </c>
      <c r="I4124" s="1">
        <v>74</v>
      </c>
      <c r="J4124" s="1">
        <v>14</v>
      </c>
      <c r="K4124" s="1">
        <v>60</v>
      </c>
    </row>
    <row r="4125" spans="3:11" x14ac:dyDescent="0.25">
      <c r="C4125" s="1" t="s">
        <v>12038</v>
      </c>
      <c r="D4125" s="1" t="s">
        <v>12039</v>
      </c>
      <c r="E4125" s="1" t="s">
        <v>12040</v>
      </c>
      <c r="F4125" s="1">
        <v>61</v>
      </c>
      <c r="G4125" s="1">
        <v>61</v>
      </c>
      <c r="H4125" s="1">
        <v>0</v>
      </c>
      <c r="I4125" s="1">
        <v>9614</v>
      </c>
      <c r="J4125" s="1">
        <v>9553</v>
      </c>
      <c r="K4125" s="1">
        <v>61</v>
      </c>
    </row>
    <row r="4126" spans="3:11" x14ac:dyDescent="0.25">
      <c r="C4126" s="1" t="s">
        <v>4308</v>
      </c>
      <c r="D4126" s="1" t="s">
        <v>4309</v>
      </c>
      <c r="E4126" s="1" t="s">
        <v>4310</v>
      </c>
      <c r="F4126" s="1">
        <v>61</v>
      </c>
      <c r="G4126" s="1">
        <v>61</v>
      </c>
      <c r="H4126" s="1">
        <v>0</v>
      </c>
      <c r="I4126" s="1">
        <v>156</v>
      </c>
      <c r="J4126" s="1">
        <v>95</v>
      </c>
      <c r="K4126" s="1">
        <v>61</v>
      </c>
    </row>
    <row r="4127" spans="3:11" x14ac:dyDescent="0.25">
      <c r="C4127" s="1" t="s">
        <v>2046</v>
      </c>
      <c r="D4127" s="1" t="s">
        <v>2047</v>
      </c>
      <c r="E4127" s="1" t="s">
        <v>2048</v>
      </c>
      <c r="F4127" s="1">
        <v>61</v>
      </c>
      <c r="G4127" s="1">
        <v>61</v>
      </c>
      <c r="H4127" s="1">
        <v>0</v>
      </c>
      <c r="I4127" s="1">
        <v>146</v>
      </c>
      <c r="J4127" s="1">
        <v>85</v>
      </c>
      <c r="K4127" s="1">
        <v>61</v>
      </c>
    </row>
    <row r="4128" spans="3:11" x14ac:dyDescent="0.25">
      <c r="C4128" s="1" t="s">
        <v>2574</v>
      </c>
      <c r="D4128" s="1" t="s">
        <v>695</v>
      </c>
      <c r="E4128" s="1" t="s">
        <v>2575</v>
      </c>
      <c r="F4128" s="1">
        <v>62</v>
      </c>
      <c r="G4128" s="1">
        <v>62</v>
      </c>
      <c r="H4128" s="1">
        <v>0</v>
      </c>
      <c r="I4128" s="1">
        <v>1344</v>
      </c>
      <c r="J4128" s="1">
        <v>1282</v>
      </c>
      <c r="K4128" s="1">
        <v>62</v>
      </c>
    </row>
    <row r="4129" spans="3:11" x14ac:dyDescent="0.25">
      <c r="C4129" s="1" t="s">
        <v>2666</v>
      </c>
      <c r="D4129" s="1" t="s">
        <v>449</v>
      </c>
      <c r="E4129" s="1" t="s">
        <v>2667</v>
      </c>
      <c r="F4129" s="1">
        <v>62</v>
      </c>
      <c r="G4129" s="1">
        <v>62</v>
      </c>
      <c r="H4129" s="1">
        <v>0</v>
      </c>
      <c r="I4129" s="1">
        <v>923</v>
      </c>
      <c r="J4129" s="1">
        <v>861</v>
      </c>
      <c r="K4129" s="1">
        <v>62</v>
      </c>
    </row>
    <row r="4130" spans="3:11" x14ac:dyDescent="0.25">
      <c r="C4130" s="1" t="s">
        <v>2205</v>
      </c>
      <c r="D4130" s="1" t="s">
        <v>174</v>
      </c>
      <c r="E4130" s="1" t="s">
        <v>2206</v>
      </c>
      <c r="F4130" s="1">
        <v>62</v>
      </c>
      <c r="G4130" s="1">
        <v>62</v>
      </c>
      <c r="H4130" s="1">
        <v>0</v>
      </c>
      <c r="I4130" s="1">
        <v>145</v>
      </c>
      <c r="J4130" s="1">
        <v>83</v>
      </c>
      <c r="K4130" s="1">
        <v>62</v>
      </c>
    </row>
    <row r="4131" spans="3:11" x14ac:dyDescent="0.25">
      <c r="C4131" s="1" t="s">
        <v>1264</v>
      </c>
      <c r="D4131" s="1" t="s">
        <v>122</v>
      </c>
      <c r="E4131" s="1" t="s">
        <v>1265</v>
      </c>
      <c r="F4131" s="1">
        <v>63</v>
      </c>
      <c r="G4131" s="1">
        <v>63</v>
      </c>
      <c r="H4131" s="1">
        <v>0</v>
      </c>
      <c r="I4131" s="1">
        <v>775</v>
      </c>
      <c r="J4131" s="1">
        <v>712</v>
      </c>
      <c r="K4131" s="1">
        <v>63</v>
      </c>
    </row>
    <row r="4132" spans="3:11" x14ac:dyDescent="0.25">
      <c r="C4132" s="1" t="s">
        <v>1233</v>
      </c>
      <c r="D4132" s="1" t="s">
        <v>117</v>
      </c>
      <c r="E4132" s="1" t="s">
        <v>1234</v>
      </c>
      <c r="F4132" s="1">
        <v>63</v>
      </c>
      <c r="G4132" s="1">
        <v>63</v>
      </c>
      <c r="H4132" s="1">
        <v>0</v>
      </c>
      <c r="I4132" s="1">
        <v>668</v>
      </c>
      <c r="J4132" s="1">
        <v>605</v>
      </c>
      <c r="K4132" s="1">
        <v>63</v>
      </c>
    </row>
    <row r="4133" spans="3:11" x14ac:dyDescent="0.25">
      <c r="C4133" s="1" t="s">
        <v>2869</v>
      </c>
      <c r="D4133" s="1" t="s">
        <v>658</v>
      </c>
      <c r="E4133" s="1" t="s">
        <v>2870</v>
      </c>
      <c r="F4133" s="1">
        <v>63</v>
      </c>
      <c r="G4133" s="1">
        <v>63</v>
      </c>
      <c r="H4133" s="1">
        <v>0</v>
      </c>
      <c r="I4133" s="1">
        <v>516</v>
      </c>
      <c r="J4133" s="1">
        <v>453</v>
      </c>
      <c r="K4133" s="1">
        <v>63</v>
      </c>
    </row>
    <row r="4134" spans="3:11" x14ac:dyDescent="0.25">
      <c r="C4134" s="1" t="s">
        <v>3484</v>
      </c>
      <c r="D4134" s="1" t="s">
        <v>618</v>
      </c>
      <c r="E4134" s="1" t="s">
        <v>3485</v>
      </c>
      <c r="F4134" s="1">
        <v>63</v>
      </c>
      <c r="G4134" s="1">
        <v>63</v>
      </c>
      <c r="H4134" s="1">
        <v>0</v>
      </c>
      <c r="I4134" s="1">
        <v>78</v>
      </c>
      <c r="J4134" s="1">
        <v>15</v>
      </c>
      <c r="K4134" s="1">
        <v>63</v>
      </c>
    </row>
    <row r="4135" spans="3:11" x14ac:dyDescent="0.25">
      <c r="C4135" s="1" t="s">
        <v>945</v>
      </c>
      <c r="D4135" s="1" t="s">
        <v>946</v>
      </c>
      <c r="E4135" s="1" t="s">
        <v>947</v>
      </c>
      <c r="F4135" s="1">
        <v>64</v>
      </c>
      <c r="G4135" s="1">
        <v>64</v>
      </c>
      <c r="H4135" s="1">
        <v>0</v>
      </c>
      <c r="I4135" s="1">
        <v>2729</v>
      </c>
      <c r="J4135" s="1">
        <v>2665</v>
      </c>
      <c r="K4135" s="1">
        <v>64</v>
      </c>
    </row>
    <row r="4136" spans="3:11" x14ac:dyDescent="0.25">
      <c r="C4136" s="1" t="s">
        <v>1103</v>
      </c>
      <c r="D4136" s="1" t="s">
        <v>90</v>
      </c>
      <c r="E4136" s="1" t="s">
        <v>1104</v>
      </c>
      <c r="F4136" s="1">
        <v>64</v>
      </c>
      <c r="G4136" s="1">
        <v>64</v>
      </c>
      <c r="H4136" s="1">
        <v>0</v>
      </c>
      <c r="I4136" s="1">
        <v>1212</v>
      </c>
      <c r="J4136" s="1">
        <v>1148</v>
      </c>
      <c r="K4136" s="1">
        <v>64</v>
      </c>
    </row>
    <row r="4137" spans="3:11" x14ac:dyDescent="0.25">
      <c r="C4137" s="1" t="s">
        <v>12041</v>
      </c>
      <c r="D4137" s="1" t="s">
        <v>12042</v>
      </c>
      <c r="E4137" s="1" t="s">
        <v>12043</v>
      </c>
      <c r="F4137" s="1">
        <v>65</v>
      </c>
      <c r="G4137" s="1">
        <v>65</v>
      </c>
      <c r="H4137" s="1">
        <v>0</v>
      </c>
      <c r="I4137" s="1">
        <v>2307</v>
      </c>
      <c r="J4137" s="1">
        <v>2242</v>
      </c>
      <c r="K4137" s="1">
        <v>65</v>
      </c>
    </row>
    <row r="4138" spans="3:11" x14ac:dyDescent="0.25">
      <c r="C4138" s="1" t="s">
        <v>1004</v>
      </c>
      <c r="D4138" s="1" t="s">
        <v>63</v>
      </c>
      <c r="E4138" s="1" t="s">
        <v>1005</v>
      </c>
      <c r="F4138" s="1">
        <v>65</v>
      </c>
      <c r="G4138" s="1">
        <v>65</v>
      </c>
      <c r="H4138" s="1">
        <v>0</v>
      </c>
      <c r="I4138" s="1">
        <v>1984</v>
      </c>
      <c r="J4138" s="1">
        <v>1919</v>
      </c>
      <c r="K4138" s="1">
        <v>65</v>
      </c>
    </row>
    <row r="4139" spans="3:11" x14ac:dyDescent="0.25">
      <c r="C4139" s="1" t="s">
        <v>12044</v>
      </c>
      <c r="D4139" s="1" t="s">
        <v>12045</v>
      </c>
      <c r="E4139" s="1" t="s">
        <v>12046</v>
      </c>
      <c r="F4139" s="1">
        <v>65</v>
      </c>
      <c r="G4139" s="1">
        <v>65</v>
      </c>
      <c r="H4139" s="1">
        <v>0</v>
      </c>
      <c r="I4139" s="1">
        <v>422</v>
      </c>
      <c r="J4139" s="1">
        <v>357</v>
      </c>
      <c r="K4139" s="1">
        <v>65</v>
      </c>
    </row>
    <row r="4140" spans="3:11" x14ac:dyDescent="0.25">
      <c r="C4140" s="1" t="s">
        <v>1333</v>
      </c>
      <c r="D4140" s="1" t="s">
        <v>132</v>
      </c>
      <c r="E4140" s="1" t="s">
        <v>1334</v>
      </c>
      <c r="F4140" s="1">
        <v>65</v>
      </c>
      <c r="G4140" s="1">
        <v>65</v>
      </c>
      <c r="H4140" s="1">
        <v>0</v>
      </c>
      <c r="I4140" s="1">
        <v>404</v>
      </c>
      <c r="J4140" s="1">
        <v>339</v>
      </c>
      <c r="K4140" s="1">
        <v>65</v>
      </c>
    </row>
    <row r="4141" spans="3:11" x14ac:dyDescent="0.25">
      <c r="C4141" s="1" t="s">
        <v>3000</v>
      </c>
      <c r="D4141" s="1" t="s">
        <v>469</v>
      </c>
      <c r="E4141" s="1" t="s">
        <v>3001</v>
      </c>
      <c r="F4141" s="1">
        <v>65</v>
      </c>
      <c r="G4141" s="1">
        <v>65</v>
      </c>
      <c r="H4141" s="1">
        <v>0</v>
      </c>
      <c r="I4141" s="1">
        <v>340</v>
      </c>
      <c r="J4141" s="1">
        <v>275</v>
      </c>
      <c r="K4141" s="1">
        <v>65</v>
      </c>
    </row>
    <row r="4142" spans="3:11" x14ac:dyDescent="0.25">
      <c r="C4142" s="1" t="s">
        <v>12047</v>
      </c>
      <c r="D4142" s="1" t="s">
        <v>12048</v>
      </c>
      <c r="E4142" s="1" t="s">
        <v>12049</v>
      </c>
      <c r="F4142" s="1">
        <v>65</v>
      </c>
      <c r="G4142" s="1">
        <v>65</v>
      </c>
      <c r="H4142" s="1">
        <v>0</v>
      </c>
      <c r="I4142" s="1">
        <v>177</v>
      </c>
      <c r="J4142" s="1">
        <v>112</v>
      </c>
      <c r="K4142" s="1">
        <v>65</v>
      </c>
    </row>
    <row r="4143" spans="3:11" x14ac:dyDescent="0.25">
      <c r="C4143" s="1" t="s">
        <v>2647</v>
      </c>
      <c r="D4143" s="1" t="s">
        <v>448</v>
      </c>
      <c r="E4143" s="1" t="s">
        <v>2648</v>
      </c>
      <c r="F4143" s="1">
        <v>66</v>
      </c>
      <c r="G4143" s="1">
        <v>66</v>
      </c>
      <c r="H4143" s="1">
        <v>0</v>
      </c>
      <c r="I4143" s="1">
        <v>955</v>
      </c>
      <c r="J4143" s="1">
        <v>889</v>
      </c>
      <c r="K4143" s="1">
        <v>66</v>
      </c>
    </row>
    <row r="4144" spans="3:11" x14ac:dyDescent="0.25">
      <c r="C4144" s="1" t="s">
        <v>2853</v>
      </c>
      <c r="D4144" s="1" t="s">
        <v>700</v>
      </c>
      <c r="E4144" s="1" t="s">
        <v>2854</v>
      </c>
      <c r="F4144" s="1">
        <v>66</v>
      </c>
      <c r="G4144" s="1">
        <v>66</v>
      </c>
      <c r="H4144" s="1">
        <v>0</v>
      </c>
      <c r="I4144" s="1">
        <v>553</v>
      </c>
      <c r="J4144" s="1">
        <v>487</v>
      </c>
      <c r="K4144" s="1">
        <v>66</v>
      </c>
    </row>
    <row r="4145" spans="3:11" x14ac:dyDescent="0.25">
      <c r="C4145" s="1" t="s">
        <v>3332</v>
      </c>
      <c r="D4145" s="1" t="s">
        <v>826</v>
      </c>
      <c r="E4145" s="1" t="s">
        <v>3333</v>
      </c>
      <c r="F4145" s="1">
        <v>66</v>
      </c>
      <c r="G4145" s="1">
        <v>66</v>
      </c>
      <c r="H4145" s="1">
        <v>0</v>
      </c>
      <c r="I4145" s="1">
        <v>165</v>
      </c>
      <c r="J4145" s="1">
        <v>99</v>
      </c>
      <c r="K4145" s="1">
        <v>66</v>
      </c>
    </row>
    <row r="4146" spans="3:11" x14ac:dyDescent="0.25">
      <c r="C4146" s="1" t="s">
        <v>3523</v>
      </c>
      <c r="D4146" s="1" t="s">
        <v>678</v>
      </c>
      <c r="E4146" s="1" t="s">
        <v>3524</v>
      </c>
      <c r="F4146" s="1">
        <v>66</v>
      </c>
      <c r="G4146" s="1">
        <v>66</v>
      </c>
      <c r="H4146" s="1">
        <v>0</v>
      </c>
      <c r="I4146" s="1">
        <v>72</v>
      </c>
      <c r="J4146" s="1">
        <v>6</v>
      </c>
      <c r="K4146" s="1">
        <v>66</v>
      </c>
    </row>
    <row r="4147" spans="3:11" x14ac:dyDescent="0.25">
      <c r="C4147" s="1" t="s">
        <v>3521</v>
      </c>
      <c r="D4147" s="1" t="s">
        <v>677</v>
      </c>
      <c r="E4147" s="1" t="s">
        <v>3522</v>
      </c>
      <c r="F4147" s="1">
        <v>67</v>
      </c>
      <c r="G4147" s="1">
        <v>67</v>
      </c>
      <c r="H4147" s="1">
        <v>0</v>
      </c>
      <c r="I4147" s="1">
        <v>72</v>
      </c>
      <c r="J4147" s="1">
        <v>5</v>
      </c>
      <c r="K4147" s="1">
        <v>67</v>
      </c>
    </row>
    <row r="4148" spans="3:11" x14ac:dyDescent="0.25">
      <c r="C4148" s="1" t="s">
        <v>2543</v>
      </c>
      <c r="D4148" s="1" t="s">
        <v>602</v>
      </c>
      <c r="E4148" s="1" t="s">
        <v>2544</v>
      </c>
      <c r="F4148" s="1">
        <v>68</v>
      </c>
      <c r="G4148" s="1">
        <v>68</v>
      </c>
      <c r="H4148" s="1">
        <v>0</v>
      </c>
      <c r="I4148" s="1">
        <v>1568</v>
      </c>
      <c r="J4148" s="1">
        <v>1500</v>
      </c>
      <c r="K4148" s="1">
        <v>68</v>
      </c>
    </row>
    <row r="4149" spans="3:11" x14ac:dyDescent="0.25">
      <c r="C4149" s="1" t="s">
        <v>3080</v>
      </c>
      <c r="D4149" s="1" t="s">
        <v>475</v>
      </c>
      <c r="E4149" s="1" t="s">
        <v>3081</v>
      </c>
      <c r="F4149" s="1">
        <v>68</v>
      </c>
      <c r="G4149" s="1">
        <v>68</v>
      </c>
      <c r="H4149" s="1">
        <v>0</v>
      </c>
      <c r="I4149" s="1">
        <v>254</v>
      </c>
      <c r="J4149" s="1">
        <v>186</v>
      </c>
      <c r="K4149" s="1">
        <v>68</v>
      </c>
    </row>
    <row r="4150" spans="3:11" x14ac:dyDescent="0.25">
      <c r="C4150" s="1" t="s">
        <v>4293</v>
      </c>
      <c r="D4150" s="1" t="s">
        <v>4294</v>
      </c>
      <c r="E4150" s="1" t="s">
        <v>4295</v>
      </c>
      <c r="F4150" s="1">
        <v>68</v>
      </c>
      <c r="G4150" s="1">
        <v>68</v>
      </c>
      <c r="H4150" s="1">
        <v>0</v>
      </c>
      <c r="I4150" s="1">
        <v>90</v>
      </c>
      <c r="J4150" s="1">
        <v>22</v>
      </c>
      <c r="K4150" s="1">
        <v>68</v>
      </c>
    </row>
    <row r="4151" spans="3:11" x14ac:dyDescent="0.25">
      <c r="C4151" s="1" t="s">
        <v>1177</v>
      </c>
      <c r="D4151" s="1" t="s">
        <v>105</v>
      </c>
      <c r="E4151" s="1" t="s">
        <v>1178</v>
      </c>
      <c r="F4151" s="1">
        <v>69</v>
      </c>
      <c r="G4151" s="1">
        <v>69</v>
      </c>
      <c r="H4151" s="1">
        <v>0</v>
      </c>
      <c r="I4151" s="1">
        <v>794</v>
      </c>
      <c r="J4151" s="1">
        <v>725</v>
      </c>
      <c r="K4151" s="1">
        <v>69</v>
      </c>
    </row>
    <row r="4152" spans="3:11" x14ac:dyDescent="0.25">
      <c r="C4152" s="1" t="s">
        <v>3110</v>
      </c>
      <c r="D4152" s="1" t="s">
        <v>851</v>
      </c>
      <c r="E4152" s="1" t="s">
        <v>3111</v>
      </c>
      <c r="F4152" s="1">
        <v>69</v>
      </c>
      <c r="G4152" s="1">
        <v>69</v>
      </c>
      <c r="H4152" s="1">
        <v>0</v>
      </c>
      <c r="I4152" s="1">
        <v>239</v>
      </c>
      <c r="J4152" s="1">
        <v>170</v>
      </c>
      <c r="K4152" s="1">
        <v>69</v>
      </c>
    </row>
    <row r="4153" spans="3:11" x14ac:dyDescent="0.25">
      <c r="C4153" s="1" t="s">
        <v>3482</v>
      </c>
      <c r="D4153" s="1" t="s">
        <v>617</v>
      </c>
      <c r="E4153" s="1" t="s">
        <v>3483</v>
      </c>
      <c r="F4153" s="1">
        <v>69</v>
      </c>
      <c r="G4153" s="1">
        <v>69</v>
      </c>
      <c r="H4153" s="1">
        <v>0</v>
      </c>
      <c r="I4153" s="1">
        <v>78</v>
      </c>
      <c r="J4153" s="1">
        <v>9</v>
      </c>
      <c r="K4153" s="1">
        <v>69</v>
      </c>
    </row>
    <row r="4154" spans="3:11" x14ac:dyDescent="0.25">
      <c r="C4154" s="1" t="s">
        <v>4302</v>
      </c>
      <c r="D4154" s="1" t="s">
        <v>4303</v>
      </c>
      <c r="E4154" s="1" t="s">
        <v>4304</v>
      </c>
      <c r="F4154" s="1">
        <v>70</v>
      </c>
      <c r="G4154" s="1">
        <v>70</v>
      </c>
      <c r="H4154" s="1">
        <v>0</v>
      </c>
      <c r="I4154" s="1">
        <v>156</v>
      </c>
      <c r="J4154" s="1">
        <v>86</v>
      </c>
      <c r="K4154" s="1">
        <v>70</v>
      </c>
    </row>
    <row r="4155" spans="3:11" x14ac:dyDescent="0.25">
      <c r="C4155" s="1" t="s">
        <v>1053</v>
      </c>
      <c r="D4155" s="1" t="s">
        <v>80</v>
      </c>
      <c r="E4155" s="1" t="s">
        <v>1054</v>
      </c>
      <c r="F4155" s="1">
        <v>71</v>
      </c>
      <c r="G4155" s="1">
        <v>71</v>
      </c>
      <c r="H4155" s="1">
        <v>0</v>
      </c>
      <c r="I4155" s="1">
        <v>1718</v>
      </c>
      <c r="J4155" s="1">
        <v>1647</v>
      </c>
      <c r="K4155" s="1">
        <v>71</v>
      </c>
    </row>
    <row r="4156" spans="3:11" x14ac:dyDescent="0.25">
      <c r="C4156" s="1" t="s">
        <v>1289</v>
      </c>
      <c r="D4156" s="1" t="s">
        <v>126</v>
      </c>
      <c r="E4156" s="1" t="s">
        <v>1290</v>
      </c>
      <c r="F4156" s="1">
        <v>71</v>
      </c>
      <c r="G4156" s="1">
        <v>71</v>
      </c>
      <c r="H4156" s="1">
        <v>0</v>
      </c>
      <c r="I4156" s="1">
        <v>829</v>
      </c>
      <c r="J4156" s="1">
        <v>758</v>
      </c>
      <c r="K4156" s="1">
        <v>71</v>
      </c>
    </row>
    <row r="4157" spans="3:11" x14ac:dyDescent="0.25">
      <c r="C4157" s="1" t="s">
        <v>4372</v>
      </c>
      <c r="D4157" s="1" t="s">
        <v>4350</v>
      </c>
      <c r="E4157" s="1" t="s">
        <v>4373</v>
      </c>
      <c r="F4157" s="1">
        <v>71</v>
      </c>
      <c r="G4157" s="1">
        <v>71</v>
      </c>
      <c r="H4157" s="1">
        <v>0</v>
      </c>
      <c r="I4157" s="1">
        <v>281</v>
      </c>
      <c r="J4157" s="1">
        <v>210</v>
      </c>
      <c r="K4157" s="1">
        <v>71</v>
      </c>
    </row>
    <row r="4158" spans="3:11" x14ac:dyDescent="0.25">
      <c r="C4158" s="1" t="s">
        <v>3325</v>
      </c>
      <c r="D4158" s="1" t="s">
        <v>613</v>
      </c>
      <c r="E4158" s="1" t="s">
        <v>3326</v>
      </c>
      <c r="F4158" s="1">
        <v>71</v>
      </c>
      <c r="G4158" s="1">
        <v>71</v>
      </c>
      <c r="H4158" s="1">
        <v>0</v>
      </c>
      <c r="I4158" s="1">
        <v>118</v>
      </c>
      <c r="J4158" s="1">
        <v>47</v>
      </c>
      <c r="K4158" s="1">
        <v>71</v>
      </c>
    </row>
    <row r="4159" spans="3:11" x14ac:dyDescent="0.25">
      <c r="C4159" s="1" t="s">
        <v>2415</v>
      </c>
      <c r="D4159" s="1" t="s">
        <v>418</v>
      </c>
      <c r="E4159" s="1" t="s">
        <v>2416</v>
      </c>
      <c r="F4159" s="1">
        <v>73</v>
      </c>
      <c r="G4159" s="1">
        <v>73</v>
      </c>
      <c r="H4159" s="1">
        <v>0</v>
      </c>
      <c r="I4159" s="1">
        <v>3701</v>
      </c>
      <c r="J4159" s="1">
        <v>3628</v>
      </c>
      <c r="K4159" s="1">
        <v>73</v>
      </c>
    </row>
    <row r="4160" spans="3:11" x14ac:dyDescent="0.25">
      <c r="C4160" s="1" t="s">
        <v>992</v>
      </c>
      <c r="D4160" s="1" t="s">
        <v>59</v>
      </c>
      <c r="E4160" s="1" t="s">
        <v>992</v>
      </c>
      <c r="F4160" s="1">
        <v>73</v>
      </c>
      <c r="G4160" s="1">
        <v>73</v>
      </c>
      <c r="H4160" s="1">
        <v>0</v>
      </c>
      <c r="I4160" s="1">
        <v>2225</v>
      </c>
      <c r="J4160" s="1">
        <v>2152</v>
      </c>
      <c r="K4160" s="1">
        <v>73</v>
      </c>
    </row>
    <row r="4161" spans="3:11" x14ac:dyDescent="0.25">
      <c r="C4161" s="1" t="s">
        <v>1309</v>
      </c>
      <c r="D4161" s="1" t="s">
        <v>129</v>
      </c>
      <c r="E4161" s="1" t="s">
        <v>1310</v>
      </c>
      <c r="F4161" s="1">
        <v>78</v>
      </c>
      <c r="G4161" s="1">
        <v>78</v>
      </c>
      <c r="H4161" s="1">
        <v>0</v>
      </c>
      <c r="I4161" s="1">
        <v>503</v>
      </c>
      <c r="J4161" s="1">
        <v>425</v>
      </c>
      <c r="K4161" s="1">
        <v>78</v>
      </c>
    </row>
    <row r="4162" spans="3:11" x14ac:dyDescent="0.25">
      <c r="C4162" s="1" t="s">
        <v>2791</v>
      </c>
      <c r="D4162" s="1" t="s">
        <v>456</v>
      </c>
      <c r="E4162" s="1" t="s">
        <v>2792</v>
      </c>
      <c r="F4162" s="1">
        <v>79</v>
      </c>
      <c r="G4162" s="1">
        <v>79</v>
      </c>
      <c r="H4162" s="1">
        <v>0</v>
      </c>
      <c r="I4162" s="1">
        <v>783</v>
      </c>
      <c r="J4162" s="1">
        <v>704</v>
      </c>
      <c r="K4162" s="1">
        <v>79</v>
      </c>
    </row>
    <row r="4163" spans="3:11" x14ac:dyDescent="0.25">
      <c r="C4163" s="1" t="s">
        <v>12050</v>
      </c>
      <c r="D4163" s="1" t="s">
        <v>12051</v>
      </c>
      <c r="E4163" s="1" t="s">
        <v>12052</v>
      </c>
      <c r="F4163" s="1">
        <v>79</v>
      </c>
      <c r="G4163" s="1">
        <v>79</v>
      </c>
      <c r="H4163" s="1">
        <v>0</v>
      </c>
      <c r="I4163" s="1">
        <v>520</v>
      </c>
      <c r="J4163" s="1">
        <v>441</v>
      </c>
      <c r="K4163" s="1">
        <v>79</v>
      </c>
    </row>
    <row r="4164" spans="3:11" x14ac:dyDescent="0.25">
      <c r="C4164" s="1" t="s">
        <v>1341</v>
      </c>
      <c r="D4164" s="1" t="s">
        <v>133</v>
      </c>
      <c r="E4164" s="1" t="s">
        <v>1342</v>
      </c>
      <c r="F4164" s="1">
        <v>79</v>
      </c>
      <c r="G4164" s="1">
        <v>79</v>
      </c>
      <c r="H4164" s="1">
        <v>0</v>
      </c>
      <c r="I4164" s="1">
        <v>394</v>
      </c>
      <c r="J4164" s="1">
        <v>315</v>
      </c>
      <c r="K4164" s="1">
        <v>79</v>
      </c>
    </row>
    <row r="4165" spans="3:11" x14ac:dyDescent="0.25">
      <c r="C4165" s="1" t="s">
        <v>1197</v>
      </c>
      <c r="D4165" s="1" t="s">
        <v>109</v>
      </c>
      <c r="E4165" s="1" t="s">
        <v>1198</v>
      </c>
      <c r="F4165" s="1">
        <v>80</v>
      </c>
      <c r="G4165" s="1">
        <v>80</v>
      </c>
      <c r="H4165" s="1">
        <v>0</v>
      </c>
      <c r="I4165" s="1">
        <v>706</v>
      </c>
      <c r="J4165" s="1">
        <v>626</v>
      </c>
      <c r="K4165" s="1">
        <v>80</v>
      </c>
    </row>
    <row r="4166" spans="3:11" x14ac:dyDescent="0.25">
      <c r="C4166" s="1" t="s">
        <v>12053</v>
      </c>
      <c r="D4166" s="1" t="s">
        <v>12054</v>
      </c>
      <c r="E4166" s="1" t="s">
        <v>12055</v>
      </c>
      <c r="F4166" s="1">
        <v>80</v>
      </c>
      <c r="G4166" s="1">
        <v>80</v>
      </c>
      <c r="H4166" s="1">
        <v>0</v>
      </c>
      <c r="I4166" s="1">
        <v>80</v>
      </c>
      <c r="J4166" s="1">
        <v>0</v>
      </c>
      <c r="K4166" s="1">
        <v>80</v>
      </c>
    </row>
    <row r="4167" spans="3:11" x14ac:dyDescent="0.25">
      <c r="C4167" s="1" t="s">
        <v>2657</v>
      </c>
      <c r="D4167" s="1" t="s">
        <v>803</v>
      </c>
      <c r="E4167" s="1" t="s">
        <v>2658</v>
      </c>
      <c r="F4167" s="1">
        <v>81</v>
      </c>
      <c r="G4167" s="1">
        <v>81</v>
      </c>
      <c r="H4167" s="1">
        <v>0</v>
      </c>
      <c r="I4167" s="1">
        <v>941</v>
      </c>
      <c r="J4167" s="1">
        <v>860</v>
      </c>
      <c r="K4167" s="1">
        <v>81</v>
      </c>
    </row>
    <row r="4168" spans="3:11" x14ac:dyDescent="0.25">
      <c r="C4168" s="1" t="s">
        <v>2998</v>
      </c>
      <c r="D4168" s="1" t="s">
        <v>468</v>
      </c>
      <c r="E4168" s="1" t="s">
        <v>2999</v>
      </c>
      <c r="F4168" s="1">
        <v>81</v>
      </c>
      <c r="G4168" s="1">
        <v>81</v>
      </c>
      <c r="H4168" s="1">
        <v>0</v>
      </c>
      <c r="I4168" s="1">
        <v>341</v>
      </c>
      <c r="J4168" s="1">
        <v>260</v>
      </c>
      <c r="K4168" s="1">
        <v>81</v>
      </c>
    </row>
    <row r="4169" spans="3:11" x14ac:dyDescent="0.25">
      <c r="C4169" s="1" t="s">
        <v>2637</v>
      </c>
      <c r="D4169" s="1" t="s">
        <v>447</v>
      </c>
      <c r="E4169" s="1" t="s">
        <v>2638</v>
      </c>
      <c r="F4169" s="1">
        <v>82</v>
      </c>
      <c r="G4169" s="1">
        <v>82</v>
      </c>
      <c r="H4169" s="1">
        <v>0</v>
      </c>
      <c r="I4169" s="1">
        <v>993</v>
      </c>
      <c r="J4169" s="1">
        <v>911</v>
      </c>
      <c r="K4169" s="1">
        <v>82</v>
      </c>
    </row>
    <row r="4170" spans="3:11" x14ac:dyDescent="0.25">
      <c r="C4170" s="1" t="s">
        <v>12056</v>
      </c>
      <c r="D4170" s="1" t="s">
        <v>12057</v>
      </c>
      <c r="E4170" s="1" t="s">
        <v>12058</v>
      </c>
      <c r="F4170" s="1">
        <v>82</v>
      </c>
      <c r="G4170" s="1">
        <v>82</v>
      </c>
      <c r="H4170" s="1">
        <v>0</v>
      </c>
      <c r="I4170" s="1">
        <v>87</v>
      </c>
      <c r="J4170" s="1">
        <v>5</v>
      </c>
      <c r="K4170" s="1">
        <v>82</v>
      </c>
    </row>
    <row r="4171" spans="3:11" x14ac:dyDescent="0.25">
      <c r="C4171" s="1" t="s">
        <v>2846</v>
      </c>
      <c r="D4171" s="1" t="s">
        <v>461</v>
      </c>
      <c r="E4171" s="1" t="s">
        <v>2847</v>
      </c>
      <c r="F4171" s="1">
        <v>83</v>
      </c>
      <c r="G4171" s="1">
        <v>83</v>
      </c>
      <c r="H4171" s="1">
        <v>0</v>
      </c>
      <c r="I4171" s="1">
        <v>643</v>
      </c>
      <c r="J4171" s="1">
        <v>560</v>
      </c>
      <c r="K4171" s="1">
        <v>83</v>
      </c>
    </row>
    <row r="4172" spans="3:11" x14ac:dyDescent="0.25">
      <c r="C4172" s="1" t="s">
        <v>3075</v>
      </c>
      <c r="D4172" s="1" t="s">
        <v>728</v>
      </c>
      <c r="E4172" s="1" t="s">
        <v>3076</v>
      </c>
      <c r="F4172" s="1">
        <v>85</v>
      </c>
      <c r="G4172" s="1">
        <v>85</v>
      </c>
      <c r="H4172" s="1">
        <v>0</v>
      </c>
      <c r="I4172" s="1">
        <v>256</v>
      </c>
      <c r="J4172" s="1">
        <v>171</v>
      </c>
      <c r="K4172" s="1">
        <v>85</v>
      </c>
    </row>
    <row r="4173" spans="3:11" x14ac:dyDescent="0.25">
      <c r="C4173" s="1" t="s">
        <v>2360</v>
      </c>
      <c r="D4173" s="1" t="s">
        <v>14</v>
      </c>
      <c r="E4173" s="1" t="s">
        <v>2361</v>
      </c>
      <c r="F4173" s="1">
        <v>86</v>
      </c>
      <c r="G4173" s="1">
        <v>86</v>
      </c>
      <c r="H4173" s="1">
        <v>0</v>
      </c>
      <c r="I4173" s="1">
        <v>8279</v>
      </c>
      <c r="J4173" s="1">
        <v>8193</v>
      </c>
      <c r="K4173" s="1">
        <v>86</v>
      </c>
    </row>
    <row r="4174" spans="3:11" x14ac:dyDescent="0.25">
      <c r="C4174" s="1" t="s">
        <v>4305</v>
      </c>
      <c r="D4174" s="1" t="s">
        <v>4306</v>
      </c>
      <c r="E4174" s="1" t="s">
        <v>4307</v>
      </c>
      <c r="F4174" s="1">
        <v>86</v>
      </c>
      <c r="G4174" s="1">
        <v>86</v>
      </c>
      <c r="H4174" s="1">
        <v>0</v>
      </c>
      <c r="I4174" s="1">
        <v>156</v>
      </c>
      <c r="J4174" s="1">
        <v>70</v>
      </c>
      <c r="K4174" s="1">
        <v>86</v>
      </c>
    </row>
    <row r="4175" spans="3:11" x14ac:dyDescent="0.25">
      <c r="C4175" s="1" t="s">
        <v>12059</v>
      </c>
      <c r="D4175" s="1" t="s">
        <v>12060</v>
      </c>
      <c r="E4175" s="1" t="s">
        <v>12061</v>
      </c>
      <c r="F4175" s="1">
        <v>86</v>
      </c>
      <c r="G4175" s="1">
        <v>86</v>
      </c>
      <c r="H4175" s="1">
        <v>0</v>
      </c>
      <c r="I4175" s="1">
        <v>114</v>
      </c>
      <c r="J4175" s="1">
        <v>28</v>
      </c>
      <c r="K4175" s="1">
        <v>86</v>
      </c>
    </row>
    <row r="4176" spans="3:11" x14ac:dyDescent="0.25">
      <c r="C4176" s="1" t="s">
        <v>621</v>
      </c>
      <c r="D4176" s="1" t="s">
        <v>620</v>
      </c>
      <c r="E4176" s="1" t="s">
        <v>621</v>
      </c>
      <c r="F4176" s="1">
        <v>87</v>
      </c>
      <c r="G4176" s="1">
        <v>87</v>
      </c>
      <c r="H4176" s="1">
        <v>0</v>
      </c>
      <c r="I4176" s="1">
        <v>2613</v>
      </c>
      <c r="J4176" s="1">
        <v>2526</v>
      </c>
      <c r="K4176" s="1">
        <v>87</v>
      </c>
    </row>
    <row r="4177" spans="3:11" x14ac:dyDescent="0.25">
      <c r="C4177" s="1" t="s">
        <v>1203</v>
      </c>
      <c r="D4177" s="1" t="s">
        <v>112</v>
      </c>
      <c r="E4177" s="1" t="s">
        <v>1204</v>
      </c>
      <c r="F4177" s="1">
        <v>87</v>
      </c>
      <c r="G4177" s="1">
        <v>87</v>
      </c>
      <c r="H4177" s="1">
        <v>0</v>
      </c>
      <c r="I4177" s="1">
        <v>920</v>
      </c>
      <c r="J4177" s="1">
        <v>833</v>
      </c>
      <c r="K4177" s="1">
        <v>87</v>
      </c>
    </row>
    <row r="4178" spans="3:11" x14ac:dyDescent="0.25">
      <c r="C4178" s="1" t="s">
        <v>1714</v>
      </c>
      <c r="D4178" s="1" t="s">
        <v>180</v>
      </c>
      <c r="E4178" s="1" t="s">
        <v>1715</v>
      </c>
      <c r="F4178" s="1">
        <v>87</v>
      </c>
      <c r="G4178" s="1">
        <v>87</v>
      </c>
      <c r="H4178" s="1">
        <v>0</v>
      </c>
      <c r="I4178" s="1">
        <v>332</v>
      </c>
      <c r="J4178" s="1">
        <v>245</v>
      </c>
      <c r="K4178" s="1">
        <v>87</v>
      </c>
    </row>
    <row r="4179" spans="3:11" x14ac:dyDescent="0.25">
      <c r="C4179" s="1" t="s">
        <v>3135</v>
      </c>
      <c r="D4179" s="1" t="s">
        <v>2162</v>
      </c>
      <c r="E4179" s="1" t="s">
        <v>3136</v>
      </c>
      <c r="F4179" s="1">
        <v>88</v>
      </c>
      <c r="G4179" s="1">
        <v>88</v>
      </c>
      <c r="H4179" s="1">
        <v>0</v>
      </c>
      <c r="I4179" s="1">
        <v>225</v>
      </c>
      <c r="J4179" s="1">
        <v>137</v>
      </c>
      <c r="K4179" s="1">
        <v>88</v>
      </c>
    </row>
    <row r="4180" spans="3:11" x14ac:dyDescent="0.25">
      <c r="C4180" s="1" t="s">
        <v>2525</v>
      </c>
      <c r="D4180" s="1" t="s">
        <v>435</v>
      </c>
      <c r="E4180" s="1" t="s">
        <v>2526</v>
      </c>
      <c r="F4180" s="1">
        <v>90</v>
      </c>
      <c r="G4180" s="1">
        <v>90</v>
      </c>
      <c r="H4180" s="1">
        <v>0</v>
      </c>
      <c r="I4180" s="1">
        <v>1808</v>
      </c>
      <c r="J4180" s="1">
        <v>1718</v>
      </c>
      <c r="K4180" s="1">
        <v>90</v>
      </c>
    </row>
    <row r="4181" spans="3:11" x14ac:dyDescent="0.25">
      <c r="C4181" s="1" t="s">
        <v>2484</v>
      </c>
      <c r="D4181" s="1" t="s">
        <v>425</v>
      </c>
      <c r="E4181" s="1" t="s">
        <v>2485</v>
      </c>
      <c r="F4181" s="1">
        <v>92</v>
      </c>
      <c r="G4181" s="1">
        <v>92</v>
      </c>
      <c r="H4181" s="1">
        <v>0</v>
      </c>
      <c r="I4181" s="1">
        <v>2195</v>
      </c>
      <c r="J4181" s="1">
        <v>2103</v>
      </c>
      <c r="K4181" s="1">
        <v>92</v>
      </c>
    </row>
    <row r="4182" spans="3:11" x14ac:dyDescent="0.25">
      <c r="C4182" s="1" t="s">
        <v>2925</v>
      </c>
      <c r="D4182" s="1" t="s">
        <v>2170</v>
      </c>
      <c r="E4182" s="1" t="s">
        <v>2926</v>
      </c>
      <c r="F4182" s="1">
        <v>93</v>
      </c>
      <c r="G4182" s="1">
        <v>93</v>
      </c>
      <c r="H4182" s="1">
        <v>0</v>
      </c>
      <c r="I4182" s="1">
        <v>434</v>
      </c>
      <c r="J4182" s="1">
        <v>341</v>
      </c>
      <c r="K4182" s="1">
        <v>93</v>
      </c>
    </row>
    <row r="4183" spans="3:11" x14ac:dyDescent="0.25">
      <c r="C4183" s="1" t="s">
        <v>1453</v>
      </c>
      <c r="D4183" s="1" t="s">
        <v>146</v>
      </c>
      <c r="E4183" s="1" t="s">
        <v>1454</v>
      </c>
      <c r="F4183" s="1">
        <v>93</v>
      </c>
      <c r="G4183" s="1">
        <v>93</v>
      </c>
      <c r="H4183" s="1">
        <v>0</v>
      </c>
      <c r="I4183" s="1">
        <v>366</v>
      </c>
      <c r="J4183" s="1">
        <v>273</v>
      </c>
      <c r="K4183" s="1">
        <v>93</v>
      </c>
    </row>
    <row r="4184" spans="3:11" x14ac:dyDescent="0.25">
      <c r="C4184" s="1" t="s">
        <v>1135</v>
      </c>
      <c r="D4184" s="1" t="s">
        <v>1136</v>
      </c>
      <c r="E4184" s="1" t="s">
        <v>1137</v>
      </c>
      <c r="F4184" s="1">
        <v>94</v>
      </c>
      <c r="G4184" s="1">
        <v>94</v>
      </c>
      <c r="H4184" s="1">
        <v>0</v>
      </c>
      <c r="I4184" s="1">
        <v>980</v>
      </c>
      <c r="J4184" s="1">
        <v>886</v>
      </c>
      <c r="K4184" s="1">
        <v>94</v>
      </c>
    </row>
    <row r="4185" spans="3:11" x14ac:dyDescent="0.25">
      <c r="C4185" s="1" t="s">
        <v>2733</v>
      </c>
      <c r="D4185" s="1" t="s">
        <v>459</v>
      </c>
      <c r="E4185" s="1" t="s">
        <v>2734</v>
      </c>
      <c r="F4185" s="1">
        <v>94</v>
      </c>
      <c r="G4185" s="1">
        <v>94</v>
      </c>
      <c r="H4185" s="1">
        <v>0</v>
      </c>
      <c r="I4185" s="1">
        <v>749</v>
      </c>
      <c r="J4185" s="1">
        <v>655</v>
      </c>
      <c r="K4185" s="1">
        <v>94</v>
      </c>
    </row>
    <row r="4186" spans="3:11" x14ac:dyDescent="0.25">
      <c r="C4186" s="1" t="s">
        <v>1163</v>
      </c>
      <c r="D4186" s="1" t="s">
        <v>104</v>
      </c>
      <c r="E4186" s="1" t="s">
        <v>1164</v>
      </c>
      <c r="F4186" s="1">
        <v>97</v>
      </c>
      <c r="G4186" s="1">
        <v>97</v>
      </c>
      <c r="H4186" s="1">
        <v>0</v>
      </c>
      <c r="I4186" s="1">
        <v>807</v>
      </c>
      <c r="J4186" s="1">
        <v>710</v>
      </c>
      <c r="K4186" s="1">
        <v>97</v>
      </c>
    </row>
    <row r="4187" spans="3:11" x14ac:dyDescent="0.25">
      <c r="C4187" s="1" t="s">
        <v>2680</v>
      </c>
      <c r="D4187" s="1" t="s">
        <v>809</v>
      </c>
      <c r="E4187" s="1" t="s">
        <v>2681</v>
      </c>
      <c r="F4187" s="1">
        <v>98</v>
      </c>
      <c r="G4187" s="1">
        <v>98</v>
      </c>
      <c r="H4187" s="1">
        <v>0</v>
      </c>
      <c r="I4187" s="1">
        <v>871</v>
      </c>
      <c r="J4187" s="1">
        <v>773</v>
      </c>
      <c r="K4187" s="1">
        <v>98</v>
      </c>
    </row>
    <row r="4188" spans="3:11" x14ac:dyDescent="0.25">
      <c r="C4188" s="1" t="s">
        <v>2158</v>
      </c>
      <c r="D4188" s="1" t="s">
        <v>2159</v>
      </c>
      <c r="E4188" s="1" t="s">
        <v>2160</v>
      </c>
      <c r="F4188" s="1">
        <v>98</v>
      </c>
      <c r="G4188" s="1">
        <v>98</v>
      </c>
      <c r="H4188" s="1">
        <v>0</v>
      </c>
      <c r="I4188" s="1">
        <v>485</v>
      </c>
      <c r="J4188" s="1">
        <v>387</v>
      </c>
      <c r="K4188" s="1">
        <v>98</v>
      </c>
    </row>
    <row r="4189" spans="3:11" x14ac:dyDescent="0.25">
      <c r="C4189" s="1" t="s">
        <v>3123</v>
      </c>
      <c r="D4189" s="1" t="s">
        <v>487</v>
      </c>
      <c r="E4189" s="1" t="s">
        <v>3124</v>
      </c>
      <c r="F4189" s="1">
        <v>98</v>
      </c>
      <c r="G4189" s="1">
        <v>98</v>
      </c>
      <c r="H4189" s="1">
        <v>0</v>
      </c>
      <c r="I4189" s="1">
        <v>227</v>
      </c>
      <c r="J4189" s="1">
        <v>129</v>
      </c>
      <c r="K4189" s="1">
        <v>98</v>
      </c>
    </row>
    <row r="4190" spans="3:11" x14ac:dyDescent="0.25">
      <c r="C4190" s="1" t="s">
        <v>2409</v>
      </c>
      <c r="D4190" s="1" t="s">
        <v>682</v>
      </c>
      <c r="E4190" s="1" t="s">
        <v>2410</v>
      </c>
      <c r="F4190" s="1">
        <v>101</v>
      </c>
      <c r="G4190" s="1">
        <v>101</v>
      </c>
      <c r="H4190" s="1">
        <v>0</v>
      </c>
      <c r="I4190" s="1">
        <v>3966</v>
      </c>
      <c r="J4190" s="1">
        <v>3865</v>
      </c>
      <c r="K4190" s="1">
        <v>101</v>
      </c>
    </row>
    <row r="4191" spans="3:11" x14ac:dyDescent="0.25">
      <c r="C4191" s="1" t="s">
        <v>2888</v>
      </c>
      <c r="D4191" s="1" t="s">
        <v>604</v>
      </c>
      <c r="E4191" s="1" t="s">
        <v>2889</v>
      </c>
      <c r="F4191" s="1">
        <v>101</v>
      </c>
      <c r="G4191" s="1">
        <v>101</v>
      </c>
      <c r="H4191" s="1">
        <v>0</v>
      </c>
      <c r="I4191" s="1">
        <v>483</v>
      </c>
      <c r="J4191" s="1">
        <v>382</v>
      </c>
      <c r="K4191" s="1">
        <v>101</v>
      </c>
    </row>
    <row r="4192" spans="3:11" x14ac:dyDescent="0.25">
      <c r="C4192" s="1" t="s">
        <v>12062</v>
      </c>
      <c r="D4192" s="1" t="s">
        <v>12063</v>
      </c>
      <c r="E4192" s="1" t="s">
        <v>12064</v>
      </c>
      <c r="F4192" s="1">
        <v>102</v>
      </c>
      <c r="G4192" s="1">
        <v>102</v>
      </c>
      <c r="H4192" s="1">
        <v>0</v>
      </c>
      <c r="I4192" s="1">
        <v>1505</v>
      </c>
      <c r="J4192" s="1">
        <v>1403</v>
      </c>
      <c r="K4192" s="1">
        <v>102</v>
      </c>
    </row>
    <row r="4193" spans="3:11" x14ac:dyDescent="0.25">
      <c r="C4193" s="1" t="s">
        <v>2954</v>
      </c>
      <c r="D4193" s="1" t="s">
        <v>662</v>
      </c>
      <c r="E4193" s="1" t="s">
        <v>2955</v>
      </c>
      <c r="F4193" s="1">
        <v>102</v>
      </c>
      <c r="G4193" s="1">
        <v>102</v>
      </c>
      <c r="H4193" s="1">
        <v>0</v>
      </c>
      <c r="I4193" s="1">
        <v>395</v>
      </c>
      <c r="J4193" s="1">
        <v>293</v>
      </c>
      <c r="K4193" s="1">
        <v>102</v>
      </c>
    </row>
    <row r="4194" spans="3:11" x14ac:dyDescent="0.25">
      <c r="C4194" s="1" t="s">
        <v>2081</v>
      </c>
      <c r="D4194" s="1" t="s">
        <v>2082</v>
      </c>
      <c r="E4194" s="1" t="s">
        <v>2083</v>
      </c>
      <c r="F4194" s="1">
        <v>102</v>
      </c>
      <c r="G4194" s="1">
        <v>102</v>
      </c>
      <c r="H4194" s="1">
        <v>0</v>
      </c>
      <c r="I4194" s="1">
        <v>362</v>
      </c>
      <c r="J4194" s="1">
        <v>260</v>
      </c>
      <c r="K4194" s="1">
        <v>102</v>
      </c>
    </row>
    <row r="4195" spans="3:11" x14ac:dyDescent="0.25">
      <c r="C4195" s="1" t="s">
        <v>12065</v>
      </c>
      <c r="D4195" s="1" t="s">
        <v>12066</v>
      </c>
      <c r="E4195" s="1" t="s">
        <v>12065</v>
      </c>
      <c r="F4195" s="1">
        <v>102</v>
      </c>
      <c r="G4195" s="1">
        <v>102</v>
      </c>
      <c r="H4195" s="1">
        <v>0</v>
      </c>
      <c r="I4195" s="1">
        <v>149</v>
      </c>
      <c r="J4195" s="1">
        <v>47</v>
      </c>
      <c r="K4195" s="1">
        <v>102</v>
      </c>
    </row>
    <row r="4196" spans="3:11" x14ac:dyDescent="0.25">
      <c r="C4196" s="1" t="s">
        <v>1154</v>
      </c>
      <c r="D4196" s="1" t="s">
        <v>101</v>
      </c>
      <c r="E4196" s="1" t="s">
        <v>1155</v>
      </c>
      <c r="F4196" s="1">
        <v>104</v>
      </c>
      <c r="G4196" s="1">
        <v>104</v>
      </c>
      <c r="H4196" s="1">
        <v>0</v>
      </c>
      <c r="I4196" s="1">
        <v>2134</v>
      </c>
      <c r="J4196" s="1">
        <v>2030</v>
      </c>
      <c r="K4196" s="1">
        <v>104</v>
      </c>
    </row>
    <row r="4197" spans="3:11" x14ac:dyDescent="0.25">
      <c r="C4197" s="1" t="s">
        <v>2564</v>
      </c>
      <c r="D4197" s="1" t="s">
        <v>442</v>
      </c>
      <c r="E4197" s="1" t="s">
        <v>2565</v>
      </c>
      <c r="F4197" s="1">
        <v>104</v>
      </c>
      <c r="G4197" s="1">
        <v>104</v>
      </c>
      <c r="H4197" s="1">
        <v>0</v>
      </c>
      <c r="I4197" s="1">
        <v>1454</v>
      </c>
      <c r="J4197" s="1">
        <v>1350</v>
      </c>
      <c r="K4197" s="1">
        <v>104</v>
      </c>
    </row>
    <row r="4198" spans="3:11" x14ac:dyDescent="0.25">
      <c r="C4198" s="1" t="s">
        <v>950</v>
      </c>
      <c r="D4198" s="1" t="s">
        <v>47</v>
      </c>
      <c r="E4198" s="1" t="s">
        <v>951</v>
      </c>
      <c r="F4198" s="1">
        <v>106</v>
      </c>
      <c r="G4198" s="1">
        <v>106</v>
      </c>
      <c r="H4198" s="1">
        <v>0</v>
      </c>
      <c r="I4198" s="1">
        <v>3269</v>
      </c>
      <c r="J4198" s="1">
        <v>3163</v>
      </c>
      <c r="K4198" s="1">
        <v>106</v>
      </c>
    </row>
    <row r="4199" spans="3:11" x14ac:dyDescent="0.25">
      <c r="C4199" s="1" t="s">
        <v>2513</v>
      </c>
      <c r="D4199" s="1" t="s">
        <v>431</v>
      </c>
      <c r="E4199" s="1" t="s">
        <v>2514</v>
      </c>
      <c r="F4199" s="1">
        <v>106</v>
      </c>
      <c r="G4199" s="1">
        <v>106</v>
      </c>
      <c r="H4199" s="1">
        <v>0</v>
      </c>
      <c r="I4199" s="1">
        <v>1871</v>
      </c>
      <c r="J4199" s="1">
        <v>1765</v>
      </c>
      <c r="K4199" s="1">
        <v>106</v>
      </c>
    </row>
    <row r="4200" spans="3:11" x14ac:dyDescent="0.25">
      <c r="C4200" s="1" t="s">
        <v>12067</v>
      </c>
      <c r="D4200" s="1" t="s">
        <v>12068</v>
      </c>
      <c r="E4200" s="1" t="s">
        <v>12069</v>
      </c>
      <c r="F4200" s="1">
        <v>107</v>
      </c>
      <c r="G4200" s="1">
        <v>107</v>
      </c>
      <c r="H4200" s="1">
        <v>0</v>
      </c>
      <c r="I4200" s="1">
        <v>1897</v>
      </c>
      <c r="J4200" s="1">
        <v>1790</v>
      </c>
      <c r="K4200" s="1">
        <v>107</v>
      </c>
    </row>
    <row r="4201" spans="3:11" x14ac:dyDescent="0.25">
      <c r="C4201" s="1" t="s">
        <v>2756</v>
      </c>
      <c r="D4201" s="1" t="s">
        <v>2168</v>
      </c>
      <c r="E4201" s="1" t="s">
        <v>2757</v>
      </c>
      <c r="F4201" s="1">
        <v>107</v>
      </c>
      <c r="G4201" s="1">
        <v>107</v>
      </c>
      <c r="H4201" s="1">
        <v>0</v>
      </c>
      <c r="I4201" s="1">
        <v>723</v>
      </c>
      <c r="J4201" s="1">
        <v>616</v>
      </c>
      <c r="K4201" s="1">
        <v>107</v>
      </c>
    </row>
    <row r="4202" spans="3:11" x14ac:dyDescent="0.25">
      <c r="C4202" s="1" t="s">
        <v>4364</v>
      </c>
      <c r="D4202" s="1" t="s">
        <v>4354</v>
      </c>
      <c r="E4202" s="1" t="s">
        <v>4365</v>
      </c>
      <c r="F4202" s="1">
        <v>108</v>
      </c>
      <c r="G4202" s="1">
        <v>108</v>
      </c>
      <c r="H4202" s="1">
        <v>0</v>
      </c>
      <c r="I4202" s="1">
        <v>528</v>
      </c>
      <c r="J4202" s="1">
        <v>420</v>
      </c>
      <c r="K4202" s="1">
        <v>108</v>
      </c>
    </row>
    <row r="4203" spans="3:11" x14ac:dyDescent="0.25">
      <c r="C4203" s="1" t="s">
        <v>3055</v>
      </c>
      <c r="D4203" s="1" t="s">
        <v>849</v>
      </c>
      <c r="E4203" s="1" t="s">
        <v>3056</v>
      </c>
      <c r="F4203" s="1">
        <v>108</v>
      </c>
      <c r="G4203" s="1">
        <v>108</v>
      </c>
      <c r="H4203" s="1">
        <v>0</v>
      </c>
      <c r="I4203" s="1">
        <v>280</v>
      </c>
      <c r="J4203" s="1">
        <v>172</v>
      </c>
      <c r="K4203" s="1">
        <v>108</v>
      </c>
    </row>
    <row r="4204" spans="3:11" x14ac:dyDescent="0.25">
      <c r="C4204" s="1" t="s">
        <v>2369</v>
      </c>
      <c r="D4204" s="1" t="s">
        <v>20</v>
      </c>
      <c r="E4204" s="1" t="s">
        <v>2370</v>
      </c>
      <c r="F4204" s="1">
        <v>109</v>
      </c>
      <c r="G4204" s="1">
        <v>109</v>
      </c>
      <c r="H4204" s="1">
        <v>0</v>
      </c>
      <c r="I4204" s="1">
        <v>6089</v>
      </c>
      <c r="J4204" s="1">
        <v>5980</v>
      </c>
      <c r="K4204" s="1">
        <v>109</v>
      </c>
    </row>
    <row r="4205" spans="3:11" x14ac:dyDescent="0.25">
      <c r="C4205" s="1" t="s">
        <v>12070</v>
      </c>
      <c r="D4205" s="1" t="s">
        <v>12071</v>
      </c>
      <c r="E4205" s="1" t="s">
        <v>12072</v>
      </c>
      <c r="F4205" s="1">
        <v>109</v>
      </c>
      <c r="G4205" s="1">
        <v>109</v>
      </c>
      <c r="H4205" s="1">
        <v>0</v>
      </c>
      <c r="I4205" s="1">
        <v>1105</v>
      </c>
      <c r="J4205" s="1">
        <v>996</v>
      </c>
      <c r="K4205" s="1">
        <v>109</v>
      </c>
    </row>
    <row r="4206" spans="3:11" x14ac:dyDescent="0.25">
      <c r="C4206" s="1" t="s">
        <v>2768</v>
      </c>
      <c r="D4206" s="1" t="s">
        <v>464</v>
      </c>
      <c r="E4206" s="1" t="s">
        <v>2769</v>
      </c>
      <c r="F4206" s="1">
        <v>109</v>
      </c>
      <c r="G4206" s="1">
        <v>109</v>
      </c>
      <c r="H4206" s="1">
        <v>0</v>
      </c>
      <c r="I4206" s="1">
        <v>717</v>
      </c>
      <c r="J4206" s="1">
        <v>608</v>
      </c>
      <c r="K4206" s="1">
        <v>109</v>
      </c>
    </row>
    <row r="4207" spans="3:11" x14ac:dyDescent="0.25">
      <c r="C4207" s="1" t="s">
        <v>3102</v>
      </c>
      <c r="D4207" s="1" t="s">
        <v>476</v>
      </c>
      <c r="E4207" s="1" t="s">
        <v>3103</v>
      </c>
      <c r="F4207" s="1">
        <v>110</v>
      </c>
      <c r="G4207" s="1">
        <v>110</v>
      </c>
      <c r="H4207" s="1">
        <v>0</v>
      </c>
      <c r="I4207" s="1">
        <v>242</v>
      </c>
      <c r="J4207" s="1">
        <v>132</v>
      </c>
      <c r="K4207" s="1">
        <v>110</v>
      </c>
    </row>
    <row r="4208" spans="3:11" x14ac:dyDescent="0.25">
      <c r="C4208" s="1" t="s">
        <v>4264</v>
      </c>
      <c r="D4208" s="1" t="s">
        <v>4265</v>
      </c>
      <c r="E4208" s="1" t="s">
        <v>4266</v>
      </c>
      <c r="F4208" s="1">
        <v>110</v>
      </c>
      <c r="G4208" s="1">
        <v>110</v>
      </c>
      <c r="H4208" s="1">
        <v>0</v>
      </c>
      <c r="I4208" s="1">
        <v>160</v>
      </c>
      <c r="J4208" s="1">
        <v>50</v>
      </c>
      <c r="K4208" s="1">
        <v>110</v>
      </c>
    </row>
    <row r="4209" spans="3:11" x14ac:dyDescent="0.25">
      <c r="C4209" s="1" t="s">
        <v>12073</v>
      </c>
      <c r="D4209" s="1" t="s">
        <v>12074</v>
      </c>
      <c r="E4209" s="1" t="s">
        <v>12073</v>
      </c>
      <c r="F4209" s="1">
        <v>110</v>
      </c>
      <c r="G4209" s="1">
        <v>110</v>
      </c>
      <c r="H4209" s="1">
        <v>0</v>
      </c>
      <c r="I4209" s="1">
        <v>110</v>
      </c>
      <c r="J4209" s="1">
        <v>0</v>
      </c>
      <c r="K4209" s="1">
        <v>110</v>
      </c>
    </row>
    <row r="4210" spans="3:11" x14ac:dyDescent="0.25">
      <c r="C4210" s="1" t="s">
        <v>4362</v>
      </c>
      <c r="D4210" s="1" t="s">
        <v>4348</v>
      </c>
      <c r="E4210" s="1" t="s">
        <v>4363</v>
      </c>
      <c r="F4210" s="1">
        <v>111</v>
      </c>
      <c r="G4210" s="1">
        <v>111</v>
      </c>
      <c r="H4210" s="1">
        <v>0</v>
      </c>
      <c r="I4210" s="1">
        <v>721</v>
      </c>
      <c r="J4210" s="1">
        <v>610</v>
      </c>
      <c r="K4210" s="1">
        <v>111</v>
      </c>
    </row>
    <row r="4211" spans="3:11" x14ac:dyDescent="0.25">
      <c r="C4211" s="1" t="s">
        <v>1476</v>
      </c>
      <c r="D4211" s="1" t="s">
        <v>153</v>
      </c>
      <c r="E4211" s="1" t="s">
        <v>1477</v>
      </c>
      <c r="F4211" s="1">
        <v>111</v>
      </c>
      <c r="G4211" s="1">
        <v>111</v>
      </c>
      <c r="H4211" s="1">
        <v>0</v>
      </c>
      <c r="I4211" s="1">
        <v>283</v>
      </c>
      <c r="J4211" s="1">
        <v>172</v>
      </c>
      <c r="K4211" s="1">
        <v>111</v>
      </c>
    </row>
    <row r="4212" spans="3:11" x14ac:dyDescent="0.25">
      <c r="C4212" s="1" t="s">
        <v>12075</v>
      </c>
      <c r="D4212" s="1" t="s">
        <v>12076</v>
      </c>
      <c r="E4212" s="1" t="s">
        <v>12077</v>
      </c>
      <c r="F4212" s="1">
        <v>111</v>
      </c>
      <c r="G4212" s="1">
        <v>111</v>
      </c>
      <c r="H4212" s="1">
        <v>0</v>
      </c>
      <c r="I4212" s="1">
        <v>111</v>
      </c>
      <c r="J4212" s="1">
        <v>0</v>
      </c>
      <c r="K4212" s="1">
        <v>111</v>
      </c>
    </row>
    <row r="4213" spans="3:11" x14ac:dyDescent="0.25">
      <c r="C4213" s="1" t="s">
        <v>12078</v>
      </c>
      <c r="D4213" s="1" t="s">
        <v>12079</v>
      </c>
      <c r="E4213" s="1" t="s">
        <v>12080</v>
      </c>
      <c r="F4213" s="1">
        <v>112</v>
      </c>
      <c r="G4213" s="1">
        <v>112</v>
      </c>
      <c r="H4213" s="1">
        <v>0</v>
      </c>
      <c r="I4213" s="1">
        <v>213</v>
      </c>
      <c r="J4213" s="1">
        <v>101</v>
      </c>
      <c r="K4213" s="1">
        <v>112</v>
      </c>
    </row>
    <row r="4214" spans="3:11" x14ac:dyDescent="0.25">
      <c r="C4214" s="1" t="s">
        <v>2503</v>
      </c>
      <c r="D4214" s="1" t="s">
        <v>428</v>
      </c>
      <c r="E4214" s="1" t="s">
        <v>2504</v>
      </c>
      <c r="F4214" s="1">
        <v>115</v>
      </c>
      <c r="G4214" s="1">
        <v>115</v>
      </c>
      <c r="H4214" s="1">
        <v>0</v>
      </c>
      <c r="I4214" s="1">
        <v>1994</v>
      </c>
      <c r="J4214" s="1">
        <v>1879</v>
      </c>
      <c r="K4214" s="1">
        <v>115</v>
      </c>
    </row>
    <row r="4215" spans="3:11" x14ac:dyDescent="0.25">
      <c r="C4215" s="1" t="s">
        <v>1055</v>
      </c>
      <c r="D4215" s="1" t="s">
        <v>81</v>
      </c>
      <c r="E4215" s="1" t="s">
        <v>1056</v>
      </c>
      <c r="F4215" s="1">
        <v>116</v>
      </c>
      <c r="G4215" s="1">
        <v>116</v>
      </c>
      <c r="H4215" s="1">
        <v>0</v>
      </c>
      <c r="I4215" s="1">
        <v>1426</v>
      </c>
      <c r="J4215" s="1">
        <v>1310</v>
      </c>
      <c r="K4215" s="1">
        <v>116</v>
      </c>
    </row>
    <row r="4216" spans="3:11" x14ac:dyDescent="0.25">
      <c r="C4216" s="1" t="s">
        <v>2698</v>
      </c>
      <c r="D4216" s="1" t="s">
        <v>668</v>
      </c>
      <c r="E4216" s="1" t="s">
        <v>2699</v>
      </c>
      <c r="F4216" s="1">
        <v>116</v>
      </c>
      <c r="G4216" s="1">
        <v>116</v>
      </c>
      <c r="H4216" s="1">
        <v>0</v>
      </c>
      <c r="I4216" s="1">
        <v>818</v>
      </c>
      <c r="J4216" s="1">
        <v>702</v>
      </c>
      <c r="K4216" s="1">
        <v>116</v>
      </c>
    </row>
    <row r="4217" spans="3:11" x14ac:dyDescent="0.25">
      <c r="C4217" s="1" t="s">
        <v>2996</v>
      </c>
      <c r="D4217" s="1" t="s">
        <v>2152</v>
      </c>
      <c r="E4217" s="1" t="s">
        <v>2997</v>
      </c>
      <c r="F4217" s="1">
        <v>116</v>
      </c>
      <c r="G4217" s="1">
        <v>116</v>
      </c>
      <c r="H4217" s="1">
        <v>0</v>
      </c>
      <c r="I4217" s="1">
        <v>345</v>
      </c>
      <c r="J4217" s="1">
        <v>229</v>
      </c>
      <c r="K4217" s="1">
        <v>116</v>
      </c>
    </row>
    <row r="4218" spans="3:11" x14ac:dyDescent="0.25">
      <c r="C4218" s="1" t="s">
        <v>2358</v>
      </c>
      <c r="D4218" s="1" t="s">
        <v>9</v>
      </c>
      <c r="E4218" s="1" t="s">
        <v>2359</v>
      </c>
      <c r="F4218" s="1">
        <v>117</v>
      </c>
      <c r="G4218" s="1">
        <v>117</v>
      </c>
      <c r="H4218" s="1">
        <v>0</v>
      </c>
      <c r="I4218" s="1">
        <v>9630</v>
      </c>
      <c r="J4218" s="1">
        <v>9513</v>
      </c>
      <c r="K4218" s="1">
        <v>117</v>
      </c>
    </row>
    <row r="4219" spans="3:11" x14ac:dyDescent="0.25">
      <c r="C4219" s="1" t="s">
        <v>1481</v>
      </c>
      <c r="D4219" s="1" t="s">
        <v>154</v>
      </c>
      <c r="E4219" s="1" t="s">
        <v>1482</v>
      </c>
      <c r="F4219" s="1">
        <v>117</v>
      </c>
      <c r="G4219" s="1">
        <v>117</v>
      </c>
      <c r="H4219" s="1">
        <v>0</v>
      </c>
      <c r="I4219" s="1">
        <v>290</v>
      </c>
      <c r="J4219" s="1">
        <v>173</v>
      </c>
      <c r="K4219" s="1">
        <v>117</v>
      </c>
    </row>
    <row r="4220" spans="3:11" x14ac:dyDescent="0.25">
      <c r="C4220" s="1" t="s">
        <v>2585</v>
      </c>
      <c r="D4220" s="1" t="s">
        <v>688</v>
      </c>
      <c r="E4220" s="1" t="s">
        <v>2586</v>
      </c>
      <c r="F4220" s="1">
        <v>118</v>
      </c>
      <c r="G4220" s="1">
        <v>118</v>
      </c>
      <c r="H4220" s="1">
        <v>0</v>
      </c>
      <c r="I4220" s="1">
        <v>1310</v>
      </c>
      <c r="J4220" s="1">
        <v>1192</v>
      </c>
      <c r="K4220" s="1">
        <v>118</v>
      </c>
    </row>
    <row r="4221" spans="3:11" x14ac:dyDescent="0.25">
      <c r="C4221" s="1" t="s">
        <v>1449</v>
      </c>
      <c r="D4221" s="1" t="s">
        <v>145</v>
      </c>
      <c r="E4221" s="1" t="s">
        <v>1450</v>
      </c>
      <c r="F4221" s="1">
        <v>118</v>
      </c>
      <c r="G4221" s="1">
        <v>118</v>
      </c>
      <c r="H4221" s="1">
        <v>0</v>
      </c>
      <c r="I4221" s="1">
        <v>625</v>
      </c>
      <c r="J4221" s="1">
        <v>507</v>
      </c>
      <c r="K4221" s="1">
        <v>118</v>
      </c>
    </row>
    <row r="4222" spans="3:11" x14ac:dyDescent="0.25">
      <c r="C4222" s="1" t="s">
        <v>12081</v>
      </c>
      <c r="D4222" s="1" t="s">
        <v>12082</v>
      </c>
      <c r="E4222" s="1" t="s">
        <v>12083</v>
      </c>
      <c r="F4222" s="1">
        <v>119</v>
      </c>
      <c r="G4222" s="1">
        <v>119</v>
      </c>
      <c r="H4222" s="1">
        <v>0</v>
      </c>
      <c r="I4222" s="1">
        <v>721</v>
      </c>
      <c r="J4222" s="1">
        <v>602</v>
      </c>
      <c r="K4222" s="1">
        <v>119</v>
      </c>
    </row>
    <row r="4223" spans="3:11" x14ac:dyDescent="0.25">
      <c r="C4223" s="1" t="s">
        <v>12084</v>
      </c>
      <c r="D4223" s="1" t="s">
        <v>12085</v>
      </c>
      <c r="E4223" s="1" t="s">
        <v>12086</v>
      </c>
      <c r="F4223" s="1">
        <v>119</v>
      </c>
      <c r="G4223" s="1">
        <v>119</v>
      </c>
      <c r="H4223" s="1">
        <v>0</v>
      </c>
      <c r="I4223" s="1">
        <v>199</v>
      </c>
      <c r="J4223" s="1">
        <v>80</v>
      </c>
      <c r="K4223" s="1">
        <v>119</v>
      </c>
    </row>
    <row r="4224" spans="3:11" x14ac:dyDescent="0.25">
      <c r="C4224" s="1" t="s">
        <v>1148</v>
      </c>
      <c r="D4224" s="1" t="s">
        <v>98</v>
      </c>
      <c r="E4224" s="1" t="s">
        <v>1149</v>
      </c>
      <c r="F4224" s="1">
        <v>121</v>
      </c>
      <c r="G4224" s="1">
        <v>121</v>
      </c>
      <c r="H4224" s="1">
        <v>0</v>
      </c>
      <c r="I4224" s="1">
        <v>898</v>
      </c>
      <c r="J4224" s="1">
        <v>777</v>
      </c>
      <c r="K4224" s="1">
        <v>121</v>
      </c>
    </row>
    <row r="4225" spans="3:11" x14ac:dyDescent="0.25">
      <c r="C4225" s="1" t="s">
        <v>12087</v>
      </c>
      <c r="D4225" s="1" t="s">
        <v>12088</v>
      </c>
      <c r="E4225" s="1" t="s">
        <v>12089</v>
      </c>
      <c r="F4225" s="1">
        <v>122</v>
      </c>
      <c r="G4225" s="1">
        <v>122</v>
      </c>
      <c r="H4225" s="1">
        <v>0</v>
      </c>
      <c r="I4225" s="1">
        <v>267</v>
      </c>
      <c r="J4225" s="1">
        <v>145</v>
      </c>
      <c r="K4225" s="1">
        <v>122</v>
      </c>
    </row>
    <row r="4226" spans="3:11" x14ac:dyDescent="0.25">
      <c r="C4226" s="1" t="s">
        <v>12090</v>
      </c>
      <c r="D4226" s="1" t="s">
        <v>12091</v>
      </c>
      <c r="E4226" s="1" t="s">
        <v>12092</v>
      </c>
      <c r="F4226" s="1">
        <v>123</v>
      </c>
      <c r="G4226" s="1">
        <v>123</v>
      </c>
      <c r="H4226" s="1">
        <v>0</v>
      </c>
      <c r="I4226" s="1">
        <v>1157</v>
      </c>
      <c r="J4226" s="1">
        <v>1034</v>
      </c>
      <c r="K4226" s="1">
        <v>123</v>
      </c>
    </row>
    <row r="4227" spans="3:11" x14ac:dyDescent="0.25">
      <c r="C4227" s="1" t="s">
        <v>2974</v>
      </c>
      <c r="D4227" s="1" t="s">
        <v>705</v>
      </c>
      <c r="E4227" s="1" t="s">
        <v>2975</v>
      </c>
      <c r="F4227" s="1">
        <v>123</v>
      </c>
      <c r="G4227" s="1">
        <v>123</v>
      </c>
      <c r="H4227" s="1">
        <v>0</v>
      </c>
      <c r="I4227" s="1">
        <v>362</v>
      </c>
      <c r="J4227" s="1">
        <v>239</v>
      </c>
      <c r="K4227" s="1">
        <v>123</v>
      </c>
    </row>
    <row r="4228" spans="3:11" x14ac:dyDescent="0.25">
      <c r="C4228" s="1" t="s">
        <v>1451</v>
      </c>
      <c r="D4228" s="1" t="s">
        <v>172</v>
      </c>
      <c r="E4228" s="1" t="s">
        <v>1452</v>
      </c>
      <c r="F4228" s="1">
        <v>124</v>
      </c>
      <c r="G4228" s="1">
        <v>124</v>
      </c>
      <c r="H4228" s="1">
        <v>0</v>
      </c>
      <c r="I4228" s="1">
        <v>468</v>
      </c>
      <c r="J4228" s="1">
        <v>344</v>
      </c>
      <c r="K4228" s="1">
        <v>124</v>
      </c>
    </row>
    <row r="4229" spans="3:11" x14ac:dyDescent="0.25">
      <c r="C4229" s="1" t="s">
        <v>1152</v>
      </c>
      <c r="D4229" s="1" t="s">
        <v>100</v>
      </c>
      <c r="E4229" s="1" t="s">
        <v>1153</v>
      </c>
      <c r="F4229" s="1">
        <v>127</v>
      </c>
      <c r="G4229" s="1">
        <v>127</v>
      </c>
      <c r="H4229" s="1">
        <v>0</v>
      </c>
      <c r="I4229" s="1">
        <v>994</v>
      </c>
      <c r="J4229" s="1">
        <v>867</v>
      </c>
      <c r="K4229" s="1">
        <v>127</v>
      </c>
    </row>
    <row r="4230" spans="3:11" x14ac:dyDescent="0.25">
      <c r="C4230" s="1" t="s">
        <v>1713</v>
      </c>
      <c r="D4230" s="1" t="s">
        <v>179</v>
      </c>
      <c r="E4230" s="1" t="s">
        <v>2163</v>
      </c>
      <c r="F4230" s="1">
        <v>127</v>
      </c>
      <c r="G4230" s="1">
        <v>127</v>
      </c>
      <c r="H4230" s="1">
        <v>0</v>
      </c>
      <c r="I4230" s="1">
        <v>544</v>
      </c>
      <c r="J4230" s="1">
        <v>417</v>
      </c>
      <c r="K4230" s="1">
        <v>127</v>
      </c>
    </row>
    <row r="4231" spans="3:11" x14ac:dyDescent="0.25">
      <c r="C4231" s="1" t="s">
        <v>908</v>
      </c>
      <c r="D4231" s="1" t="s">
        <v>35</v>
      </c>
      <c r="E4231" s="1" t="s">
        <v>909</v>
      </c>
      <c r="F4231" s="1">
        <v>129</v>
      </c>
      <c r="G4231" s="1">
        <v>129</v>
      </c>
      <c r="H4231" s="1">
        <v>0</v>
      </c>
      <c r="I4231" s="1">
        <v>4481</v>
      </c>
      <c r="J4231" s="1">
        <v>4352</v>
      </c>
      <c r="K4231" s="1">
        <v>129</v>
      </c>
    </row>
    <row r="4232" spans="3:11" x14ac:dyDescent="0.25">
      <c r="C4232" s="1" t="s">
        <v>2087</v>
      </c>
      <c r="D4232" s="1" t="s">
        <v>2088</v>
      </c>
      <c r="E4232" s="1" t="s">
        <v>2089</v>
      </c>
      <c r="F4232" s="1">
        <v>130</v>
      </c>
      <c r="G4232" s="1">
        <v>130</v>
      </c>
      <c r="H4232" s="1">
        <v>0</v>
      </c>
      <c r="I4232" s="1">
        <v>149</v>
      </c>
      <c r="J4232" s="1">
        <v>19</v>
      </c>
      <c r="K4232" s="1">
        <v>130</v>
      </c>
    </row>
    <row r="4233" spans="3:11" x14ac:dyDescent="0.25">
      <c r="C4233" s="1" t="s">
        <v>1032</v>
      </c>
      <c r="D4233" s="1" t="s">
        <v>71</v>
      </c>
      <c r="E4233" s="1" t="s">
        <v>1033</v>
      </c>
      <c r="F4233" s="1">
        <v>131</v>
      </c>
      <c r="G4233" s="1">
        <v>131</v>
      </c>
      <c r="H4233" s="1">
        <v>0</v>
      </c>
      <c r="I4233" s="1">
        <v>2439</v>
      </c>
      <c r="J4233" s="1">
        <v>2308</v>
      </c>
      <c r="K4233" s="1">
        <v>131</v>
      </c>
    </row>
    <row r="4234" spans="3:11" x14ac:dyDescent="0.25">
      <c r="C4234" s="1" t="s">
        <v>2651</v>
      </c>
      <c r="D4234" s="1" t="s">
        <v>693</v>
      </c>
      <c r="E4234" s="1" t="s">
        <v>2652</v>
      </c>
      <c r="F4234" s="1">
        <v>131</v>
      </c>
      <c r="G4234" s="1">
        <v>131</v>
      </c>
      <c r="H4234" s="1">
        <v>0</v>
      </c>
      <c r="I4234" s="1">
        <v>951</v>
      </c>
      <c r="J4234" s="1">
        <v>820</v>
      </c>
      <c r="K4234" s="1">
        <v>131</v>
      </c>
    </row>
    <row r="4235" spans="3:11" x14ac:dyDescent="0.25">
      <c r="C4235" s="1" t="s">
        <v>2214</v>
      </c>
      <c r="D4235" s="1" t="s">
        <v>2075</v>
      </c>
      <c r="E4235" s="1" t="s">
        <v>2215</v>
      </c>
      <c r="F4235" s="1">
        <v>131</v>
      </c>
      <c r="G4235" s="1">
        <v>131</v>
      </c>
      <c r="H4235" s="1">
        <v>0</v>
      </c>
      <c r="I4235" s="1">
        <v>170</v>
      </c>
      <c r="J4235" s="1">
        <v>39</v>
      </c>
      <c r="K4235" s="1">
        <v>131</v>
      </c>
    </row>
    <row r="4236" spans="3:11" x14ac:dyDescent="0.25">
      <c r="C4236" s="1" t="s">
        <v>2803</v>
      </c>
      <c r="D4236" s="1" t="s">
        <v>847</v>
      </c>
      <c r="E4236" s="1" t="s">
        <v>2804</v>
      </c>
      <c r="F4236" s="1">
        <v>132</v>
      </c>
      <c r="G4236" s="1">
        <v>132</v>
      </c>
      <c r="H4236" s="1">
        <v>0</v>
      </c>
      <c r="I4236" s="1">
        <v>635</v>
      </c>
      <c r="J4236" s="1">
        <v>503</v>
      </c>
      <c r="K4236" s="1">
        <v>132</v>
      </c>
    </row>
    <row r="4237" spans="3:11" x14ac:dyDescent="0.25">
      <c r="C4237" s="1" t="s">
        <v>2084</v>
      </c>
      <c r="D4237" s="1" t="s">
        <v>2085</v>
      </c>
      <c r="E4237" s="1" t="s">
        <v>2086</v>
      </c>
      <c r="F4237" s="1">
        <v>132</v>
      </c>
      <c r="G4237" s="1">
        <v>132</v>
      </c>
      <c r="H4237" s="1">
        <v>0</v>
      </c>
      <c r="I4237" s="1">
        <v>306</v>
      </c>
      <c r="J4237" s="1">
        <v>174</v>
      </c>
      <c r="K4237" s="1">
        <v>132</v>
      </c>
    </row>
    <row r="4238" spans="3:11" x14ac:dyDescent="0.25">
      <c r="C4238" s="1" t="s">
        <v>1466</v>
      </c>
      <c r="D4238" s="1" t="s">
        <v>151</v>
      </c>
      <c r="E4238" s="1" t="s">
        <v>1467</v>
      </c>
      <c r="F4238" s="1">
        <v>134</v>
      </c>
      <c r="G4238" s="1">
        <v>134</v>
      </c>
      <c r="H4238" s="1">
        <v>0</v>
      </c>
      <c r="I4238" s="1">
        <v>459</v>
      </c>
      <c r="J4238" s="1">
        <v>325</v>
      </c>
      <c r="K4238" s="1">
        <v>134</v>
      </c>
    </row>
    <row r="4239" spans="3:11" x14ac:dyDescent="0.25">
      <c r="C4239" s="1" t="s">
        <v>2078</v>
      </c>
      <c r="D4239" s="1" t="s">
        <v>2079</v>
      </c>
      <c r="E4239" s="1" t="s">
        <v>2080</v>
      </c>
      <c r="F4239" s="1">
        <v>134</v>
      </c>
      <c r="G4239" s="1">
        <v>134</v>
      </c>
      <c r="H4239" s="1">
        <v>0</v>
      </c>
      <c r="I4239" s="1">
        <v>229</v>
      </c>
      <c r="J4239" s="1">
        <v>95</v>
      </c>
      <c r="K4239" s="1">
        <v>134</v>
      </c>
    </row>
    <row r="4240" spans="3:11" x14ac:dyDescent="0.25">
      <c r="C4240" s="1" t="s">
        <v>1043</v>
      </c>
      <c r="D4240" s="1" t="s">
        <v>76</v>
      </c>
      <c r="E4240" s="1" t="s">
        <v>1044</v>
      </c>
      <c r="F4240" s="1">
        <v>137</v>
      </c>
      <c r="G4240" s="1">
        <v>137</v>
      </c>
      <c r="H4240" s="1">
        <v>0</v>
      </c>
      <c r="I4240" s="1">
        <v>2530</v>
      </c>
      <c r="J4240" s="1">
        <v>2393</v>
      </c>
      <c r="K4240" s="1">
        <v>137</v>
      </c>
    </row>
    <row r="4241" spans="3:11" x14ac:dyDescent="0.25">
      <c r="C4241" s="1" t="s">
        <v>12093</v>
      </c>
      <c r="D4241" s="1" t="s">
        <v>12094</v>
      </c>
      <c r="E4241" s="1" t="s">
        <v>12095</v>
      </c>
      <c r="F4241" s="1">
        <v>140</v>
      </c>
      <c r="G4241" s="1">
        <v>140</v>
      </c>
      <c r="H4241" s="1">
        <v>0</v>
      </c>
      <c r="I4241" s="1">
        <v>142</v>
      </c>
      <c r="J4241" s="1">
        <v>2</v>
      </c>
      <c r="K4241" s="1">
        <v>140</v>
      </c>
    </row>
    <row r="4242" spans="3:11" x14ac:dyDescent="0.25">
      <c r="C4242" s="1" t="s">
        <v>2632</v>
      </c>
      <c r="D4242" s="1" t="s">
        <v>651</v>
      </c>
      <c r="E4242" s="1" t="s">
        <v>2633</v>
      </c>
      <c r="F4242" s="1">
        <v>141</v>
      </c>
      <c r="G4242" s="1">
        <v>141</v>
      </c>
      <c r="H4242" s="1">
        <v>0</v>
      </c>
      <c r="I4242" s="1">
        <v>1028</v>
      </c>
      <c r="J4242" s="1">
        <v>887</v>
      </c>
      <c r="K4242" s="1">
        <v>141</v>
      </c>
    </row>
    <row r="4243" spans="3:11" x14ac:dyDescent="0.25">
      <c r="C4243" s="1" t="s">
        <v>1097</v>
      </c>
      <c r="D4243" s="1" t="s">
        <v>108</v>
      </c>
      <c r="E4243" s="1" t="s">
        <v>1098</v>
      </c>
      <c r="F4243" s="1">
        <v>142</v>
      </c>
      <c r="G4243" s="1">
        <v>142</v>
      </c>
      <c r="H4243" s="1">
        <v>0</v>
      </c>
      <c r="I4243" s="1">
        <v>1197</v>
      </c>
      <c r="J4243" s="1">
        <v>1055</v>
      </c>
      <c r="K4243" s="1">
        <v>142</v>
      </c>
    </row>
    <row r="4244" spans="3:11" x14ac:dyDescent="0.25">
      <c r="C4244" s="1" t="s">
        <v>912</v>
      </c>
      <c r="D4244" s="1" t="s">
        <v>36</v>
      </c>
      <c r="E4244" s="1" t="s">
        <v>913</v>
      </c>
      <c r="F4244" s="1">
        <v>144</v>
      </c>
      <c r="G4244" s="1">
        <v>144</v>
      </c>
      <c r="H4244" s="1">
        <v>0</v>
      </c>
      <c r="I4244" s="1">
        <v>4363</v>
      </c>
      <c r="J4244" s="1">
        <v>4219</v>
      </c>
      <c r="K4244" s="1">
        <v>144</v>
      </c>
    </row>
    <row r="4245" spans="3:11" x14ac:dyDescent="0.25">
      <c r="C4245" s="1" t="s">
        <v>12096</v>
      </c>
      <c r="D4245" s="1" t="s">
        <v>12097</v>
      </c>
      <c r="E4245" s="1" t="s">
        <v>12098</v>
      </c>
      <c r="F4245" s="1">
        <v>144</v>
      </c>
      <c r="G4245" s="1">
        <v>144</v>
      </c>
      <c r="H4245" s="1">
        <v>0</v>
      </c>
      <c r="I4245" s="1">
        <v>1110</v>
      </c>
      <c r="J4245" s="1">
        <v>966</v>
      </c>
      <c r="K4245" s="1">
        <v>144</v>
      </c>
    </row>
    <row r="4246" spans="3:11" x14ac:dyDescent="0.25">
      <c r="C4246" s="1" t="s">
        <v>3066</v>
      </c>
      <c r="D4246" s="1" t="s">
        <v>2151</v>
      </c>
      <c r="E4246" s="1" t="s">
        <v>3067</v>
      </c>
      <c r="F4246" s="1">
        <v>145</v>
      </c>
      <c r="G4246" s="1">
        <v>145</v>
      </c>
      <c r="H4246" s="1">
        <v>0</v>
      </c>
      <c r="I4246" s="1">
        <v>342</v>
      </c>
      <c r="J4246" s="1">
        <v>197</v>
      </c>
      <c r="K4246" s="1">
        <v>145</v>
      </c>
    </row>
    <row r="4247" spans="3:11" x14ac:dyDescent="0.25">
      <c r="C4247" s="1" t="s">
        <v>1296</v>
      </c>
      <c r="D4247" s="1" t="s">
        <v>157</v>
      </c>
      <c r="E4247" s="1" t="s">
        <v>1297</v>
      </c>
      <c r="F4247" s="1">
        <v>148</v>
      </c>
      <c r="G4247" s="1">
        <v>148</v>
      </c>
      <c r="H4247" s="1">
        <v>0</v>
      </c>
      <c r="I4247" s="1">
        <v>880</v>
      </c>
      <c r="J4247" s="1">
        <v>732</v>
      </c>
      <c r="K4247" s="1">
        <v>148</v>
      </c>
    </row>
    <row r="4248" spans="3:11" x14ac:dyDescent="0.25">
      <c r="C4248" s="1" t="s">
        <v>2902</v>
      </c>
      <c r="D4248" s="1" t="s">
        <v>710</v>
      </c>
      <c r="E4248" s="1" t="s">
        <v>2903</v>
      </c>
      <c r="F4248" s="1">
        <v>148</v>
      </c>
      <c r="G4248" s="1">
        <v>148</v>
      </c>
      <c r="H4248" s="1">
        <v>0</v>
      </c>
      <c r="I4248" s="1">
        <v>459</v>
      </c>
      <c r="J4248" s="1">
        <v>311</v>
      </c>
      <c r="K4248" s="1">
        <v>148</v>
      </c>
    </row>
    <row r="4249" spans="3:11" x14ac:dyDescent="0.25">
      <c r="C4249" s="1" t="s">
        <v>924</v>
      </c>
      <c r="D4249" s="1" t="s">
        <v>42</v>
      </c>
      <c r="E4249" s="1" t="s">
        <v>925</v>
      </c>
      <c r="F4249" s="1">
        <v>149</v>
      </c>
      <c r="G4249" s="1">
        <v>149</v>
      </c>
      <c r="H4249" s="1">
        <v>0</v>
      </c>
      <c r="I4249" s="1">
        <v>3376</v>
      </c>
      <c r="J4249" s="1">
        <v>3227</v>
      </c>
      <c r="K4249" s="1">
        <v>149</v>
      </c>
    </row>
    <row r="4250" spans="3:11" x14ac:dyDescent="0.25">
      <c r="C4250" s="1" t="s">
        <v>2653</v>
      </c>
      <c r="D4250" s="1" t="s">
        <v>2171</v>
      </c>
      <c r="E4250" s="1" t="s">
        <v>2654</v>
      </c>
      <c r="F4250" s="1">
        <v>149</v>
      </c>
      <c r="G4250" s="1">
        <v>149</v>
      </c>
      <c r="H4250" s="1">
        <v>0</v>
      </c>
      <c r="I4250" s="1">
        <v>943</v>
      </c>
      <c r="J4250" s="1">
        <v>794</v>
      </c>
      <c r="K4250" s="1">
        <v>149</v>
      </c>
    </row>
    <row r="4251" spans="3:11" x14ac:dyDescent="0.25">
      <c r="C4251" s="1" t="s">
        <v>2470</v>
      </c>
      <c r="D4251" s="1" t="s">
        <v>424</v>
      </c>
      <c r="E4251" s="1" t="s">
        <v>2471</v>
      </c>
      <c r="F4251" s="1">
        <v>154</v>
      </c>
      <c r="G4251" s="1">
        <v>154</v>
      </c>
      <c r="H4251" s="1">
        <v>0</v>
      </c>
      <c r="I4251" s="1">
        <v>2483</v>
      </c>
      <c r="J4251" s="1">
        <v>2329</v>
      </c>
      <c r="K4251" s="1">
        <v>154</v>
      </c>
    </row>
    <row r="4252" spans="3:11" x14ac:dyDescent="0.25">
      <c r="C4252" s="1" t="s">
        <v>4272</v>
      </c>
      <c r="D4252" s="1" t="s">
        <v>4273</v>
      </c>
      <c r="E4252" s="1" t="s">
        <v>4274</v>
      </c>
      <c r="F4252" s="1">
        <v>154</v>
      </c>
      <c r="G4252" s="1">
        <v>154</v>
      </c>
      <c r="H4252" s="1">
        <v>0</v>
      </c>
      <c r="I4252" s="1">
        <v>319</v>
      </c>
      <c r="J4252" s="1">
        <v>165</v>
      </c>
      <c r="K4252" s="1">
        <v>154</v>
      </c>
    </row>
    <row r="4253" spans="3:11" x14ac:dyDescent="0.25">
      <c r="C4253" s="1" t="s">
        <v>943</v>
      </c>
      <c r="D4253" s="1" t="s">
        <v>46</v>
      </c>
      <c r="E4253" s="1" t="s">
        <v>944</v>
      </c>
      <c r="F4253" s="1">
        <v>155</v>
      </c>
      <c r="G4253" s="1">
        <v>155</v>
      </c>
      <c r="H4253" s="1">
        <v>0</v>
      </c>
      <c r="I4253" s="1">
        <v>3257</v>
      </c>
      <c r="J4253" s="1">
        <v>3102</v>
      </c>
      <c r="K4253" s="1">
        <v>155</v>
      </c>
    </row>
    <row r="4254" spans="3:11" x14ac:dyDescent="0.25">
      <c r="C4254" s="1" t="s">
        <v>12099</v>
      </c>
      <c r="D4254" s="1" t="s">
        <v>12100</v>
      </c>
      <c r="E4254" s="1" t="s">
        <v>12101</v>
      </c>
      <c r="F4254" s="1">
        <v>156</v>
      </c>
      <c r="G4254" s="1">
        <v>156</v>
      </c>
      <c r="H4254" s="1">
        <v>0</v>
      </c>
      <c r="I4254" s="1">
        <v>1523</v>
      </c>
      <c r="J4254" s="1">
        <v>1367</v>
      </c>
      <c r="K4254" s="1">
        <v>156</v>
      </c>
    </row>
    <row r="4255" spans="3:11" x14ac:dyDescent="0.25">
      <c r="C4255" s="1" t="s">
        <v>1617</v>
      </c>
      <c r="D4255" s="1" t="s">
        <v>171</v>
      </c>
      <c r="E4255" s="1" t="s">
        <v>1618</v>
      </c>
      <c r="F4255" s="1">
        <v>157</v>
      </c>
      <c r="G4255" s="1">
        <v>157</v>
      </c>
      <c r="H4255" s="1">
        <v>0</v>
      </c>
      <c r="I4255" s="1">
        <v>704</v>
      </c>
      <c r="J4255" s="1">
        <v>547</v>
      </c>
      <c r="K4255" s="1">
        <v>157</v>
      </c>
    </row>
    <row r="4256" spans="3:11" x14ac:dyDescent="0.25">
      <c r="C4256" s="1" t="s">
        <v>1201</v>
      </c>
      <c r="D4256" s="1" t="s">
        <v>111</v>
      </c>
      <c r="E4256" s="1" t="s">
        <v>1202</v>
      </c>
      <c r="F4256" s="1">
        <v>158</v>
      </c>
      <c r="G4256" s="1">
        <v>158</v>
      </c>
      <c r="H4256" s="1">
        <v>0</v>
      </c>
      <c r="I4256" s="1">
        <v>684</v>
      </c>
      <c r="J4256" s="1">
        <v>526</v>
      </c>
      <c r="K4256" s="1">
        <v>158</v>
      </c>
    </row>
    <row r="4257" spans="3:11" x14ac:dyDescent="0.25">
      <c r="C4257" s="1" t="s">
        <v>2729</v>
      </c>
      <c r="D4257" s="1" t="s">
        <v>660</v>
      </c>
      <c r="E4257" s="1" t="s">
        <v>2730</v>
      </c>
      <c r="F4257" s="1">
        <v>160</v>
      </c>
      <c r="G4257" s="1">
        <v>160</v>
      </c>
      <c r="H4257" s="1">
        <v>0</v>
      </c>
      <c r="I4257" s="1">
        <v>756</v>
      </c>
      <c r="J4257" s="1">
        <v>596</v>
      </c>
      <c r="K4257" s="1">
        <v>160</v>
      </c>
    </row>
    <row r="4258" spans="3:11" x14ac:dyDescent="0.25">
      <c r="C4258" s="1" t="s">
        <v>2835</v>
      </c>
      <c r="D4258" s="1" t="s">
        <v>655</v>
      </c>
      <c r="E4258" s="1" t="s">
        <v>2836</v>
      </c>
      <c r="F4258" s="1">
        <v>160</v>
      </c>
      <c r="G4258" s="1">
        <v>160</v>
      </c>
      <c r="H4258" s="1">
        <v>0</v>
      </c>
      <c r="I4258" s="1">
        <v>572</v>
      </c>
      <c r="J4258" s="1">
        <v>412</v>
      </c>
      <c r="K4258" s="1">
        <v>160</v>
      </c>
    </row>
    <row r="4259" spans="3:11" x14ac:dyDescent="0.25">
      <c r="C4259" s="1" t="s">
        <v>3228</v>
      </c>
      <c r="D4259" s="1" t="s">
        <v>736</v>
      </c>
      <c r="E4259" s="1" t="s">
        <v>3229</v>
      </c>
      <c r="F4259" s="1">
        <v>160</v>
      </c>
      <c r="G4259" s="1">
        <v>160</v>
      </c>
      <c r="H4259" s="1">
        <v>0</v>
      </c>
      <c r="I4259" s="1">
        <v>160</v>
      </c>
      <c r="J4259" s="1">
        <v>0</v>
      </c>
      <c r="K4259" s="1">
        <v>160</v>
      </c>
    </row>
    <row r="4260" spans="3:11" x14ac:dyDescent="0.25">
      <c r="C4260" s="1" t="s">
        <v>2688</v>
      </c>
      <c r="D4260" s="1" t="s">
        <v>470</v>
      </c>
      <c r="E4260" s="1" t="s">
        <v>2689</v>
      </c>
      <c r="F4260" s="1">
        <v>161</v>
      </c>
      <c r="G4260" s="1">
        <v>161</v>
      </c>
      <c r="H4260" s="1">
        <v>0</v>
      </c>
      <c r="I4260" s="1">
        <v>969</v>
      </c>
      <c r="J4260" s="1">
        <v>808</v>
      </c>
      <c r="K4260" s="1">
        <v>161</v>
      </c>
    </row>
    <row r="4261" spans="3:11" x14ac:dyDescent="0.25">
      <c r="C4261" s="1" t="s">
        <v>1461</v>
      </c>
      <c r="D4261" s="1" t="s">
        <v>150</v>
      </c>
      <c r="E4261" s="1" t="s">
        <v>1462</v>
      </c>
      <c r="F4261" s="1">
        <v>164</v>
      </c>
      <c r="G4261" s="1">
        <v>164</v>
      </c>
      <c r="H4261" s="1">
        <v>0</v>
      </c>
      <c r="I4261" s="1">
        <v>585</v>
      </c>
      <c r="J4261" s="1">
        <v>421</v>
      </c>
      <c r="K4261" s="1">
        <v>164</v>
      </c>
    </row>
    <row r="4262" spans="3:11" x14ac:dyDescent="0.25">
      <c r="C4262" s="1" t="s">
        <v>3015</v>
      </c>
      <c r="D4262" s="1" t="s">
        <v>706</v>
      </c>
      <c r="E4262" s="1" t="s">
        <v>3016</v>
      </c>
      <c r="F4262" s="1">
        <v>164</v>
      </c>
      <c r="G4262" s="1">
        <v>164</v>
      </c>
      <c r="H4262" s="1">
        <v>0</v>
      </c>
      <c r="I4262" s="1">
        <v>325</v>
      </c>
      <c r="J4262" s="1">
        <v>161</v>
      </c>
      <c r="K4262" s="1">
        <v>164</v>
      </c>
    </row>
    <row r="4263" spans="3:11" x14ac:dyDescent="0.25">
      <c r="C4263" s="1" t="s">
        <v>12102</v>
      </c>
      <c r="D4263" s="1" t="s">
        <v>12103</v>
      </c>
      <c r="E4263" s="1" t="s">
        <v>12104</v>
      </c>
      <c r="F4263" s="1">
        <v>166</v>
      </c>
      <c r="G4263" s="1">
        <v>166</v>
      </c>
      <c r="H4263" s="1">
        <v>0</v>
      </c>
      <c r="I4263" s="1">
        <v>237</v>
      </c>
      <c r="J4263" s="1">
        <v>71</v>
      </c>
      <c r="K4263" s="1">
        <v>166</v>
      </c>
    </row>
    <row r="4264" spans="3:11" x14ac:dyDescent="0.25">
      <c r="C4264" s="1" t="s">
        <v>2562</v>
      </c>
      <c r="D4264" s="1" t="s">
        <v>439</v>
      </c>
      <c r="E4264" s="1" t="s">
        <v>2563</v>
      </c>
      <c r="F4264" s="1">
        <v>167</v>
      </c>
      <c r="G4264" s="1">
        <v>167</v>
      </c>
      <c r="H4264" s="1">
        <v>0</v>
      </c>
      <c r="I4264" s="1">
        <v>1484</v>
      </c>
      <c r="J4264" s="1">
        <v>1317</v>
      </c>
      <c r="K4264" s="1">
        <v>167</v>
      </c>
    </row>
    <row r="4265" spans="3:11" x14ac:dyDescent="0.25">
      <c r="C4265" s="1" t="s">
        <v>1399</v>
      </c>
      <c r="D4265" s="1" t="s">
        <v>140</v>
      </c>
      <c r="E4265" s="1" t="s">
        <v>1400</v>
      </c>
      <c r="F4265" s="1">
        <v>171</v>
      </c>
      <c r="G4265" s="1">
        <v>171</v>
      </c>
      <c r="H4265" s="1">
        <v>0</v>
      </c>
      <c r="I4265" s="1">
        <v>329</v>
      </c>
      <c r="J4265" s="1">
        <v>158</v>
      </c>
      <c r="K4265" s="1">
        <v>171</v>
      </c>
    </row>
    <row r="4266" spans="3:11" x14ac:dyDescent="0.25">
      <c r="C4266" s="1" t="s">
        <v>1613</v>
      </c>
      <c r="D4266" s="1" t="s">
        <v>169</v>
      </c>
      <c r="E4266" s="1" t="s">
        <v>1614</v>
      </c>
      <c r="F4266" s="1">
        <v>175</v>
      </c>
      <c r="G4266" s="1">
        <v>175</v>
      </c>
      <c r="H4266" s="1">
        <v>0</v>
      </c>
      <c r="I4266" s="1">
        <v>776</v>
      </c>
      <c r="J4266" s="1">
        <v>601</v>
      </c>
      <c r="K4266" s="1">
        <v>175</v>
      </c>
    </row>
    <row r="4267" spans="3:11" x14ac:dyDescent="0.25">
      <c r="C4267" s="1" t="s">
        <v>4406</v>
      </c>
      <c r="D4267" s="1" t="s">
        <v>4407</v>
      </c>
      <c r="E4267" s="1" t="s">
        <v>4408</v>
      </c>
      <c r="F4267" s="1">
        <v>176</v>
      </c>
      <c r="G4267" s="1">
        <v>176</v>
      </c>
      <c r="H4267" s="1">
        <v>0</v>
      </c>
      <c r="I4267" s="1">
        <v>176</v>
      </c>
      <c r="J4267" s="1">
        <v>0</v>
      </c>
      <c r="K4267" s="1">
        <v>176</v>
      </c>
    </row>
    <row r="4268" spans="3:11" x14ac:dyDescent="0.25">
      <c r="C4268" s="1" t="s">
        <v>985</v>
      </c>
      <c r="D4268" s="1" t="s">
        <v>58</v>
      </c>
      <c r="E4268" s="1" t="s">
        <v>986</v>
      </c>
      <c r="F4268" s="1">
        <v>178</v>
      </c>
      <c r="G4268" s="1">
        <v>178</v>
      </c>
      <c r="H4268" s="1">
        <v>0</v>
      </c>
      <c r="I4268" s="1">
        <v>2778</v>
      </c>
      <c r="J4268" s="1">
        <v>2600</v>
      </c>
      <c r="K4268" s="1">
        <v>178</v>
      </c>
    </row>
    <row r="4269" spans="3:11" x14ac:dyDescent="0.25">
      <c r="C4269" s="1" t="s">
        <v>3133</v>
      </c>
      <c r="D4269" s="1" t="s">
        <v>2161</v>
      </c>
      <c r="E4269" s="1" t="s">
        <v>3134</v>
      </c>
      <c r="F4269" s="1">
        <v>179</v>
      </c>
      <c r="G4269" s="1">
        <v>179</v>
      </c>
      <c r="H4269" s="1">
        <v>0</v>
      </c>
      <c r="I4269" s="1">
        <v>339</v>
      </c>
      <c r="J4269" s="1">
        <v>160</v>
      </c>
      <c r="K4269" s="1">
        <v>179</v>
      </c>
    </row>
    <row r="4270" spans="3:11" x14ac:dyDescent="0.25">
      <c r="C4270" s="1" t="s">
        <v>914</v>
      </c>
      <c r="D4270" s="1" t="s">
        <v>37</v>
      </c>
      <c r="E4270" s="1" t="s">
        <v>915</v>
      </c>
      <c r="F4270" s="1">
        <v>180</v>
      </c>
      <c r="G4270" s="1">
        <v>180</v>
      </c>
      <c r="H4270" s="1">
        <v>0</v>
      </c>
      <c r="I4270" s="1">
        <v>4783</v>
      </c>
      <c r="J4270" s="1">
        <v>4603</v>
      </c>
      <c r="K4270" s="1">
        <v>180</v>
      </c>
    </row>
    <row r="4271" spans="3:11" x14ac:dyDescent="0.25">
      <c r="C4271" s="1" t="s">
        <v>2593</v>
      </c>
      <c r="D4271" s="1" t="s">
        <v>810</v>
      </c>
      <c r="E4271" s="1" t="s">
        <v>2594</v>
      </c>
      <c r="F4271" s="1">
        <v>181</v>
      </c>
      <c r="G4271" s="1">
        <v>181</v>
      </c>
      <c r="H4271" s="1">
        <v>0</v>
      </c>
      <c r="I4271" s="1">
        <v>1549</v>
      </c>
      <c r="J4271" s="1">
        <v>1368</v>
      </c>
      <c r="K4271" s="1">
        <v>181</v>
      </c>
    </row>
    <row r="4272" spans="3:11" x14ac:dyDescent="0.25">
      <c r="C4272" s="1" t="s">
        <v>2356</v>
      </c>
      <c r="D4272" s="1" t="s">
        <v>7</v>
      </c>
      <c r="E4272" s="1" t="s">
        <v>2357</v>
      </c>
      <c r="F4272" s="1">
        <v>183</v>
      </c>
      <c r="G4272" s="1">
        <v>183</v>
      </c>
      <c r="H4272" s="1">
        <v>0</v>
      </c>
      <c r="I4272" s="1">
        <v>10931</v>
      </c>
      <c r="J4272" s="1">
        <v>10748</v>
      </c>
      <c r="K4272" s="1">
        <v>183</v>
      </c>
    </row>
    <row r="4273" spans="3:11" x14ac:dyDescent="0.25">
      <c r="C4273" s="1" t="s">
        <v>2780</v>
      </c>
      <c r="D4273" s="1" t="s">
        <v>661</v>
      </c>
      <c r="E4273" s="1" t="s">
        <v>2781</v>
      </c>
      <c r="F4273" s="1">
        <v>185</v>
      </c>
      <c r="G4273" s="1">
        <v>185</v>
      </c>
      <c r="H4273" s="1">
        <v>0</v>
      </c>
      <c r="I4273" s="1">
        <v>684</v>
      </c>
      <c r="J4273" s="1">
        <v>499</v>
      </c>
      <c r="K4273" s="1">
        <v>185</v>
      </c>
    </row>
    <row r="4274" spans="3:11" x14ac:dyDescent="0.25">
      <c r="C4274" s="1" t="s">
        <v>1068</v>
      </c>
      <c r="D4274" s="1" t="s">
        <v>83</v>
      </c>
      <c r="E4274" s="1" t="s">
        <v>1069</v>
      </c>
      <c r="F4274" s="1">
        <v>188</v>
      </c>
      <c r="G4274" s="1">
        <v>188</v>
      </c>
      <c r="H4274" s="1">
        <v>0</v>
      </c>
      <c r="I4274" s="1">
        <v>1962</v>
      </c>
      <c r="J4274" s="1">
        <v>1774</v>
      </c>
      <c r="K4274" s="1">
        <v>188</v>
      </c>
    </row>
    <row r="4275" spans="3:11" x14ac:dyDescent="0.25">
      <c r="C4275" s="1" t="s">
        <v>3031</v>
      </c>
      <c r="D4275" s="1" t="s">
        <v>2226</v>
      </c>
      <c r="E4275" s="1" t="s">
        <v>3032</v>
      </c>
      <c r="F4275" s="1">
        <v>188</v>
      </c>
      <c r="G4275" s="1">
        <v>188</v>
      </c>
      <c r="H4275" s="1">
        <v>0</v>
      </c>
      <c r="I4275" s="1">
        <v>306</v>
      </c>
      <c r="J4275" s="1">
        <v>118</v>
      </c>
      <c r="K4275" s="1">
        <v>188</v>
      </c>
    </row>
    <row r="4276" spans="3:11" x14ac:dyDescent="0.25">
      <c r="C4276" s="1" t="s">
        <v>2348</v>
      </c>
      <c r="D4276" s="1" t="s">
        <v>2</v>
      </c>
      <c r="E4276" s="1" t="s">
        <v>2349</v>
      </c>
      <c r="F4276" s="1">
        <v>190</v>
      </c>
      <c r="G4276" s="1">
        <v>190</v>
      </c>
      <c r="H4276" s="1">
        <v>0</v>
      </c>
      <c r="I4276" s="1">
        <v>15755</v>
      </c>
      <c r="J4276" s="1">
        <v>15565</v>
      </c>
      <c r="K4276" s="1">
        <v>190</v>
      </c>
    </row>
    <row r="4277" spans="3:11" x14ac:dyDescent="0.25">
      <c r="C4277" s="1" t="s">
        <v>2994</v>
      </c>
      <c r="D4277" s="1" t="s">
        <v>871</v>
      </c>
      <c r="E4277" s="1" t="s">
        <v>2995</v>
      </c>
      <c r="F4277" s="1">
        <v>193</v>
      </c>
      <c r="G4277" s="1">
        <v>193</v>
      </c>
      <c r="H4277" s="1">
        <v>0</v>
      </c>
      <c r="I4277" s="1">
        <v>342</v>
      </c>
      <c r="J4277" s="1">
        <v>149</v>
      </c>
      <c r="K4277" s="1">
        <v>193</v>
      </c>
    </row>
    <row r="4278" spans="3:11" x14ac:dyDescent="0.25">
      <c r="C4278" s="1" t="s">
        <v>2981</v>
      </c>
      <c r="D4278" s="1" t="s">
        <v>667</v>
      </c>
      <c r="E4278" s="1" t="s">
        <v>2982</v>
      </c>
      <c r="F4278" s="1">
        <v>194</v>
      </c>
      <c r="G4278" s="1">
        <v>194</v>
      </c>
      <c r="H4278" s="1">
        <v>0</v>
      </c>
      <c r="I4278" s="1">
        <v>361</v>
      </c>
      <c r="J4278" s="1">
        <v>167</v>
      </c>
      <c r="K4278" s="1">
        <v>194</v>
      </c>
    </row>
    <row r="4279" spans="3:11" x14ac:dyDescent="0.25">
      <c r="C4279" s="1" t="s">
        <v>2848</v>
      </c>
      <c r="D4279" s="1" t="s">
        <v>670</v>
      </c>
      <c r="E4279" s="1" t="s">
        <v>2849</v>
      </c>
      <c r="F4279" s="1">
        <v>195</v>
      </c>
      <c r="G4279" s="1">
        <v>195</v>
      </c>
      <c r="H4279" s="1">
        <v>0</v>
      </c>
      <c r="I4279" s="1">
        <v>557</v>
      </c>
      <c r="J4279" s="1">
        <v>362</v>
      </c>
      <c r="K4279" s="1">
        <v>195</v>
      </c>
    </row>
    <row r="4280" spans="3:11" x14ac:dyDescent="0.25">
      <c r="C4280" s="1" t="s">
        <v>2602</v>
      </c>
      <c r="D4280" s="1" t="s">
        <v>649</v>
      </c>
      <c r="E4280" s="1" t="s">
        <v>2603</v>
      </c>
      <c r="F4280" s="1">
        <v>196</v>
      </c>
      <c r="G4280" s="1">
        <v>196</v>
      </c>
      <c r="H4280" s="1">
        <v>0</v>
      </c>
      <c r="I4280" s="1">
        <v>1242</v>
      </c>
      <c r="J4280" s="1">
        <v>1046</v>
      </c>
      <c r="K4280" s="1">
        <v>196</v>
      </c>
    </row>
    <row r="4281" spans="3:11" x14ac:dyDescent="0.25">
      <c r="C4281" s="1" t="s">
        <v>2495</v>
      </c>
      <c r="D4281" s="1" t="s">
        <v>687</v>
      </c>
      <c r="E4281" s="1" t="s">
        <v>2496</v>
      </c>
      <c r="F4281" s="1">
        <v>197</v>
      </c>
      <c r="G4281" s="1">
        <v>197</v>
      </c>
      <c r="H4281" s="1">
        <v>0</v>
      </c>
      <c r="I4281" s="1">
        <v>2101</v>
      </c>
      <c r="J4281" s="1">
        <v>1904</v>
      </c>
      <c r="K4281" s="1">
        <v>197</v>
      </c>
    </row>
    <row r="4282" spans="3:11" x14ac:dyDescent="0.25">
      <c r="C4282" s="1" t="s">
        <v>2287</v>
      </c>
      <c r="D4282" s="1" t="s">
        <v>2288</v>
      </c>
      <c r="E4282" s="1" t="s">
        <v>2289</v>
      </c>
      <c r="F4282" s="1">
        <v>198</v>
      </c>
      <c r="G4282" s="1">
        <v>198</v>
      </c>
      <c r="H4282" s="1">
        <v>0</v>
      </c>
      <c r="I4282" s="1">
        <v>216</v>
      </c>
      <c r="J4282" s="1">
        <v>18</v>
      </c>
      <c r="K4282" s="1">
        <v>198</v>
      </c>
    </row>
    <row r="4283" spans="3:11" x14ac:dyDescent="0.25">
      <c r="C4283" s="1" t="s">
        <v>1009</v>
      </c>
      <c r="D4283" s="1" t="s">
        <v>66</v>
      </c>
      <c r="E4283" s="1" t="s">
        <v>1010</v>
      </c>
      <c r="F4283" s="1">
        <v>199</v>
      </c>
      <c r="G4283" s="1">
        <v>199</v>
      </c>
      <c r="H4283" s="1">
        <v>0</v>
      </c>
      <c r="I4283" s="1">
        <v>2525</v>
      </c>
      <c r="J4283" s="1">
        <v>2326</v>
      </c>
      <c r="K4283" s="1">
        <v>199</v>
      </c>
    </row>
    <row r="4284" spans="3:11" x14ac:dyDescent="0.25">
      <c r="C4284" s="1" t="s">
        <v>4269</v>
      </c>
      <c r="D4284" s="1" t="s">
        <v>4270</v>
      </c>
      <c r="E4284" s="1" t="s">
        <v>4271</v>
      </c>
      <c r="F4284" s="1">
        <v>200</v>
      </c>
      <c r="G4284" s="1">
        <v>200</v>
      </c>
      <c r="H4284" s="1">
        <v>0</v>
      </c>
      <c r="I4284" s="1">
        <v>322</v>
      </c>
      <c r="J4284" s="1">
        <v>122</v>
      </c>
      <c r="K4284" s="1">
        <v>200</v>
      </c>
    </row>
    <row r="4285" spans="3:11" x14ac:dyDescent="0.25">
      <c r="C4285" s="1" t="s">
        <v>4290</v>
      </c>
      <c r="D4285" s="1" t="s">
        <v>4291</v>
      </c>
      <c r="E4285" s="1" t="s">
        <v>4292</v>
      </c>
      <c r="F4285" s="1">
        <v>203</v>
      </c>
      <c r="G4285" s="1">
        <v>203</v>
      </c>
      <c r="H4285" s="1">
        <v>0</v>
      </c>
      <c r="I4285" s="1">
        <v>264</v>
      </c>
      <c r="J4285" s="1">
        <v>61</v>
      </c>
      <c r="K4285" s="1">
        <v>203</v>
      </c>
    </row>
    <row r="4286" spans="3:11" x14ac:dyDescent="0.25">
      <c r="C4286" s="1" t="s">
        <v>2449</v>
      </c>
      <c r="D4286" s="1" t="s">
        <v>421</v>
      </c>
      <c r="E4286" s="1" t="s">
        <v>2450</v>
      </c>
      <c r="F4286" s="1">
        <v>207</v>
      </c>
      <c r="G4286" s="1">
        <v>207</v>
      </c>
      <c r="H4286" s="1">
        <v>0</v>
      </c>
      <c r="I4286" s="1">
        <v>3128</v>
      </c>
      <c r="J4286" s="1">
        <v>2921</v>
      </c>
      <c r="K4286" s="1">
        <v>207</v>
      </c>
    </row>
    <row r="4287" spans="3:11" x14ac:dyDescent="0.25">
      <c r="C4287" s="1" t="s">
        <v>12105</v>
      </c>
      <c r="D4287" s="1" t="s">
        <v>12106</v>
      </c>
      <c r="E4287" s="1" t="s">
        <v>12107</v>
      </c>
      <c r="F4287" s="1">
        <v>207</v>
      </c>
      <c r="G4287" s="1">
        <v>207</v>
      </c>
      <c r="H4287" s="1">
        <v>0</v>
      </c>
      <c r="I4287" s="1">
        <v>497</v>
      </c>
      <c r="J4287" s="1">
        <v>290</v>
      </c>
      <c r="K4287" s="1">
        <v>207</v>
      </c>
    </row>
    <row r="4288" spans="3:11" x14ac:dyDescent="0.25">
      <c r="C4288" s="1" t="s">
        <v>4337</v>
      </c>
      <c r="D4288" s="1" t="s">
        <v>4338</v>
      </c>
      <c r="E4288" s="1" t="s">
        <v>4339</v>
      </c>
      <c r="F4288" s="1">
        <v>208</v>
      </c>
      <c r="G4288" s="1">
        <v>208</v>
      </c>
      <c r="H4288" s="1">
        <v>0</v>
      </c>
      <c r="I4288" s="1">
        <v>224</v>
      </c>
      <c r="J4288" s="1">
        <v>16</v>
      </c>
      <c r="K4288" s="1">
        <v>208</v>
      </c>
    </row>
    <row r="4289" spans="3:11" x14ac:dyDescent="0.25">
      <c r="C4289" s="1" t="s">
        <v>948</v>
      </c>
      <c r="D4289" s="1" t="s">
        <v>51</v>
      </c>
      <c r="E4289" s="1" t="s">
        <v>949</v>
      </c>
      <c r="F4289" s="1">
        <v>210</v>
      </c>
      <c r="G4289" s="1">
        <v>210</v>
      </c>
      <c r="H4289" s="1">
        <v>0</v>
      </c>
      <c r="I4289" s="1">
        <v>3498</v>
      </c>
      <c r="J4289" s="1">
        <v>3288</v>
      </c>
      <c r="K4289" s="1">
        <v>210</v>
      </c>
    </row>
    <row r="4290" spans="3:11" x14ac:dyDescent="0.25">
      <c r="C4290" s="1" t="s">
        <v>954</v>
      </c>
      <c r="D4290" s="1" t="s">
        <v>862</v>
      </c>
      <c r="E4290" s="1" t="s">
        <v>955</v>
      </c>
      <c r="F4290" s="1">
        <v>210</v>
      </c>
      <c r="G4290" s="1">
        <v>210</v>
      </c>
      <c r="H4290" s="1">
        <v>0</v>
      </c>
      <c r="I4290" s="1">
        <v>2959</v>
      </c>
      <c r="J4290" s="1">
        <v>2749</v>
      </c>
      <c r="K4290" s="1">
        <v>210</v>
      </c>
    </row>
    <row r="4291" spans="3:11" x14ac:dyDescent="0.25">
      <c r="C4291" s="1" t="s">
        <v>2290</v>
      </c>
      <c r="D4291" s="1" t="s">
        <v>2291</v>
      </c>
      <c r="E4291" s="1" t="s">
        <v>2292</v>
      </c>
      <c r="F4291" s="1">
        <v>210</v>
      </c>
      <c r="G4291" s="1">
        <v>210</v>
      </c>
      <c r="H4291" s="1">
        <v>0</v>
      </c>
      <c r="I4291" s="1">
        <v>216</v>
      </c>
      <c r="J4291" s="1">
        <v>6</v>
      </c>
      <c r="K4291" s="1">
        <v>210</v>
      </c>
    </row>
    <row r="4292" spans="3:11" x14ac:dyDescent="0.25">
      <c r="C4292" s="1" t="s">
        <v>2371</v>
      </c>
      <c r="D4292" s="1" t="s">
        <v>18</v>
      </c>
      <c r="E4292" s="1" t="s">
        <v>2372</v>
      </c>
      <c r="F4292" s="1">
        <v>211</v>
      </c>
      <c r="G4292" s="1">
        <v>211</v>
      </c>
      <c r="H4292" s="1">
        <v>0</v>
      </c>
      <c r="I4292" s="1">
        <v>6047</v>
      </c>
      <c r="J4292" s="1">
        <v>5836</v>
      </c>
      <c r="K4292" s="1">
        <v>211</v>
      </c>
    </row>
    <row r="4293" spans="3:11" x14ac:dyDescent="0.25">
      <c r="C4293" s="1" t="s">
        <v>3152</v>
      </c>
      <c r="D4293" s="1" t="s">
        <v>671</v>
      </c>
      <c r="E4293" s="1" t="s">
        <v>3153</v>
      </c>
      <c r="F4293" s="1">
        <v>212</v>
      </c>
      <c r="G4293" s="1">
        <v>212</v>
      </c>
      <c r="H4293" s="1">
        <v>0</v>
      </c>
      <c r="I4293" s="1">
        <v>216</v>
      </c>
      <c r="J4293" s="1">
        <v>4</v>
      </c>
      <c r="K4293" s="1">
        <v>212</v>
      </c>
    </row>
    <row r="4294" spans="3:11" x14ac:dyDescent="0.25">
      <c r="C4294" s="1" t="s">
        <v>1538</v>
      </c>
      <c r="D4294" s="1" t="s">
        <v>161</v>
      </c>
      <c r="E4294" s="1" t="s">
        <v>1539</v>
      </c>
      <c r="F4294" s="1">
        <v>213</v>
      </c>
      <c r="G4294" s="1">
        <v>213</v>
      </c>
      <c r="H4294" s="1">
        <v>0</v>
      </c>
      <c r="I4294" s="1">
        <v>381</v>
      </c>
      <c r="J4294" s="1">
        <v>168</v>
      </c>
      <c r="K4294" s="1">
        <v>213</v>
      </c>
    </row>
    <row r="4295" spans="3:11" x14ac:dyDescent="0.25">
      <c r="C4295" s="1" t="s">
        <v>12108</v>
      </c>
      <c r="D4295" s="1" t="s">
        <v>12109</v>
      </c>
      <c r="E4295" s="1" t="s">
        <v>12110</v>
      </c>
      <c r="F4295" s="1">
        <v>214</v>
      </c>
      <c r="G4295" s="1">
        <v>214</v>
      </c>
      <c r="H4295" s="1">
        <v>0</v>
      </c>
      <c r="I4295" s="1">
        <v>3976</v>
      </c>
      <c r="J4295" s="1">
        <v>3762</v>
      </c>
      <c r="K4295" s="1">
        <v>214</v>
      </c>
    </row>
    <row r="4296" spans="3:11" x14ac:dyDescent="0.25">
      <c r="C4296" s="1" t="s">
        <v>4334</v>
      </c>
      <c r="D4296" s="1" t="s">
        <v>4335</v>
      </c>
      <c r="E4296" s="1" t="s">
        <v>4336</v>
      </c>
      <c r="F4296" s="1">
        <v>214</v>
      </c>
      <c r="G4296" s="1">
        <v>214</v>
      </c>
      <c r="H4296" s="1">
        <v>0</v>
      </c>
      <c r="I4296" s="1">
        <v>224</v>
      </c>
      <c r="J4296" s="1">
        <v>10</v>
      </c>
      <c r="K4296" s="1">
        <v>214</v>
      </c>
    </row>
    <row r="4297" spans="3:11" x14ac:dyDescent="0.25">
      <c r="C4297" s="1" t="s">
        <v>12111</v>
      </c>
      <c r="D4297" s="1" t="s">
        <v>12112</v>
      </c>
      <c r="E4297" s="1" t="s">
        <v>12113</v>
      </c>
      <c r="F4297" s="1">
        <v>214</v>
      </c>
      <c r="G4297" s="1">
        <v>214</v>
      </c>
      <c r="H4297" s="1">
        <v>0</v>
      </c>
      <c r="I4297" s="1">
        <v>214</v>
      </c>
      <c r="J4297" s="1">
        <v>0</v>
      </c>
      <c r="K4297" s="1">
        <v>214</v>
      </c>
    </row>
    <row r="4298" spans="3:11" x14ac:dyDescent="0.25">
      <c r="C4298" s="1" t="s">
        <v>4343</v>
      </c>
      <c r="D4298" s="1" t="s">
        <v>4341</v>
      </c>
      <c r="E4298" s="1" t="s">
        <v>4344</v>
      </c>
      <c r="F4298" s="1">
        <v>215</v>
      </c>
      <c r="G4298" s="1">
        <v>215</v>
      </c>
      <c r="H4298" s="1">
        <v>0</v>
      </c>
      <c r="I4298" s="1">
        <v>281</v>
      </c>
      <c r="J4298" s="1">
        <v>66</v>
      </c>
      <c r="K4298" s="1">
        <v>215</v>
      </c>
    </row>
    <row r="4299" spans="3:11" x14ac:dyDescent="0.25">
      <c r="C4299" s="1" t="s">
        <v>2570</v>
      </c>
      <c r="D4299" s="1" t="s">
        <v>440</v>
      </c>
      <c r="E4299" s="1" t="s">
        <v>2571</v>
      </c>
      <c r="F4299" s="1">
        <v>216</v>
      </c>
      <c r="G4299" s="1">
        <v>216</v>
      </c>
      <c r="H4299" s="1">
        <v>0</v>
      </c>
      <c r="I4299" s="1">
        <v>1375</v>
      </c>
      <c r="J4299" s="1">
        <v>1159</v>
      </c>
      <c r="K4299" s="1">
        <v>216</v>
      </c>
    </row>
    <row r="4300" spans="3:11" x14ac:dyDescent="0.25">
      <c r="C4300" s="1" t="s">
        <v>2293</v>
      </c>
      <c r="D4300" s="1" t="s">
        <v>2294</v>
      </c>
      <c r="E4300" s="1" t="s">
        <v>2295</v>
      </c>
      <c r="F4300" s="1">
        <v>216</v>
      </c>
      <c r="G4300" s="1">
        <v>216</v>
      </c>
      <c r="H4300" s="1">
        <v>0</v>
      </c>
      <c r="I4300" s="1">
        <v>216</v>
      </c>
      <c r="J4300" s="1">
        <v>0</v>
      </c>
      <c r="K4300" s="1">
        <v>216</v>
      </c>
    </row>
    <row r="4301" spans="3:11" x14ac:dyDescent="0.25">
      <c r="C4301" s="1" t="s">
        <v>894</v>
      </c>
      <c r="D4301" s="1" t="s">
        <v>15</v>
      </c>
      <c r="E4301" s="1" t="s">
        <v>895</v>
      </c>
      <c r="F4301" s="1">
        <v>220</v>
      </c>
      <c r="G4301" s="1">
        <v>220</v>
      </c>
      <c r="H4301" s="1">
        <v>0</v>
      </c>
      <c r="I4301" s="1">
        <v>6022</v>
      </c>
      <c r="J4301" s="1">
        <v>5802</v>
      </c>
      <c r="K4301" s="1">
        <v>220</v>
      </c>
    </row>
    <row r="4302" spans="3:11" x14ac:dyDescent="0.25">
      <c r="C4302" s="1" t="s">
        <v>12114</v>
      </c>
      <c r="D4302" s="1" t="s">
        <v>12115</v>
      </c>
      <c r="E4302" s="1" t="s">
        <v>12116</v>
      </c>
      <c r="F4302" s="1">
        <v>221</v>
      </c>
      <c r="G4302" s="1">
        <v>221</v>
      </c>
      <c r="H4302" s="1">
        <v>0</v>
      </c>
      <c r="I4302" s="1">
        <v>226</v>
      </c>
      <c r="J4302" s="1">
        <v>5</v>
      </c>
      <c r="K4302" s="1">
        <v>221</v>
      </c>
    </row>
    <row r="4303" spans="3:11" x14ac:dyDescent="0.25">
      <c r="C4303" s="1" t="s">
        <v>1360</v>
      </c>
      <c r="D4303" s="1" t="s">
        <v>135</v>
      </c>
      <c r="E4303" s="1" t="s">
        <v>1361</v>
      </c>
      <c r="F4303" s="1">
        <v>222</v>
      </c>
      <c r="G4303" s="1">
        <v>222</v>
      </c>
      <c r="H4303" s="1">
        <v>0</v>
      </c>
      <c r="I4303" s="1">
        <v>815</v>
      </c>
      <c r="J4303" s="1">
        <v>593</v>
      </c>
      <c r="K4303" s="1">
        <v>222</v>
      </c>
    </row>
    <row r="4304" spans="3:11" x14ac:dyDescent="0.25">
      <c r="C4304" s="1" t="s">
        <v>933</v>
      </c>
      <c r="D4304" s="1" t="s">
        <v>43</v>
      </c>
      <c r="E4304" s="1" t="s">
        <v>934</v>
      </c>
      <c r="F4304" s="1">
        <v>223</v>
      </c>
      <c r="G4304" s="1">
        <v>223</v>
      </c>
      <c r="H4304" s="1">
        <v>0</v>
      </c>
      <c r="I4304" s="1">
        <v>3533</v>
      </c>
      <c r="J4304" s="1">
        <v>3310</v>
      </c>
      <c r="K4304" s="1">
        <v>223</v>
      </c>
    </row>
    <row r="4305" spans="3:11" x14ac:dyDescent="0.25">
      <c r="C4305" s="1" t="s">
        <v>2464</v>
      </c>
      <c r="D4305" s="1" t="s">
        <v>432</v>
      </c>
      <c r="E4305" s="1" t="s">
        <v>2465</v>
      </c>
      <c r="F4305" s="1">
        <v>224</v>
      </c>
      <c r="G4305" s="1">
        <v>224</v>
      </c>
      <c r="H4305" s="1">
        <v>0</v>
      </c>
      <c r="I4305" s="1">
        <v>2722</v>
      </c>
      <c r="J4305" s="1">
        <v>2498</v>
      </c>
      <c r="K4305" s="1">
        <v>224</v>
      </c>
    </row>
    <row r="4306" spans="3:11" x14ac:dyDescent="0.25">
      <c r="C4306" s="1" t="s">
        <v>922</v>
      </c>
      <c r="D4306" s="1" t="s">
        <v>41</v>
      </c>
      <c r="E4306" s="1" t="s">
        <v>923</v>
      </c>
      <c r="F4306" s="1">
        <v>225</v>
      </c>
      <c r="G4306" s="1">
        <v>225</v>
      </c>
      <c r="H4306" s="1">
        <v>0</v>
      </c>
      <c r="I4306" s="1">
        <v>4063</v>
      </c>
      <c r="J4306" s="1">
        <v>3838</v>
      </c>
      <c r="K4306" s="1">
        <v>225</v>
      </c>
    </row>
    <row r="4307" spans="3:11" x14ac:dyDescent="0.25">
      <c r="C4307" s="1" t="s">
        <v>935</v>
      </c>
      <c r="D4307" s="1" t="s">
        <v>44</v>
      </c>
      <c r="E4307" s="1" t="s">
        <v>936</v>
      </c>
      <c r="F4307" s="1">
        <v>225</v>
      </c>
      <c r="G4307" s="1">
        <v>225</v>
      </c>
      <c r="H4307" s="1">
        <v>0</v>
      </c>
      <c r="I4307" s="1">
        <v>3221</v>
      </c>
      <c r="J4307" s="1">
        <v>2996</v>
      </c>
      <c r="K4307" s="1">
        <v>225</v>
      </c>
    </row>
    <row r="4308" spans="3:11" x14ac:dyDescent="0.25">
      <c r="C4308" s="1" t="s">
        <v>918</v>
      </c>
      <c r="D4308" s="1" t="s">
        <v>39</v>
      </c>
      <c r="E4308" s="1" t="s">
        <v>919</v>
      </c>
      <c r="F4308" s="1">
        <v>227</v>
      </c>
      <c r="G4308" s="1">
        <v>227</v>
      </c>
      <c r="H4308" s="1">
        <v>0</v>
      </c>
      <c r="I4308" s="1">
        <v>4090</v>
      </c>
      <c r="J4308" s="1">
        <v>3863</v>
      </c>
      <c r="K4308" s="1">
        <v>227</v>
      </c>
    </row>
    <row r="4309" spans="3:11" x14ac:dyDescent="0.25">
      <c r="C4309" s="1" t="s">
        <v>2671</v>
      </c>
      <c r="D4309" s="1" t="s">
        <v>841</v>
      </c>
      <c r="E4309" s="1" t="s">
        <v>2672</v>
      </c>
      <c r="F4309" s="1">
        <v>227</v>
      </c>
      <c r="G4309" s="1">
        <v>227</v>
      </c>
      <c r="H4309" s="1">
        <v>0</v>
      </c>
      <c r="I4309" s="1">
        <v>882</v>
      </c>
      <c r="J4309" s="1">
        <v>655</v>
      </c>
      <c r="K4309" s="1">
        <v>227</v>
      </c>
    </row>
    <row r="4310" spans="3:11" x14ac:dyDescent="0.25">
      <c r="C4310" s="1" t="s">
        <v>2890</v>
      </c>
      <c r="D4310" s="1" t="s">
        <v>716</v>
      </c>
      <c r="E4310" s="1" t="s">
        <v>2891</v>
      </c>
      <c r="F4310" s="1">
        <v>227</v>
      </c>
      <c r="G4310" s="1">
        <v>227</v>
      </c>
      <c r="H4310" s="1">
        <v>0</v>
      </c>
      <c r="I4310" s="1">
        <v>480</v>
      </c>
      <c r="J4310" s="1">
        <v>253</v>
      </c>
      <c r="K4310" s="1">
        <v>227</v>
      </c>
    </row>
    <row r="4311" spans="3:11" x14ac:dyDescent="0.25">
      <c r="C4311" s="1" t="s">
        <v>2770</v>
      </c>
      <c r="D4311" s="1" t="s">
        <v>673</v>
      </c>
      <c r="E4311" s="1" t="s">
        <v>2771</v>
      </c>
      <c r="F4311" s="1">
        <v>228</v>
      </c>
      <c r="G4311" s="1">
        <v>228</v>
      </c>
      <c r="H4311" s="1">
        <v>0</v>
      </c>
      <c r="I4311" s="1">
        <v>788</v>
      </c>
      <c r="J4311" s="1">
        <v>560</v>
      </c>
      <c r="K4311" s="1">
        <v>228</v>
      </c>
    </row>
    <row r="4312" spans="3:11" x14ac:dyDescent="0.25">
      <c r="C4312" s="1" t="s">
        <v>2747</v>
      </c>
      <c r="D4312" s="1" t="s">
        <v>453</v>
      </c>
      <c r="E4312" s="1" t="s">
        <v>2748</v>
      </c>
      <c r="F4312" s="1">
        <v>228</v>
      </c>
      <c r="G4312" s="1">
        <v>228</v>
      </c>
      <c r="H4312" s="1">
        <v>0</v>
      </c>
      <c r="I4312" s="1">
        <v>737</v>
      </c>
      <c r="J4312" s="1">
        <v>509</v>
      </c>
      <c r="K4312" s="1">
        <v>228</v>
      </c>
    </row>
    <row r="4313" spans="3:11" x14ac:dyDescent="0.25">
      <c r="C4313" s="1" t="s">
        <v>2879</v>
      </c>
      <c r="D4313" s="1" t="s">
        <v>666</v>
      </c>
      <c r="E4313" s="1" t="s">
        <v>2880</v>
      </c>
      <c r="F4313" s="1">
        <v>229</v>
      </c>
      <c r="G4313" s="1">
        <v>229</v>
      </c>
      <c r="H4313" s="1">
        <v>0</v>
      </c>
      <c r="I4313" s="1">
        <v>505</v>
      </c>
      <c r="J4313" s="1">
        <v>276</v>
      </c>
      <c r="K4313" s="1">
        <v>229</v>
      </c>
    </row>
    <row r="4314" spans="3:11" x14ac:dyDescent="0.25">
      <c r="C4314" s="1" t="s">
        <v>1101</v>
      </c>
      <c r="D4314" s="1" t="s">
        <v>88</v>
      </c>
      <c r="E4314" s="1" t="s">
        <v>1102</v>
      </c>
      <c r="F4314" s="1">
        <v>231</v>
      </c>
      <c r="G4314" s="1">
        <v>231</v>
      </c>
      <c r="H4314" s="1">
        <v>0</v>
      </c>
      <c r="I4314" s="1">
        <v>1479</v>
      </c>
      <c r="J4314" s="1">
        <v>1248</v>
      </c>
      <c r="K4314" s="1">
        <v>231</v>
      </c>
    </row>
    <row r="4315" spans="3:11" x14ac:dyDescent="0.25">
      <c r="C4315" s="1" t="s">
        <v>4374</v>
      </c>
      <c r="D4315" s="1" t="s">
        <v>4349</v>
      </c>
      <c r="E4315" s="1" t="s">
        <v>4375</v>
      </c>
      <c r="F4315" s="1">
        <v>231</v>
      </c>
      <c r="G4315" s="1">
        <v>231</v>
      </c>
      <c r="H4315" s="1">
        <v>0</v>
      </c>
      <c r="I4315" s="1">
        <v>241</v>
      </c>
      <c r="J4315" s="1">
        <v>10</v>
      </c>
      <c r="K4315" s="1">
        <v>231</v>
      </c>
    </row>
    <row r="4316" spans="3:11" x14ac:dyDescent="0.25">
      <c r="C4316" s="1" t="s">
        <v>2377</v>
      </c>
      <c r="D4316" s="1" t="s">
        <v>29</v>
      </c>
      <c r="E4316" s="1" t="s">
        <v>2378</v>
      </c>
      <c r="F4316" s="1">
        <v>233</v>
      </c>
      <c r="G4316" s="1">
        <v>233</v>
      </c>
      <c r="H4316" s="1">
        <v>0</v>
      </c>
      <c r="I4316" s="1">
        <v>5411</v>
      </c>
      <c r="J4316" s="1">
        <v>5178</v>
      </c>
      <c r="K4316" s="1">
        <v>233</v>
      </c>
    </row>
    <row r="4317" spans="3:11" x14ac:dyDescent="0.25">
      <c r="C4317" s="1" t="s">
        <v>956</v>
      </c>
      <c r="D4317" s="1" t="s">
        <v>49</v>
      </c>
      <c r="E4317" s="1" t="s">
        <v>956</v>
      </c>
      <c r="F4317" s="1">
        <v>235</v>
      </c>
      <c r="G4317" s="1">
        <v>235</v>
      </c>
      <c r="H4317" s="1">
        <v>0</v>
      </c>
      <c r="I4317" s="1">
        <v>3153</v>
      </c>
      <c r="J4317" s="1">
        <v>2918</v>
      </c>
      <c r="K4317" s="1">
        <v>235</v>
      </c>
    </row>
    <row r="4318" spans="3:11" x14ac:dyDescent="0.25">
      <c r="C4318" s="1" t="s">
        <v>2814</v>
      </c>
      <c r="D4318" s="1" t="s">
        <v>659</v>
      </c>
      <c r="E4318" s="1" t="s">
        <v>2815</v>
      </c>
      <c r="F4318" s="1">
        <v>236</v>
      </c>
      <c r="G4318" s="1">
        <v>236</v>
      </c>
      <c r="H4318" s="1">
        <v>0</v>
      </c>
      <c r="I4318" s="1">
        <v>605</v>
      </c>
      <c r="J4318" s="1">
        <v>369</v>
      </c>
      <c r="K4318" s="1">
        <v>236</v>
      </c>
    </row>
    <row r="4319" spans="3:11" x14ac:dyDescent="0.25">
      <c r="C4319" s="1" t="s">
        <v>1459</v>
      </c>
      <c r="D4319" s="1" t="s">
        <v>149</v>
      </c>
      <c r="E4319" s="1" t="s">
        <v>1460</v>
      </c>
      <c r="F4319" s="1">
        <v>237</v>
      </c>
      <c r="G4319" s="1">
        <v>237</v>
      </c>
      <c r="H4319" s="1">
        <v>0</v>
      </c>
      <c r="I4319" s="1">
        <v>881</v>
      </c>
      <c r="J4319" s="1">
        <v>644</v>
      </c>
      <c r="K4319" s="1">
        <v>237</v>
      </c>
    </row>
    <row r="4320" spans="3:11" x14ac:dyDescent="0.25">
      <c r="C4320" s="1" t="s">
        <v>2921</v>
      </c>
      <c r="D4320" s="1" t="s">
        <v>675</v>
      </c>
      <c r="E4320" s="1" t="s">
        <v>2922</v>
      </c>
      <c r="F4320" s="1">
        <v>237</v>
      </c>
      <c r="G4320" s="1">
        <v>237</v>
      </c>
      <c r="H4320" s="1">
        <v>0</v>
      </c>
      <c r="I4320" s="1">
        <v>561</v>
      </c>
      <c r="J4320" s="1">
        <v>324</v>
      </c>
      <c r="K4320" s="1">
        <v>237</v>
      </c>
    </row>
    <row r="4321" spans="3:11" x14ac:dyDescent="0.25">
      <c r="C4321" s="1" t="s">
        <v>1125</v>
      </c>
      <c r="D4321" s="1" t="s">
        <v>93</v>
      </c>
      <c r="E4321" s="1" t="s">
        <v>1126</v>
      </c>
      <c r="F4321" s="1">
        <v>240</v>
      </c>
      <c r="G4321" s="1">
        <v>240</v>
      </c>
      <c r="H4321" s="1">
        <v>0</v>
      </c>
      <c r="I4321" s="1">
        <v>1262</v>
      </c>
      <c r="J4321" s="1">
        <v>1022</v>
      </c>
      <c r="K4321" s="1">
        <v>240</v>
      </c>
    </row>
    <row r="4322" spans="3:11" x14ac:dyDescent="0.25">
      <c r="C4322" s="1" t="s">
        <v>4296</v>
      </c>
      <c r="D4322" s="1" t="s">
        <v>4297</v>
      </c>
      <c r="E4322" s="1" t="s">
        <v>4298</v>
      </c>
      <c r="F4322" s="1">
        <v>242</v>
      </c>
      <c r="G4322" s="1">
        <v>242</v>
      </c>
      <c r="H4322" s="1">
        <v>0</v>
      </c>
      <c r="I4322" s="1">
        <v>270</v>
      </c>
      <c r="J4322" s="1">
        <v>28</v>
      </c>
      <c r="K4322" s="1">
        <v>242</v>
      </c>
    </row>
    <row r="4323" spans="3:11" x14ac:dyDescent="0.25">
      <c r="C4323" s="1" t="s">
        <v>1016</v>
      </c>
      <c r="D4323" s="1" t="s">
        <v>65</v>
      </c>
      <c r="E4323" s="1" t="s">
        <v>1017</v>
      </c>
      <c r="F4323" s="1">
        <v>243</v>
      </c>
      <c r="G4323" s="1">
        <v>243</v>
      </c>
      <c r="H4323" s="1">
        <v>0</v>
      </c>
      <c r="I4323" s="1">
        <v>4047</v>
      </c>
      <c r="J4323" s="1">
        <v>3804</v>
      </c>
      <c r="K4323" s="1">
        <v>243</v>
      </c>
    </row>
    <row r="4324" spans="3:11" x14ac:dyDescent="0.25">
      <c r="C4324" s="1" t="s">
        <v>876</v>
      </c>
      <c r="D4324" s="1" t="s">
        <v>1</v>
      </c>
      <c r="E4324" s="1" t="s">
        <v>877</v>
      </c>
      <c r="F4324" s="1">
        <v>245</v>
      </c>
      <c r="G4324" s="1">
        <v>245</v>
      </c>
      <c r="H4324" s="1">
        <v>0</v>
      </c>
      <c r="I4324" s="1">
        <v>28292</v>
      </c>
      <c r="J4324" s="1">
        <v>28047</v>
      </c>
      <c r="K4324" s="1">
        <v>245</v>
      </c>
    </row>
    <row r="4325" spans="3:11" x14ac:dyDescent="0.25">
      <c r="C4325" s="1" t="s">
        <v>2913</v>
      </c>
      <c r="D4325" s="1" t="s">
        <v>819</v>
      </c>
      <c r="E4325" s="1" t="s">
        <v>2914</v>
      </c>
      <c r="F4325" s="1">
        <v>245</v>
      </c>
      <c r="G4325" s="1">
        <v>245</v>
      </c>
      <c r="H4325" s="1">
        <v>0</v>
      </c>
      <c r="I4325" s="1">
        <v>734</v>
      </c>
      <c r="J4325" s="1">
        <v>489</v>
      </c>
      <c r="K4325" s="1">
        <v>245</v>
      </c>
    </row>
    <row r="4326" spans="3:11" x14ac:dyDescent="0.25">
      <c r="C4326" s="1" t="s">
        <v>2523</v>
      </c>
      <c r="D4326" s="1" t="s">
        <v>799</v>
      </c>
      <c r="E4326" s="1" t="s">
        <v>2524</v>
      </c>
      <c r="F4326" s="1">
        <v>246</v>
      </c>
      <c r="G4326" s="1">
        <v>246</v>
      </c>
      <c r="H4326" s="1">
        <v>0</v>
      </c>
      <c r="I4326" s="1">
        <v>2066</v>
      </c>
      <c r="J4326" s="1">
        <v>1820</v>
      </c>
      <c r="K4326" s="1">
        <v>246</v>
      </c>
    </row>
    <row r="4327" spans="3:11" x14ac:dyDescent="0.25">
      <c r="C4327" s="1" t="s">
        <v>1441</v>
      </c>
      <c r="D4327" s="1" t="s">
        <v>147</v>
      </c>
      <c r="E4327" s="1" t="s">
        <v>1442</v>
      </c>
      <c r="F4327" s="1">
        <v>247</v>
      </c>
      <c r="G4327" s="1">
        <v>247</v>
      </c>
      <c r="H4327" s="1">
        <v>0</v>
      </c>
      <c r="I4327" s="1">
        <v>809</v>
      </c>
      <c r="J4327" s="1">
        <v>562</v>
      </c>
      <c r="K4327" s="1">
        <v>247</v>
      </c>
    </row>
    <row r="4328" spans="3:11" x14ac:dyDescent="0.25">
      <c r="C4328" s="1" t="s">
        <v>2758</v>
      </c>
      <c r="D4328" s="1" t="s">
        <v>2173</v>
      </c>
      <c r="E4328" s="1" t="s">
        <v>2759</v>
      </c>
      <c r="F4328" s="1">
        <v>250</v>
      </c>
      <c r="G4328" s="1">
        <v>250</v>
      </c>
      <c r="H4328" s="1">
        <v>0</v>
      </c>
      <c r="I4328" s="1">
        <v>723</v>
      </c>
      <c r="J4328" s="1">
        <v>473</v>
      </c>
      <c r="K4328" s="1">
        <v>250</v>
      </c>
    </row>
    <row r="4329" spans="3:11" x14ac:dyDescent="0.25">
      <c r="C4329" s="1" t="s">
        <v>1457</v>
      </c>
      <c r="D4329" s="1" t="s">
        <v>148</v>
      </c>
      <c r="E4329" s="1" t="s">
        <v>1458</v>
      </c>
      <c r="F4329" s="1">
        <v>253</v>
      </c>
      <c r="G4329" s="1">
        <v>253</v>
      </c>
      <c r="H4329" s="1">
        <v>0</v>
      </c>
      <c r="I4329" s="1">
        <v>532</v>
      </c>
      <c r="J4329" s="1">
        <v>279</v>
      </c>
      <c r="K4329" s="1">
        <v>253</v>
      </c>
    </row>
    <row r="4330" spans="3:11" x14ac:dyDescent="0.25">
      <c r="C4330" s="1" t="s">
        <v>904</v>
      </c>
      <c r="D4330" s="1" t="s">
        <v>27</v>
      </c>
      <c r="E4330" s="1" t="s">
        <v>905</v>
      </c>
      <c r="F4330" s="1">
        <v>257</v>
      </c>
      <c r="G4330" s="1">
        <v>257</v>
      </c>
      <c r="H4330" s="1">
        <v>0</v>
      </c>
      <c r="I4330" s="1">
        <v>5391</v>
      </c>
      <c r="J4330" s="1">
        <v>5134</v>
      </c>
      <c r="K4330" s="1">
        <v>257</v>
      </c>
    </row>
    <row r="4331" spans="3:11" x14ac:dyDescent="0.25">
      <c r="C4331" s="1" t="s">
        <v>2927</v>
      </c>
      <c r="D4331" s="1" t="s">
        <v>2227</v>
      </c>
      <c r="E4331" s="1" t="s">
        <v>2928</v>
      </c>
      <c r="F4331" s="1">
        <v>258</v>
      </c>
      <c r="G4331" s="1">
        <v>258</v>
      </c>
      <c r="H4331" s="1">
        <v>0</v>
      </c>
      <c r="I4331" s="1">
        <v>419</v>
      </c>
      <c r="J4331" s="1">
        <v>161</v>
      </c>
      <c r="K4331" s="1">
        <v>258</v>
      </c>
    </row>
    <row r="4332" spans="3:11" x14ac:dyDescent="0.25">
      <c r="C4332" s="1" t="s">
        <v>916</v>
      </c>
      <c r="D4332" s="1" t="s">
        <v>38</v>
      </c>
      <c r="E4332" s="1" t="s">
        <v>917</v>
      </c>
      <c r="F4332" s="1">
        <v>261</v>
      </c>
      <c r="G4332" s="1">
        <v>261</v>
      </c>
      <c r="H4332" s="1">
        <v>0</v>
      </c>
      <c r="I4332" s="1">
        <v>5807</v>
      </c>
      <c r="J4332" s="1">
        <v>5546</v>
      </c>
      <c r="K4332" s="1">
        <v>261</v>
      </c>
    </row>
    <row r="4333" spans="3:11" x14ac:dyDescent="0.25">
      <c r="C4333" s="1" t="s">
        <v>1028</v>
      </c>
      <c r="D4333" s="1" t="s">
        <v>69</v>
      </c>
      <c r="E4333" s="1" t="s">
        <v>1029</v>
      </c>
      <c r="F4333" s="1">
        <v>261</v>
      </c>
      <c r="G4333" s="1">
        <v>261</v>
      </c>
      <c r="H4333" s="1">
        <v>0</v>
      </c>
      <c r="I4333" s="1">
        <v>1744</v>
      </c>
      <c r="J4333" s="1">
        <v>1483</v>
      </c>
      <c r="K4333" s="1">
        <v>261</v>
      </c>
    </row>
    <row r="4334" spans="3:11" x14ac:dyDescent="0.25">
      <c r="C4334" s="1" t="s">
        <v>1057</v>
      </c>
      <c r="D4334" s="1" t="s">
        <v>82</v>
      </c>
      <c r="E4334" s="1" t="s">
        <v>1058</v>
      </c>
      <c r="F4334" s="1">
        <v>262</v>
      </c>
      <c r="G4334" s="1">
        <v>262</v>
      </c>
      <c r="H4334" s="1">
        <v>0</v>
      </c>
      <c r="I4334" s="1">
        <v>1666</v>
      </c>
      <c r="J4334" s="1">
        <v>1404</v>
      </c>
      <c r="K4334" s="1">
        <v>262</v>
      </c>
    </row>
    <row r="4335" spans="3:11" x14ac:dyDescent="0.25">
      <c r="C4335" s="1" t="s">
        <v>2749</v>
      </c>
      <c r="D4335" s="1" t="s">
        <v>676</v>
      </c>
      <c r="E4335" s="1" t="s">
        <v>2750</v>
      </c>
      <c r="F4335" s="1">
        <v>262</v>
      </c>
      <c r="G4335" s="1">
        <v>262</v>
      </c>
      <c r="H4335" s="1">
        <v>0</v>
      </c>
      <c r="I4335" s="1">
        <v>733</v>
      </c>
      <c r="J4335" s="1">
        <v>471</v>
      </c>
      <c r="K4335" s="1">
        <v>262</v>
      </c>
    </row>
    <row r="4336" spans="3:11" x14ac:dyDescent="0.25">
      <c r="C4336" s="1" t="s">
        <v>4403</v>
      </c>
      <c r="D4336" s="1" t="s">
        <v>4404</v>
      </c>
      <c r="E4336" s="1" t="s">
        <v>4405</v>
      </c>
      <c r="F4336" s="1">
        <v>264</v>
      </c>
      <c r="G4336" s="1">
        <v>264</v>
      </c>
      <c r="H4336" s="1">
        <v>0</v>
      </c>
      <c r="I4336" s="1">
        <v>264</v>
      </c>
      <c r="J4336" s="1">
        <v>0</v>
      </c>
      <c r="K4336" s="1">
        <v>264</v>
      </c>
    </row>
    <row r="4337" spans="3:11" x14ac:dyDescent="0.25">
      <c r="C4337" s="1" t="s">
        <v>2362</v>
      </c>
      <c r="D4337" s="1" t="s">
        <v>13</v>
      </c>
      <c r="E4337" s="1" t="s">
        <v>2363</v>
      </c>
      <c r="F4337" s="1">
        <v>272</v>
      </c>
      <c r="G4337" s="1">
        <v>272</v>
      </c>
      <c r="H4337" s="1">
        <v>0</v>
      </c>
      <c r="I4337" s="1">
        <v>8029</v>
      </c>
      <c r="J4337" s="1">
        <v>7757</v>
      </c>
      <c r="K4337" s="1">
        <v>272</v>
      </c>
    </row>
    <row r="4338" spans="3:11" x14ac:dyDescent="0.25">
      <c r="C4338" s="1" t="s">
        <v>2979</v>
      </c>
      <c r="D4338" s="1" t="s">
        <v>665</v>
      </c>
      <c r="E4338" s="1" t="s">
        <v>2980</v>
      </c>
      <c r="F4338" s="1">
        <v>272</v>
      </c>
      <c r="G4338" s="1">
        <v>272</v>
      </c>
      <c r="H4338" s="1">
        <v>0</v>
      </c>
      <c r="I4338" s="1">
        <v>361</v>
      </c>
      <c r="J4338" s="1">
        <v>89</v>
      </c>
      <c r="K4338" s="1">
        <v>272</v>
      </c>
    </row>
    <row r="4339" spans="3:11" x14ac:dyDescent="0.25">
      <c r="C4339" s="1" t="s">
        <v>2507</v>
      </c>
      <c r="D4339" s="1" t="s">
        <v>646</v>
      </c>
      <c r="E4339" s="1" t="s">
        <v>2508</v>
      </c>
      <c r="F4339" s="1">
        <v>273</v>
      </c>
      <c r="G4339" s="1">
        <v>273</v>
      </c>
      <c r="H4339" s="1">
        <v>0</v>
      </c>
      <c r="I4339" s="1">
        <v>2328</v>
      </c>
      <c r="J4339" s="1">
        <v>2055</v>
      </c>
      <c r="K4339" s="1">
        <v>273</v>
      </c>
    </row>
    <row r="4340" spans="3:11" x14ac:dyDescent="0.25">
      <c r="C4340" s="1" t="s">
        <v>1221</v>
      </c>
      <c r="D4340" s="1" t="s">
        <v>114</v>
      </c>
      <c r="E4340" s="1" t="s">
        <v>1222</v>
      </c>
      <c r="F4340" s="1">
        <v>274</v>
      </c>
      <c r="G4340" s="1">
        <v>274</v>
      </c>
      <c r="H4340" s="1">
        <v>0</v>
      </c>
      <c r="I4340" s="1">
        <v>1208</v>
      </c>
      <c r="J4340" s="1">
        <v>934</v>
      </c>
      <c r="K4340" s="1">
        <v>274</v>
      </c>
    </row>
    <row r="4341" spans="3:11" x14ac:dyDescent="0.25">
      <c r="C4341" s="1" t="s">
        <v>12117</v>
      </c>
      <c r="D4341" s="1" t="s">
        <v>12118</v>
      </c>
      <c r="E4341" s="1" t="s">
        <v>12117</v>
      </c>
      <c r="F4341" s="1">
        <v>274</v>
      </c>
      <c r="G4341" s="1">
        <v>274</v>
      </c>
      <c r="H4341" s="1">
        <v>0</v>
      </c>
      <c r="I4341" s="1">
        <v>274</v>
      </c>
      <c r="J4341" s="1">
        <v>0</v>
      </c>
      <c r="K4341" s="1">
        <v>274</v>
      </c>
    </row>
    <row r="4342" spans="3:11" x14ac:dyDescent="0.25">
      <c r="C4342" s="1" t="s">
        <v>2947</v>
      </c>
      <c r="D4342" s="1" t="s">
        <v>723</v>
      </c>
      <c r="E4342" s="1" t="s">
        <v>2948</v>
      </c>
      <c r="F4342" s="1">
        <v>281</v>
      </c>
      <c r="G4342" s="1">
        <v>281</v>
      </c>
      <c r="H4342" s="1">
        <v>0</v>
      </c>
      <c r="I4342" s="1">
        <v>402</v>
      </c>
      <c r="J4342" s="1">
        <v>121</v>
      </c>
      <c r="K4342" s="1">
        <v>281</v>
      </c>
    </row>
    <row r="4343" spans="3:11" x14ac:dyDescent="0.25">
      <c r="C4343" s="1" t="s">
        <v>2352</v>
      </c>
      <c r="D4343" s="1" t="s">
        <v>4</v>
      </c>
      <c r="E4343" s="1" t="s">
        <v>2353</v>
      </c>
      <c r="F4343" s="1">
        <v>282</v>
      </c>
      <c r="G4343" s="1">
        <v>282</v>
      </c>
      <c r="H4343" s="1">
        <v>0</v>
      </c>
      <c r="I4343" s="1">
        <v>12952</v>
      </c>
      <c r="J4343" s="1">
        <v>12670</v>
      </c>
      <c r="K4343" s="1">
        <v>282</v>
      </c>
    </row>
    <row r="4344" spans="3:11" x14ac:dyDescent="0.25">
      <c r="C4344" s="1" t="s">
        <v>2737</v>
      </c>
      <c r="D4344" s="1" t="s">
        <v>813</v>
      </c>
      <c r="E4344" s="1" t="s">
        <v>2738</v>
      </c>
      <c r="F4344" s="1">
        <v>283</v>
      </c>
      <c r="G4344" s="1">
        <v>283</v>
      </c>
      <c r="H4344" s="1">
        <v>0</v>
      </c>
      <c r="I4344" s="1">
        <v>1197</v>
      </c>
      <c r="J4344" s="1">
        <v>914</v>
      </c>
      <c r="K4344" s="1">
        <v>283</v>
      </c>
    </row>
    <row r="4345" spans="3:11" x14ac:dyDescent="0.25">
      <c r="C4345" s="1" t="s">
        <v>4314</v>
      </c>
      <c r="D4345" s="1" t="s">
        <v>4315</v>
      </c>
      <c r="E4345" s="1" t="s">
        <v>4316</v>
      </c>
      <c r="F4345" s="1">
        <v>284</v>
      </c>
      <c r="G4345" s="1">
        <v>284</v>
      </c>
      <c r="H4345" s="1">
        <v>0</v>
      </c>
      <c r="I4345" s="1">
        <v>737</v>
      </c>
      <c r="J4345" s="1">
        <v>453</v>
      </c>
      <c r="K4345" s="1">
        <v>284</v>
      </c>
    </row>
    <row r="4346" spans="3:11" x14ac:dyDescent="0.25">
      <c r="C4346" s="1" t="s">
        <v>2413</v>
      </c>
      <c r="D4346" s="1" t="s">
        <v>416</v>
      </c>
      <c r="E4346" s="1" t="s">
        <v>2414</v>
      </c>
      <c r="F4346" s="1">
        <v>288</v>
      </c>
      <c r="G4346" s="1">
        <v>288</v>
      </c>
      <c r="H4346" s="1">
        <v>0</v>
      </c>
      <c r="I4346" s="1">
        <v>3835</v>
      </c>
      <c r="J4346" s="1">
        <v>3547</v>
      </c>
      <c r="K4346" s="1">
        <v>288</v>
      </c>
    </row>
    <row r="4347" spans="3:11" x14ac:dyDescent="0.25">
      <c r="C4347" s="1" t="s">
        <v>1490</v>
      </c>
      <c r="D4347" s="1" t="s">
        <v>156</v>
      </c>
      <c r="E4347" s="1" t="s">
        <v>1491</v>
      </c>
      <c r="F4347" s="1">
        <v>289</v>
      </c>
      <c r="G4347" s="1">
        <v>289</v>
      </c>
      <c r="H4347" s="1">
        <v>0</v>
      </c>
      <c r="I4347" s="1">
        <v>2012</v>
      </c>
      <c r="J4347" s="1">
        <v>1723</v>
      </c>
      <c r="K4347" s="1">
        <v>289</v>
      </c>
    </row>
    <row r="4348" spans="3:11" x14ac:dyDescent="0.25">
      <c r="C4348" s="1" t="s">
        <v>2460</v>
      </c>
      <c r="D4348" s="1" t="s">
        <v>794</v>
      </c>
      <c r="E4348" s="1" t="s">
        <v>2461</v>
      </c>
      <c r="F4348" s="1">
        <v>292</v>
      </c>
      <c r="G4348" s="1">
        <v>292</v>
      </c>
      <c r="H4348" s="1">
        <v>0</v>
      </c>
      <c r="I4348" s="1">
        <v>2929</v>
      </c>
      <c r="J4348" s="1">
        <v>2637</v>
      </c>
      <c r="K4348" s="1">
        <v>292</v>
      </c>
    </row>
    <row r="4349" spans="3:11" x14ac:dyDescent="0.25">
      <c r="C4349" s="1" t="s">
        <v>1231</v>
      </c>
      <c r="D4349" s="1" t="s">
        <v>116</v>
      </c>
      <c r="E4349" s="1" t="s">
        <v>1232</v>
      </c>
      <c r="F4349" s="1">
        <v>297</v>
      </c>
      <c r="G4349" s="1">
        <v>297</v>
      </c>
      <c r="H4349" s="1">
        <v>0</v>
      </c>
      <c r="I4349" s="1">
        <v>1366</v>
      </c>
      <c r="J4349" s="1">
        <v>1069</v>
      </c>
      <c r="K4349" s="1">
        <v>297</v>
      </c>
    </row>
    <row r="4350" spans="3:11" x14ac:dyDescent="0.25">
      <c r="C4350" s="1" t="s">
        <v>2823</v>
      </c>
      <c r="D4350" s="1" t="s">
        <v>817</v>
      </c>
      <c r="E4350" s="1" t="s">
        <v>2824</v>
      </c>
      <c r="F4350" s="1">
        <v>298</v>
      </c>
      <c r="G4350" s="1">
        <v>298</v>
      </c>
      <c r="H4350" s="1">
        <v>0</v>
      </c>
      <c r="I4350" s="1">
        <v>947</v>
      </c>
      <c r="J4350" s="1">
        <v>649</v>
      </c>
      <c r="K4350" s="1">
        <v>298</v>
      </c>
    </row>
    <row r="4351" spans="3:11" x14ac:dyDescent="0.25">
      <c r="C4351" s="1" t="s">
        <v>1235</v>
      </c>
      <c r="D4351" s="1" t="s">
        <v>118</v>
      </c>
      <c r="E4351" s="1" t="s">
        <v>1236</v>
      </c>
      <c r="F4351" s="1">
        <v>302</v>
      </c>
      <c r="G4351" s="1">
        <v>302</v>
      </c>
      <c r="H4351" s="1">
        <v>0</v>
      </c>
      <c r="I4351" s="1">
        <v>1217</v>
      </c>
      <c r="J4351" s="1">
        <v>915</v>
      </c>
      <c r="K4351" s="1">
        <v>302</v>
      </c>
    </row>
    <row r="4352" spans="3:11" x14ac:dyDescent="0.25">
      <c r="C4352" s="1" t="s">
        <v>910</v>
      </c>
      <c r="D4352" s="1" t="s">
        <v>33</v>
      </c>
      <c r="E4352" s="1" t="s">
        <v>911</v>
      </c>
      <c r="F4352" s="1">
        <v>303</v>
      </c>
      <c r="G4352" s="1">
        <v>303</v>
      </c>
      <c r="H4352" s="1">
        <v>0</v>
      </c>
      <c r="I4352" s="1">
        <v>4806</v>
      </c>
      <c r="J4352" s="1">
        <v>4503</v>
      </c>
      <c r="K4352" s="1">
        <v>303</v>
      </c>
    </row>
    <row r="4353" spans="3:11" x14ac:dyDescent="0.25">
      <c r="C4353" s="1" t="s">
        <v>2236</v>
      </c>
      <c r="D4353" s="1" t="s">
        <v>2229</v>
      </c>
      <c r="E4353" s="1" t="s">
        <v>2237</v>
      </c>
      <c r="F4353" s="1">
        <v>304</v>
      </c>
      <c r="G4353" s="1">
        <v>304</v>
      </c>
      <c r="H4353" s="1">
        <v>0</v>
      </c>
      <c r="I4353" s="1">
        <v>359</v>
      </c>
      <c r="J4353" s="1">
        <v>55</v>
      </c>
      <c r="K4353" s="1">
        <v>304</v>
      </c>
    </row>
    <row r="4354" spans="3:11" x14ac:dyDescent="0.25">
      <c r="C4354" s="1" t="s">
        <v>969</v>
      </c>
      <c r="D4354" s="1" t="s">
        <v>68</v>
      </c>
      <c r="E4354" s="1" t="s">
        <v>970</v>
      </c>
      <c r="F4354" s="1">
        <v>305</v>
      </c>
      <c r="G4354" s="1">
        <v>305</v>
      </c>
      <c r="H4354" s="1">
        <v>0</v>
      </c>
      <c r="I4354" s="1">
        <v>3033</v>
      </c>
      <c r="J4354" s="1">
        <v>2728</v>
      </c>
      <c r="K4354" s="1">
        <v>305</v>
      </c>
    </row>
    <row r="4355" spans="3:11" x14ac:dyDescent="0.25">
      <c r="C4355" s="1" t="s">
        <v>2397</v>
      </c>
      <c r="D4355" s="1" t="s">
        <v>417</v>
      </c>
      <c r="E4355" s="1" t="s">
        <v>2398</v>
      </c>
      <c r="F4355" s="1">
        <v>310</v>
      </c>
      <c r="G4355" s="1">
        <v>310</v>
      </c>
      <c r="H4355" s="1">
        <v>0</v>
      </c>
      <c r="I4355" s="1">
        <v>4463</v>
      </c>
      <c r="J4355" s="1">
        <v>4153</v>
      </c>
      <c r="K4355" s="1">
        <v>310</v>
      </c>
    </row>
    <row r="4356" spans="3:11" x14ac:dyDescent="0.25">
      <c r="C4356" s="1" t="s">
        <v>1229</v>
      </c>
      <c r="D4356" s="1" t="s">
        <v>115</v>
      </c>
      <c r="E4356" s="1" t="s">
        <v>1230</v>
      </c>
      <c r="F4356" s="1">
        <v>310</v>
      </c>
      <c r="G4356" s="1">
        <v>310</v>
      </c>
      <c r="H4356" s="1">
        <v>0</v>
      </c>
      <c r="I4356" s="1">
        <v>1157</v>
      </c>
      <c r="J4356" s="1">
        <v>847</v>
      </c>
      <c r="K4356" s="1">
        <v>310</v>
      </c>
    </row>
    <row r="4357" spans="3:11" x14ac:dyDescent="0.25">
      <c r="C4357" s="1" t="s">
        <v>1075</v>
      </c>
      <c r="D4357" s="1" t="s">
        <v>85</v>
      </c>
      <c r="E4357" s="1" t="s">
        <v>1076</v>
      </c>
      <c r="F4357" s="1">
        <v>313</v>
      </c>
      <c r="G4357" s="1">
        <v>313</v>
      </c>
      <c r="H4357" s="1">
        <v>0</v>
      </c>
      <c r="I4357" s="1">
        <v>1682</v>
      </c>
      <c r="J4357" s="1">
        <v>1369</v>
      </c>
      <c r="K4357" s="1">
        <v>313</v>
      </c>
    </row>
    <row r="4358" spans="3:11" x14ac:dyDescent="0.25">
      <c r="C4358" s="1" t="s">
        <v>2735</v>
      </c>
      <c r="D4358" s="1" t="s">
        <v>812</v>
      </c>
      <c r="E4358" s="1" t="s">
        <v>2736</v>
      </c>
      <c r="F4358" s="1">
        <v>313</v>
      </c>
      <c r="G4358" s="1">
        <v>313</v>
      </c>
      <c r="H4358" s="1">
        <v>0</v>
      </c>
      <c r="I4358" s="1">
        <v>1030</v>
      </c>
      <c r="J4358" s="1">
        <v>717</v>
      </c>
      <c r="K4358" s="1">
        <v>313</v>
      </c>
    </row>
    <row r="4359" spans="3:11" x14ac:dyDescent="0.25">
      <c r="C4359" s="1" t="s">
        <v>2655</v>
      </c>
      <c r="D4359" s="1" t="s">
        <v>648</v>
      </c>
      <c r="E4359" s="1" t="s">
        <v>2656</v>
      </c>
      <c r="F4359" s="1">
        <v>317</v>
      </c>
      <c r="G4359" s="1">
        <v>317</v>
      </c>
      <c r="H4359" s="1">
        <v>0</v>
      </c>
      <c r="I4359" s="1">
        <v>940</v>
      </c>
      <c r="J4359" s="1">
        <v>623</v>
      </c>
      <c r="K4359" s="1">
        <v>317</v>
      </c>
    </row>
    <row r="4360" spans="3:11" x14ac:dyDescent="0.25">
      <c r="C4360" s="1" t="s">
        <v>4261</v>
      </c>
      <c r="D4360" s="1" t="s">
        <v>4262</v>
      </c>
      <c r="E4360" s="1" t="s">
        <v>4263</v>
      </c>
      <c r="F4360" s="1">
        <v>320</v>
      </c>
      <c r="G4360" s="1">
        <v>320</v>
      </c>
      <c r="H4360" s="1">
        <v>0</v>
      </c>
      <c r="I4360" s="1">
        <v>341</v>
      </c>
      <c r="J4360" s="1">
        <v>21</v>
      </c>
      <c r="K4360" s="1">
        <v>320</v>
      </c>
    </row>
    <row r="4361" spans="3:11" x14ac:dyDescent="0.25">
      <c r="C4361" s="1" t="s">
        <v>2675</v>
      </c>
      <c r="D4361" s="1" t="s">
        <v>806</v>
      </c>
      <c r="E4361" s="1" t="s">
        <v>2676</v>
      </c>
      <c r="F4361" s="1">
        <v>322</v>
      </c>
      <c r="G4361" s="1">
        <v>322</v>
      </c>
      <c r="H4361" s="1">
        <v>0</v>
      </c>
      <c r="I4361" s="1">
        <v>1277</v>
      </c>
      <c r="J4361" s="1">
        <v>955</v>
      </c>
      <c r="K4361" s="1">
        <v>322</v>
      </c>
    </row>
    <row r="4362" spans="3:11" x14ac:dyDescent="0.25">
      <c r="C4362" s="1" t="s">
        <v>900</v>
      </c>
      <c r="D4362" s="1" t="s">
        <v>30</v>
      </c>
      <c r="E4362" s="1" t="s">
        <v>901</v>
      </c>
      <c r="F4362" s="1">
        <v>324</v>
      </c>
      <c r="G4362" s="1">
        <v>324</v>
      </c>
      <c r="H4362" s="1">
        <v>0</v>
      </c>
      <c r="I4362" s="1">
        <v>5588</v>
      </c>
      <c r="J4362" s="1">
        <v>5264</v>
      </c>
      <c r="K4362" s="1">
        <v>324</v>
      </c>
    </row>
    <row r="4363" spans="3:11" x14ac:dyDescent="0.25">
      <c r="C4363" s="1" t="s">
        <v>2272</v>
      </c>
      <c r="D4363" s="1" t="s">
        <v>2273</v>
      </c>
      <c r="E4363" s="1" t="s">
        <v>2274</v>
      </c>
      <c r="F4363" s="1">
        <v>325</v>
      </c>
      <c r="G4363" s="1">
        <v>325</v>
      </c>
      <c r="H4363" s="1">
        <v>0</v>
      </c>
      <c r="I4363" s="1">
        <v>517</v>
      </c>
      <c r="J4363" s="1">
        <v>192</v>
      </c>
      <c r="K4363" s="1">
        <v>325</v>
      </c>
    </row>
    <row r="4364" spans="3:11" x14ac:dyDescent="0.25">
      <c r="C4364" s="1" t="s">
        <v>4387</v>
      </c>
      <c r="D4364" s="1" t="s">
        <v>4383</v>
      </c>
      <c r="E4364" s="1" t="s">
        <v>4388</v>
      </c>
      <c r="F4364" s="1">
        <v>329</v>
      </c>
      <c r="G4364" s="1">
        <v>329</v>
      </c>
      <c r="H4364" s="1">
        <v>0</v>
      </c>
      <c r="I4364" s="1">
        <v>400</v>
      </c>
      <c r="J4364" s="1">
        <v>71</v>
      </c>
      <c r="K4364" s="1">
        <v>329</v>
      </c>
    </row>
    <row r="4365" spans="3:11" x14ac:dyDescent="0.25">
      <c r="C4365" s="1" t="s">
        <v>2983</v>
      </c>
      <c r="D4365" s="1" t="s">
        <v>2147</v>
      </c>
      <c r="E4365" s="1" t="s">
        <v>2984</v>
      </c>
      <c r="F4365" s="1">
        <v>329</v>
      </c>
      <c r="G4365" s="1">
        <v>329</v>
      </c>
      <c r="H4365" s="1">
        <v>0</v>
      </c>
      <c r="I4365" s="1">
        <v>360</v>
      </c>
      <c r="J4365" s="1">
        <v>31</v>
      </c>
      <c r="K4365" s="1">
        <v>329</v>
      </c>
    </row>
    <row r="4366" spans="3:11" x14ac:dyDescent="0.25">
      <c r="C4366" s="1" t="s">
        <v>902</v>
      </c>
      <c r="D4366" s="1" t="s">
        <v>25</v>
      </c>
      <c r="E4366" s="1" t="s">
        <v>903</v>
      </c>
      <c r="F4366" s="1">
        <v>330</v>
      </c>
      <c r="G4366" s="1">
        <v>330</v>
      </c>
      <c r="H4366" s="1">
        <v>0</v>
      </c>
      <c r="I4366" s="1">
        <v>5185</v>
      </c>
      <c r="J4366" s="1">
        <v>4855</v>
      </c>
      <c r="K4366" s="1">
        <v>330</v>
      </c>
    </row>
    <row r="4367" spans="3:11" x14ac:dyDescent="0.25">
      <c r="C4367" s="1" t="s">
        <v>1323</v>
      </c>
      <c r="D4367" s="1" t="s">
        <v>162</v>
      </c>
      <c r="E4367" s="1" t="s">
        <v>1324</v>
      </c>
      <c r="F4367" s="1">
        <v>331</v>
      </c>
      <c r="G4367" s="1">
        <v>331</v>
      </c>
      <c r="H4367" s="1">
        <v>0</v>
      </c>
      <c r="I4367" s="1">
        <v>754</v>
      </c>
      <c r="J4367" s="1">
        <v>423</v>
      </c>
      <c r="K4367" s="1">
        <v>331</v>
      </c>
    </row>
    <row r="4368" spans="3:11" x14ac:dyDescent="0.25">
      <c r="C4368" s="1" t="s">
        <v>12119</v>
      </c>
      <c r="D4368" s="1" t="s">
        <v>12120</v>
      </c>
      <c r="E4368" s="1" t="s">
        <v>12119</v>
      </c>
      <c r="F4368" s="1">
        <v>334</v>
      </c>
      <c r="G4368" s="1">
        <v>334</v>
      </c>
      <c r="H4368" s="1">
        <v>0</v>
      </c>
      <c r="I4368" s="1">
        <v>377</v>
      </c>
      <c r="J4368" s="1">
        <v>43</v>
      </c>
      <c r="K4368" s="1">
        <v>334</v>
      </c>
    </row>
    <row r="4369" spans="3:11" x14ac:dyDescent="0.25">
      <c r="C4369" s="1" t="s">
        <v>2798</v>
      </c>
      <c r="D4369" s="1" t="s">
        <v>657</v>
      </c>
      <c r="E4369" s="1" t="s">
        <v>2799</v>
      </c>
      <c r="F4369" s="1">
        <v>336</v>
      </c>
      <c r="G4369" s="1">
        <v>336</v>
      </c>
      <c r="H4369" s="1">
        <v>0</v>
      </c>
      <c r="I4369" s="1">
        <v>642</v>
      </c>
      <c r="J4369" s="1">
        <v>306</v>
      </c>
      <c r="K4369" s="1">
        <v>336</v>
      </c>
    </row>
    <row r="4370" spans="3:11" x14ac:dyDescent="0.25">
      <c r="C4370" s="1" t="s">
        <v>2275</v>
      </c>
      <c r="D4370" s="1" t="s">
        <v>2276</v>
      </c>
      <c r="E4370" s="1" t="s">
        <v>2277</v>
      </c>
      <c r="F4370" s="1">
        <v>336</v>
      </c>
      <c r="G4370" s="1">
        <v>336</v>
      </c>
      <c r="H4370" s="1">
        <v>0</v>
      </c>
      <c r="I4370" s="1">
        <v>360</v>
      </c>
      <c r="J4370" s="1">
        <v>24</v>
      </c>
      <c r="K4370" s="1">
        <v>336</v>
      </c>
    </row>
    <row r="4371" spans="3:11" x14ac:dyDescent="0.25">
      <c r="C4371" s="1" t="s">
        <v>4311</v>
      </c>
      <c r="D4371" s="1" t="s">
        <v>4312</v>
      </c>
      <c r="E4371" s="1" t="s">
        <v>4313</v>
      </c>
      <c r="F4371" s="1">
        <v>339</v>
      </c>
      <c r="G4371" s="1">
        <v>339</v>
      </c>
      <c r="H4371" s="1">
        <v>0</v>
      </c>
      <c r="I4371" s="1">
        <v>960</v>
      </c>
      <c r="J4371" s="1">
        <v>621</v>
      </c>
      <c r="K4371" s="1">
        <v>339</v>
      </c>
    </row>
    <row r="4372" spans="3:11" x14ac:dyDescent="0.25">
      <c r="C4372" s="1" t="s">
        <v>2915</v>
      </c>
      <c r="D4372" s="1" t="s">
        <v>2174</v>
      </c>
      <c r="E4372" s="1" t="s">
        <v>2916</v>
      </c>
      <c r="F4372" s="1">
        <v>344</v>
      </c>
      <c r="G4372" s="1">
        <v>344</v>
      </c>
      <c r="H4372" s="1">
        <v>0</v>
      </c>
      <c r="I4372" s="1">
        <v>660</v>
      </c>
      <c r="J4372" s="1">
        <v>316</v>
      </c>
      <c r="K4372" s="1">
        <v>344</v>
      </c>
    </row>
    <row r="4373" spans="3:11" x14ac:dyDescent="0.25">
      <c r="C4373" s="1" t="s">
        <v>2923</v>
      </c>
      <c r="D4373" s="1" t="s">
        <v>2146</v>
      </c>
      <c r="E4373" s="1" t="s">
        <v>2924</v>
      </c>
      <c r="F4373" s="1">
        <v>345</v>
      </c>
      <c r="G4373" s="1">
        <v>345</v>
      </c>
      <c r="H4373" s="1">
        <v>0</v>
      </c>
      <c r="I4373" s="1">
        <v>432</v>
      </c>
      <c r="J4373" s="1">
        <v>87</v>
      </c>
      <c r="K4373" s="1">
        <v>345</v>
      </c>
    </row>
    <row r="4374" spans="3:11" x14ac:dyDescent="0.25">
      <c r="C4374" s="1" t="s">
        <v>1573</v>
      </c>
      <c r="D4374" s="1" t="s">
        <v>167</v>
      </c>
      <c r="E4374" s="1" t="s">
        <v>1574</v>
      </c>
      <c r="F4374" s="1">
        <v>353</v>
      </c>
      <c r="G4374" s="1">
        <v>353</v>
      </c>
      <c r="H4374" s="1">
        <v>0</v>
      </c>
      <c r="I4374" s="1">
        <v>965</v>
      </c>
      <c r="J4374" s="1">
        <v>612</v>
      </c>
      <c r="K4374" s="1">
        <v>353</v>
      </c>
    </row>
    <row r="4375" spans="3:11" x14ac:dyDescent="0.25">
      <c r="C4375" s="1" t="s">
        <v>2278</v>
      </c>
      <c r="D4375" s="1" t="s">
        <v>2279</v>
      </c>
      <c r="E4375" s="1" t="s">
        <v>2280</v>
      </c>
      <c r="F4375" s="1">
        <v>354</v>
      </c>
      <c r="G4375" s="1">
        <v>354</v>
      </c>
      <c r="H4375" s="1">
        <v>0</v>
      </c>
      <c r="I4375" s="1">
        <v>360</v>
      </c>
      <c r="J4375" s="1">
        <v>6</v>
      </c>
      <c r="K4375" s="1">
        <v>354</v>
      </c>
    </row>
    <row r="4376" spans="3:11" x14ac:dyDescent="0.25">
      <c r="C4376" s="1" t="s">
        <v>1455</v>
      </c>
      <c r="D4376" s="1" t="s">
        <v>173</v>
      </c>
      <c r="E4376" s="1" t="s">
        <v>1456</v>
      </c>
      <c r="F4376" s="1">
        <v>355</v>
      </c>
      <c r="G4376" s="1">
        <v>355</v>
      </c>
      <c r="H4376" s="1">
        <v>0</v>
      </c>
      <c r="I4376" s="1">
        <v>1216</v>
      </c>
      <c r="J4376" s="1">
        <v>861</v>
      </c>
      <c r="K4376" s="1">
        <v>355</v>
      </c>
    </row>
    <row r="4377" spans="3:11" x14ac:dyDescent="0.25">
      <c r="C4377" s="1" t="s">
        <v>2281</v>
      </c>
      <c r="D4377" s="1" t="s">
        <v>2282</v>
      </c>
      <c r="E4377" s="1" t="s">
        <v>2283</v>
      </c>
      <c r="F4377" s="1">
        <v>359</v>
      </c>
      <c r="G4377" s="1">
        <v>359</v>
      </c>
      <c r="H4377" s="1">
        <v>0</v>
      </c>
      <c r="I4377" s="1">
        <v>359</v>
      </c>
      <c r="J4377" s="1">
        <v>0</v>
      </c>
      <c r="K4377" s="1">
        <v>359</v>
      </c>
    </row>
    <row r="4378" spans="3:11" x14ac:dyDescent="0.25">
      <c r="C4378" s="1" t="s">
        <v>2630</v>
      </c>
      <c r="D4378" s="1" t="s">
        <v>674</v>
      </c>
      <c r="E4378" s="1" t="s">
        <v>2631</v>
      </c>
      <c r="F4378" s="1">
        <v>360</v>
      </c>
      <c r="G4378" s="1">
        <v>360</v>
      </c>
      <c r="H4378" s="1">
        <v>0</v>
      </c>
      <c r="I4378" s="1">
        <v>1252</v>
      </c>
      <c r="J4378" s="1">
        <v>892</v>
      </c>
      <c r="K4378" s="1">
        <v>360</v>
      </c>
    </row>
    <row r="4379" spans="3:11" x14ac:dyDescent="0.25">
      <c r="C4379" s="1" t="s">
        <v>1039</v>
      </c>
      <c r="D4379" s="1" t="s">
        <v>74</v>
      </c>
      <c r="E4379" s="1" t="s">
        <v>1040</v>
      </c>
      <c r="F4379" s="1">
        <v>363</v>
      </c>
      <c r="G4379" s="1">
        <v>363</v>
      </c>
      <c r="H4379" s="1">
        <v>0</v>
      </c>
      <c r="I4379" s="1">
        <v>2114</v>
      </c>
      <c r="J4379" s="1">
        <v>1751</v>
      </c>
      <c r="K4379" s="1">
        <v>363</v>
      </c>
    </row>
    <row r="4380" spans="3:11" x14ac:dyDescent="0.25">
      <c r="C4380" s="1" t="s">
        <v>2810</v>
      </c>
      <c r="D4380" s="1" t="s">
        <v>652</v>
      </c>
      <c r="E4380" s="1" t="s">
        <v>2811</v>
      </c>
      <c r="F4380" s="1">
        <v>377</v>
      </c>
      <c r="G4380" s="1">
        <v>377</v>
      </c>
      <c r="H4380" s="1">
        <v>0</v>
      </c>
      <c r="I4380" s="1">
        <v>625</v>
      </c>
      <c r="J4380" s="1">
        <v>248</v>
      </c>
      <c r="K4380" s="1">
        <v>377</v>
      </c>
    </row>
    <row r="4381" spans="3:11" x14ac:dyDescent="0.25">
      <c r="C4381" s="1" t="s">
        <v>2558</v>
      </c>
      <c r="D4381" s="1" t="s">
        <v>2036</v>
      </c>
      <c r="E4381" s="1" t="s">
        <v>2559</v>
      </c>
      <c r="F4381" s="1">
        <v>381</v>
      </c>
      <c r="G4381" s="1">
        <v>381</v>
      </c>
      <c r="H4381" s="1">
        <v>0</v>
      </c>
      <c r="I4381" s="1">
        <v>1494</v>
      </c>
      <c r="J4381" s="1">
        <v>1113</v>
      </c>
      <c r="K4381" s="1">
        <v>381</v>
      </c>
    </row>
    <row r="4382" spans="3:11" x14ac:dyDescent="0.25">
      <c r="C4382" s="1" t="s">
        <v>2793</v>
      </c>
      <c r="D4382" s="1" t="s">
        <v>478</v>
      </c>
      <c r="E4382" s="1" t="s">
        <v>2794</v>
      </c>
      <c r="F4382" s="1">
        <v>385</v>
      </c>
      <c r="G4382" s="1">
        <v>385</v>
      </c>
      <c r="H4382" s="1">
        <v>0</v>
      </c>
      <c r="I4382" s="1">
        <v>966</v>
      </c>
      <c r="J4382" s="1">
        <v>581</v>
      </c>
      <c r="K4382" s="1">
        <v>385</v>
      </c>
    </row>
    <row r="4383" spans="3:11" x14ac:dyDescent="0.25">
      <c r="C4383" s="1" t="s">
        <v>2442</v>
      </c>
      <c r="D4383" s="1" t="s">
        <v>793</v>
      </c>
      <c r="E4383" s="1" t="s">
        <v>2443</v>
      </c>
      <c r="F4383" s="1">
        <v>386</v>
      </c>
      <c r="G4383" s="1">
        <v>386</v>
      </c>
      <c r="H4383" s="1">
        <v>0</v>
      </c>
      <c r="I4383" s="1">
        <v>3413</v>
      </c>
      <c r="J4383" s="1">
        <v>3027</v>
      </c>
      <c r="K4383" s="1">
        <v>386</v>
      </c>
    </row>
    <row r="4384" spans="3:11" x14ac:dyDescent="0.25">
      <c r="C4384" s="1" t="s">
        <v>2462</v>
      </c>
      <c r="D4384" s="1" t="s">
        <v>427</v>
      </c>
      <c r="E4384" s="1" t="s">
        <v>2463</v>
      </c>
      <c r="F4384" s="1">
        <v>388</v>
      </c>
      <c r="G4384" s="1">
        <v>388</v>
      </c>
      <c r="H4384" s="1">
        <v>0</v>
      </c>
      <c r="I4384" s="1">
        <v>3082</v>
      </c>
      <c r="J4384" s="1">
        <v>2694</v>
      </c>
      <c r="K4384" s="1">
        <v>388</v>
      </c>
    </row>
    <row r="4385" spans="3:11" x14ac:dyDescent="0.25">
      <c r="C4385" s="1" t="s">
        <v>1262</v>
      </c>
      <c r="D4385" s="1" t="s">
        <v>121</v>
      </c>
      <c r="E4385" s="1" t="s">
        <v>1263</v>
      </c>
      <c r="F4385" s="1">
        <v>388</v>
      </c>
      <c r="G4385" s="1">
        <v>388</v>
      </c>
      <c r="H4385" s="1">
        <v>0</v>
      </c>
      <c r="I4385" s="1">
        <v>1392</v>
      </c>
      <c r="J4385" s="1">
        <v>1004</v>
      </c>
      <c r="K4385" s="1">
        <v>388</v>
      </c>
    </row>
    <row r="4386" spans="3:11" x14ac:dyDescent="0.25">
      <c r="C4386" s="1" t="s">
        <v>2541</v>
      </c>
      <c r="D4386" s="1" t="s">
        <v>2169</v>
      </c>
      <c r="E4386" s="1" t="s">
        <v>2542</v>
      </c>
      <c r="F4386" s="1">
        <v>398</v>
      </c>
      <c r="G4386" s="1">
        <v>398</v>
      </c>
      <c r="H4386" s="1">
        <v>0</v>
      </c>
      <c r="I4386" s="1">
        <v>1587</v>
      </c>
      <c r="J4386" s="1">
        <v>1189</v>
      </c>
      <c r="K4386" s="1">
        <v>398</v>
      </c>
    </row>
    <row r="4387" spans="3:11" x14ac:dyDescent="0.25">
      <c r="C4387" s="1" t="s">
        <v>2480</v>
      </c>
      <c r="D4387" s="1" t="s">
        <v>797</v>
      </c>
      <c r="E4387" s="1" t="s">
        <v>2481</v>
      </c>
      <c r="F4387" s="1">
        <v>415</v>
      </c>
      <c r="G4387" s="1">
        <v>415</v>
      </c>
      <c r="H4387" s="1">
        <v>0</v>
      </c>
      <c r="I4387" s="1">
        <v>2898</v>
      </c>
      <c r="J4387" s="1">
        <v>2483</v>
      </c>
      <c r="K4387" s="1">
        <v>415</v>
      </c>
    </row>
    <row r="4388" spans="3:11" x14ac:dyDescent="0.25">
      <c r="C4388" s="1" t="s">
        <v>4366</v>
      </c>
      <c r="D4388" s="1" t="s">
        <v>4359</v>
      </c>
      <c r="E4388" s="1" t="s">
        <v>4367</v>
      </c>
      <c r="F4388" s="1">
        <v>421</v>
      </c>
      <c r="G4388" s="1">
        <v>421</v>
      </c>
      <c r="H4388" s="1">
        <v>0</v>
      </c>
      <c r="I4388" s="1">
        <v>432</v>
      </c>
      <c r="J4388" s="1">
        <v>11</v>
      </c>
      <c r="K4388" s="1">
        <v>421</v>
      </c>
    </row>
    <row r="4389" spans="3:11" x14ac:dyDescent="0.25">
      <c r="C4389" s="1" t="s">
        <v>4368</v>
      </c>
      <c r="D4389" s="1" t="s">
        <v>4360</v>
      </c>
      <c r="E4389" s="1" t="s">
        <v>4369</v>
      </c>
      <c r="F4389" s="1">
        <v>421</v>
      </c>
      <c r="G4389" s="1">
        <v>421</v>
      </c>
      <c r="H4389" s="1">
        <v>0</v>
      </c>
      <c r="I4389" s="1">
        <v>432</v>
      </c>
      <c r="J4389" s="1">
        <v>11</v>
      </c>
      <c r="K4389" s="1">
        <v>421</v>
      </c>
    </row>
    <row r="4390" spans="3:11" x14ac:dyDescent="0.25">
      <c r="C4390" s="1" t="s">
        <v>4370</v>
      </c>
      <c r="D4390" s="1" t="s">
        <v>4361</v>
      </c>
      <c r="E4390" s="1" t="s">
        <v>4371</v>
      </c>
      <c r="F4390" s="1">
        <v>421</v>
      </c>
      <c r="G4390" s="1">
        <v>421</v>
      </c>
      <c r="H4390" s="1">
        <v>0</v>
      </c>
      <c r="I4390" s="1">
        <v>432</v>
      </c>
      <c r="J4390" s="1">
        <v>11</v>
      </c>
      <c r="K4390" s="1">
        <v>421</v>
      </c>
    </row>
    <row r="4391" spans="3:11" x14ac:dyDescent="0.25">
      <c r="C4391" s="1" t="s">
        <v>978</v>
      </c>
      <c r="D4391" s="1" t="s">
        <v>56</v>
      </c>
      <c r="E4391" s="1" t="s">
        <v>979</v>
      </c>
      <c r="F4391" s="1">
        <v>425</v>
      </c>
      <c r="G4391" s="1">
        <v>425</v>
      </c>
      <c r="H4391" s="1">
        <v>0</v>
      </c>
      <c r="I4391" s="1">
        <v>3043</v>
      </c>
      <c r="J4391" s="1">
        <v>2618</v>
      </c>
      <c r="K4391" s="1">
        <v>425</v>
      </c>
    </row>
    <row r="4392" spans="3:11" x14ac:dyDescent="0.25">
      <c r="C4392" s="1" t="s">
        <v>997</v>
      </c>
      <c r="D4392" s="1" t="s">
        <v>61</v>
      </c>
      <c r="E4392" s="1" t="s">
        <v>998</v>
      </c>
      <c r="F4392" s="1">
        <v>430</v>
      </c>
      <c r="G4392" s="1">
        <v>430</v>
      </c>
      <c r="H4392" s="1">
        <v>0</v>
      </c>
      <c r="I4392" s="1">
        <v>2452</v>
      </c>
      <c r="J4392" s="1">
        <v>2022</v>
      </c>
      <c r="K4392" s="1">
        <v>430</v>
      </c>
    </row>
    <row r="4393" spans="3:11" x14ac:dyDescent="0.25">
      <c r="C4393" s="1" t="s">
        <v>2725</v>
      </c>
      <c r="D4393" s="1" t="s">
        <v>2222</v>
      </c>
      <c r="E4393" s="1" t="s">
        <v>2726</v>
      </c>
      <c r="F4393" s="1">
        <v>435</v>
      </c>
      <c r="G4393" s="1">
        <v>435</v>
      </c>
      <c r="H4393" s="1">
        <v>0</v>
      </c>
      <c r="I4393" s="1">
        <v>1067</v>
      </c>
      <c r="J4393" s="1">
        <v>632</v>
      </c>
      <c r="K4393" s="1">
        <v>435</v>
      </c>
    </row>
    <row r="4394" spans="3:11" x14ac:dyDescent="0.25">
      <c r="C4394" s="1" t="s">
        <v>983</v>
      </c>
      <c r="D4394" s="1" t="s">
        <v>57</v>
      </c>
      <c r="E4394" s="1" t="s">
        <v>984</v>
      </c>
      <c r="F4394" s="1">
        <v>453</v>
      </c>
      <c r="G4394" s="1">
        <v>453</v>
      </c>
      <c r="H4394" s="1">
        <v>0</v>
      </c>
      <c r="I4394" s="1">
        <v>3434</v>
      </c>
      <c r="J4394" s="1">
        <v>2981</v>
      </c>
      <c r="K4394" s="1">
        <v>453</v>
      </c>
    </row>
    <row r="4395" spans="3:11" x14ac:dyDescent="0.25">
      <c r="C4395" s="1" t="s">
        <v>2381</v>
      </c>
      <c r="D4395" s="1" t="s">
        <v>32</v>
      </c>
      <c r="E4395" s="1" t="s">
        <v>2382</v>
      </c>
      <c r="F4395" s="1">
        <v>454</v>
      </c>
      <c r="G4395" s="1">
        <v>454</v>
      </c>
      <c r="H4395" s="1">
        <v>0</v>
      </c>
      <c r="I4395" s="1">
        <v>5164</v>
      </c>
      <c r="J4395" s="1">
        <v>4710</v>
      </c>
      <c r="K4395" s="1">
        <v>454</v>
      </c>
    </row>
    <row r="4396" spans="3:11" x14ac:dyDescent="0.25">
      <c r="C4396" s="1" t="s">
        <v>878</v>
      </c>
      <c r="D4396" s="1" t="s">
        <v>6</v>
      </c>
      <c r="E4396" s="1" t="s">
        <v>879</v>
      </c>
      <c r="F4396" s="1">
        <v>463</v>
      </c>
      <c r="G4396" s="1">
        <v>463</v>
      </c>
      <c r="H4396" s="1">
        <v>0</v>
      </c>
      <c r="I4396" s="1">
        <v>13341</v>
      </c>
      <c r="J4396" s="1">
        <v>12878</v>
      </c>
      <c r="K4396" s="1">
        <v>463</v>
      </c>
    </row>
    <row r="4397" spans="3:11" x14ac:dyDescent="0.25">
      <c r="C4397" s="1" t="s">
        <v>2830</v>
      </c>
      <c r="D4397" s="1" t="s">
        <v>654</v>
      </c>
      <c r="E4397" s="1" t="s">
        <v>2831</v>
      </c>
      <c r="F4397" s="1">
        <v>465</v>
      </c>
      <c r="G4397" s="1">
        <v>465</v>
      </c>
      <c r="H4397" s="1">
        <v>0</v>
      </c>
      <c r="I4397" s="1">
        <v>576</v>
      </c>
      <c r="J4397" s="1">
        <v>111</v>
      </c>
      <c r="K4397" s="1">
        <v>465</v>
      </c>
    </row>
    <row r="4398" spans="3:11" x14ac:dyDescent="0.25">
      <c r="C4398" s="1" t="s">
        <v>1343</v>
      </c>
      <c r="D4398" s="1" t="s">
        <v>1344</v>
      </c>
      <c r="E4398" s="1" t="s">
        <v>1345</v>
      </c>
      <c r="F4398" s="1">
        <v>466</v>
      </c>
      <c r="G4398" s="1">
        <v>466</v>
      </c>
      <c r="H4398" s="1">
        <v>0</v>
      </c>
      <c r="I4398" s="1">
        <v>1183</v>
      </c>
      <c r="J4398" s="1">
        <v>717</v>
      </c>
      <c r="K4398" s="1">
        <v>466</v>
      </c>
    </row>
    <row r="4399" spans="3:11" x14ac:dyDescent="0.25">
      <c r="C4399" s="1" t="s">
        <v>2266</v>
      </c>
      <c r="D4399" s="1" t="s">
        <v>2267</v>
      </c>
      <c r="E4399" s="1" t="s">
        <v>2268</v>
      </c>
      <c r="F4399" s="1">
        <v>495</v>
      </c>
      <c r="G4399" s="1">
        <v>495</v>
      </c>
      <c r="H4399" s="1">
        <v>0</v>
      </c>
      <c r="I4399" s="1">
        <v>811</v>
      </c>
      <c r="J4399" s="1">
        <v>316</v>
      </c>
      <c r="K4399" s="1">
        <v>495</v>
      </c>
    </row>
    <row r="4400" spans="3:11" x14ac:dyDescent="0.25">
      <c r="C4400" s="1" t="s">
        <v>2472</v>
      </c>
      <c r="D4400" s="1" t="s">
        <v>600</v>
      </c>
      <c r="E4400" s="1" t="s">
        <v>2473</v>
      </c>
      <c r="F4400" s="1">
        <v>509</v>
      </c>
      <c r="G4400" s="1">
        <v>509</v>
      </c>
      <c r="H4400" s="1">
        <v>0</v>
      </c>
      <c r="I4400" s="1">
        <v>2471</v>
      </c>
      <c r="J4400" s="1">
        <v>1962</v>
      </c>
      <c r="K4400" s="1">
        <v>509</v>
      </c>
    </row>
    <row r="4401" spans="3:11" x14ac:dyDescent="0.25">
      <c r="C4401" s="1" t="s">
        <v>961</v>
      </c>
      <c r="D4401" s="1" t="s">
        <v>53</v>
      </c>
      <c r="E4401" s="1" t="s">
        <v>962</v>
      </c>
      <c r="F4401" s="1">
        <v>544</v>
      </c>
      <c r="G4401" s="1">
        <v>544</v>
      </c>
      <c r="H4401" s="1">
        <v>0</v>
      </c>
      <c r="I4401" s="1">
        <v>3767</v>
      </c>
      <c r="J4401" s="1">
        <v>3223</v>
      </c>
      <c r="K4401" s="1">
        <v>544</v>
      </c>
    </row>
    <row r="4402" spans="3:11" x14ac:dyDescent="0.25">
      <c r="C4402" s="1" t="s">
        <v>3027</v>
      </c>
      <c r="D4402" s="1" t="s">
        <v>2225</v>
      </c>
      <c r="E4402" s="1" t="s">
        <v>3028</v>
      </c>
      <c r="F4402" s="1">
        <v>550</v>
      </c>
      <c r="G4402" s="1">
        <v>550</v>
      </c>
      <c r="H4402" s="1">
        <v>0</v>
      </c>
      <c r="I4402" s="1">
        <v>1261</v>
      </c>
      <c r="J4402" s="1">
        <v>711</v>
      </c>
      <c r="K4402" s="1">
        <v>550</v>
      </c>
    </row>
    <row r="4403" spans="3:11" x14ac:dyDescent="0.25">
      <c r="C4403" s="1" t="s">
        <v>12121</v>
      </c>
      <c r="D4403" s="1" t="s">
        <v>12122</v>
      </c>
      <c r="E4403" s="1" t="s">
        <v>12121</v>
      </c>
      <c r="F4403" s="1">
        <v>580</v>
      </c>
      <c r="G4403" s="1">
        <v>580</v>
      </c>
      <c r="H4403" s="1">
        <v>0</v>
      </c>
      <c r="I4403" s="1">
        <v>580</v>
      </c>
      <c r="J4403" s="1">
        <v>0</v>
      </c>
      <c r="K4403" s="1">
        <v>580</v>
      </c>
    </row>
    <row r="4404" spans="3:11" x14ac:dyDescent="0.25">
      <c r="C4404" s="1" t="s">
        <v>2673</v>
      </c>
      <c r="D4404" s="1" t="s">
        <v>816</v>
      </c>
      <c r="E4404" s="1" t="s">
        <v>2674</v>
      </c>
      <c r="F4404" s="1">
        <v>588</v>
      </c>
      <c r="G4404" s="1">
        <v>588</v>
      </c>
      <c r="H4404" s="1">
        <v>0</v>
      </c>
      <c r="I4404" s="1">
        <v>1383</v>
      </c>
      <c r="J4404" s="1">
        <v>795</v>
      </c>
      <c r="K4404" s="1">
        <v>588</v>
      </c>
    </row>
    <row r="4405" spans="3:11" x14ac:dyDescent="0.25">
      <c r="C4405" s="1" t="s">
        <v>12123</v>
      </c>
      <c r="D4405" s="1" t="s">
        <v>12124</v>
      </c>
      <c r="E4405" s="1" t="s">
        <v>12125</v>
      </c>
      <c r="F4405" s="1">
        <v>599</v>
      </c>
      <c r="G4405" s="1">
        <v>599</v>
      </c>
      <c r="H4405" s="1">
        <v>0</v>
      </c>
      <c r="I4405" s="1">
        <v>1649</v>
      </c>
      <c r="J4405" s="1">
        <v>1050</v>
      </c>
      <c r="K4405" s="1">
        <v>599</v>
      </c>
    </row>
    <row r="4406" spans="3:11" x14ac:dyDescent="0.25">
      <c r="C4406" s="1" t="s">
        <v>1030</v>
      </c>
      <c r="D4406" s="1" t="s">
        <v>70</v>
      </c>
      <c r="E4406" s="1" t="s">
        <v>1031</v>
      </c>
      <c r="F4406" s="1">
        <v>622</v>
      </c>
      <c r="G4406" s="1">
        <v>622</v>
      </c>
      <c r="H4406" s="1">
        <v>0</v>
      </c>
      <c r="I4406" s="1">
        <v>1734</v>
      </c>
      <c r="J4406" s="1">
        <v>1112</v>
      </c>
      <c r="K4406" s="1">
        <v>622</v>
      </c>
    </row>
    <row r="4407" spans="3:11" x14ac:dyDescent="0.25">
      <c r="C4407" s="1" t="s">
        <v>887</v>
      </c>
      <c r="D4407" s="1" t="s">
        <v>11</v>
      </c>
      <c r="E4407" s="1" t="s">
        <v>888</v>
      </c>
      <c r="F4407" s="1">
        <v>633</v>
      </c>
      <c r="G4407" s="1">
        <v>633</v>
      </c>
      <c r="H4407" s="1">
        <v>0</v>
      </c>
      <c r="I4407" s="1">
        <v>9460</v>
      </c>
      <c r="J4407" s="1">
        <v>8827</v>
      </c>
      <c r="K4407" s="1">
        <v>633</v>
      </c>
    </row>
    <row r="4408" spans="3:11" x14ac:dyDescent="0.25">
      <c r="C4408" s="1" t="s">
        <v>12126</v>
      </c>
      <c r="D4408" s="1" t="s">
        <v>12127</v>
      </c>
      <c r="E4408" s="1" t="s">
        <v>12126</v>
      </c>
      <c r="F4408" s="1">
        <v>693</v>
      </c>
      <c r="G4408" s="1">
        <v>693</v>
      </c>
      <c r="H4408" s="1">
        <v>0</v>
      </c>
      <c r="I4408" s="1">
        <v>733</v>
      </c>
      <c r="J4408" s="1">
        <v>40</v>
      </c>
      <c r="K4408" s="1">
        <v>693</v>
      </c>
    </row>
    <row r="4409" spans="3:11" x14ac:dyDescent="0.25">
      <c r="C4409" s="1" t="s">
        <v>4299</v>
      </c>
      <c r="D4409" s="1" t="s">
        <v>4300</v>
      </c>
      <c r="E4409" s="1" t="s">
        <v>4301</v>
      </c>
      <c r="F4409" s="1">
        <v>701</v>
      </c>
      <c r="G4409" s="1">
        <v>701</v>
      </c>
      <c r="H4409" s="1">
        <v>0</v>
      </c>
      <c r="I4409" s="1">
        <v>787</v>
      </c>
      <c r="J4409" s="1">
        <v>86</v>
      </c>
      <c r="K4409" s="1">
        <v>701</v>
      </c>
    </row>
    <row r="4410" spans="3:11" x14ac:dyDescent="0.25">
      <c r="C4410" s="1" t="s">
        <v>959</v>
      </c>
      <c r="D4410" s="1" t="s">
        <v>52</v>
      </c>
      <c r="E4410" s="1" t="s">
        <v>960</v>
      </c>
      <c r="F4410" s="1">
        <v>731</v>
      </c>
      <c r="G4410" s="1">
        <v>731</v>
      </c>
      <c r="H4410" s="1">
        <v>0</v>
      </c>
      <c r="I4410" s="1">
        <v>3464</v>
      </c>
      <c r="J4410" s="1">
        <v>2733</v>
      </c>
      <c r="K4410" s="1">
        <v>731</v>
      </c>
    </row>
    <row r="4411" spans="3:11" x14ac:dyDescent="0.25">
      <c r="C4411" s="1" t="s">
        <v>896</v>
      </c>
      <c r="D4411" s="1" t="s">
        <v>19</v>
      </c>
      <c r="E4411" s="1" t="s">
        <v>897</v>
      </c>
      <c r="F4411" s="1">
        <v>734</v>
      </c>
      <c r="G4411" s="1">
        <v>734</v>
      </c>
      <c r="H4411" s="1">
        <v>0</v>
      </c>
      <c r="I4411" s="1">
        <v>13112</v>
      </c>
      <c r="J4411" s="1">
        <v>12378</v>
      </c>
      <c r="K4411" s="1">
        <v>734</v>
      </c>
    </row>
    <row r="4412" spans="3:11" x14ac:dyDescent="0.25">
      <c r="C4412" s="1" t="s">
        <v>2385</v>
      </c>
      <c r="D4412" s="1" t="s">
        <v>791</v>
      </c>
      <c r="E4412" s="1" t="s">
        <v>2386</v>
      </c>
      <c r="F4412" s="1">
        <v>776</v>
      </c>
      <c r="G4412" s="1">
        <v>776</v>
      </c>
      <c r="H4412" s="1">
        <v>0</v>
      </c>
      <c r="I4412" s="1">
        <v>6154</v>
      </c>
      <c r="J4412" s="1">
        <v>5378</v>
      </c>
      <c r="K4412" s="1">
        <v>776</v>
      </c>
    </row>
    <row r="4413" spans="3:11" x14ac:dyDescent="0.25">
      <c r="C4413" s="1" t="s">
        <v>880</v>
      </c>
      <c r="D4413" s="1" t="s">
        <v>8</v>
      </c>
      <c r="E4413" s="1" t="s">
        <v>881</v>
      </c>
      <c r="F4413" s="1">
        <v>777</v>
      </c>
      <c r="G4413" s="1">
        <v>777</v>
      </c>
      <c r="H4413" s="1">
        <v>0</v>
      </c>
      <c r="I4413" s="1">
        <v>11354</v>
      </c>
      <c r="J4413" s="1">
        <v>10577</v>
      </c>
      <c r="K4413" s="1">
        <v>777</v>
      </c>
    </row>
    <row r="4414" spans="3:11" x14ac:dyDescent="0.25">
      <c r="C4414" s="1" t="s">
        <v>4331</v>
      </c>
      <c r="D4414" s="1" t="s">
        <v>4332</v>
      </c>
      <c r="E4414" s="1" t="s">
        <v>4333</v>
      </c>
      <c r="F4414" s="1">
        <v>796</v>
      </c>
      <c r="G4414" s="1">
        <v>796</v>
      </c>
      <c r="H4414" s="1">
        <v>0</v>
      </c>
      <c r="I4414" s="1">
        <v>2099</v>
      </c>
      <c r="J4414" s="1">
        <v>1303</v>
      </c>
      <c r="K4414" s="1">
        <v>796</v>
      </c>
    </row>
    <row r="4415" spans="3:11" x14ac:dyDescent="0.25">
      <c r="C4415" s="1" t="s">
        <v>2424</v>
      </c>
      <c r="D4415" s="1" t="s">
        <v>792</v>
      </c>
      <c r="E4415" s="1" t="s">
        <v>2425</v>
      </c>
      <c r="F4415" s="1">
        <v>854</v>
      </c>
      <c r="G4415" s="1">
        <v>854</v>
      </c>
      <c r="H4415" s="1">
        <v>0</v>
      </c>
      <c r="I4415" s="1">
        <v>4653</v>
      </c>
      <c r="J4415" s="1">
        <v>3799</v>
      </c>
      <c r="K4415" s="1">
        <v>854</v>
      </c>
    </row>
    <row r="4416" spans="3:11" x14ac:dyDescent="0.25">
      <c r="C4416" s="1" t="s">
        <v>2476</v>
      </c>
      <c r="D4416" s="1" t="s">
        <v>2477</v>
      </c>
      <c r="E4416" s="1" t="s">
        <v>2476</v>
      </c>
      <c r="F4416" s="1">
        <v>957</v>
      </c>
      <c r="G4416" s="1">
        <v>957</v>
      </c>
      <c r="H4416" s="1">
        <v>0</v>
      </c>
      <c r="I4416" s="1">
        <v>2470</v>
      </c>
      <c r="J4416" s="1">
        <v>1513</v>
      </c>
      <c r="K4416" s="1">
        <v>957</v>
      </c>
    </row>
    <row r="4417" spans="3:11" x14ac:dyDescent="0.25">
      <c r="C4417" s="1" t="s">
        <v>874</v>
      </c>
      <c r="D4417" s="1" t="s">
        <v>0</v>
      </c>
      <c r="E4417" s="1" t="s">
        <v>875</v>
      </c>
      <c r="F4417" s="1">
        <v>1038</v>
      </c>
      <c r="G4417" s="1">
        <v>1038</v>
      </c>
      <c r="H4417" s="1">
        <v>0</v>
      </c>
      <c r="I4417" s="1">
        <v>29579</v>
      </c>
      <c r="J4417" s="1">
        <v>28541</v>
      </c>
      <c r="K4417" s="1">
        <v>1038</v>
      </c>
    </row>
    <row r="4418" spans="3:11" x14ac:dyDescent="0.25">
      <c r="C4418" s="1" t="s">
        <v>12128</v>
      </c>
      <c r="D4418" s="1" t="s">
        <v>12129</v>
      </c>
      <c r="E4418" s="1" t="s">
        <v>12128</v>
      </c>
      <c r="F4418" s="1">
        <v>1137</v>
      </c>
      <c r="G4418" s="1">
        <v>1137</v>
      </c>
      <c r="H4418" s="1">
        <v>0</v>
      </c>
      <c r="I4418" s="1">
        <v>2375</v>
      </c>
      <c r="J4418" s="1">
        <v>1238</v>
      </c>
      <c r="K4418" s="1">
        <v>1137</v>
      </c>
    </row>
    <row r="4419" spans="3:11" x14ac:dyDescent="0.25">
      <c r="C4419" s="1" t="s">
        <v>2181</v>
      </c>
      <c r="D4419" s="1" t="s">
        <v>2060</v>
      </c>
      <c r="E4419" s="1" t="s">
        <v>2182</v>
      </c>
      <c r="F4419" s="1">
        <v>1195</v>
      </c>
      <c r="G4419" s="1">
        <v>1195</v>
      </c>
      <c r="H4419" s="1">
        <v>0</v>
      </c>
      <c r="I4419" s="1">
        <v>1765</v>
      </c>
      <c r="J4419" s="1">
        <v>570</v>
      </c>
      <c r="K4419" s="1">
        <v>1195</v>
      </c>
    </row>
    <row r="4420" spans="3:11" x14ac:dyDescent="0.25">
      <c r="C4420" s="1" t="s">
        <v>12130</v>
      </c>
      <c r="D4420" s="1" t="s">
        <v>12131</v>
      </c>
      <c r="E4420" s="1" t="s">
        <v>12132</v>
      </c>
      <c r="F4420" s="1">
        <v>1319</v>
      </c>
      <c r="G4420" s="1">
        <v>1319</v>
      </c>
      <c r="H4420" s="1">
        <v>0</v>
      </c>
      <c r="I4420" s="1">
        <v>2269</v>
      </c>
      <c r="J4420" s="1">
        <v>950</v>
      </c>
      <c r="K4420" s="1">
        <v>1319</v>
      </c>
    </row>
    <row r="4421" spans="3:11" x14ac:dyDescent="0.25">
      <c r="C4421" s="1" t="s">
        <v>12133</v>
      </c>
      <c r="D4421" s="1" t="s">
        <v>12134</v>
      </c>
      <c r="E4421" s="1" t="s">
        <v>12135</v>
      </c>
      <c r="F4421" s="1">
        <v>3017</v>
      </c>
      <c r="G4421" s="1">
        <v>3017</v>
      </c>
      <c r="H4421" s="1">
        <v>0</v>
      </c>
      <c r="I4421" s="1">
        <v>4017</v>
      </c>
      <c r="J4421" s="1">
        <v>1000</v>
      </c>
      <c r="K4421" s="1">
        <v>3017</v>
      </c>
    </row>
  </sheetData>
  <sheetProtection algorithmName="SHA-512" hashValue="sLpzCsbZPvS3cGn3YYeQeFs4zlbTCApoSHg5nheDfvG2lbc6UeXSkCKK4iYgFdNTJX0bBiV9pqxh8DA4fBaFIg==" saltValue="0f0lH2e+3dbsaoXf9F1pfQ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F9" sqref="F9"/>
    </sheetView>
  </sheetViews>
  <sheetFormatPr defaultRowHeight="26.25" x14ac:dyDescent="0.4"/>
  <cols>
    <col min="1" max="1" width="12.5703125" style="260" customWidth="1"/>
    <col min="2" max="2" width="51.28515625" style="260" customWidth="1"/>
    <col min="3" max="3" width="36.5703125" style="261" customWidth="1"/>
    <col min="4" max="4" width="37.42578125" style="262" customWidth="1"/>
    <col min="5" max="5" width="43.42578125" style="261" customWidth="1"/>
    <col min="6" max="6" width="34.5703125" style="260" customWidth="1"/>
    <col min="7" max="7" width="31.28515625" style="260" customWidth="1"/>
    <col min="8" max="8" width="16.28515625" style="260" customWidth="1"/>
    <col min="9" max="16384" width="9.140625" style="260"/>
  </cols>
  <sheetData>
    <row r="1" spans="1:7" s="250" customFormat="1" ht="38.25" customHeight="1" x14ac:dyDescent="0.35">
      <c r="A1" s="247" t="s">
        <v>497</v>
      </c>
      <c r="B1" s="247" t="s">
        <v>498</v>
      </c>
      <c r="C1" s="248" t="s">
        <v>499</v>
      </c>
      <c r="D1" s="249" t="s">
        <v>500</v>
      </c>
      <c r="E1" s="248" t="s">
        <v>501</v>
      </c>
      <c r="F1" s="263" t="s">
        <v>12266</v>
      </c>
      <c r="G1" s="263" t="s">
        <v>12267</v>
      </c>
    </row>
    <row r="2" spans="1:7" s="254" customFormat="1" ht="38.25" customHeight="1" x14ac:dyDescent="0.35">
      <c r="A2" s="251"/>
      <c r="B2" s="251"/>
      <c r="C2" s="252"/>
      <c r="D2" s="253"/>
      <c r="E2" s="252"/>
      <c r="F2" s="264">
        <f>+C3+C4+C5</f>
        <v>33402.958299999998</v>
      </c>
      <c r="G2" s="264">
        <f>+C6+C7+C8+C9</f>
        <v>19379.580700000002</v>
      </c>
    </row>
    <row r="3" spans="1:7" s="250" customFormat="1" ht="38.25" customHeight="1" x14ac:dyDescent="0.35">
      <c r="A3" s="255">
        <v>1</v>
      </c>
      <c r="B3" s="255" t="s">
        <v>502</v>
      </c>
      <c r="C3" s="256">
        <f>+H.HÀ!D2</f>
        <v>21719.924299999995</v>
      </c>
      <c r="D3" s="257">
        <f>+H.HÀ!BT2</f>
        <v>31091.369689999989</v>
      </c>
      <c r="E3" s="256">
        <f>+H.HÀ!BV2</f>
        <v>2610071501.5476003</v>
      </c>
      <c r="F3" s="265">
        <f>+D3+D4+D5</f>
        <v>52460.593090000002</v>
      </c>
      <c r="G3" s="265">
        <f>+D6+D7+D8+D9</f>
        <v>34280.262940000001</v>
      </c>
    </row>
    <row r="4" spans="1:7" s="250" customFormat="1" ht="38.25" customHeight="1" x14ac:dyDescent="0.35">
      <c r="A4" s="255">
        <f t="shared" ref="A4:A9" si="0">1+A3</f>
        <v>2</v>
      </c>
      <c r="B4" s="255" t="s">
        <v>503</v>
      </c>
      <c r="C4" s="256">
        <f>+NICE!D2</f>
        <v>10663.004000000001</v>
      </c>
      <c r="D4" s="257">
        <f>+NICE!BT2</f>
        <v>18435.463400000008</v>
      </c>
      <c r="E4" s="256">
        <f>+NICE!BV2</f>
        <v>1846810436.4000001</v>
      </c>
      <c r="F4" s="266">
        <f>+E3+E4+E5</f>
        <v>4632673075.9476004</v>
      </c>
      <c r="G4" s="266">
        <f>+E6+E7+E8+E9</f>
        <v>3283163112.8599997</v>
      </c>
    </row>
    <row r="5" spans="1:7" s="250" customFormat="1" ht="38.25" customHeight="1" x14ac:dyDescent="0.35">
      <c r="A5" s="255">
        <f t="shared" si="0"/>
        <v>3</v>
      </c>
      <c r="B5" s="255" t="s">
        <v>505</v>
      </c>
      <c r="C5" s="256">
        <f>+'ROYAL+ẤN'!D3</f>
        <v>1020.03</v>
      </c>
      <c r="D5" s="257">
        <f>+'ROYAL+ẤN'!BT2+'ROYAL+ẤN'!BT2</f>
        <v>2933.7599999999993</v>
      </c>
      <c r="E5" s="256">
        <f>+'ROYAL+ẤN'!BV2</f>
        <v>175791138</v>
      </c>
    </row>
    <row r="6" spans="1:7" s="250" customFormat="1" ht="38.25" customHeight="1" x14ac:dyDescent="0.35">
      <c r="A6" s="255">
        <f t="shared" si="0"/>
        <v>4</v>
      </c>
      <c r="B6" s="255" t="s">
        <v>504</v>
      </c>
      <c r="C6" s="256">
        <f>+TAKAO!D3</f>
        <v>11932.957000000002</v>
      </c>
      <c r="D6" s="257">
        <f>+TAKAO!BT3</f>
        <v>21961.897440000001</v>
      </c>
      <c r="E6" s="256">
        <f>+TAKAO!BV3</f>
        <v>2270575155.3599997</v>
      </c>
    </row>
    <row r="7" spans="1:7" s="250" customFormat="1" ht="38.25" customHeight="1" x14ac:dyDescent="0.35">
      <c r="A7" s="255">
        <f t="shared" si="0"/>
        <v>5</v>
      </c>
      <c r="B7" s="255" t="s">
        <v>506</v>
      </c>
      <c r="C7" s="256">
        <f>+'TOKO,'!D3</f>
        <v>1727.5367000000001</v>
      </c>
      <c r="D7" s="257">
        <f>+'TOKO,'!BT3</f>
        <v>4220.16</v>
      </c>
      <c r="E7" s="256">
        <f>+'TOKO,'!BV3</f>
        <v>396275160</v>
      </c>
      <c r="F7" s="278">
        <f>+E8+E6</f>
        <v>2754376112.8599997</v>
      </c>
    </row>
    <row r="8" spans="1:7" s="250" customFormat="1" ht="38.25" customHeight="1" x14ac:dyDescent="0.35">
      <c r="A8" s="255">
        <f t="shared" si="0"/>
        <v>6</v>
      </c>
      <c r="B8" s="255" t="s">
        <v>507</v>
      </c>
      <c r="C8" s="256">
        <f>+'VĨNH THẮNG'!D3</f>
        <v>5095.0869999999995</v>
      </c>
      <c r="D8" s="257">
        <f>+'VĨNH THẮNG'!BT3</f>
        <v>7017.2455000000009</v>
      </c>
      <c r="E8" s="256">
        <f>+'VĨNH THẮNG'!BV3</f>
        <v>483800957.5</v>
      </c>
      <c r="F8" s="278">
        <f>+E3+E4</f>
        <v>4456881937.9476004</v>
      </c>
    </row>
    <row r="9" spans="1:7" s="250" customFormat="1" ht="38.25" customHeight="1" x14ac:dyDescent="0.35">
      <c r="A9" s="255">
        <f t="shared" si="0"/>
        <v>7</v>
      </c>
      <c r="B9" s="255" t="s">
        <v>508</v>
      </c>
      <c r="C9" s="256">
        <f>+'DMAX+MIRA'!D3</f>
        <v>624</v>
      </c>
      <c r="D9" s="257">
        <f>+'DMAX+MIRA'!BT3</f>
        <v>1080.96</v>
      </c>
      <c r="E9" s="256">
        <f>+'DMAX+MIRA'!BV3</f>
        <v>132511840</v>
      </c>
    </row>
    <row r="10" spans="1:7" s="250" customFormat="1" ht="38.25" customHeight="1" x14ac:dyDescent="0.35">
      <c r="A10" s="255"/>
      <c r="C10" s="256"/>
      <c r="D10" s="257"/>
      <c r="E10" s="256"/>
    </row>
    <row r="11" spans="1:7" s="250" customFormat="1" ht="38.25" customHeight="1" x14ac:dyDescent="0.35">
      <c r="A11" s="255"/>
      <c r="B11" s="255"/>
      <c r="C11" s="256"/>
      <c r="D11" s="257"/>
      <c r="E11" s="256"/>
    </row>
    <row r="12" spans="1:7" s="250" customFormat="1" ht="38.25" customHeight="1" x14ac:dyDescent="0.35">
      <c r="A12" s="361" t="s">
        <v>412</v>
      </c>
      <c r="B12" s="362"/>
      <c r="C12" s="258">
        <f>SUM(C3:C11)</f>
        <v>52782.538999999997</v>
      </c>
      <c r="D12" s="259">
        <f>SUM(D3:D11)</f>
        <v>86740.856030000024</v>
      </c>
      <c r="E12" s="258">
        <f>SUM(E3:E11)</f>
        <v>7915836188.8076</v>
      </c>
    </row>
  </sheetData>
  <mergeCells count="1">
    <mergeCell ref="A12:B12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27" sqref="D27"/>
    </sheetView>
  </sheetViews>
  <sheetFormatPr defaultRowHeight="18.75" x14ac:dyDescent="0.3"/>
  <cols>
    <col min="1" max="1" width="26.85546875" style="5" customWidth="1"/>
    <col min="2" max="2" width="31.28515625" style="5" customWidth="1"/>
    <col min="3" max="3" width="27.7109375" style="19" customWidth="1"/>
    <col min="4" max="4" width="18.7109375" style="5" customWidth="1"/>
    <col min="5" max="67" width="7.7109375" style="5" customWidth="1"/>
    <col min="68" max="68" width="10.85546875" style="5" customWidth="1"/>
    <col min="69" max="70" width="7.7109375" style="5" customWidth="1"/>
    <col min="71" max="71" width="11" style="5" customWidth="1"/>
    <col min="72" max="72" width="20.140625" style="25" customWidth="1"/>
    <col min="73" max="73" width="16.28515625" style="19" customWidth="1"/>
    <col min="74" max="74" width="30.7109375" style="19" customWidth="1"/>
    <col min="75" max="16384" width="9.140625" style="5"/>
  </cols>
  <sheetData>
    <row r="1" spans="1:74" ht="35.25" customHeight="1" x14ac:dyDescent="0.3">
      <c r="A1" s="334"/>
      <c r="B1" s="336" t="s">
        <v>12138</v>
      </c>
      <c r="C1" s="337" t="s">
        <v>12306</v>
      </c>
      <c r="D1" s="339" t="s">
        <v>12307</v>
      </c>
      <c r="E1" s="305">
        <v>1</v>
      </c>
      <c r="F1" s="306"/>
      <c r="G1" s="305">
        <f>1+E1</f>
        <v>2</v>
      </c>
      <c r="H1" s="306"/>
      <c r="I1" s="305">
        <f>1+G1</f>
        <v>3</v>
      </c>
      <c r="J1" s="306"/>
      <c r="K1" s="305">
        <f>1+I1</f>
        <v>4</v>
      </c>
      <c r="L1" s="306"/>
      <c r="M1" s="305">
        <f>1+K1</f>
        <v>5</v>
      </c>
      <c r="N1" s="306"/>
      <c r="O1" s="305">
        <f>1+M1</f>
        <v>6</v>
      </c>
      <c r="P1" s="306"/>
      <c r="Q1" s="305">
        <f>1+O1</f>
        <v>7</v>
      </c>
      <c r="R1" s="306"/>
      <c r="S1" s="305">
        <f>1+Q1</f>
        <v>8</v>
      </c>
      <c r="T1" s="306"/>
      <c r="U1" s="305">
        <f>1+S1</f>
        <v>9</v>
      </c>
      <c r="V1" s="306"/>
      <c r="W1" s="305">
        <f>1+U1</f>
        <v>10</v>
      </c>
      <c r="X1" s="306"/>
      <c r="Y1" s="307">
        <f>1+W1</f>
        <v>11</v>
      </c>
      <c r="Z1" s="307"/>
      <c r="AA1" s="307">
        <f>1+Y1</f>
        <v>12</v>
      </c>
      <c r="AB1" s="307"/>
      <c r="AC1" s="307">
        <f>1+AA1</f>
        <v>13</v>
      </c>
      <c r="AD1" s="307"/>
      <c r="AE1" s="307">
        <f>1+AC1</f>
        <v>14</v>
      </c>
      <c r="AF1" s="307"/>
      <c r="AG1" s="307">
        <f>1+AE1</f>
        <v>15</v>
      </c>
      <c r="AH1" s="307"/>
      <c r="AI1" s="307">
        <f>1+AG1</f>
        <v>16</v>
      </c>
      <c r="AJ1" s="307"/>
      <c r="AK1" s="307">
        <f>1+AI1</f>
        <v>17</v>
      </c>
      <c r="AL1" s="307"/>
      <c r="AM1" s="307">
        <f>1+AK1</f>
        <v>18</v>
      </c>
      <c r="AN1" s="307"/>
      <c r="AO1" s="307">
        <f>1+AM1</f>
        <v>19</v>
      </c>
      <c r="AP1" s="307"/>
      <c r="AQ1" s="307">
        <f>1+AO1</f>
        <v>20</v>
      </c>
      <c r="AR1" s="307"/>
      <c r="AS1" s="307">
        <f>1+AQ1</f>
        <v>21</v>
      </c>
      <c r="AT1" s="307"/>
      <c r="AU1" s="307">
        <f>1+AS1</f>
        <v>22</v>
      </c>
      <c r="AV1" s="307"/>
      <c r="AW1" s="307">
        <f>1+AU1</f>
        <v>23</v>
      </c>
      <c r="AX1" s="307"/>
      <c r="AY1" s="307">
        <f>1+AW1</f>
        <v>24</v>
      </c>
      <c r="AZ1" s="307"/>
      <c r="BA1" s="307">
        <f>1+AY1</f>
        <v>25</v>
      </c>
      <c r="BB1" s="307"/>
      <c r="BC1" s="307">
        <f>1+BA1</f>
        <v>26</v>
      </c>
      <c r="BD1" s="307"/>
      <c r="BE1" s="307">
        <f>1+BC1</f>
        <v>27</v>
      </c>
      <c r="BF1" s="307"/>
      <c r="BG1" s="307">
        <f>1+BE1</f>
        <v>28</v>
      </c>
      <c r="BH1" s="307"/>
      <c r="BI1" s="307">
        <f>1+BG1</f>
        <v>29</v>
      </c>
      <c r="BJ1" s="307"/>
      <c r="BK1" s="307">
        <f>1+BI1</f>
        <v>30</v>
      </c>
      <c r="BL1" s="307"/>
      <c r="BM1" s="307">
        <f>1+BK1</f>
        <v>31</v>
      </c>
      <c r="BN1" s="307"/>
      <c r="BO1" s="340" t="s">
        <v>12169</v>
      </c>
      <c r="BP1" s="341"/>
      <c r="BQ1" s="307" t="s">
        <v>12139</v>
      </c>
      <c r="BR1" s="307"/>
      <c r="BS1" s="7" t="s">
        <v>408</v>
      </c>
      <c r="BT1" s="16" t="s">
        <v>405</v>
      </c>
      <c r="BU1" s="8" t="s">
        <v>406</v>
      </c>
      <c r="BV1" s="8" t="s">
        <v>407</v>
      </c>
    </row>
    <row r="2" spans="1:74" ht="28.5" customHeight="1" x14ac:dyDescent="0.3">
      <c r="A2" s="335"/>
      <c r="B2" s="306"/>
      <c r="C2" s="338"/>
      <c r="D2" s="338"/>
      <c r="E2" s="87" t="s">
        <v>12140</v>
      </c>
      <c r="F2" s="87" t="s">
        <v>12141</v>
      </c>
      <c r="G2" s="87" t="s">
        <v>12140</v>
      </c>
      <c r="H2" s="87" t="s">
        <v>12141</v>
      </c>
      <c r="I2" s="87" t="s">
        <v>12140</v>
      </c>
      <c r="J2" s="87" t="s">
        <v>12141</v>
      </c>
      <c r="K2" s="87" t="s">
        <v>12140</v>
      </c>
      <c r="L2" s="87" t="s">
        <v>12141</v>
      </c>
      <c r="M2" s="87" t="s">
        <v>12140</v>
      </c>
      <c r="N2" s="87" t="s">
        <v>12141</v>
      </c>
      <c r="O2" s="87" t="s">
        <v>12140</v>
      </c>
      <c r="P2" s="87" t="s">
        <v>12141</v>
      </c>
      <c r="Q2" s="87" t="s">
        <v>12140</v>
      </c>
      <c r="R2" s="87" t="s">
        <v>12141</v>
      </c>
      <c r="S2" s="87" t="s">
        <v>12140</v>
      </c>
      <c r="T2" s="87" t="s">
        <v>12141</v>
      </c>
      <c r="U2" s="87" t="s">
        <v>12140</v>
      </c>
      <c r="V2" s="87" t="s">
        <v>12141</v>
      </c>
      <c r="W2" s="87" t="s">
        <v>12140</v>
      </c>
      <c r="X2" s="87" t="s">
        <v>12141</v>
      </c>
      <c r="Y2" s="87" t="s">
        <v>12140</v>
      </c>
      <c r="Z2" s="87" t="s">
        <v>12141</v>
      </c>
      <c r="AA2" s="87" t="s">
        <v>12140</v>
      </c>
      <c r="AB2" s="87" t="s">
        <v>12141</v>
      </c>
      <c r="AC2" s="87" t="s">
        <v>12140</v>
      </c>
      <c r="AD2" s="87" t="s">
        <v>12141</v>
      </c>
      <c r="AE2" s="87" t="s">
        <v>12140</v>
      </c>
      <c r="AF2" s="87" t="s">
        <v>12141</v>
      </c>
      <c r="AG2" s="87" t="s">
        <v>12140</v>
      </c>
      <c r="AH2" s="87" t="s">
        <v>12141</v>
      </c>
      <c r="AI2" s="87" t="s">
        <v>12140</v>
      </c>
      <c r="AJ2" s="87" t="s">
        <v>12141</v>
      </c>
      <c r="AK2" s="87" t="s">
        <v>12140</v>
      </c>
      <c r="AL2" s="87" t="s">
        <v>12141</v>
      </c>
      <c r="AM2" s="87" t="s">
        <v>12140</v>
      </c>
      <c r="AN2" s="87" t="s">
        <v>12141</v>
      </c>
      <c r="AO2" s="87" t="s">
        <v>12140</v>
      </c>
      <c r="AP2" s="87" t="s">
        <v>12141</v>
      </c>
      <c r="AQ2" s="87" t="s">
        <v>12140</v>
      </c>
      <c r="AR2" s="87" t="s">
        <v>12141</v>
      </c>
      <c r="AS2" s="87" t="s">
        <v>12140</v>
      </c>
      <c r="AT2" s="87" t="s">
        <v>12141</v>
      </c>
      <c r="AU2" s="87" t="s">
        <v>12140</v>
      </c>
      <c r="AV2" s="87" t="s">
        <v>12141</v>
      </c>
      <c r="AW2" s="87" t="s">
        <v>12140</v>
      </c>
      <c r="AX2" s="87" t="s">
        <v>12141</v>
      </c>
      <c r="AY2" s="87" t="s">
        <v>12140</v>
      </c>
      <c r="AZ2" s="87" t="s">
        <v>12141</v>
      </c>
      <c r="BA2" s="87" t="s">
        <v>12140</v>
      </c>
      <c r="BB2" s="87" t="s">
        <v>12141</v>
      </c>
      <c r="BC2" s="87" t="s">
        <v>12140</v>
      </c>
      <c r="BD2" s="87" t="s">
        <v>12141</v>
      </c>
      <c r="BE2" s="87" t="s">
        <v>12140</v>
      </c>
      <c r="BF2" s="87" t="s">
        <v>12141</v>
      </c>
      <c r="BG2" s="87" t="s">
        <v>12140</v>
      </c>
      <c r="BH2" s="87" t="s">
        <v>12141</v>
      </c>
      <c r="BI2" s="87" t="s">
        <v>12140</v>
      </c>
      <c r="BJ2" s="87" t="s">
        <v>12141</v>
      </c>
      <c r="BK2" s="87" t="s">
        <v>12140</v>
      </c>
      <c r="BL2" s="87" t="s">
        <v>12141</v>
      </c>
      <c r="BM2" s="87" t="s">
        <v>12140</v>
      </c>
      <c r="BN2" s="87" t="s">
        <v>12141</v>
      </c>
      <c r="BO2" s="87" t="s">
        <v>12140</v>
      </c>
      <c r="BP2" s="87" t="s">
        <v>12141</v>
      </c>
      <c r="BQ2" s="87" t="s">
        <v>12140</v>
      </c>
      <c r="BR2" s="87" t="s">
        <v>12141</v>
      </c>
      <c r="BS2" s="14">
        <v>27.959999999999987</v>
      </c>
      <c r="BT2" s="14">
        <v>1466.8799999999997</v>
      </c>
      <c r="BU2" s="14"/>
      <c r="BV2" s="14">
        <v>175791138</v>
      </c>
    </row>
    <row r="3" spans="1:74" ht="24.75" customHeight="1" x14ac:dyDescent="0.3">
      <c r="A3" s="332" t="s">
        <v>242</v>
      </c>
      <c r="B3" s="333"/>
      <c r="C3" s="126">
        <f>SUM(C5:C25)</f>
        <v>1026.03</v>
      </c>
      <c r="D3" s="126">
        <f>SUM(D5:D25)</f>
        <v>1020.03</v>
      </c>
      <c r="E3" s="108">
        <f t="shared" ref="E3:AJ3" si="0">SUM(E6:E242)</f>
        <v>0</v>
      </c>
      <c r="F3" s="108">
        <f t="shared" si="0"/>
        <v>0</v>
      </c>
      <c r="G3" s="108">
        <f t="shared" si="0"/>
        <v>20</v>
      </c>
      <c r="H3" s="108">
        <f t="shared" si="0"/>
        <v>26</v>
      </c>
      <c r="I3" s="108">
        <f t="shared" si="0"/>
        <v>0</v>
      </c>
      <c r="J3" s="108">
        <f t="shared" si="0"/>
        <v>0</v>
      </c>
      <c r="K3" s="108">
        <f t="shared" si="0"/>
        <v>0</v>
      </c>
      <c r="L3" s="108">
        <f t="shared" si="0"/>
        <v>0</v>
      </c>
      <c r="M3" s="108">
        <f t="shared" si="0"/>
        <v>0</v>
      </c>
      <c r="N3" s="108">
        <f t="shared" si="0"/>
        <v>0</v>
      </c>
      <c r="O3" s="108">
        <f t="shared" si="0"/>
        <v>0</v>
      </c>
      <c r="P3" s="108">
        <f t="shared" si="0"/>
        <v>0</v>
      </c>
      <c r="Q3" s="108">
        <f t="shared" si="0"/>
        <v>0</v>
      </c>
      <c r="R3" s="108">
        <f t="shared" si="0"/>
        <v>0</v>
      </c>
      <c r="S3" s="108">
        <f t="shared" si="0"/>
        <v>0</v>
      </c>
      <c r="T3" s="108">
        <f t="shared" si="0"/>
        <v>0</v>
      </c>
      <c r="U3" s="108">
        <f t="shared" si="0"/>
        <v>0</v>
      </c>
      <c r="V3" s="108">
        <f t="shared" si="0"/>
        <v>0</v>
      </c>
      <c r="W3" s="108">
        <f t="shared" si="0"/>
        <v>0</v>
      </c>
      <c r="X3" s="108">
        <f t="shared" si="0"/>
        <v>0</v>
      </c>
      <c r="Y3" s="108">
        <f t="shared" si="0"/>
        <v>0</v>
      </c>
      <c r="Z3" s="108">
        <f t="shared" si="0"/>
        <v>0</v>
      </c>
      <c r="AA3" s="108">
        <f t="shared" si="0"/>
        <v>0</v>
      </c>
      <c r="AB3" s="108">
        <f t="shared" si="0"/>
        <v>0</v>
      </c>
      <c r="AC3" s="108">
        <f t="shared" si="0"/>
        <v>0</v>
      </c>
      <c r="AD3" s="108">
        <f t="shared" si="0"/>
        <v>0</v>
      </c>
      <c r="AE3" s="108">
        <f t="shared" si="0"/>
        <v>0</v>
      </c>
      <c r="AF3" s="108">
        <f t="shared" si="0"/>
        <v>0</v>
      </c>
      <c r="AG3" s="108">
        <f t="shared" si="0"/>
        <v>0</v>
      </c>
      <c r="AH3" s="108">
        <f t="shared" si="0"/>
        <v>0</v>
      </c>
      <c r="AI3" s="108">
        <f t="shared" si="0"/>
        <v>0</v>
      </c>
      <c r="AJ3" s="108">
        <f t="shared" si="0"/>
        <v>0</v>
      </c>
      <c r="AK3" s="108">
        <f t="shared" ref="AK3:BO3" si="1">SUM(AK6:AK242)</f>
        <v>0</v>
      </c>
      <c r="AL3" s="108">
        <f t="shared" si="1"/>
        <v>0</v>
      </c>
      <c r="AM3" s="108">
        <f t="shared" si="1"/>
        <v>0</v>
      </c>
      <c r="AN3" s="108">
        <f t="shared" si="1"/>
        <v>0</v>
      </c>
      <c r="AO3" s="108">
        <f t="shared" si="1"/>
        <v>0</v>
      </c>
      <c r="AP3" s="108">
        <f t="shared" si="1"/>
        <v>0</v>
      </c>
      <c r="AQ3" s="108">
        <f t="shared" si="1"/>
        <v>0</v>
      </c>
      <c r="AR3" s="108">
        <f t="shared" si="1"/>
        <v>0</v>
      </c>
      <c r="AS3" s="108">
        <f t="shared" si="1"/>
        <v>0</v>
      </c>
      <c r="AT3" s="108">
        <f t="shared" si="1"/>
        <v>0</v>
      </c>
      <c r="AU3" s="108">
        <f t="shared" si="1"/>
        <v>0</v>
      </c>
      <c r="AV3" s="108">
        <f t="shared" si="1"/>
        <v>0</v>
      </c>
      <c r="AW3" s="108">
        <f t="shared" si="1"/>
        <v>0</v>
      </c>
      <c r="AX3" s="108">
        <f t="shared" si="1"/>
        <v>0</v>
      </c>
      <c r="AY3" s="108">
        <f t="shared" si="1"/>
        <v>0</v>
      </c>
      <c r="AZ3" s="108">
        <f t="shared" si="1"/>
        <v>0</v>
      </c>
      <c r="BA3" s="108">
        <f t="shared" si="1"/>
        <v>0</v>
      </c>
      <c r="BB3" s="108">
        <f t="shared" si="1"/>
        <v>0</v>
      </c>
      <c r="BC3" s="108">
        <f t="shared" si="1"/>
        <v>0</v>
      </c>
      <c r="BD3" s="108">
        <f t="shared" si="1"/>
        <v>0</v>
      </c>
      <c r="BE3" s="108">
        <f t="shared" si="1"/>
        <v>0</v>
      </c>
      <c r="BF3" s="108">
        <f t="shared" si="1"/>
        <v>0</v>
      </c>
      <c r="BG3" s="108">
        <f t="shared" si="1"/>
        <v>0</v>
      </c>
      <c r="BH3" s="108">
        <f t="shared" si="1"/>
        <v>0</v>
      </c>
      <c r="BI3" s="108">
        <f t="shared" si="1"/>
        <v>0</v>
      </c>
      <c r="BJ3" s="108">
        <f t="shared" si="1"/>
        <v>0</v>
      </c>
      <c r="BK3" s="108">
        <f t="shared" si="1"/>
        <v>0</v>
      </c>
      <c r="BL3" s="108">
        <f t="shared" si="1"/>
        <v>0</v>
      </c>
      <c r="BM3" s="108">
        <f t="shared" si="1"/>
        <v>0</v>
      </c>
      <c r="BN3" s="108">
        <f t="shared" si="1"/>
        <v>0</v>
      </c>
      <c r="BO3" s="108">
        <f t="shared" si="1"/>
        <v>0</v>
      </c>
      <c r="BP3" s="108">
        <f t="shared" ref="BP3:BR3" si="2">SUM(BP6:BP242)</f>
        <v>0</v>
      </c>
      <c r="BQ3" s="108">
        <f t="shared" si="2"/>
        <v>20</v>
      </c>
      <c r="BR3" s="108">
        <f t="shared" si="2"/>
        <v>26</v>
      </c>
      <c r="BS3" s="120"/>
      <c r="BT3" s="121"/>
      <c r="BU3" s="122"/>
      <c r="BV3" s="122"/>
    </row>
    <row r="4" spans="1:74" ht="24.75" customHeight="1" x14ac:dyDescent="0.3">
      <c r="A4" s="125"/>
      <c r="B4" s="123"/>
      <c r="C4" s="126"/>
      <c r="D4" s="120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>
        <f t="shared" ref="BQ4:BQ25" si="3">+E4+G4+I4+K4+M4+O4+Q4+S4+U4+W4+Y4+AA4+AC4+AE4+AG4+AI4+AK4+AM4+AO4+AQ4+AS4+AU4+AW4+AY4+BA4+BC4+BE4+BG4+BI4+BK4+BM4+BO4</f>
        <v>0</v>
      </c>
      <c r="BR4" s="108">
        <f t="shared" ref="BR4:BR25" si="4">+F4+H4+J4+L4+N4+P4+R4+T4+V4+X4+Z4+AB4+AD4+AF4+AH4+AJ4+AL4+AN4+AP4+AR4+AT4+AV4+AX4+AZ4+BB4+BD4+BF4+BH4+BJ4+BL4+BN4+BP4</f>
        <v>0</v>
      </c>
      <c r="BS4" s="120"/>
      <c r="BT4" s="121"/>
      <c r="BU4" s="122"/>
      <c r="BV4" s="122"/>
    </row>
    <row r="5" spans="1:74" s="130" customFormat="1" ht="16.5" customHeight="1" x14ac:dyDescent="0.3">
      <c r="A5" s="166" t="s">
        <v>231</v>
      </c>
      <c r="B5" s="168"/>
      <c r="C5" s="20"/>
      <c r="D5" s="124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108">
        <f t="shared" si="3"/>
        <v>0</v>
      </c>
      <c r="BR5" s="108">
        <f t="shared" si="4"/>
        <v>0</v>
      </c>
      <c r="BS5" s="124"/>
      <c r="BT5" s="128"/>
      <c r="BU5" s="129"/>
      <c r="BV5" s="129"/>
    </row>
    <row r="6" spans="1:74" x14ac:dyDescent="0.3">
      <c r="A6" s="329" t="s">
        <v>237</v>
      </c>
      <c r="B6" s="21" t="s">
        <v>232</v>
      </c>
      <c r="C6" s="18">
        <v>58.7</v>
      </c>
      <c r="D6" s="131">
        <f>+C6+BQ6-BR6</f>
        <v>58.7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08">
        <f t="shared" si="3"/>
        <v>0</v>
      </c>
      <c r="BR6" s="108">
        <f t="shared" si="4"/>
        <v>0</v>
      </c>
      <c r="BS6" s="11">
        <v>1.5</v>
      </c>
      <c r="BT6" s="24">
        <f>+D6*BS6</f>
        <v>88.050000000000011</v>
      </c>
      <c r="BU6" s="18">
        <v>68400</v>
      </c>
      <c r="BV6" s="18">
        <f>+BU6*BT6</f>
        <v>6022620.0000000009</v>
      </c>
    </row>
    <row r="7" spans="1:74" x14ac:dyDescent="0.3">
      <c r="A7" s="330"/>
      <c r="B7" s="21" t="s">
        <v>233</v>
      </c>
      <c r="C7" s="18">
        <v>426.33</v>
      </c>
      <c r="D7" s="131">
        <f t="shared" ref="D7:D25" si="5">+C7+BQ7-BR7</f>
        <v>426.33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08">
        <f t="shared" si="3"/>
        <v>0</v>
      </c>
      <c r="BR7" s="108">
        <f t="shared" si="4"/>
        <v>0</v>
      </c>
      <c r="BS7" s="11">
        <v>1.5</v>
      </c>
      <c r="BT7" s="24">
        <f t="shared" ref="BT7:BT25" si="6">+D7*BS7</f>
        <v>639.495</v>
      </c>
      <c r="BU7" s="18">
        <v>68400</v>
      </c>
      <c r="BV7" s="18">
        <f t="shared" ref="BV7:BV25" si="7">+BU7*BT7</f>
        <v>43741458</v>
      </c>
    </row>
    <row r="8" spans="1:74" ht="18" customHeight="1" x14ac:dyDescent="0.3">
      <c r="A8" s="331"/>
      <c r="B8" s="21" t="s">
        <v>234</v>
      </c>
      <c r="C8" s="18">
        <v>16</v>
      </c>
      <c r="D8" s="131">
        <f t="shared" si="5"/>
        <v>16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08">
        <f t="shared" si="3"/>
        <v>0</v>
      </c>
      <c r="BR8" s="108">
        <f t="shared" si="4"/>
        <v>0</v>
      </c>
      <c r="BS8" s="11">
        <v>1.5</v>
      </c>
      <c r="BT8" s="24">
        <f t="shared" si="6"/>
        <v>24</v>
      </c>
      <c r="BU8" s="18">
        <v>68400</v>
      </c>
      <c r="BV8" s="18">
        <f t="shared" si="7"/>
        <v>1641600</v>
      </c>
    </row>
    <row r="9" spans="1:74" hidden="1" x14ac:dyDescent="0.3">
      <c r="A9" s="329" t="s">
        <v>238</v>
      </c>
      <c r="B9" s="21" t="s">
        <v>629</v>
      </c>
      <c r="C9" s="18">
        <v>3</v>
      </c>
      <c r="D9" s="131">
        <f t="shared" si="5"/>
        <v>3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08">
        <f t="shared" si="3"/>
        <v>0</v>
      </c>
      <c r="BR9" s="108">
        <f t="shared" si="4"/>
        <v>0</v>
      </c>
      <c r="BS9" s="11">
        <v>1.44</v>
      </c>
      <c r="BT9" s="24">
        <f t="shared" si="6"/>
        <v>4.32</v>
      </c>
      <c r="BU9" s="18">
        <v>99000</v>
      </c>
      <c r="BV9" s="18">
        <f t="shared" si="7"/>
        <v>427680</v>
      </c>
    </row>
    <row r="10" spans="1:74" x14ac:dyDescent="0.3">
      <c r="A10" s="331"/>
      <c r="B10" s="21" t="s">
        <v>630</v>
      </c>
      <c r="C10" s="18">
        <v>32</v>
      </c>
      <c r="D10" s="131">
        <f t="shared" si="5"/>
        <v>32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08">
        <f t="shared" si="3"/>
        <v>0</v>
      </c>
      <c r="BR10" s="108">
        <f t="shared" si="4"/>
        <v>0</v>
      </c>
      <c r="BS10" s="11">
        <v>1.44</v>
      </c>
      <c r="BT10" s="24">
        <f t="shared" si="6"/>
        <v>46.08</v>
      </c>
      <c r="BU10" s="18">
        <v>99400</v>
      </c>
      <c r="BV10" s="18">
        <f t="shared" si="7"/>
        <v>4580352</v>
      </c>
    </row>
    <row r="11" spans="1:74" ht="19.5" customHeight="1" x14ac:dyDescent="0.3">
      <c r="A11" s="183" t="s">
        <v>244</v>
      </c>
      <c r="B11" s="21" t="s">
        <v>235</v>
      </c>
      <c r="C11" s="18">
        <v>44</v>
      </c>
      <c r="D11" s="131">
        <f t="shared" si="5"/>
        <v>44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08">
        <f t="shared" si="3"/>
        <v>0</v>
      </c>
      <c r="BR11" s="108">
        <f t="shared" si="4"/>
        <v>0</v>
      </c>
      <c r="BS11" s="11">
        <v>1.44</v>
      </c>
      <c r="BT11" s="24">
        <f t="shared" si="6"/>
        <v>63.36</v>
      </c>
      <c r="BU11" s="18">
        <v>86400</v>
      </c>
      <c r="BV11" s="18">
        <f t="shared" si="7"/>
        <v>5474304</v>
      </c>
    </row>
    <row r="12" spans="1:74" s="130" customFormat="1" x14ac:dyDescent="0.3">
      <c r="A12" s="166" t="s">
        <v>236</v>
      </c>
      <c r="B12" s="167"/>
      <c r="C12" s="129">
        <v>0</v>
      </c>
      <c r="D12" s="131">
        <f t="shared" si="5"/>
        <v>0</v>
      </c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  <c r="BD12" s="124"/>
      <c r="BE12" s="124"/>
      <c r="BF12" s="124"/>
      <c r="BG12" s="124"/>
      <c r="BH12" s="124"/>
      <c r="BI12" s="124"/>
      <c r="BJ12" s="124"/>
      <c r="BK12" s="124"/>
      <c r="BL12" s="124"/>
      <c r="BM12" s="124"/>
      <c r="BN12" s="124"/>
      <c r="BO12" s="124"/>
      <c r="BP12" s="124"/>
      <c r="BQ12" s="108">
        <f t="shared" si="3"/>
        <v>0</v>
      </c>
      <c r="BR12" s="108">
        <f t="shared" si="4"/>
        <v>0</v>
      </c>
      <c r="BS12" s="124"/>
      <c r="BT12" s="24">
        <f t="shared" si="6"/>
        <v>0</v>
      </c>
      <c r="BU12" s="129"/>
      <c r="BV12" s="18">
        <f t="shared" si="7"/>
        <v>0</v>
      </c>
    </row>
    <row r="13" spans="1:74" x14ac:dyDescent="0.3">
      <c r="A13" s="329" t="s">
        <v>239</v>
      </c>
      <c r="B13" s="22" t="s">
        <v>631</v>
      </c>
      <c r="C13" s="18">
        <v>3</v>
      </c>
      <c r="D13" s="131">
        <f t="shared" si="5"/>
        <v>3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08">
        <f t="shared" si="3"/>
        <v>0</v>
      </c>
      <c r="BR13" s="108">
        <f t="shared" si="4"/>
        <v>0</v>
      </c>
      <c r="BS13" s="11">
        <v>1.2</v>
      </c>
      <c r="BT13" s="24">
        <f t="shared" si="6"/>
        <v>3.5999999999999996</v>
      </c>
      <c r="BU13" s="18">
        <v>236000</v>
      </c>
      <c r="BV13" s="18">
        <f t="shared" si="7"/>
        <v>849599.99999999988</v>
      </c>
    </row>
    <row r="14" spans="1:74" x14ac:dyDescent="0.3">
      <c r="A14" s="330"/>
      <c r="B14" s="22" t="s">
        <v>632</v>
      </c>
      <c r="C14" s="18">
        <v>55</v>
      </c>
      <c r="D14" s="131">
        <f t="shared" si="5"/>
        <v>55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08">
        <f t="shared" si="3"/>
        <v>0</v>
      </c>
      <c r="BR14" s="108">
        <f t="shared" si="4"/>
        <v>0</v>
      </c>
      <c r="BS14" s="11">
        <v>1.2</v>
      </c>
      <c r="BT14" s="24">
        <f t="shared" si="6"/>
        <v>66</v>
      </c>
      <c r="BU14" s="18">
        <v>236000</v>
      </c>
      <c r="BV14" s="18">
        <f t="shared" si="7"/>
        <v>15576000</v>
      </c>
    </row>
    <row r="15" spans="1:74" x14ac:dyDescent="0.3">
      <c r="A15" s="330"/>
      <c r="B15" s="22" t="s">
        <v>633</v>
      </c>
      <c r="C15" s="18">
        <v>69</v>
      </c>
      <c r="D15" s="131">
        <f t="shared" si="5"/>
        <v>69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08">
        <f t="shared" si="3"/>
        <v>0</v>
      </c>
      <c r="BR15" s="108">
        <f t="shared" si="4"/>
        <v>0</v>
      </c>
      <c r="BS15" s="11">
        <v>1.2</v>
      </c>
      <c r="BT15" s="24">
        <f t="shared" si="6"/>
        <v>82.8</v>
      </c>
      <c r="BU15" s="18">
        <v>236000</v>
      </c>
      <c r="BV15" s="18">
        <f t="shared" si="7"/>
        <v>19540800</v>
      </c>
    </row>
    <row r="16" spans="1:74" x14ac:dyDescent="0.3">
      <c r="A16" s="331"/>
      <c r="B16" s="22" t="s">
        <v>634</v>
      </c>
      <c r="C16" s="18">
        <v>63</v>
      </c>
      <c r="D16" s="131">
        <f t="shared" si="5"/>
        <v>63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08">
        <f t="shared" si="3"/>
        <v>0</v>
      </c>
      <c r="BR16" s="108">
        <f t="shared" si="4"/>
        <v>0</v>
      </c>
      <c r="BS16" s="11">
        <v>1.2</v>
      </c>
      <c r="BT16" s="24">
        <f t="shared" si="6"/>
        <v>75.599999999999994</v>
      </c>
      <c r="BU16" s="18">
        <v>236000</v>
      </c>
      <c r="BV16" s="18">
        <f t="shared" si="7"/>
        <v>17841600</v>
      </c>
    </row>
    <row r="17" spans="1:74" x14ac:dyDescent="0.3">
      <c r="A17" s="329" t="s">
        <v>240</v>
      </c>
      <c r="B17" s="23">
        <v>1683</v>
      </c>
      <c r="C17" s="18">
        <v>71</v>
      </c>
      <c r="D17" s="131">
        <f t="shared" si="5"/>
        <v>71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08">
        <f t="shared" si="3"/>
        <v>0</v>
      </c>
      <c r="BR17" s="108">
        <f t="shared" si="4"/>
        <v>0</v>
      </c>
      <c r="BS17" s="11">
        <v>1.08</v>
      </c>
      <c r="BT17" s="24">
        <f t="shared" si="6"/>
        <v>76.680000000000007</v>
      </c>
      <c r="BU17" s="18">
        <v>225000</v>
      </c>
      <c r="BV17" s="18">
        <f t="shared" si="7"/>
        <v>17253000</v>
      </c>
    </row>
    <row r="18" spans="1:74" x14ac:dyDescent="0.3">
      <c r="A18" s="330"/>
      <c r="B18" s="23">
        <v>1543</v>
      </c>
      <c r="C18" s="18">
        <v>16</v>
      </c>
      <c r="D18" s="131">
        <f t="shared" si="5"/>
        <v>16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08">
        <f t="shared" si="3"/>
        <v>0</v>
      </c>
      <c r="BR18" s="108">
        <f t="shared" si="4"/>
        <v>0</v>
      </c>
      <c r="BS18" s="11">
        <v>1.08</v>
      </c>
      <c r="BT18" s="24">
        <f t="shared" si="6"/>
        <v>17.28</v>
      </c>
      <c r="BU18" s="18">
        <v>225000</v>
      </c>
      <c r="BV18" s="18">
        <f t="shared" si="7"/>
        <v>3888000.0000000005</v>
      </c>
    </row>
    <row r="19" spans="1:74" x14ac:dyDescent="0.3">
      <c r="A19" s="330"/>
      <c r="B19" s="23">
        <v>1072</v>
      </c>
      <c r="C19" s="18">
        <v>34</v>
      </c>
      <c r="D19" s="131">
        <f t="shared" si="5"/>
        <v>34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08">
        <f t="shared" si="3"/>
        <v>0</v>
      </c>
      <c r="BR19" s="108">
        <f t="shared" si="4"/>
        <v>0</v>
      </c>
      <c r="BS19" s="11">
        <v>1.08</v>
      </c>
      <c r="BT19" s="24">
        <f t="shared" si="6"/>
        <v>36.72</v>
      </c>
      <c r="BU19" s="18">
        <v>225000</v>
      </c>
      <c r="BV19" s="18">
        <f t="shared" si="7"/>
        <v>8262000</v>
      </c>
    </row>
    <row r="20" spans="1:74" x14ac:dyDescent="0.3">
      <c r="A20" s="330"/>
      <c r="B20" s="23">
        <v>1347</v>
      </c>
      <c r="C20" s="18">
        <v>4</v>
      </c>
      <c r="D20" s="131">
        <f t="shared" si="5"/>
        <v>4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08">
        <f t="shared" si="3"/>
        <v>0</v>
      </c>
      <c r="BR20" s="108">
        <f t="shared" si="4"/>
        <v>0</v>
      </c>
      <c r="BS20" s="11">
        <v>1.08</v>
      </c>
      <c r="BT20" s="24">
        <f t="shared" si="6"/>
        <v>4.32</v>
      </c>
      <c r="BU20" s="18">
        <v>225000</v>
      </c>
      <c r="BV20" s="18">
        <f t="shared" si="7"/>
        <v>972000.00000000012</v>
      </c>
    </row>
    <row r="21" spans="1:74" ht="24.75" customHeight="1" x14ac:dyDescent="0.3">
      <c r="A21" s="329" t="s">
        <v>628</v>
      </c>
      <c r="B21" s="21" t="s">
        <v>621</v>
      </c>
      <c r="C21" s="18">
        <v>0</v>
      </c>
      <c r="D21" s="131">
        <f t="shared" si="5"/>
        <v>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08">
        <f t="shared" si="3"/>
        <v>0</v>
      </c>
      <c r="BR21" s="108">
        <f t="shared" si="4"/>
        <v>0</v>
      </c>
      <c r="BS21" s="11">
        <v>1</v>
      </c>
      <c r="BT21" s="24">
        <f t="shared" si="6"/>
        <v>0</v>
      </c>
      <c r="BU21" s="18">
        <v>65000</v>
      </c>
      <c r="BV21" s="18">
        <f t="shared" si="7"/>
        <v>0</v>
      </c>
    </row>
    <row r="22" spans="1:74" ht="24.75" customHeight="1" x14ac:dyDescent="0.3">
      <c r="A22" s="330"/>
      <c r="B22" s="21" t="s">
        <v>12240</v>
      </c>
      <c r="C22" s="18">
        <v>66</v>
      </c>
      <c r="D22" s="131">
        <f t="shared" si="5"/>
        <v>61</v>
      </c>
      <c r="E22" s="11"/>
      <c r="F22" s="11"/>
      <c r="G22" s="11"/>
      <c r="H22" s="11">
        <v>5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08">
        <f t="shared" si="3"/>
        <v>0</v>
      </c>
      <c r="BR22" s="108">
        <f t="shared" si="4"/>
        <v>5</v>
      </c>
      <c r="BS22" s="11">
        <v>1</v>
      </c>
      <c r="BT22" s="24">
        <f t="shared" si="6"/>
        <v>61</v>
      </c>
      <c r="BU22" s="18">
        <v>40000</v>
      </c>
      <c r="BV22" s="18">
        <f t="shared" si="7"/>
        <v>2440000</v>
      </c>
    </row>
    <row r="23" spans="1:74" ht="24.75" customHeight="1" x14ac:dyDescent="0.3">
      <c r="A23" s="330"/>
      <c r="B23" s="21" t="s">
        <v>12241</v>
      </c>
      <c r="C23" s="18">
        <v>12</v>
      </c>
      <c r="D23" s="131">
        <f t="shared" si="5"/>
        <v>12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08">
        <f t="shared" si="3"/>
        <v>0</v>
      </c>
      <c r="BR23" s="108">
        <f t="shared" si="4"/>
        <v>0</v>
      </c>
      <c r="BS23" s="11">
        <v>1</v>
      </c>
      <c r="BT23" s="24">
        <f t="shared" si="6"/>
        <v>12</v>
      </c>
      <c r="BU23" s="18">
        <v>40000</v>
      </c>
      <c r="BV23" s="18">
        <f t="shared" si="7"/>
        <v>480000</v>
      </c>
    </row>
    <row r="24" spans="1:74" ht="24.75" customHeight="1" x14ac:dyDescent="0.3">
      <c r="A24" s="330"/>
      <c r="B24" s="21" t="s">
        <v>12242</v>
      </c>
      <c r="C24" s="18">
        <v>34</v>
      </c>
      <c r="D24" s="131">
        <f t="shared" si="5"/>
        <v>33</v>
      </c>
      <c r="E24" s="11"/>
      <c r="F24" s="11"/>
      <c r="G24" s="11"/>
      <c r="H24" s="11">
        <v>1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08">
        <f t="shared" si="3"/>
        <v>0</v>
      </c>
      <c r="BR24" s="108">
        <f t="shared" si="4"/>
        <v>1</v>
      </c>
      <c r="BS24" s="11">
        <v>1</v>
      </c>
      <c r="BT24" s="24">
        <f t="shared" si="6"/>
        <v>33</v>
      </c>
      <c r="BU24" s="18">
        <v>35000</v>
      </c>
      <c r="BV24" s="18">
        <f t="shared" si="7"/>
        <v>1155000</v>
      </c>
    </row>
    <row r="25" spans="1:74" ht="24.75" customHeight="1" x14ac:dyDescent="0.3">
      <c r="A25" s="331"/>
      <c r="B25" s="11" t="s">
        <v>12181</v>
      </c>
      <c r="C25" s="18">
        <v>19</v>
      </c>
      <c r="D25" s="131">
        <f t="shared" si="5"/>
        <v>19</v>
      </c>
      <c r="E25" s="11"/>
      <c r="F25" s="11"/>
      <c r="G25" s="11">
        <v>20</v>
      </c>
      <c r="H25" s="11">
        <v>20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08">
        <f t="shared" si="3"/>
        <v>20</v>
      </c>
      <c r="BR25" s="108">
        <f t="shared" si="4"/>
        <v>20</v>
      </c>
      <c r="BS25" s="11">
        <v>1</v>
      </c>
      <c r="BT25" s="24">
        <f t="shared" si="6"/>
        <v>19</v>
      </c>
      <c r="BU25" s="18">
        <v>42000</v>
      </c>
      <c r="BV25" s="18">
        <f t="shared" si="7"/>
        <v>798000</v>
      </c>
    </row>
  </sheetData>
  <mergeCells count="43">
    <mergeCell ref="G1:H1"/>
    <mergeCell ref="A1:A2"/>
    <mergeCell ref="B1:B2"/>
    <mergeCell ref="C1:C2"/>
    <mergeCell ref="D1:D2"/>
    <mergeCell ref="E1:F1"/>
    <mergeCell ref="AE1:AF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Y1:AZ1"/>
    <mergeCell ref="BA1:BB1"/>
    <mergeCell ref="BC1:BD1"/>
    <mergeCell ref="AG1:AH1"/>
    <mergeCell ref="AI1:AJ1"/>
    <mergeCell ref="AK1:AL1"/>
    <mergeCell ref="AM1:AN1"/>
    <mergeCell ref="AO1:AP1"/>
    <mergeCell ref="AQ1:AR1"/>
    <mergeCell ref="A21:A25"/>
    <mergeCell ref="BQ1:BR1"/>
    <mergeCell ref="A3:B3"/>
    <mergeCell ref="A6:A8"/>
    <mergeCell ref="A9:A10"/>
    <mergeCell ref="A13:A16"/>
    <mergeCell ref="A17:A20"/>
    <mergeCell ref="BE1:BF1"/>
    <mergeCell ref="BG1:BH1"/>
    <mergeCell ref="BI1:BJ1"/>
    <mergeCell ref="BK1:BL1"/>
    <mergeCell ref="BM1:BN1"/>
    <mergeCell ref="BO1:BP1"/>
    <mergeCell ref="AS1:AT1"/>
    <mergeCell ref="AU1:AV1"/>
    <mergeCell ref="AW1:AX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1"/>
  <sheetViews>
    <sheetView workbookViewId="0">
      <pane xSplit="4" ySplit="4" topLeftCell="AY26" activePane="bottomRight" state="frozen"/>
      <selection pane="topRight" activeCell="E1" sqref="E1"/>
      <selection pane="bottomLeft" activeCell="A5" sqref="A5"/>
      <selection pane="bottomRight" activeCell="B25" sqref="A25:XFD25"/>
    </sheetView>
  </sheetViews>
  <sheetFormatPr defaultColWidth="23.85546875" defaultRowHeight="18.75" x14ac:dyDescent="0.3"/>
  <cols>
    <col min="1" max="1" width="19.7109375" style="36" customWidth="1"/>
    <col min="2" max="2" width="19.42578125" style="5" customWidth="1"/>
    <col min="3" max="3" width="18.7109375" style="19" customWidth="1"/>
    <col min="4" max="4" width="18.42578125" style="5" customWidth="1"/>
    <col min="5" max="67" width="7.28515625" style="5" customWidth="1"/>
    <col min="68" max="68" width="10.42578125" style="5" customWidth="1"/>
    <col min="69" max="70" width="7.28515625" style="5" customWidth="1"/>
    <col min="71" max="71" width="8" style="5" customWidth="1"/>
    <col min="72" max="72" width="14.85546875" style="56" customWidth="1"/>
    <col min="73" max="73" width="14.85546875" style="42" customWidth="1"/>
    <col min="74" max="74" width="20.140625" style="42" customWidth="1"/>
    <col min="75" max="16384" width="23.85546875" style="5"/>
  </cols>
  <sheetData>
    <row r="1" spans="1:74" ht="25.5" customHeight="1" x14ac:dyDescent="0.3">
      <c r="A1" s="355" t="s">
        <v>12178</v>
      </c>
      <c r="B1" s="336" t="s">
        <v>12138</v>
      </c>
      <c r="C1" s="337" t="s">
        <v>12306</v>
      </c>
      <c r="D1" s="339" t="s">
        <v>12307</v>
      </c>
      <c r="E1" s="305">
        <v>1</v>
      </c>
      <c r="F1" s="306"/>
      <c r="G1" s="305">
        <f>1+E1</f>
        <v>2</v>
      </c>
      <c r="H1" s="306"/>
      <c r="I1" s="305">
        <f>1+G1</f>
        <v>3</v>
      </c>
      <c r="J1" s="306"/>
      <c r="K1" s="305">
        <f>1+I1</f>
        <v>4</v>
      </c>
      <c r="L1" s="306"/>
      <c r="M1" s="305">
        <f>1+K1</f>
        <v>5</v>
      </c>
      <c r="N1" s="306"/>
      <c r="O1" s="305">
        <f>1+M1</f>
        <v>6</v>
      </c>
      <c r="P1" s="306"/>
      <c r="Q1" s="305">
        <f>1+O1</f>
        <v>7</v>
      </c>
      <c r="R1" s="306"/>
      <c r="S1" s="305">
        <f>1+Q1</f>
        <v>8</v>
      </c>
      <c r="T1" s="306"/>
      <c r="U1" s="305">
        <f>1+S1</f>
        <v>9</v>
      </c>
      <c r="V1" s="306"/>
      <c r="W1" s="305">
        <f>1+U1</f>
        <v>10</v>
      </c>
      <c r="X1" s="306"/>
      <c r="Y1" s="307">
        <f>1+W1</f>
        <v>11</v>
      </c>
      <c r="Z1" s="307"/>
      <c r="AA1" s="307">
        <f>1+Y1</f>
        <v>12</v>
      </c>
      <c r="AB1" s="307"/>
      <c r="AC1" s="307">
        <f>1+AA1</f>
        <v>13</v>
      </c>
      <c r="AD1" s="307"/>
      <c r="AE1" s="307">
        <f>1+AC1</f>
        <v>14</v>
      </c>
      <c r="AF1" s="307"/>
      <c r="AG1" s="307">
        <f>1+AE1</f>
        <v>15</v>
      </c>
      <c r="AH1" s="307"/>
      <c r="AI1" s="307">
        <f>1+AG1</f>
        <v>16</v>
      </c>
      <c r="AJ1" s="307"/>
      <c r="AK1" s="307">
        <f>1+AI1</f>
        <v>17</v>
      </c>
      <c r="AL1" s="307"/>
      <c r="AM1" s="307">
        <f>1+AK1</f>
        <v>18</v>
      </c>
      <c r="AN1" s="307"/>
      <c r="AO1" s="307">
        <f>1+AM1</f>
        <v>19</v>
      </c>
      <c r="AP1" s="307"/>
      <c r="AQ1" s="307">
        <f>1+AO1</f>
        <v>20</v>
      </c>
      <c r="AR1" s="307"/>
      <c r="AS1" s="307">
        <f>1+AQ1</f>
        <v>21</v>
      </c>
      <c r="AT1" s="307"/>
      <c r="AU1" s="307">
        <f>1+AS1</f>
        <v>22</v>
      </c>
      <c r="AV1" s="307"/>
      <c r="AW1" s="307">
        <f>1+AU1</f>
        <v>23</v>
      </c>
      <c r="AX1" s="307"/>
      <c r="AY1" s="307">
        <f>1+AW1</f>
        <v>24</v>
      </c>
      <c r="AZ1" s="307"/>
      <c r="BA1" s="307">
        <f>1+AY1</f>
        <v>25</v>
      </c>
      <c r="BB1" s="307"/>
      <c r="BC1" s="307">
        <f>1+BA1</f>
        <v>26</v>
      </c>
      <c r="BD1" s="307"/>
      <c r="BE1" s="307">
        <f>1+BC1</f>
        <v>27</v>
      </c>
      <c r="BF1" s="307"/>
      <c r="BG1" s="307">
        <f>1+BE1</f>
        <v>28</v>
      </c>
      <c r="BH1" s="307"/>
      <c r="BI1" s="307">
        <f>1+BG1</f>
        <v>29</v>
      </c>
      <c r="BJ1" s="307"/>
      <c r="BK1" s="307">
        <f>1+BI1</f>
        <v>30</v>
      </c>
      <c r="BL1" s="307"/>
      <c r="BM1" s="307">
        <f>1+BK1</f>
        <v>31</v>
      </c>
      <c r="BN1" s="307"/>
      <c r="BO1" s="340" t="s">
        <v>12171</v>
      </c>
      <c r="BP1" s="341"/>
      <c r="BQ1" s="307" t="s">
        <v>12139</v>
      </c>
      <c r="BR1" s="307"/>
      <c r="BS1" s="7" t="s">
        <v>408</v>
      </c>
      <c r="BT1" s="53" t="s">
        <v>405</v>
      </c>
      <c r="BU1" s="38" t="s">
        <v>406</v>
      </c>
      <c r="BV1" s="38" t="s">
        <v>407</v>
      </c>
    </row>
    <row r="2" spans="1:74" ht="18" customHeight="1" x14ac:dyDescent="0.3">
      <c r="A2" s="355"/>
      <c r="B2" s="306"/>
      <c r="C2" s="338"/>
      <c r="D2" s="338"/>
      <c r="E2" s="87" t="s">
        <v>12140</v>
      </c>
      <c r="F2" s="87" t="s">
        <v>12141</v>
      </c>
      <c r="G2" s="87" t="s">
        <v>12140</v>
      </c>
      <c r="H2" s="87" t="s">
        <v>12141</v>
      </c>
      <c r="I2" s="87" t="s">
        <v>12140</v>
      </c>
      <c r="J2" s="87" t="s">
        <v>12141</v>
      </c>
      <c r="K2" s="87" t="s">
        <v>12140</v>
      </c>
      <c r="L2" s="87" t="s">
        <v>12141</v>
      </c>
      <c r="M2" s="87" t="s">
        <v>12140</v>
      </c>
      <c r="N2" s="87" t="s">
        <v>12141</v>
      </c>
      <c r="O2" s="87" t="s">
        <v>12140</v>
      </c>
      <c r="P2" s="87" t="s">
        <v>12141</v>
      </c>
      <c r="Q2" s="87" t="s">
        <v>12140</v>
      </c>
      <c r="R2" s="87" t="s">
        <v>12141</v>
      </c>
      <c r="S2" s="87" t="s">
        <v>12140</v>
      </c>
      <c r="T2" s="87" t="s">
        <v>12141</v>
      </c>
      <c r="U2" s="87" t="s">
        <v>12140</v>
      </c>
      <c r="V2" s="87" t="s">
        <v>12141</v>
      </c>
      <c r="W2" s="87" t="s">
        <v>12140</v>
      </c>
      <c r="X2" s="87" t="s">
        <v>12141</v>
      </c>
      <c r="Y2" s="87" t="s">
        <v>12140</v>
      </c>
      <c r="Z2" s="87" t="s">
        <v>12141</v>
      </c>
      <c r="AA2" s="87" t="s">
        <v>12140</v>
      </c>
      <c r="AB2" s="87" t="s">
        <v>12141</v>
      </c>
      <c r="AC2" s="87" t="s">
        <v>12140</v>
      </c>
      <c r="AD2" s="87" t="s">
        <v>12141</v>
      </c>
      <c r="AE2" s="87" t="s">
        <v>12140</v>
      </c>
      <c r="AF2" s="87" t="s">
        <v>12141</v>
      </c>
      <c r="AG2" s="87" t="s">
        <v>12140</v>
      </c>
      <c r="AH2" s="87" t="s">
        <v>12141</v>
      </c>
      <c r="AI2" s="87" t="s">
        <v>12140</v>
      </c>
      <c r="AJ2" s="87" t="s">
        <v>12141</v>
      </c>
      <c r="AK2" s="87" t="s">
        <v>12140</v>
      </c>
      <c r="AL2" s="87" t="s">
        <v>12141</v>
      </c>
      <c r="AM2" s="87" t="s">
        <v>12140</v>
      </c>
      <c r="AN2" s="87" t="s">
        <v>12141</v>
      </c>
      <c r="AO2" s="87" t="s">
        <v>12140</v>
      </c>
      <c r="AP2" s="87" t="s">
        <v>12141</v>
      </c>
      <c r="AQ2" s="87" t="s">
        <v>12140</v>
      </c>
      <c r="AR2" s="87" t="s">
        <v>12141</v>
      </c>
      <c r="AS2" s="87" t="s">
        <v>12140</v>
      </c>
      <c r="AT2" s="87" t="s">
        <v>12141</v>
      </c>
      <c r="AU2" s="87" t="s">
        <v>12140</v>
      </c>
      <c r="AV2" s="87" t="s">
        <v>12141</v>
      </c>
      <c r="AW2" s="87" t="s">
        <v>12140</v>
      </c>
      <c r="AX2" s="87" t="s">
        <v>12141</v>
      </c>
      <c r="AY2" s="87" t="s">
        <v>12140</v>
      </c>
      <c r="AZ2" s="87" t="s">
        <v>12141</v>
      </c>
      <c r="BA2" s="87" t="s">
        <v>12140</v>
      </c>
      <c r="BB2" s="87" t="s">
        <v>12141</v>
      </c>
      <c r="BC2" s="87" t="s">
        <v>12140</v>
      </c>
      <c r="BD2" s="87" t="s">
        <v>12141</v>
      </c>
      <c r="BE2" s="87" t="s">
        <v>12140</v>
      </c>
      <c r="BF2" s="87" t="s">
        <v>12141</v>
      </c>
      <c r="BG2" s="87" t="s">
        <v>12140</v>
      </c>
      <c r="BH2" s="87" t="s">
        <v>12141</v>
      </c>
      <c r="BI2" s="87" t="s">
        <v>12140</v>
      </c>
      <c r="BJ2" s="87" t="s">
        <v>12141</v>
      </c>
      <c r="BK2" s="87" t="s">
        <v>12140</v>
      </c>
      <c r="BL2" s="87" t="s">
        <v>12141</v>
      </c>
      <c r="BM2" s="87" t="s">
        <v>12140</v>
      </c>
      <c r="BN2" s="87" t="s">
        <v>12141</v>
      </c>
      <c r="BO2" s="87" t="s">
        <v>12140</v>
      </c>
      <c r="BP2" s="87" t="s">
        <v>12141</v>
      </c>
      <c r="BQ2" s="87" t="s">
        <v>12140</v>
      </c>
      <c r="BR2" s="87" t="s">
        <v>12141</v>
      </c>
      <c r="BS2" s="7"/>
      <c r="BT2" s="53"/>
      <c r="BU2" s="38"/>
      <c r="BV2" s="38"/>
    </row>
    <row r="3" spans="1:74" ht="18" customHeight="1" x14ac:dyDescent="0.3">
      <c r="A3" s="332" t="s">
        <v>242</v>
      </c>
      <c r="B3" s="333"/>
      <c r="C3" s="14">
        <f>SUM(C5:C49)</f>
        <v>1727.5367000000001</v>
      </c>
      <c r="D3" s="14">
        <f>SUM(D5:D49)</f>
        <v>1727.5367000000001</v>
      </c>
      <c r="E3" s="108">
        <f t="shared" ref="E3:AJ3" si="0">SUM(E5:E227)</f>
        <v>0</v>
      </c>
      <c r="F3" s="108">
        <f t="shared" si="0"/>
        <v>0</v>
      </c>
      <c r="G3" s="108">
        <f t="shared" si="0"/>
        <v>0</v>
      </c>
      <c r="H3" s="108">
        <f t="shared" si="0"/>
        <v>0</v>
      </c>
      <c r="I3" s="108">
        <f t="shared" si="0"/>
        <v>0</v>
      </c>
      <c r="J3" s="108">
        <f t="shared" si="0"/>
        <v>0</v>
      </c>
      <c r="K3" s="108">
        <f t="shared" si="0"/>
        <v>0</v>
      </c>
      <c r="L3" s="108">
        <f t="shared" si="0"/>
        <v>0</v>
      </c>
      <c r="M3" s="108">
        <f t="shared" si="0"/>
        <v>0</v>
      </c>
      <c r="N3" s="108">
        <f t="shared" si="0"/>
        <v>0</v>
      </c>
      <c r="O3" s="108">
        <f t="shared" si="0"/>
        <v>0</v>
      </c>
      <c r="P3" s="108">
        <f t="shared" si="0"/>
        <v>0</v>
      </c>
      <c r="Q3" s="108">
        <f t="shared" si="0"/>
        <v>0</v>
      </c>
      <c r="R3" s="108">
        <f t="shared" si="0"/>
        <v>0</v>
      </c>
      <c r="S3" s="108">
        <f t="shared" si="0"/>
        <v>0</v>
      </c>
      <c r="T3" s="108">
        <f t="shared" si="0"/>
        <v>0</v>
      </c>
      <c r="U3" s="108">
        <f t="shared" si="0"/>
        <v>0</v>
      </c>
      <c r="V3" s="108">
        <f t="shared" si="0"/>
        <v>0</v>
      </c>
      <c r="W3" s="108">
        <f t="shared" si="0"/>
        <v>0</v>
      </c>
      <c r="X3" s="108">
        <f t="shared" si="0"/>
        <v>0</v>
      </c>
      <c r="Y3" s="108">
        <f t="shared" si="0"/>
        <v>0</v>
      </c>
      <c r="Z3" s="108">
        <f t="shared" si="0"/>
        <v>0</v>
      </c>
      <c r="AA3" s="108">
        <f t="shared" si="0"/>
        <v>0</v>
      </c>
      <c r="AB3" s="108">
        <f t="shared" si="0"/>
        <v>0</v>
      </c>
      <c r="AC3" s="108">
        <f t="shared" si="0"/>
        <v>0</v>
      </c>
      <c r="AD3" s="108">
        <f t="shared" si="0"/>
        <v>0</v>
      </c>
      <c r="AE3" s="108">
        <f t="shared" si="0"/>
        <v>0</v>
      </c>
      <c r="AF3" s="108">
        <f t="shared" si="0"/>
        <v>0</v>
      </c>
      <c r="AG3" s="108">
        <f t="shared" si="0"/>
        <v>0</v>
      </c>
      <c r="AH3" s="108">
        <f t="shared" si="0"/>
        <v>0</v>
      </c>
      <c r="AI3" s="108">
        <f t="shared" si="0"/>
        <v>0</v>
      </c>
      <c r="AJ3" s="108">
        <f t="shared" si="0"/>
        <v>0</v>
      </c>
      <c r="AK3" s="108">
        <f t="shared" ref="AK3:BP3" si="1">SUM(AK5:AK227)</f>
        <v>0</v>
      </c>
      <c r="AL3" s="108">
        <f t="shared" si="1"/>
        <v>0</v>
      </c>
      <c r="AM3" s="108">
        <f t="shared" si="1"/>
        <v>0</v>
      </c>
      <c r="AN3" s="108">
        <f t="shared" si="1"/>
        <v>0</v>
      </c>
      <c r="AO3" s="108">
        <f t="shared" si="1"/>
        <v>0</v>
      </c>
      <c r="AP3" s="108">
        <f t="shared" si="1"/>
        <v>0</v>
      </c>
      <c r="AQ3" s="108">
        <f t="shared" si="1"/>
        <v>0</v>
      </c>
      <c r="AR3" s="108">
        <f t="shared" si="1"/>
        <v>0</v>
      </c>
      <c r="AS3" s="108">
        <f t="shared" si="1"/>
        <v>0</v>
      </c>
      <c r="AT3" s="108">
        <f t="shared" si="1"/>
        <v>0</v>
      </c>
      <c r="AU3" s="108">
        <f t="shared" si="1"/>
        <v>0</v>
      </c>
      <c r="AV3" s="108">
        <f t="shared" si="1"/>
        <v>0</v>
      </c>
      <c r="AW3" s="108">
        <f t="shared" si="1"/>
        <v>0</v>
      </c>
      <c r="AX3" s="108">
        <f t="shared" si="1"/>
        <v>0</v>
      </c>
      <c r="AY3" s="108">
        <f t="shared" si="1"/>
        <v>0</v>
      </c>
      <c r="AZ3" s="108">
        <f t="shared" si="1"/>
        <v>0</v>
      </c>
      <c r="BA3" s="108">
        <f t="shared" si="1"/>
        <v>0</v>
      </c>
      <c r="BB3" s="108">
        <f t="shared" si="1"/>
        <v>0</v>
      </c>
      <c r="BC3" s="108">
        <f t="shared" si="1"/>
        <v>0</v>
      </c>
      <c r="BD3" s="108">
        <f t="shared" si="1"/>
        <v>0</v>
      </c>
      <c r="BE3" s="108">
        <f t="shared" si="1"/>
        <v>0</v>
      </c>
      <c r="BF3" s="108">
        <f t="shared" si="1"/>
        <v>0</v>
      </c>
      <c r="BG3" s="108">
        <f t="shared" si="1"/>
        <v>0</v>
      </c>
      <c r="BH3" s="108">
        <f t="shared" si="1"/>
        <v>0</v>
      </c>
      <c r="BI3" s="108">
        <f t="shared" si="1"/>
        <v>0</v>
      </c>
      <c r="BJ3" s="108">
        <f t="shared" si="1"/>
        <v>0</v>
      </c>
      <c r="BK3" s="108">
        <f t="shared" si="1"/>
        <v>0</v>
      </c>
      <c r="BL3" s="108">
        <f t="shared" si="1"/>
        <v>0</v>
      </c>
      <c r="BM3" s="108">
        <f t="shared" si="1"/>
        <v>0</v>
      </c>
      <c r="BN3" s="108">
        <f t="shared" si="1"/>
        <v>0</v>
      </c>
      <c r="BO3" s="108">
        <f t="shared" si="1"/>
        <v>0</v>
      </c>
      <c r="BP3" s="108">
        <f t="shared" si="1"/>
        <v>0</v>
      </c>
      <c r="BQ3" s="108">
        <f>+E3+G3+I3+K3+M3+O3+Q3+S3+U3+W3+Y3+AA3+AC3+AE3+AG3+AI3+AK3+AM3+AO3+AQ3+AS3+AU3+AW3+AY3+BA3+BC3+BE3+BG3+BI3+BK3+BM3+BO3</f>
        <v>0</v>
      </c>
      <c r="BR3" s="108">
        <f>+F3+H3+J3+L3+N3+P3+R3+T3+V3+X3+Z3+AB3+AD3+AF3+AH3+AJ3+AL3+AN3+AP3+AR3+AT3+AV3+AX3+AZ3+BB3+BD3+BF3+BH3+BJ3+BL3+BN3+BP3</f>
        <v>0</v>
      </c>
      <c r="BS3" s="14"/>
      <c r="BT3" s="54">
        <v>4220.16</v>
      </c>
      <c r="BU3" s="43"/>
      <c r="BV3" s="39">
        <v>396275160</v>
      </c>
    </row>
    <row r="4" spans="1:74" ht="18" customHeight="1" x14ac:dyDescent="0.3">
      <c r="A4" s="181"/>
      <c r="B4" s="4"/>
      <c r="C4" s="15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108">
        <f>+E4+G4+I4+K4+M4+O4+Q4+S4+U4+W4+Y4+AA4+AC4+AE4+AG4+AI4+AK4+AM4+AO4+AQ4+AS4+AU4+AW4+AY4+BA4+BC4+BE4+BG4+BI4+BK4+BM4+BO4</f>
        <v>0</v>
      </c>
      <c r="BR4" s="108">
        <f t="shared" ref="BR4:BR43" si="2">+F4+H4+J4+L4+N4+P4+R4+T4+V4+X4+Z4+AB4+AD4+AF4+AH4+AJ4+AL4+AN4+AP4+AR4+AT4+AV4+AX4+AZ4+BB4+BD4+BF4+BH4+BJ4+BL4+BN4+BP4</f>
        <v>0</v>
      </c>
      <c r="BS4" s="182"/>
      <c r="BT4" s="55"/>
      <c r="BU4" s="40"/>
      <c r="BV4" s="40"/>
    </row>
    <row r="5" spans="1:74" ht="18" customHeight="1" x14ac:dyDescent="0.3">
      <c r="A5" s="313" t="s">
        <v>238</v>
      </c>
      <c r="B5" s="37">
        <v>3002</v>
      </c>
      <c r="C5" s="18">
        <v>18</v>
      </c>
      <c r="D5" s="11">
        <f>+C5+BQ5-BR5</f>
        <v>18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08">
        <f t="shared" ref="BQ5:BR49" si="3">+E5+G5+I5+K5+M5+O5+Q5+S5+U5+W5+Y5+AA5+AC5+AE5+AG5+AI5+AK5+AM5+AO5+AQ5+AS5+AU5+AW5+AY5+BA5+BC5+BE5+BG5+BI5+BK5+BM5+BO5</f>
        <v>0</v>
      </c>
      <c r="BR5" s="108">
        <f t="shared" si="2"/>
        <v>0</v>
      </c>
      <c r="BS5" s="11">
        <v>1.44</v>
      </c>
      <c r="BT5" s="55">
        <f>+D5*BS5</f>
        <v>25.919999999999998</v>
      </c>
      <c r="BU5" s="44">
        <v>95000</v>
      </c>
      <c r="BV5" s="41">
        <f>+BT5*BU5</f>
        <v>2462400</v>
      </c>
    </row>
    <row r="6" spans="1:74" ht="18" customHeight="1" x14ac:dyDescent="0.3">
      <c r="A6" s="313"/>
      <c r="B6" s="37">
        <v>3003</v>
      </c>
      <c r="C6" s="18">
        <v>15</v>
      </c>
      <c r="D6" s="11">
        <f>+C6+BQ6-BR6</f>
        <v>15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08">
        <f t="shared" si="3"/>
        <v>0</v>
      </c>
      <c r="BR6" s="108">
        <f t="shared" si="2"/>
        <v>0</v>
      </c>
      <c r="BS6" s="11">
        <v>1.44</v>
      </c>
      <c r="BT6" s="55">
        <f t="shared" ref="BT6:BT45" si="4">+D6*BS6</f>
        <v>21.599999999999998</v>
      </c>
      <c r="BU6" s="44">
        <v>95000</v>
      </c>
      <c r="BV6" s="41">
        <f t="shared" ref="BV6:BV45" si="5">+BT6*BU6</f>
        <v>2051999.9999999998</v>
      </c>
    </row>
    <row r="7" spans="1:74" ht="18" customHeight="1" x14ac:dyDescent="0.3">
      <c r="A7" s="313"/>
      <c r="B7" s="37">
        <v>3004</v>
      </c>
      <c r="C7" s="18">
        <v>11</v>
      </c>
      <c r="D7" s="11">
        <f t="shared" ref="D7:D45" si="6">+C7+BQ7-BR7</f>
        <v>11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08">
        <f t="shared" si="3"/>
        <v>0</v>
      </c>
      <c r="BR7" s="108">
        <f t="shared" si="2"/>
        <v>0</v>
      </c>
      <c r="BS7" s="11">
        <v>1.44</v>
      </c>
      <c r="BT7" s="55">
        <f t="shared" si="4"/>
        <v>15.84</v>
      </c>
      <c r="BU7" s="44">
        <v>95000</v>
      </c>
      <c r="BV7" s="41">
        <f t="shared" si="5"/>
        <v>1504800</v>
      </c>
    </row>
    <row r="8" spans="1:74" ht="18" customHeight="1" x14ac:dyDescent="0.3">
      <c r="A8" s="313"/>
      <c r="B8" s="37">
        <v>3005</v>
      </c>
      <c r="C8" s="18">
        <v>9</v>
      </c>
      <c r="D8" s="11">
        <f t="shared" si="6"/>
        <v>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08">
        <f t="shared" si="3"/>
        <v>0</v>
      </c>
      <c r="BR8" s="108">
        <f t="shared" si="2"/>
        <v>0</v>
      </c>
      <c r="BS8" s="11">
        <v>1.44</v>
      </c>
      <c r="BT8" s="55">
        <f t="shared" si="4"/>
        <v>12.959999999999999</v>
      </c>
      <c r="BU8" s="44">
        <v>95000</v>
      </c>
      <c r="BV8" s="41">
        <f t="shared" si="5"/>
        <v>1231200</v>
      </c>
    </row>
    <row r="9" spans="1:74" ht="18" customHeight="1" x14ac:dyDescent="0.3">
      <c r="A9" s="313" t="s">
        <v>12243</v>
      </c>
      <c r="B9" s="34" t="s">
        <v>742</v>
      </c>
      <c r="C9" s="18">
        <v>34</v>
      </c>
      <c r="D9" s="11">
        <f t="shared" si="6"/>
        <v>34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08">
        <f t="shared" si="3"/>
        <v>0</v>
      </c>
      <c r="BR9" s="108">
        <f t="shared" si="2"/>
        <v>0</v>
      </c>
      <c r="BS9" s="11">
        <v>1.5</v>
      </c>
      <c r="BT9" s="55">
        <f t="shared" si="4"/>
        <v>51</v>
      </c>
      <c r="BU9" s="44">
        <v>73000</v>
      </c>
      <c r="BV9" s="41">
        <f t="shared" si="5"/>
        <v>3723000</v>
      </c>
    </row>
    <row r="10" spans="1:74" ht="18" customHeight="1" x14ac:dyDescent="0.3">
      <c r="A10" s="313"/>
      <c r="B10" s="34" t="s">
        <v>743</v>
      </c>
      <c r="C10" s="18">
        <v>5</v>
      </c>
      <c r="D10" s="11">
        <f t="shared" si="6"/>
        <v>5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08">
        <f t="shared" si="3"/>
        <v>0</v>
      </c>
      <c r="BR10" s="108">
        <f t="shared" si="2"/>
        <v>0</v>
      </c>
      <c r="BS10" s="11">
        <v>1.5</v>
      </c>
      <c r="BT10" s="55">
        <f t="shared" si="4"/>
        <v>7.5</v>
      </c>
      <c r="BU10" s="44">
        <v>73000</v>
      </c>
      <c r="BV10" s="41">
        <f t="shared" si="5"/>
        <v>547500</v>
      </c>
    </row>
    <row r="11" spans="1:74" ht="18" customHeight="1" x14ac:dyDescent="0.3">
      <c r="A11" s="313"/>
      <c r="B11" s="34" t="s">
        <v>746</v>
      </c>
      <c r="C11" s="18">
        <v>27</v>
      </c>
      <c r="D11" s="11">
        <f t="shared" si="6"/>
        <v>27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08">
        <f t="shared" si="3"/>
        <v>0</v>
      </c>
      <c r="BR11" s="108">
        <f t="shared" si="2"/>
        <v>0</v>
      </c>
      <c r="BS11" s="11">
        <v>1.5</v>
      </c>
      <c r="BT11" s="55">
        <f t="shared" si="4"/>
        <v>40.5</v>
      </c>
      <c r="BU11" s="44">
        <v>73000</v>
      </c>
      <c r="BV11" s="41">
        <f t="shared" si="5"/>
        <v>2956500</v>
      </c>
    </row>
    <row r="12" spans="1:74" ht="18" customHeight="1" x14ac:dyDescent="0.3">
      <c r="A12" s="313"/>
      <c r="B12" s="34" t="s">
        <v>747</v>
      </c>
      <c r="C12" s="18">
        <v>62</v>
      </c>
      <c r="D12" s="11">
        <f t="shared" si="6"/>
        <v>62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08">
        <f t="shared" si="3"/>
        <v>0</v>
      </c>
      <c r="BR12" s="108">
        <f t="shared" si="2"/>
        <v>0</v>
      </c>
      <c r="BS12" s="11">
        <v>1.5</v>
      </c>
      <c r="BT12" s="55">
        <f t="shared" si="4"/>
        <v>93</v>
      </c>
      <c r="BU12" s="44">
        <v>73000</v>
      </c>
      <c r="BV12" s="41">
        <f t="shared" si="5"/>
        <v>6789000</v>
      </c>
    </row>
    <row r="13" spans="1:74" ht="18" customHeight="1" x14ac:dyDescent="0.3">
      <c r="A13" s="313" t="s">
        <v>12244</v>
      </c>
      <c r="B13" s="21" t="s">
        <v>749</v>
      </c>
      <c r="C13" s="18">
        <v>4</v>
      </c>
      <c r="D13" s="11">
        <f t="shared" si="6"/>
        <v>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08">
        <f t="shared" si="3"/>
        <v>0</v>
      </c>
      <c r="BR13" s="108">
        <f t="shared" si="2"/>
        <v>0</v>
      </c>
      <c r="BS13" s="11">
        <v>1.92</v>
      </c>
      <c r="BT13" s="55">
        <f t="shared" si="4"/>
        <v>7.68</v>
      </c>
      <c r="BU13" s="44">
        <v>95000</v>
      </c>
      <c r="BV13" s="41">
        <f t="shared" si="5"/>
        <v>729600</v>
      </c>
    </row>
    <row r="14" spans="1:74" ht="18" customHeight="1" x14ac:dyDescent="0.3">
      <c r="A14" s="313"/>
      <c r="B14" s="37" t="s">
        <v>789</v>
      </c>
      <c r="C14" s="18">
        <v>39</v>
      </c>
      <c r="D14" s="11">
        <f t="shared" si="6"/>
        <v>39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08">
        <f t="shared" si="3"/>
        <v>0</v>
      </c>
      <c r="BR14" s="108">
        <f t="shared" si="2"/>
        <v>0</v>
      </c>
      <c r="BS14" s="11">
        <v>1.92</v>
      </c>
      <c r="BT14" s="55">
        <f t="shared" si="4"/>
        <v>74.88</v>
      </c>
      <c r="BU14" s="44">
        <v>95000</v>
      </c>
      <c r="BV14" s="41">
        <f t="shared" si="5"/>
        <v>7113600</v>
      </c>
    </row>
    <row r="15" spans="1:74" ht="18" customHeight="1" x14ac:dyDescent="0.3">
      <c r="A15" s="313"/>
      <c r="B15" s="21" t="s">
        <v>750</v>
      </c>
      <c r="C15" s="18">
        <v>17</v>
      </c>
      <c r="D15" s="11">
        <f t="shared" si="6"/>
        <v>17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08">
        <f t="shared" si="3"/>
        <v>0</v>
      </c>
      <c r="BR15" s="108">
        <f t="shared" si="2"/>
        <v>0</v>
      </c>
      <c r="BS15" s="11">
        <v>1.44</v>
      </c>
      <c r="BT15" s="55">
        <f t="shared" si="4"/>
        <v>24.48</v>
      </c>
      <c r="BU15" s="44">
        <v>95000</v>
      </c>
      <c r="BV15" s="41">
        <f t="shared" si="5"/>
        <v>2325600</v>
      </c>
    </row>
    <row r="16" spans="1:74" ht="18" customHeight="1" x14ac:dyDescent="0.3">
      <c r="A16" s="313"/>
      <c r="B16" s="21" t="s">
        <v>751</v>
      </c>
      <c r="C16" s="18">
        <v>6</v>
      </c>
      <c r="D16" s="11">
        <f t="shared" si="6"/>
        <v>6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08">
        <f t="shared" si="3"/>
        <v>0</v>
      </c>
      <c r="BR16" s="108">
        <f t="shared" si="2"/>
        <v>0</v>
      </c>
      <c r="BS16" s="11">
        <v>1.92</v>
      </c>
      <c r="BT16" s="55">
        <f t="shared" si="4"/>
        <v>11.52</v>
      </c>
      <c r="BU16" s="44">
        <v>95000</v>
      </c>
      <c r="BV16" s="41">
        <f t="shared" si="5"/>
        <v>1094400</v>
      </c>
    </row>
    <row r="17" spans="1:74" ht="18" customHeight="1" x14ac:dyDescent="0.3">
      <c r="A17" s="313" t="s">
        <v>12248</v>
      </c>
      <c r="B17" s="34">
        <v>632.005</v>
      </c>
      <c r="C17" s="18">
        <v>60</v>
      </c>
      <c r="D17" s="11">
        <f t="shared" si="6"/>
        <v>60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08">
        <f t="shared" si="3"/>
        <v>0</v>
      </c>
      <c r="BR17" s="108">
        <f t="shared" si="2"/>
        <v>0</v>
      </c>
      <c r="BS17" s="11">
        <v>1.44</v>
      </c>
      <c r="BT17" s="55">
        <f t="shared" si="4"/>
        <v>86.399999999999991</v>
      </c>
      <c r="BU17" s="44">
        <v>93000</v>
      </c>
      <c r="BV17" s="41">
        <f t="shared" si="5"/>
        <v>8035199.9999999991</v>
      </c>
    </row>
    <row r="18" spans="1:74" ht="18" customHeight="1" x14ac:dyDescent="0.3">
      <c r="A18" s="313"/>
      <c r="B18" s="34" t="s">
        <v>755</v>
      </c>
      <c r="C18" s="18">
        <v>21</v>
      </c>
      <c r="D18" s="11">
        <f t="shared" si="6"/>
        <v>21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08">
        <f t="shared" si="3"/>
        <v>0</v>
      </c>
      <c r="BR18" s="108">
        <f t="shared" si="2"/>
        <v>0</v>
      </c>
      <c r="BS18" s="11">
        <v>1.44</v>
      </c>
      <c r="BT18" s="55">
        <f t="shared" si="4"/>
        <v>30.24</v>
      </c>
      <c r="BU18" s="44">
        <v>93000</v>
      </c>
      <c r="BV18" s="41">
        <f t="shared" si="5"/>
        <v>2812320</v>
      </c>
    </row>
    <row r="19" spans="1:74" ht="18" customHeight="1" x14ac:dyDescent="0.3">
      <c r="A19" s="313"/>
      <c r="B19" s="34" t="s">
        <v>756</v>
      </c>
      <c r="C19" s="18">
        <v>8</v>
      </c>
      <c r="D19" s="11">
        <f t="shared" si="6"/>
        <v>8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08">
        <f t="shared" si="3"/>
        <v>0</v>
      </c>
      <c r="BR19" s="108">
        <f t="shared" si="2"/>
        <v>0</v>
      </c>
      <c r="BS19" s="11">
        <v>1.44</v>
      </c>
      <c r="BT19" s="55">
        <f t="shared" si="4"/>
        <v>11.52</v>
      </c>
      <c r="BU19" s="44">
        <v>93000</v>
      </c>
      <c r="BV19" s="41">
        <f t="shared" si="5"/>
        <v>1071360</v>
      </c>
    </row>
    <row r="20" spans="1:74" ht="18" customHeight="1" x14ac:dyDescent="0.3">
      <c r="A20" s="313"/>
      <c r="B20" s="34" t="s">
        <v>757</v>
      </c>
      <c r="C20" s="18">
        <v>164</v>
      </c>
      <c r="D20" s="11">
        <f t="shared" si="6"/>
        <v>164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08">
        <f t="shared" si="3"/>
        <v>0</v>
      </c>
      <c r="BR20" s="108">
        <f t="shared" si="2"/>
        <v>0</v>
      </c>
      <c r="BS20" s="11">
        <v>1.44</v>
      </c>
      <c r="BT20" s="55">
        <f t="shared" si="4"/>
        <v>236.16</v>
      </c>
      <c r="BU20" s="44">
        <v>93000</v>
      </c>
      <c r="BV20" s="41">
        <f t="shared" si="5"/>
        <v>21962880</v>
      </c>
    </row>
    <row r="21" spans="1:74" ht="18" customHeight="1" x14ac:dyDescent="0.3">
      <c r="A21" s="313"/>
      <c r="B21" s="34" t="s">
        <v>758</v>
      </c>
      <c r="C21" s="18">
        <v>203</v>
      </c>
      <c r="D21" s="11">
        <f t="shared" si="6"/>
        <v>203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08">
        <f t="shared" si="3"/>
        <v>0</v>
      </c>
      <c r="BR21" s="108">
        <f t="shared" si="2"/>
        <v>0</v>
      </c>
      <c r="BS21" s="11">
        <v>1.44</v>
      </c>
      <c r="BT21" s="55">
        <f t="shared" si="4"/>
        <v>292.32</v>
      </c>
      <c r="BU21" s="44">
        <v>93000</v>
      </c>
      <c r="BV21" s="41">
        <f t="shared" si="5"/>
        <v>27185760</v>
      </c>
    </row>
    <row r="22" spans="1:74" ht="18" customHeight="1" x14ac:dyDescent="0.3">
      <c r="A22" s="313"/>
      <c r="B22" s="34" t="s">
        <v>759</v>
      </c>
      <c r="C22" s="18">
        <v>190</v>
      </c>
      <c r="D22" s="11">
        <f t="shared" si="6"/>
        <v>190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08">
        <f t="shared" si="3"/>
        <v>0</v>
      </c>
      <c r="BR22" s="108">
        <f t="shared" si="2"/>
        <v>0</v>
      </c>
      <c r="BS22" s="11">
        <v>1.44</v>
      </c>
      <c r="BT22" s="55">
        <f t="shared" si="4"/>
        <v>273.59999999999997</v>
      </c>
      <c r="BU22" s="44">
        <v>93000</v>
      </c>
      <c r="BV22" s="41">
        <f t="shared" si="5"/>
        <v>25444799.999999996</v>
      </c>
    </row>
    <row r="23" spans="1:74" ht="18" customHeight="1" x14ac:dyDescent="0.3">
      <c r="A23" s="313"/>
      <c r="B23" s="34" t="s">
        <v>760</v>
      </c>
      <c r="C23" s="18">
        <v>42</v>
      </c>
      <c r="D23" s="11">
        <f t="shared" si="6"/>
        <v>42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08">
        <f t="shared" si="3"/>
        <v>0</v>
      </c>
      <c r="BR23" s="108">
        <f t="shared" si="2"/>
        <v>0</v>
      </c>
      <c r="BS23" s="11">
        <v>1.44</v>
      </c>
      <c r="BT23" s="55">
        <f t="shared" si="4"/>
        <v>60.48</v>
      </c>
      <c r="BU23" s="44">
        <v>93000</v>
      </c>
      <c r="BV23" s="41">
        <f t="shared" si="5"/>
        <v>5624640</v>
      </c>
    </row>
    <row r="24" spans="1:74" ht="18" customHeight="1" x14ac:dyDescent="0.3">
      <c r="A24" s="313" t="s">
        <v>263</v>
      </c>
      <c r="B24" s="34" t="s">
        <v>761</v>
      </c>
      <c r="C24" s="18">
        <v>7</v>
      </c>
      <c r="D24" s="11">
        <f t="shared" si="6"/>
        <v>7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08">
        <f t="shared" si="3"/>
        <v>0</v>
      </c>
      <c r="BR24" s="108">
        <f t="shared" si="2"/>
        <v>0</v>
      </c>
      <c r="BS24" s="11">
        <v>1.92</v>
      </c>
      <c r="BT24" s="55">
        <f t="shared" si="4"/>
        <v>13.44</v>
      </c>
      <c r="BU24" s="41">
        <v>108000</v>
      </c>
      <c r="BV24" s="41">
        <f t="shared" si="5"/>
        <v>1451520</v>
      </c>
    </row>
    <row r="25" spans="1:74" ht="18" customHeight="1" x14ac:dyDescent="0.3">
      <c r="A25" s="313"/>
      <c r="B25" s="34" t="s">
        <v>2250</v>
      </c>
      <c r="C25" s="18">
        <v>2</v>
      </c>
      <c r="D25" s="11">
        <f t="shared" si="6"/>
        <v>2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08">
        <f t="shared" si="3"/>
        <v>0</v>
      </c>
      <c r="BR25" s="108">
        <f t="shared" si="2"/>
        <v>0</v>
      </c>
      <c r="BS25" s="11">
        <v>1.92</v>
      </c>
      <c r="BT25" s="55">
        <f t="shared" si="4"/>
        <v>3.84</v>
      </c>
      <c r="BU25" s="41">
        <v>118000</v>
      </c>
      <c r="BV25" s="41">
        <f t="shared" si="5"/>
        <v>453120</v>
      </c>
    </row>
    <row r="26" spans="1:74" ht="18" customHeight="1" x14ac:dyDescent="0.3">
      <c r="A26" s="313"/>
      <c r="B26" s="34" t="s">
        <v>762</v>
      </c>
      <c r="C26" s="18">
        <v>6</v>
      </c>
      <c r="D26" s="11">
        <f t="shared" si="6"/>
        <v>6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08">
        <f t="shared" si="3"/>
        <v>0</v>
      </c>
      <c r="BR26" s="108">
        <f t="shared" si="2"/>
        <v>0</v>
      </c>
      <c r="BS26" s="11">
        <v>1.92</v>
      </c>
      <c r="BT26" s="55">
        <f t="shared" si="4"/>
        <v>11.52</v>
      </c>
      <c r="BU26" s="41">
        <v>108000</v>
      </c>
      <c r="BV26" s="41">
        <f t="shared" si="5"/>
        <v>1244160</v>
      </c>
    </row>
    <row r="27" spans="1:74" ht="18" customHeight="1" x14ac:dyDescent="0.3">
      <c r="A27" s="313"/>
      <c r="B27" s="34" t="s">
        <v>2249</v>
      </c>
      <c r="C27" s="18">
        <v>45</v>
      </c>
      <c r="D27" s="11">
        <f t="shared" si="6"/>
        <v>45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08">
        <f t="shared" si="3"/>
        <v>0</v>
      </c>
      <c r="BR27" s="108">
        <f t="shared" si="2"/>
        <v>0</v>
      </c>
      <c r="BS27" s="11">
        <v>1.92</v>
      </c>
      <c r="BT27" s="55">
        <f t="shared" si="4"/>
        <v>86.399999999999991</v>
      </c>
      <c r="BU27" s="41">
        <v>118000</v>
      </c>
      <c r="BV27" s="41">
        <f t="shared" si="5"/>
        <v>10195199.999999998</v>
      </c>
    </row>
    <row r="28" spans="1:74" ht="18" customHeight="1" x14ac:dyDescent="0.3">
      <c r="A28" s="313"/>
      <c r="B28" s="34" t="s">
        <v>763</v>
      </c>
      <c r="C28" s="18">
        <v>39</v>
      </c>
      <c r="D28" s="11">
        <f t="shared" si="6"/>
        <v>39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08">
        <f t="shared" si="3"/>
        <v>0</v>
      </c>
      <c r="BR28" s="108">
        <f t="shared" si="2"/>
        <v>0</v>
      </c>
      <c r="BS28" s="11">
        <v>1.92</v>
      </c>
      <c r="BT28" s="55">
        <f t="shared" si="4"/>
        <v>74.88</v>
      </c>
      <c r="BU28" s="40">
        <v>108000</v>
      </c>
      <c r="BV28" s="41">
        <f t="shared" si="5"/>
        <v>8087039.9999999991</v>
      </c>
    </row>
    <row r="29" spans="1:74" ht="18" customHeight="1" x14ac:dyDescent="0.3">
      <c r="A29" s="313"/>
      <c r="B29" s="34" t="s">
        <v>765</v>
      </c>
      <c r="C29" s="18">
        <v>5</v>
      </c>
      <c r="D29" s="11">
        <f t="shared" si="6"/>
        <v>5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08">
        <f t="shared" si="3"/>
        <v>0</v>
      </c>
      <c r="BR29" s="108">
        <f t="shared" si="2"/>
        <v>0</v>
      </c>
      <c r="BS29" s="11">
        <v>1.92</v>
      </c>
      <c r="BT29" s="55">
        <f t="shared" si="4"/>
        <v>9.6</v>
      </c>
      <c r="BU29" s="40">
        <v>93000</v>
      </c>
      <c r="BV29" s="41">
        <f t="shared" si="5"/>
        <v>892800</v>
      </c>
    </row>
    <row r="30" spans="1:74" ht="18" customHeight="1" x14ac:dyDescent="0.3">
      <c r="A30" s="313"/>
      <c r="B30" s="34" t="s">
        <v>764</v>
      </c>
      <c r="C30" s="18">
        <v>6</v>
      </c>
      <c r="D30" s="11">
        <f t="shared" si="6"/>
        <v>6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08">
        <f t="shared" si="3"/>
        <v>0</v>
      </c>
      <c r="BR30" s="108">
        <f t="shared" si="2"/>
        <v>0</v>
      </c>
      <c r="BS30" s="11">
        <v>1.92</v>
      </c>
      <c r="BT30" s="55">
        <f t="shared" si="4"/>
        <v>11.52</v>
      </c>
      <c r="BU30" s="41">
        <v>108000</v>
      </c>
      <c r="BV30" s="41">
        <f t="shared" si="5"/>
        <v>1244160</v>
      </c>
    </row>
    <row r="31" spans="1:74" ht="18" customHeight="1" x14ac:dyDescent="0.3">
      <c r="A31" s="313"/>
      <c r="B31" s="34" t="s">
        <v>2247</v>
      </c>
      <c r="C31" s="18">
        <v>12</v>
      </c>
      <c r="D31" s="11">
        <f t="shared" si="6"/>
        <v>12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08">
        <f t="shared" si="3"/>
        <v>0</v>
      </c>
      <c r="BR31" s="108">
        <f t="shared" si="2"/>
        <v>0</v>
      </c>
      <c r="BS31" s="11">
        <v>1.92</v>
      </c>
      <c r="BT31" s="55">
        <f t="shared" si="4"/>
        <v>23.04</v>
      </c>
      <c r="BU31" s="41">
        <v>118000</v>
      </c>
      <c r="BV31" s="41">
        <f t="shared" si="5"/>
        <v>2718720</v>
      </c>
    </row>
    <row r="32" spans="1:74" ht="18" customHeight="1" x14ac:dyDescent="0.3">
      <c r="A32" s="313"/>
      <c r="B32" s="34" t="s">
        <v>767</v>
      </c>
      <c r="C32" s="18">
        <v>6</v>
      </c>
      <c r="D32" s="11">
        <f t="shared" si="6"/>
        <v>6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08">
        <f t="shared" si="3"/>
        <v>0</v>
      </c>
      <c r="BR32" s="108">
        <f t="shared" si="2"/>
        <v>0</v>
      </c>
      <c r="BS32" s="11">
        <v>1.92</v>
      </c>
      <c r="BT32" s="55">
        <f t="shared" si="4"/>
        <v>11.52</v>
      </c>
      <c r="BU32" s="41">
        <v>108000</v>
      </c>
      <c r="BV32" s="41">
        <f t="shared" si="5"/>
        <v>1244160</v>
      </c>
    </row>
    <row r="33" spans="1:74" ht="18" customHeight="1" x14ac:dyDescent="0.3">
      <c r="A33" s="313"/>
      <c r="B33" s="34" t="s">
        <v>2248</v>
      </c>
      <c r="C33" s="18">
        <v>7</v>
      </c>
      <c r="D33" s="11">
        <f t="shared" si="6"/>
        <v>7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08">
        <f t="shared" si="3"/>
        <v>0</v>
      </c>
      <c r="BR33" s="108">
        <f t="shared" si="2"/>
        <v>0</v>
      </c>
      <c r="BS33" s="11">
        <v>1.92</v>
      </c>
      <c r="BT33" s="55">
        <f t="shared" si="4"/>
        <v>13.44</v>
      </c>
      <c r="BU33" s="41">
        <v>118000</v>
      </c>
      <c r="BV33" s="41">
        <f t="shared" si="5"/>
        <v>1585920</v>
      </c>
    </row>
    <row r="34" spans="1:74" ht="18" customHeight="1" x14ac:dyDescent="0.3">
      <c r="A34" s="313"/>
      <c r="B34" s="34" t="s">
        <v>768</v>
      </c>
      <c r="C34" s="18">
        <v>21</v>
      </c>
      <c r="D34" s="11">
        <f t="shared" si="6"/>
        <v>21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08">
        <f t="shared" si="3"/>
        <v>0</v>
      </c>
      <c r="BR34" s="108">
        <f t="shared" si="2"/>
        <v>0</v>
      </c>
      <c r="BS34" s="11">
        <v>1.92</v>
      </c>
      <c r="BT34" s="55">
        <f t="shared" si="4"/>
        <v>40.32</v>
      </c>
      <c r="BU34" s="40">
        <v>108000</v>
      </c>
      <c r="BV34" s="41">
        <f t="shared" si="5"/>
        <v>4354560</v>
      </c>
    </row>
    <row r="35" spans="1:74" ht="18" customHeight="1" x14ac:dyDescent="0.3">
      <c r="A35" s="313" t="s">
        <v>259</v>
      </c>
      <c r="B35" s="34" t="s">
        <v>769</v>
      </c>
      <c r="C35" s="18">
        <v>48.036700000000003</v>
      </c>
      <c r="D35" s="18">
        <f t="shared" si="6"/>
        <v>48.036700000000003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08">
        <f t="shared" si="3"/>
        <v>0</v>
      </c>
      <c r="BR35" s="108">
        <f t="shared" si="2"/>
        <v>0</v>
      </c>
      <c r="BS35" s="11">
        <v>1.92</v>
      </c>
      <c r="BT35" s="55">
        <f t="shared" si="4"/>
        <v>92.230463999999998</v>
      </c>
      <c r="BU35" s="41">
        <v>108000</v>
      </c>
      <c r="BV35" s="41">
        <f t="shared" si="5"/>
        <v>9960890.1119999997</v>
      </c>
    </row>
    <row r="36" spans="1:74" ht="18" customHeight="1" x14ac:dyDescent="0.3">
      <c r="A36" s="313"/>
      <c r="B36" s="34" t="s">
        <v>770</v>
      </c>
      <c r="C36" s="18">
        <v>58</v>
      </c>
      <c r="D36" s="11">
        <f t="shared" si="6"/>
        <v>58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08">
        <f t="shared" si="3"/>
        <v>0</v>
      </c>
      <c r="BR36" s="108">
        <f t="shared" si="2"/>
        <v>0</v>
      </c>
      <c r="BS36" s="11">
        <v>1.92</v>
      </c>
      <c r="BT36" s="55">
        <f t="shared" si="4"/>
        <v>111.36</v>
      </c>
      <c r="BU36" s="41">
        <v>108000</v>
      </c>
      <c r="BV36" s="41">
        <f t="shared" si="5"/>
        <v>12026880</v>
      </c>
    </row>
    <row r="37" spans="1:74" ht="18" customHeight="1" x14ac:dyDescent="0.3">
      <c r="A37" s="313"/>
      <c r="B37" s="34" t="s">
        <v>771</v>
      </c>
      <c r="C37" s="18">
        <v>33</v>
      </c>
      <c r="D37" s="11">
        <f t="shared" si="6"/>
        <v>33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08">
        <f t="shared" si="3"/>
        <v>0</v>
      </c>
      <c r="BR37" s="108">
        <f t="shared" si="2"/>
        <v>0</v>
      </c>
      <c r="BS37" s="11">
        <v>1.92</v>
      </c>
      <c r="BT37" s="55">
        <f t="shared" si="4"/>
        <v>63.36</v>
      </c>
      <c r="BU37" s="41">
        <v>108000</v>
      </c>
      <c r="BV37" s="41">
        <f t="shared" si="5"/>
        <v>6842880</v>
      </c>
    </row>
    <row r="38" spans="1:74" ht="18" customHeight="1" x14ac:dyDescent="0.3">
      <c r="A38" s="313"/>
      <c r="B38" s="34" t="s">
        <v>772</v>
      </c>
      <c r="C38" s="18">
        <v>59</v>
      </c>
      <c r="D38" s="11">
        <f t="shared" si="6"/>
        <v>59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08">
        <f t="shared" si="3"/>
        <v>0</v>
      </c>
      <c r="BR38" s="108">
        <f t="shared" si="2"/>
        <v>0</v>
      </c>
      <c r="BS38" s="11">
        <v>1.92</v>
      </c>
      <c r="BT38" s="55">
        <f t="shared" si="4"/>
        <v>113.28</v>
      </c>
      <c r="BU38" s="41">
        <v>108000</v>
      </c>
      <c r="BV38" s="41">
        <f t="shared" si="5"/>
        <v>12234240</v>
      </c>
    </row>
    <row r="39" spans="1:74" ht="18" customHeight="1" x14ac:dyDescent="0.3">
      <c r="A39" s="313"/>
      <c r="B39" s="34" t="s">
        <v>773</v>
      </c>
      <c r="C39" s="18">
        <v>121</v>
      </c>
      <c r="D39" s="11">
        <f t="shared" si="6"/>
        <v>121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08">
        <f t="shared" si="3"/>
        <v>0</v>
      </c>
      <c r="BR39" s="108">
        <f t="shared" si="2"/>
        <v>0</v>
      </c>
      <c r="BS39" s="11">
        <v>1.92</v>
      </c>
      <c r="BT39" s="55">
        <f t="shared" si="4"/>
        <v>232.32</v>
      </c>
      <c r="BU39" s="41">
        <v>108000</v>
      </c>
      <c r="BV39" s="41">
        <f t="shared" si="5"/>
        <v>25090560</v>
      </c>
    </row>
    <row r="40" spans="1:74" ht="18" customHeight="1" x14ac:dyDescent="0.3">
      <c r="A40" s="313"/>
      <c r="B40" s="34" t="s">
        <v>775</v>
      </c>
      <c r="C40" s="18">
        <v>65</v>
      </c>
      <c r="D40" s="11">
        <f t="shared" si="6"/>
        <v>65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08">
        <f t="shared" si="3"/>
        <v>0</v>
      </c>
      <c r="BR40" s="108">
        <f t="shared" si="2"/>
        <v>0</v>
      </c>
      <c r="BS40" s="11">
        <v>1.92</v>
      </c>
      <c r="BT40" s="55">
        <f t="shared" si="4"/>
        <v>124.8</v>
      </c>
      <c r="BU40" s="41">
        <v>108000</v>
      </c>
      <c r="BV40" s="41">
        <f t="shared" si="5"/>
        <v>13478400</v>
      </c>
    </row>
    <row r="41" spans="1:74" ht="18" customHeight="1" x14ac:dyDescent="0.3">
      <c r="A41" s="313"/>
      <c r="B41" s="34" t="s">
        <v>776</v>
      </c>
      <c r="C41" s="18">
        <v>30</v>
      </c>
      <c r="D41" s="11">
        <f t="shared" si="6"/>
        <v>30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08">
        <f t="shared" si="3"/>
        <v>0</v>
      </c>
      <c r="BR41" s="108">
        <f t="shared" si="2"/>
        <v>0</v>
      </c>
      <c r="BS41" s="11">
        <v>1.92</v>
      </c>
      <c r="BT41" s="55">
        <f t="shared" si="4"/>
        <v>57.599999999999994</v>
      </c>
      <c r="BU41" s="41">
        <v>108000</v>
      </c>
      <c r="BV41" s="41">
        <f t="shared" si="5"/>
        <v>6220799.9999999991</v>
      </c>
    </row>
    <row r="42" spans="1:74" ht="18" customHeight="1" x14ac:dyDescent="0.3">
      <c r="A42" s="313" t="s">
        <v>788</v>
      </c>
      <c r="B42" s="34" t="s">
        <v>777</v>
      </c>
      <c r="C42" s="18">
        <v>18</v>
      </c>
      <c r="D42" s="11">
        <f t="shared" si="6"/>
        <v>18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08">
        <f t="shared" si="3"/>
        <v>0</v>
      </c>
      <c r="BR42" s="108">
        <f t="shared" si="2"/>
        <v>0</v>
      </c>
      <c r="BS42" s="11">
        <v>1.44</v>
      </c>
      <c r="BT42" s="55">
        <f t="shared" si="4"/>
        <v>25.919999999999998</v>
      </c>
      <c r="BU42" s="40">
        <v>75000</v>
      </c>
      <c r="BV42" s="41">
        <f t="shared" si="5"/>
        <v>1943999.9999999998</v>
      </c>
    </row>
    <row r="43" spans="1:74" ht="18" customHeight="1" x14ac:dyDescent="0.3">
      <c r="A43" s="313"/>
      <c r="B43" s="34" t="s">
        <v>784</v>
      </c>
      <c r="C43" s="18">
        <v>41</v>
      </c>
      <c r="D43" s="11">
        <f t="shared" si="6"/>
        <v>41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08">
        <f t="shared" si="3"/>
        <v>0</v>
      </c>
      <c r="BR43" s="108">
        <f t="shared" si="2"/>
        <v>0</v>
      </c>
      <c r="BS43" s="11">
        <v>1.44</v>
      </c>
      <c r="BT43" s="55">
        <f t="shared" si="4"/>
        <v>59.04</v>
      </c>
      <c r="BU43" s="40">
        <v>80000</v>
      </c>
      <c r="BV43" s="41">
        <f t="shared" si="5"/>
        <v>4723200</v>
      </c>
    </row>
    <row r="44" spans="1:74" ht="18" customHeight="1" x14ac:dyDescent="0.3">
      <c r="A44" s="313"/>
      <c r="B44" s="34" t="s">
        <v>703</v>
      </c>
      <c r="C44" s="18">
        <v>33</v>
      </c>
      <c r="D44" s="11">
        <f t="shared" si="6"/>
        <v>33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08">
        <f t="shared" si="3"/>
        <v>0</v>
      </c>
      <c r="BR44" s="108">
        <f t="shared" si="3"/>
        <v>0</v>
      </c>
      <c r="BS44" s="11">
        <v>1.44</v>
      </c>
      <c r="BT44" s="55">
        <f t="shared" si="4"/>
        <v>47.519999999999996</v>
      </c>
      <c r="BU44" s="40">
        <v>75000</v>
      </c>
      <c r="BV44" s="41">
        <f t="shared" si="5"/>
        <v>3563999.9999999995</v>
      </c>
    </row>
    <row r="45" spans="1:74" ht="18" customHeight="1" x14ac:dyDescent="0.3">
      <c r="A45" s="313"/>
      <c r="B45" s="34" t="s">
        <v>785</v>
      </c>
      <c r="C45" s="18">
        <v>6</v>
      </c>
      <c r="D45" s="11">
        <f t="shared" si="6"/>
        <v>6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08">
        <f t="shared" si="3"/>
        <v>0</v>
      </c>
      <c r="BR45" s="108">
        <f t="shared" si="3"/>
        <v>0</v>
      </c>
      <c r="BS45" s="11">
        <v>1.44</v>
      </c>
      <c r="BT45" s="55">
        <f t="shared" si="4"/>
        <v>8.64</v>
      </c>
      <c r="BU45" s="40">
        <v>80000</v>
      </c>
      <c r="BV45" s="41">
        <f t="shared" si="5"/>
        <v>691200</v>
      </c>
    </row>
    <row r="46" spans="1:74" ht="18" customHeight="1" x14ac:dyDescent="0.3">
      <c r="A46" s="313"/>
      <c r="B46" s="34" t="s">
        <v>779</v>
      </c>
      <c r="C46" s="18">
        <v>66</v>
      </c>
      <c r="D46" s="11">
        <f t="shared" ref="D46:D49" si="7">+C46+BQ46-BR46</f>
        <v>66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08">
        <f t="shared" si="3"/>
        <v>0</v>
      </c>
      <c r="BR46" s="108">
        <f t="shared" si="3"/>
        <v>0</v>
      </c>
      <c r="BS46" s="11">
        <v>1.44</v>
      </c>
      <c r="BT46" s="55">
        <f t="shared" ref="BT46:BT49" si="8">+D46*BS46</f>
        <v>95.039999999999992</v>
      </c>
      <c r="BU46" s="40">
        <v>75000</v>
      </c>
      <c r="BV46" s="41">
        <f t="shared" ref="BV46:BV49" si="9">+BT46*BU46</f>
        <v>7127999.9999999991</v>
      </c>
    </row>
    <row r="47" spans="1:74" ht="18" customHeight="1" x14ac:dyDescent="0.3">
      <c r="A47" s="313"/>
      <c r="B47" s="34" t="s">
        <v>786</v>
      </c>
      <c r="C47" s="18">
        <v>28</v>
      </c>
      <c r="D47" s="11">
        <f t="shared" si="7"/>
        <v>28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08">
        <f t="shared" si="3"/>
        <v>0</v>
      </c>
      <c r="BR47" s="108">
        <f t="shared" si="3"/>
        <v>0</v>
      </c>
      <c r="BS47" s="11">
        <v>1.44</v>
      </c>
      <c r="BT47" s="55">
        <f t="shared" si="8"/>
        <v>40.32</v>
      </c>
      <c r="BU47" s="40">
        <v>80000</v>
      </c>
      <c r="BV47" s="41">
        <f t="shared" si="9"/>
        <v>3225600</v>
      </c>
    </row>
    <row r="48" spans="1:74" ht="18" customHeight="1" x14ac:dyDescent="0.3">
      <c r="A48" s="313"/>
      <c r="B48" s="34" t="s">
        <v>780</v>
      </c>
      <c r="C48" s="18">
        <v>23.5</v>
      </c>
      <c r="D48" s="285">
        <f t="shared" si="7"/>
        <v>23.5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08">
        <f t="shared" si="3"/>
        <v>0</v>
      </c>
      <c r="BR48" s="108">
        <f t="shared" si="3"/>
        <v>0</v>
      </c>
      <c r="BS48" s="11">
        <v>1.44</v>
      </c>
      <c r="BT48" s="55">
        <f t="shared" si="8"/>
        <v>33.839999999999996</v>
      </c>
      <c r="BU48" s="40">
        <v>75000</v>
      </c>
      <c r="BV48" s="41">
        <f t="shared" si="9"/>
        <v>2537999.9999999995</v>
      </c>
    </row>
    <row r="49" spans="1:74" ht="18" customHeight="1" x14ac:dyDescent="0.3">
      <c r="A49" s="313"/>
      <c r="B49" s="34" t="s">
        <v>783</v>
      </c>
      <c r="C49" s="18">
        <v>7</v>
      </c>
      <c r="D49" s="11">
        <f t="shared" si="7"/>
        <v>7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08">
        <f t="shared" si="3"/>
        <v>0</v>
      </c>
      <c r="BR49" s="108">
        <f t="shared" ref="BR49" si="10">+F49+H49+J49+L49+N49+P49+R49+T49+V49+X49+Z49+AB49+AD49+AF49+AH49+AJ49+AL49+AN49+AP49+AR49+AT49+AV49+AX49+AZ49+BB49+BD49+BF49+BH49+BJ49+BL49+BN49+BP49</f>
        <v>0</v>
      </c>
      <c r="BS49" s="11">
        <v>1.44</v>
      </c>
      <c r="BT49" s="55">
        <f t="shared" si="8"/>
        <v>10.08</v>
      </c>
      <c r="BU49" s="40">
        <v>65000</v>
      </c>
      <c r="BV49" s="41">
        <f t="shared" si="9"/>
        <v>655200</v>
      </c>
    </row>
    <row r="50" spans="1:74" ht="18" customHeight="1" x14ac:dyDescent="0.3"/>
    <row r="51" spans="1:74" ht="18" customHeight="1" x14ac:dyDescent="0.3"/>
  </sheetData>
  <mergeCells count="45">
    <mergeCell ref="S1:T1"/>
    <mergeCell ref="A1:A2"/>
    <mergeCell ref="B1:B2"/>
    <mergeCell ref="C1:C2"/>
    <mergeCell ref="D1:D2"/>
    <mergeCell ref="E1:F1"/>
    <mergeCell ref="G1:H1"/>
    <mergeCell ref="I1:J1"/>
    <mergeCell ref="K1:L1"/>
    <mergeCell ref="M1:N1"/>
    <mergeCell ref="O1:P1"/>
    <mergeCell ref="Q1:R1"/>
    <mergeCell ref="AQ1:AR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U1:AV1"/>
    <mergeCell ref="AW1:AX1"/>
    <mergeCell ref="AY1:AZ1"/>
    <mergeCell ref="BA1:BB1"/>
    <mergeCell ref="BC1:BD1"/>
    <mergeCell ref="A24:A34"/>
    <mergeCell ref="A35:A41"/>
    <mergeCell ref="A42:A49"/>
    <mergeCell ref="BQ1:BR1"/>
    <mergeCell ref="A3:B3"/>
    <mergeCell ref="A5:A8"/>
    <mergeCell ref="A9:A12"/>
    <mergeCell ref="A13:A16"/>
    <mergeCell ref="A17:A23"/>
    <mergeCell ref="BE1:BF1"/>
    <mergeCell ref="BG1:BH1"/>
    <mergeCell ref="BI1:BJ1"/>
    <mergeCell ref="BK1:BL1"/>
    <mergeCell ref="BM1:BN1"/>
    <mergeCell ref="BO1:BP1"/>
    <mergeCell ref="AS1:AT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2"/>
  <sheetViews>
    <sheetView workbookViewId="0">
      <pane xSplit="4" ySplit="3" topLeftCell="BC4" activePane="bottomRight" state="frozen"/>
      <selection pane="topRight" activeCell="E1" sqref="E1"/>
      <selection pane="bottomLeft" activeCell="A4" sqref="A4"/>
      <selection pane="bottomRight" activeCell="BJ66" sqref="BJ66"/>
    </sheetView>
  </sheetViews>
  <sheetFormatPr defaultRowHeight="15.75" x14ac:dyDescent="0.25"/>
  <cols>
    <col min="1" max="1" width="24.5703125" style="246" customWidth="1"/>
    <col min="2" max="2" width="11.140625" style="58" customWidth="1"/>
    <col min="3" max="3" width="24.5703125" style="236" hidden="1" customWidth="1"/>
    <col min="4" max="4" width="12.42578125" style="236" customWidth="1"/>
    <col min="5" max="68" width="8.85546875" style="58" customWidth="1"/>
    <col min="69" max="69" width="7.7109375" style="58" customWidth="1"/>
    <col min="70" max="70" width="8.28515625" style="58" customWidth="1"/>
    <col min="71" max="71" width="19.7109375" style="58" customWidth="1"/>
    <col min="72" max="72" width="18.85546875" style="235" customWidth="1"/>
    <col min="73" max="73" width="19.42578125" style="236" customWidth="1"/>
    <col min="74" max="74" width="22.7109375" style="236" customWidth="1"/>
    <col min="75" max="16384" width="9.140625" style="58"/>
  </cols>
  <sheetData>
    <row r="1" spans="1:74" ht="29.25" customHeight="1" x14ac:dyDescent="0.25">
      <c r="A1" s="374" t="s">
        <v>189</v>
      </c>
      <c r="B1" s="376" t="s">
        <v>12138</v>
      </c>
      <c r="C1" s="377" t="s">
        <v>12295</v>
      </c>
      <c r="D1" s="379" t="s">
        <v>12294</v>
      </c>
      <c r="E1" s="324">
        <v>1</v>
      </c>
      <c r="F1" s="325"/>
      <c r="G1" s="324">
        <f>1+E1</f>
        <v>2</v>
      </c>
      <c r="H1" s="325"/>
      <c r="I1" s="324">
        <f>1+G1</f>
        <v>3</v>
      </c>
      <c r="J1" s="325"/>
      <c r="K1" s="324">
        <f>1+I1</f>
        <v>4</v>
      </c>
      <c r="L1" s="325"/>
      <c r="M1" s="324">
        <f>1+K1</f>
        <v>5</v>
      </c>
      <c r="N1" s="325"/>
      <c r="O1" s="324">
        <f>1+M1</f>
        <v>6</v>
      </c>
      <c r="P1" s="325"/>
      <c r="Q1" s="324">
        <f>1+O1</f>
        <v>7</v>
      </c>
      <c r="R1" s="325"/>
      <c r="S1" s="324">
        <f>1+Q1</f>
        <v>8</v>
      </c>
      <c r="T1" s="325"/>
      <c r="U1" s="324">
        <f>1+S1</f>
        <v>9</v>
      </c>
      <c r="V1" s="325"/>
      <c r="W1" s="324">
        <f>1+U1</f>
        <v>10</v>
      </c>
      <c r="X1" s="325"/>
      <c r="Y1" s="328">
        <f>1+W1</f>
        <v>11</v>
      </c>
      <c r="Z1" s="328"/>
      <c r="AA1" s="328">
        <f>1+Y1</f>
        <v>12</v>
      </c>
      <c r="AB1" s="328"/>
      <c r="AC1" s="328">
        <f>1+AA1</f>
        <v>13</v>
      </c>
      <c r="AD1" s="328"/>
      <c r="AE1" s="328">
        <f>1+AC1</f>
        <v>14</v>
      </c>
      <c r="AF1" s="328"/>
      <c r="AG1" s="328">
        <f>1+AE1</f>
        <v>15</v>
      </c>
      <c r="AH1" s="328"/>
      <c r="AI1" s="328">
        <f>1+AG1</f>
        <v>16</v>
      </c>
      <c r="AJ1" s="328"/>
      <c r="AK1" s="328">
        <f>1+AI1</f>
        <v>17</v>
      </c>
      <c r="AL1" s="328"/>
      <c r="AM1" s="328">
        <f>1+AK1</f>
        <v>18</v>
      </c>
      <c r="AN1" s="328"/>
      <c r="AO1" s="328">
        <f>1+AM1</f>
        <v>19</v>
      </c>
      <c r="AP1" s="328"/>
      <c r="AQ1" s="328">
        <f>1+AO1</f>
        <v>20</v>
      </c>
      <c r="AR1" s="328"/>
      <c r="AS1" s="328">
        <f>1+AQ1</f>
        <v>21</v>
      </c>
      <c r="AT1" s="328"/>
      <c r="AU1" s="328">
        <f>1+AS1</f>
        <v>22</v>
      </c>
      <c r="AV1" s="328"/>
      <c r="AW1" s="328">
        <f>1+AU1</f>
        <v>23</v>
      </c>
      <c r="AX1" s="328"/>
      <c r="AY1" s="328">
        <f>1+AW1</f>
        <v>24</v>
      </c>
      <c r="AZ1" s="328"/>
      <c r="BA1" s="328">
        <f>1+AY1</f>
        <v>25</v>
      </c>
      <c r="BB1" s="328"/>
      <c r="BC1" s="328">
        <f>1+BA1</f>
        <v>26</v>
      </c>
      <c r="BD1" s="328"/>
      <c r="BE1" s="328">
        <f>1+BC1</f>
        <v>27</v>
      </c>
      <c r="BF1" s="328"/>
      <c r="BG1" s="328">
        <f>1+BE1</f>
        <v>28</v>
      </c>
      <c r="BH1" s="328"/>
      <c r="BI1" s="328">
        <f>1+BG1</f>
        <v>29</v>
      </c>
      <c r="BJ1" s="328"/>
      <c r="BK1" s="328">
        <f>1+BI1</f>
        <v>30</v>
      </c>
      <c r="BL1" s="328"/>
      <c r="BM1" s="328">
        <f>1+BK1</f>
        <v>31</v>
      </c>
      <c r="BN1" s="328"/>
      <c r="BO1" s="372" t="s">
        <v>12175</v>
      </c>
      <c r="BP1" s="373"/>
      <c r="BQ1" s="328" t="s">
        <v>12139</v>
      </c>
      <c r="BR1" s="328"/>
      <c r="BS1" s="237" t="s">
        <v>408</v>
      </c>
      <c r="BT1" s="191" t="s">
        <v>405</v>
      </c>
      <c r="BU1" s="192" t="s">
        <v>406</v>
      </c>
      <c r="BV1" s="192" t="s">
        <v>407</v>
      </c>
    </row>
    <row r="2" spans="1:74" x14ac:dyDescent="0.25">
      <c r="A2" s="375"/>
      <c r="B2" s="325"/>
      <c r="C2" s="378"/>
      <c r="D2" s="378"/>
      <c r="E2" s="199" t="s">
        <v>12140</v>
      </c>
      <c r="F2" s="199" t="s">
        <v>12141</v>
      </c>
      <c r="G2" s="199" t="s">
        <v>12140</v>
      </c>
      <c r="H2" s="199" t="s">
        <v>12141</v>
      </c>
      <c r="I2" s="199" t="s">
        <v>12140</v>
      </c>
      <c r="J2" s="199" t="s">
        <v>12141</v>
      </c>
      <c r="K2" s="199" t="s">
        <v>12140</v>
      </c>
      <c r="L2" s="199" t="s">
        <v>12141</v>
      </c>
      <c r="M2" s="199" t="s">
        <v>12140</v>
      </c>
      <c r="N2" s="199" t="s">
        <v>12141</v>
      </c>
      <c r="O2" s="199" t="s">
        <v>12140</v>
      </c>
      <c r="P2" s="199" t="s">
        <v>12141</v>
      </c>
      <c r="Q2" s="199" t="s">
        <v>12140</v>
      </c>
      <c r="R2" s="199" t="s">
        <v>12141</v>
      </c>
      <c r="S2" s="199" t="s">
        <v>12140</v>
      </c>
      <c r="T2" s="199" t="s">
        <v>12141</v>
      </c>
      <c r="U2" s="199" t="s">
        <v>12140</v>
      </c>
      <c r="V2" s="199" t="s">
        <v>12141</v>
      </c>
      <c r="W2" s="199" t="s">
        <v>12140</v>
      </c>
      <c r="X2" s="199" t="s">
        <v>12141</v>
      </c>
      <c r="Y2" s="199" t="s">
        <v>12140</v>
      </c>
      <c r="Z2" s="199" t="s">
        <v>12141</v>
      </c>
      <c r="AA2" s="199" t="s">
        <v>12140</v>
      </c>
      <c r="AB2" s="199" t="s">
        <v>12141</v>
      </c>
      <c r="AC2" s="199" t="s">
        <v>12140</v>
      </c>
      <c r="AD2" s="199" t="s">
        <v>12141</v>
      </c>
      <c r="AE2" s="199" t="s">
        <v>12140</v>
      </c>
      <c r="AF2" s="199" t="s">
        <v>12141</v>
      </c>
      <c r="AG2" s="199" t="s">
        <v>12140</v>
      </c>
      <c r="AH2" s="199" t="s">
        <v>12141</v>
      </c>
      <c r="AI2" s="199" t="s">
        <v>12140</v>
      </c>
      <c r="AJ2" s="199" t="s">
        <v>12141</v>
      </c>
      <c r="AK2" s="199" t="s">
        <v>12140</v>
      </c>
      <c r="AL2" s="199" t="s">
        <v>12141</v>
      </c>
      <c r="AM2" s="199" t="s">
        <v>12140</v>
      </c>
      <c r="AN2" s="199" t="s">
        <v>12141</v>
      </c>
      <c r="AO2" s="199" t="s">
        <v>12140</v>
      </c>
      <c r="AP2" s="199" t="s">
        <v>12141</v>
      </c>
      <c r="AQ2" s="199" t="s">
        <v>12140</v>
      </c>
      <c r="AR2" s="199" t="s">
        <v>12141</v>
      </c>
      <c r="AS2" s="199" t="s">
        <v>12140</v>
      </c>
      <c r="AT2" s="199" t="s">
        <v>12141</v>
      </c>
      <c r="AU2" s="199" t="s">
        <v>12140</v>
      </c>
      <c r="AV2" s="199" t="s">
        <v>12141</v>
      </c>
      <c r="AW2" s="199" t="s">
        <v>12140</v>
      </c>
      <c r="AX2" s="199" t="s">
        <v>12141</v>
      </c>
      <c r="AY2" s="199" t="s">
        <v>12140</v>
      </c>
      <c r="AZ2" s="199" t="s">
        <v>12141</v>
      </c>
      <c r="BA2" s="199" t="s">
        <v>12140</v>
      </c>
      <c r="BB2" s="199" t="s">
        <v>12141</v>
      </c>
      <c r="BC2" s="199" t="s">
        <v>12140</v>
      </c>
      <c r="BD2" s="199" t="s">
        <v>12141</v>
      </c>
      <c r="BE2" s="199" t="s">
        <v>12140</v>
      </c>
      <c r="BF2" s="199" t="s">
        <v>12141</v>
      </c>
      <c r="BG2" s="199" t="s">
        <v>12140</v>
      </c>
      <c r="BH2" s="199" t="s">
        <v>12141</v>
      </c>
      <c r="BI2" s="199" t="s">
        <v>12140</v>
      </c>
      <c r="BJ2" s="199" t="s">
        <v>12141</v>
      </c>
      <c r="BK2" s="199" t="s">
        <v>12140</v>
      </c>
      <c r="BL2" s="199" t="s">
        <v>12141</v>
      </c>
      <c r="BM2" s="199" t="s">
        <v>12140</v>
      </c>
      <c r="BN2" s="199" t="s">
        <v>12141</v>
      </c>
      <c r="BO2" s="199" t="s">
        <v>12140</v>
      </c>
      <c r="BP2" s="199" t="s">
        <v>12141</v>
      </c>
      <c r="BQ2" s="199" t="s">
        <v>12140</v>
      </c>
      <c r="BR2" s="199" t="s">
        <v>12141</v>
      </c>
      <c r="BS2" s="237"/>
      <c r="BT2" s="191"/>
      <c r="BU2" s="192"/>
      <c r="BV2" s="192"/>
    </row>
    <row r="3" spans="1:74" x14ac:dyDescent="0.25">
      <c r="A3" s="370" t="s">
        <v>242</v>
      </c>
      <c r="B3" s="371"/>
      <c r="C3" s="238">
        <f>SUM(C4:C72)</f>
        <v>904</v>
      </c>
      <c r="D3" s="238">
        <f>SUM(D5:D72)</f>
        <v>1140</v>
      </c>
      <c r="E3" s="204">
        <f t="shared" ref="E3:AJ3" si="0">SUM(E5:E280)</f>
        <v>0</v>
      </c>
      <c r="F3" s="204">
        <f t="shared" si="0"/>
        <v>0</v>
      </c>
      <c r="G3" s="204">
        <f t="shared" si="0"/>
        <v>0</v>
      </c>
      <c r="H3" s="204">
        <f t="shared" si="0"/>
        <v>0</v>
      </c>
      <c r="I3" s="204">
        <f t="shared" si="0"/>
        <v>0</v>
      </c>
      <c r="J3" s="204">
        <f t="shared" si="0"/>
        <v>0</v>
      </c>
      <c r="K3" s="204">
        <f t="shared" si="0"/>
        <v>0</v>
      </c>
      <c r="L3" s="204">
        <f t="shared" si="0"/>
        <v>0</v>
      </c>
      <c r="M3" s="204">
        <f t="shared" si="0"/>
        <v>0</v>
      </c>
      <c r="N3" s="204">
        <f t="shared" si="0"/>
        <v>40</v>
      </c>
      <c r="O3" s="204">
        <f t="shared" si="0"/>
        <v>0</v>
      </c>
      <c r="P3" s="204">
        <f t="shared" si="0"/>
        <v>0</v>
      </c>
      <c r="Q3" s="204">
        <f t="shared" si="0"/>
        <v>0</v>
      </c>
      <c r="R3" s="204">
        <f t="shared" si="0"/>
        <v>0</v>
      </c>
      <c r="S3" s="204">
        <f t="shared" si="0"/>
        <v>0</v>
      </c>
      <c r="T3" s="204">
        <f t="shared" si="0"/>
        <v>0</v>
      </c>
      <c r="U3" s="204">
        <f t="shared" si="0"/>
        <v>0</v>
      </c>
      <c r="V3" s="204">
        <f t="shared" si="0"/>
        <v>0</v>
      </c>
      <c r="W3" s="204">
        <f t="shared" si="0"/>
        <v>0</v>
      </c>
      <c r="X3" s="204">
        <f t="shared" si="0"/>
        <v>0</v>
      </c>
      <c r="Y3" s="204">
        <f t="shared" si="0"/>
        <v>0</v>
      </c>
      <c r="Z3" s="204">
        <f t="shared" si="0"/>
        <v>0</v>
      </c>
      <c r="AA3" s="204">
        <f t="shared" si="0"/>
        <v>0</v>
      </c>
      <c r="AB3" s="204">
        <f t="shared" si="0"/>
        <v>0</v>
      </c>
      <c r="AC3" s="204">
        <f t="shared" si="0"/>
        <v>0</v>
      </c>
      <c r="AD3" s="204">
        <f t="shared" si="0"/>
        <v>0</v>
      </c>
      <c r="AE3" s="204">
        <f t="shared" si="0"/>
        <v>0</v>
      </c>
      <c r="AF3" s="204">
        <f t="shared" si="0"/>
        <v>0</v>
      </c>
      <c r="AG3" s="204">
        <f t="shared" si="0"/>
        <v>0</v>
      </c>
      <c r="AH3" s="204">
        <f t="shared" si="0"/>
        <v>0</v>
      </c>
      <c r="AI3" s="204">
        <f t="shared" si="0"/>
        <v>0</v>
      </c>
      <c r="AJ3" s="204">
        <f t="shared" si="0"/>
        <v>36</v>
      </c>
      <c r="AK3" s="204">
        <f t="shared" ref="AK3:BP3" si="1">SUM(AK5:AK280)</f>
        <v>0</v>
      </c>
      <c r="AL3" s="204">
        <f t="shared" si="1"/>
        <v>0</v>
      </c>
      <c r="AM3" s="204">
        <f t="shared" si="1"/>
        <v>0</v>
      </c>
      <c r="AN3" s="204">
        <f t="shared" si="1"/>
        <v>0</v>
      </c>
      <c r="AO3" s="204">
        <f t="shared" si="1"/>
        <v>0</v>
      </c>
      <c r="AP3" s="204">
        <f t="shared" si="1"/>
        <v>0</v>
      </c>
      <c r="AQ3" s="204">
        <f t="shared" si="1"/>
        <v>0</v>
      </c>
      <c r="AR3" s="204">
        <f t="shared" si="1"/>
        <v>0</v>
      </c>
      <c r="AS3" s="204">
        <f t="shared" si="1"/>
        <v>0</v>
      </c>
      <c r="AT3" s="204">
        <f t="shared" si="1"/>
        <v>0</v>
      </c>
      <c r="AU3" s="204">
        <f t="shared" si="1"/>
        <v>0</v>
      </c>
      <c r="AV3" s="204">
        <f t="shared" si="1"/>
        <v>0</v>
      </c>
      <c r="AW3" s="204">
        <f t="shared" si="1"/>
        <v>0</v>
      </c>
      <c r="AX3" s="204">
        <f t="shared" si="1"/>
        <v>0</v>
      </c>
      <c r="AY3" s="204">
        <f t="shared" si="1"/>
        <v>0</v>
      </c>
      <c r="AZ3" s="204">
        <f t="shared" si="1"/>
        <v>0</v>
      </c>
      <c r="BA3" s="204">
        <f t="shared" si="1"/>
        <v>0</v>
      </c>
      <c r="BB3" s="204">
        <f t="shared" si="1"/>
        <v>0</v>
      </c>
      <c r="BC3" s="204">
        <f t="shared" si="1"/>
        <v>420</v>
      </c>
      <c r="BD3" s="204">
        <f t="shared" si="1"/>
        <v>0</v>
      </c>
      <c r="BE3" s="204">
        <f t="shared" si="1"/>
        <v>0</v>
      </c>
      <c r="BF3" s="204">
        <f t="shared" si="1"/>
        <v>0</v>
      </c>
      <c r="BG3" s="204">
        <f t="shared" si="1"/>
        <v>0</v>
      </c>
      <c r="BH3" s="204">
        <f t="shared" si="1"/>
        <v>78</v>
      </c>
      <c r="BI3" s="204">
        <f t="shared" si="1"/>
        <v>0</v>
      </c>
      <c r="BJ3" s="204">
        <f t="shared" si="1"/>
        <v>30</v>
      </c>
      <c r="BK3" s="204">
        <f t="shared" si="1"/>
        <v>0</v>
      </c>
      <c r="BL3" s="204">
        <f t="shared" si="1"/>
        <v>0</v>
      </c>
      <c r="BM3" s="204">
        <f t="shared" si="1"/>
        <v>0</v>
      </c>
      <c r="BN3" s="204">
        <f t="shared" si="1"/>
        <v>0</v>
      </c>
      <c r="BO3" s="204">
        <f t="shared" si="1"/>
        <v>0</v>
      </c>
      <c r="BP3" s="204">
        <f t="shared" si="1"/>
        <v>0</v>
      </c>
      <c r="BQ3" s="204">
        <f>+E3+G3+I3+K3+M3+O3+Q3+S3+U3+W3+Y3+AA3+AC3+AE3+AG3+AI3+AK3+AM3+AO3+AQ3+AS3+AU3+AW3+AY3+BA3+BC3+BE3+BG3+BI3+BK3+BM3+BO3</f>
        <v>420</v>
      </c>
      <c r="BR3" s="204">
        <f>+F3+H3+J3+L3+N3+P3+R3+T3+V3+X3+Z3+AB3+AD3+AF3+AH3+AJ3+AL3+AN3+AP3+AR3+AT3+AV3+AX3+AZ3+BB3+BD3+BF3+BH3+BJ3+BL3+BN3+BP3</f>
        <v>184</v>
      </c>
      <c r="BS3" s="238"/>
      <c r="BT3" s="239">
        <f>SUM(BT4:BT72)</f>
        <v>1971.2</v>
      </c>
      <c r="BU3" s="239">
        <f t="shared" ref="BU3:BV3" si="2">SUM(BU4:BU72)</f>
        <v>1167216</v>
      </c>
      <c r="BV3" s="239">
        <f t="shared" si="2"/>
        <v>248361735.68000004</v>
      </c>
    </row>
    <row r="4" spans="1:74" ht="22.5" customHeight="1" x14ac:dyDescent="0.25">
      <c r="A4" s="240"/>
      <c r="B4" s="241"/>
      <c r="C4" s="242"/>
      <c r="D4" s="242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04">
        <f t="shared" ref="BQ4:BR72" si="3">+E4+G4+I4+K4+M4+O4+Q4+S4+U4+W4+Y4+AA4+AC4+AE4+AG4+AI4+AK4+AM4+AO4+AQ4+AS4+AU4+AW4+AY4+BA4+BC4+BE4+BG4+BI4+BK4+BM4+BO4</f>
        <v>0</v>
      </c>
      <c r="BR4" s="204">
        <f t="shared" si="3"/>
        <v>0</v>
      </c>
      <c r="BS4" s="243"/>
    </row>
    <row r="5" spans="1:74" ht="22.5" hidden="1" customHeight="1" x14ac:dyDescent="0.25">
      <c r="A5" s="363" t="s">
        <v>12253</v>
      </c>
      <c r="B5" s="244"/>
      <c r="C5" s="217">
        <v>0</v>
      </c>
      <c r="D5" s="217">
        <f>C5+BQ5-BR5</f>
        <v>0</v>
      </c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4"/>
      <c r="BL5" s="194"/>
      <c r="BM5" s="194"/>
      <c r="BN5" s="194"/>
      <c r="BO5" s="194"/>
      <c r="BP5" s="194"/>
      <c r="BQ5" s="204">
        <f t="shared" si="3"/>
        <v>0</v>
      </c>
      <c r="BR5" s="204">
        <f t="shared" si="3"/>
        <v>0</v>
      </c>
      <c r="BS5" s="194"/>
      <c r="BT5" s="216">
        <f>+BS5*D5</f>
        <v>0</v>
      </c>
      <c r="BU5" s="217"/>
      <c r="BV5" s="245">
        <f>+BU5*BT5</f>
        <v>0</v>
      </c>
    </row>
    <row r="6" spans="1:74" ht="22.5" hidden="1" customHeight="1" x14ac:dyDescent="0.25">
      <c r="A6" s="364"/>
      <c r="B6" s="244"/>
      <c r="C6" s="217">
        <v>0</v>
      </c>
      <c r="D6" s="217">
        <f t="shared" ref="D6:D69" si="4">C6+BQ6-BR6</f>
        <v>0</v>
      </c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204">
        <f t="shared" si="3"/>
        <v>0</v>
      </c>
      <c r="BR6" s="204">
        <f t="shared" si="3"/>
        <v>0</v>
      </c>
      <c r="BS6" s="194"/>
      <c r="BT6" s="216">
        <f t="shared" ref="BT6:BT69" si="5">+BS6*D6</f>
        <v>0</v>
      </c>
      <c r="BU6" s="217"/>
      <c r="BV6" s="245">
        <f t="shared" ref="BV6:BV69" si="6">+BU6*BT6</f>
        <v>0</v>
      </c>
    </row>
    <row r="7" spans="1:74" ht="22.5" hidden="1" customHeight="1" x14ac:dyDescent="0.25">
      <c r="A7" s="364"/>
      <c r="B7" s="244"/>
      <c r="C7" s="217">
        <v>0</v>
      </c>
      <c r="D7" s="217">
        <f t="shared" si="4"/>
        <v>0</v>
      </c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4"/>
      <c r="BK7" s="194"/>
      <c r="BL7" s="194"/>
      <c r="BM7" s="194"/>
      <c r="BN7" s="194"/>
      <c r="BO7" s="194"/>
      <c r="BP7" s="194"/>
      <c r="BQ7" s="204">
        <f t="shared" si="3"/>
        <v>0</v>
      </c>
      <c r="BR7" s="204">
        <f t="shared" si="3"/>
        <v>0</v>
      </c>
      <c r="BS7" s="194"/>
      <c r="BT7" s="216">
        <f t="shared" si="5"/>
        <v>0</v>
      </c>
      <c r="BU7" s="217"/>
      <c r="BV7" s="245">
        <f t="shared" si="6"/>
        <v>0</v>
      </c>
    </row>
    <row r="8" spans="1:74" ht="22.5" hidden="1" customHeight="1" x14ac:dyDescent="0.25">
      <c r="A8" s="364"/>
      <c r="B8" s="244"/>
      <c r="C8" s="217">
        <v>0</v>
      </c>
      <c r="D8" s="217">
        <f t="shared" si="4"/>
        <v>0</v>
      </c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4"/>
      <c r="AU8" s="194"/>
      <c r="AV8" s="194"/>
      <c r="AW8" s="194"/>
      <c r="AX8" s="194"/>
      <c r="AY8" s="194"/>
      <c r="AZ8" s="194"/>
      <c r="BA8" s="194"/>
      <c r="BB8" s="194"/>
      <c r="BC8" s="194"/>
      <c r="BD8" s="194"/>
      <c r="BE8" s="194"/>
      <c r="BF8" s="194"/>
      <c r="BG8" s="194"/>
      <c r="BH8" s="194"/>
      <c r="BI8" s="194"/>
      <c r="BJ8" s="194"/>
      <c r="BK8" s="194"/>
      <c r="BL8" s="194"/>
      <c r="BM8" s="194"/>
      <c r="BN8" s="194"/>
      <c r="BO8" s="194"/>
      <c r="BP8" s="194"/>
      <c r="BQ8" s="204">
        <f t="shared" si="3"/>
        <v>0</v>
      </c>
      <c r="BR8" s="204">
        <f t="shared" si="3"/>
        <v>0</v>
      </c>
      <c r="BS8" s="194"/>
      <c r="BT8" s="216">
        <f t="shared" si="5"/>
        <v>0</v>
      </c>
      <c r="BU8" s="217"/>
      <c r="BV8" s="245">
        <f t="shared" si="6"/>
        <v>0</v>
      </c>
    </row>
    <row r="9" spans="1:74" ht="22.5" hidden="1" customHeight="1" x14ac:dyDescent="0.25">
      <c r="A9" s="364"/>
      <c r="B9" s="244"/>
      <c r="C9" s="217">
        <v>0</v>
      </c>
      <c r="D9" s="217">
        <f t="shared" si="4"/>
        <v>0</v>
      </c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204">
        <f t="shared" si="3"/>
        <v>0</v>
      </c>
      <c r="BR9" s="204">
        <f t="shared" si="3"/>
        <v>0</v>
      </c>
      <c r="BS9" s="194"/>
      <c r="BT9" s="216">
        <f t="shared" si="5"/>
        <v>0</v>
      </c>
      <c r="BU9" s="217"/>
      <c r="BV9" s="245">
        <f t="shared" si="6"/>
        <v>0</v>
      </c>
    </row>
    <row r="10" spans="1:74" ht="22.5" hidden="1" customHeight="1" x14ac:dyDescent="0.25">
      <c r="A10" s="364"/>
      <c r="B10" s="244"/>
      <c r="C10" s="217">
        <v>0</v>
      </c>
      <c r="D10" s="217">
        <f t="shared" si="4"/>
        <v>0</v>
      </c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94"/>
      <c r="BO10" s="194"/>
      <c r="BP10" s="194"/>
      <c r="BQ10" s="204">
        <f t="shared" si="3"/>
        <v>0</v>
      </c>
      <c r="BR10" s="204">
        <f t="shared" si="3"/>
        <v>0</v>
      </c>
      <c r="BS10" s="194"/>
      <c r="BT10" s="216">
        <f t="shared" si="5"/>
        <v>0</v>
      </c>
      <c r="BU10" s="217"/>
      <c r="BV10" s="245">
        <f t="shared" si="6"/>
        <v>0</v>
      </c>
    </row>
    <row r="11" spans="1:74" ht="22.5" hidden="1" customHeight="1" x14ac:dyDescent="0.25">
      <c r="A11" s="364"/>
      <c r="B11" s="244"/>
      <c r="C11" s="217">
        <v>0</v>
      </c>
      <c r="D11" s="217">
        <f t="shared" si="4"/>
        <v>0</v>
      </c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194"/>
      <c r="BF11" s="194"/>
      <c r="BG11" s="194"/>
      <c r="BH11" s="194"/>
      <c r="BI11" s="194"/>
      <c r="BJ11" s="194"/>
      <c r="BK11" s="194"/>
      <c r="BL11" s="194"/>
      <c r="BM11" s="194"/>
      <c r="BN11" s="194"/>
      <c r="BO11" s="194"/>
      <c r="BP11" s="194"/>
      <c r="BQ11" s="204">
        <f t="shared" si="3"/>
        <v>0</v>
      </c>
      <c r="BR11" s="204">
        <f t="shared" si="3"/>
        <v>0</v>
      </c>
      <c r="BS11" s="194"/>
      <c r="BT11" s="216">
        <f t="shared" si="5"/>
        <v>0</v>
      </c>
      <c r="BU11" s="217"/>
      <c r="BV11" s="245">
        <f t="shared" si="6"/>
        <v>0</v>
      </c>
    </row>
    <row r="12" spans="1:74" ht="22.5" hidden="1" customHeight="1" x14ac:dyDescent="0.25">
      <c r="A12" s="364"/>
      <c r="B12" s="244"/>
      <c r="C12" s="217">
        <v>0</v>
      </c>
      <c r="D12" s="217">
        <f t="shared" si="4"/>
        <v>0</v>
      </c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  <c r="BE12" s="194"/>
      <c r="BF12" s="194"/>
      <c r="BG12" s="194"/>
      <c r="BH12" s="194"/>
      <c r="BI12" s="194"/>
      <c r="BJ12" s="194"/>
      <c r="BK12" s="194"/>
      <c r="BL12" s="194"/>
      <c r="BM12" s="194"/>
      <c r="BN12" s="194"/>
      <c r="BO12" s="194"/>
      <c r="BP12" s="194"/>
      <c r="BQ12" s="204">
        <f t="shared" si="3"/>
        <v>0</v>
      </c>
      <c r="BR12" s="204">
        <f t="shared" si="3"/>
        <v>0</v>
      </c>
      <c r="BS12" s="194"/>
      <c r="BT12" s="216">
        <f t="shared" si="5"/>
        <v>0</v>
      </c>
      <c r="BU12" s="217"/>
      <c r="BV12" s="245">
        <f t="shared" si="6"/>
        <v>0</v>
      </c>
    </row>
    <row r="13" spans="1:74" ht="22.5" hidden="1" customHeight="1" x14ac:dyDescent="0.25">
      <c r="A13" s="364" t="s">
        <v>12254</v>
      </c>
      <c r="B13" s="244"/>
      <c r="C13" s="217">
        <v>0</v>
      </c>
      <c r="D13" s="217">
        <f t="shared" si="4"/>
        <v>0</v>
      </c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204">
        <f t="shared" si="3"/>
        <v>0</v>
      </c>
      <c r="BR13" s="204">
        <f t="shared" si="3"/>
        <v>0</v>
      </c>
      <c r="BS13" s="194"/>
      <c r="BT13" s="216">
        <f t="shared" si="5"/>
        <v>0</v>
      </c>
      <c r="BU13" s="217"/>
      <c r="BV13" s="245">
        <f t="shared" si="6"/>
        <v>0</v>
      </c>
    </row>
    <row r="14" spans="1:74" ht="22.5" hidden="1" customHeight="1" x14ac:dyDescent="0.25">
      <c r="A14" s="364"/>
      <c r="B14" s="244"/>
      <c r="C14" s="217">
        <v>0</v>
      </c>
      <c r="D14" s="217">
        <f t="shared" si="4"/>
        <v>0</v>
      </c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204">
        <f t="shared" si="3"/>
        <v>0</v>
      </c>
      <c r="BR14" s="204">
        <f t="shared" si="3"/>
        <v>0</v>
      </c>
      <c r="BS14" s="194"/>
      <c r="BT14" s="216">
        <f t="shared" si="5"/>
        <v>0</v>
      </c>
      <c r="BU14" s="217"/>
      <c r="BV14" s="245">
        <f t="shared" si="6"/>
        <v>0</v>
      </c>
    </row>
    <row r="15" spans="1:74" ht="22.5" hidden="1" customHeight="1" x14ac:dyDescent="0.25">
      <c r="A15" s="364"/>
      <c r="B15" s="244"/>
      <c r="C15" s="217">
        <v>0</v>
      </c>
      <c r="D15" s="217">
        <f t="shared" si="4"/>
        <v>0</v>
      </c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94"/>
      <c r="AV15" s="194"/>
      <c r="AW15" s="194"/>
      <c r="AX15" s="194"/>
      <c r="AY15" s="194"/>
      <c r="AZ15" s="194"/>
      <c r="BA15" s="194"/>
      <c r="BB15" s="194"/>
      <c r="BC15" s="194"/>
      <c r="BD15" s="194"/>
      <c r="BE15" s="194"/>
      <c r="BF15" s="194"/>
      <c r="BG15" s="194"/>
      <c r="BH15" s="194"/>
      <c r="BI15" s="194"/>
      <c r="BJ15" s="194"/>
      <c r="BK15" s="194"/>
      <c r="BL15" s="194"/>
      <c r="BM15" s="194"/>
      <c r="BN15" s="194"/>
      <c r="BO15" s="194"/>
      <c r="BP15" s="194"/>
      <c r="BQ15" s="204">
        <f t="shared" si="3"/>
        <v>0</v>
      </c>
      <c r="BR15" s="204">
        <f t="shared" si="3"/>
        <v>0</v>
      </c>
      <c r="BS15" s="194"/>
      <c r="BT15" s="216">
        <f t="shared" si="5"/>
        <v>0</v>
      </c>
      <c r="BU15" s="217"/>
      <c r="BV15" s="245">
        <f t="shared" si="6"/>
        <v>0</v>
      </c>
    </row>
    <row r="16" spans="1:74" ht="22.5" hidden="1" customHeight="1" x14ac:dyDescent="0.25">
      <c r="A16" s="364"/>
      <c r="B16" s="244"/>
      <c r="C16" s="217">
        <v>0</v>
      </c>
      <c r="D16" s="217">
        <f t="shared" si="4"/>
        <v>0</v>
      </c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204">
        <f t="shared" si="3"/>
        <v>0</v>
      </c>
      <c r="BR16" s="204">
        <f t="shared" si="3"/>
        <v>0</v>
      </c>
      <c r="BS16" s="194"/>
      <c r="BT16" s="216">
        <f t="shared" si="5"/>
        <v>0</v>
      </c>
      <c r="BU16" s="217"/>
      <c r="BV16" s="245">
        <f t="shared" si="6"/>
        <v>0</v>
      </c>
    </row>
    <row r="17" spans="1:74" ht="22.5" hidden="1" customHeight="1" x14ac:dyDescent="0.25">
      <c r="A17" s="364"/>
      <c r="B17" s="244"/>
      <c r="C17" s="217">
        <v>0</v>
      </c>
      <c r="D17" s="217">
        <f t="shared" si="4"/>
        <v>0</v>
      </c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204">
        <f t="shared" si="3"/>
        <v>0</v>
      </c>
      <c r="BR17" s="204">
        <f t="shared" si="3"/>
        <v>0</v>
      </c>
      <c r="BS17" s="194"/>
      <c r="BT17" s="216">
        <f t="shared" si="5"/>
        <v>0</v>
      </c>
      <c r="BU17" s="217"/>
      <c r="BV17" s="245">
        <f t="shared" si="6"/>
        <v>0</v>
      </c>
    </row>
    <row r="18" spans="1:74" ht="22.5" hidden="1" customHeight="1" x14ac:dyDescent="0.25">
      <c r="A18" s="364"/>
      <c r="B18" s="244"/>
      <c r="C18" s="217">
        <v>0</v>
      </c>
      <c r="D18" s="217">
        <f t="shared" si="4"/>
        <v>0</v>
      </c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204">
        <f t="shared" si="3"/>
        <v>0</v>
      </c>
      <c r="BR18" s="204">
        <f t="shared" si="3"/>
        <v>0</v>
      </c>
      <c r="BS18" s="194"/>
      <c r="BT18" s="216">
        <f t="shared" si="5"/>
        <v>0</v>
      </c>
      <c r="BU18" s="217"/>
      <c r="BV18" s="245">
        <f t="shared" si="6"/>
        <v>0</v>
      </c>
    </row>
    <row r="19" spans="1:74" ht="22.5" hidden="1" customHeight="1" x14ac:dyDescent="0.25">
      <c r="A19" s="365"/>
      <c r="B19" s="244"/>
      <c r="C19" s="217">
        <v>0</v>
      </c>
      <c r="D19" s="217">
        <f t="shared" si="4"/>
        <v>0</v>
      </c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204">
        <f t="shared" si="3"/>
        <v>0</v>
      </c>
      <c r="BR19" s="204">
        <f t="shared" si="3"/>
        <v>0</v>
      </c>
      <c r="BS19" s="194"/>
      <c r="BT19" s="216">
        <f t="shared" si="5"/>
        <v>0</v>
      </c>
      <c r="BU19" s="217"/>
      <c r="BV19" s="245">
        <f t="shared" si="6"/>
        <v>0</v>
      </c>
    </row>
    <row r="20" spans="1:74" ht="22.5" customHeight="1" x14ac:dyDescent="0.25">
      <c r="A20" s="363" t="s">
        <v>12249</v>
      </c>
      <c r="B20" s="244" t="s">
        <v>12257</v>
      </c>
      <c r="C20" s="217">
        <v>104</v>
      </c>
      <c r="D20" s="217">
        <f t="shared" si="4"/>
        <v>68</v>
      </c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>
        <f>33+3</f>
        <v>36</v>
      </c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194"/>
      <c r="BM20" s="194"/>
      <c r="BN20" s="194"/>
      <c r="BO20" s="194"/>
      <c r="BP20" s="194"/>
      <c r="BQ20" s="204">
        <f t="shared" si="3"/>
        <v>0</v>
      </c>
      <c r="BR20" s="204">
        <f t="shared" si="3"/>
        <v>36</v>
      </c>
      <c r="BS20" s="194">
        <v>1.92</v>
      </c>
      <c r="BT20" s="216">
        <f t="shared" si="5"/>
        <v>130.56</v>
      </c>
      <c r="BU20" s="217">
        <v>167871</v>
      </c>
      <c r="BV20" s="245">
        <f t="shared" si="6"/>
        <v>21917237.760000002</v>
      </c>
    </row>
    <row r="21" spans="1:74" ht="22.5" customHeight="1" x14ac:dyDescent="0.25">
      <c r="A21" s="364"/>
      <c r="B21" s="244" t="s">
        <v>12258</v>
      </c>
      <c r="C21" s="217">
        <v>104</v>
      </c>
      <c r="D21" s="217">
        <f t="shared" si="4"/>
        <v>104</v>
      </c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194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4"/>
      <c r="BQ21" s="204">
        <f t="shared" si="3"/>
        <v>0</v>
      </c>
      <c r="BR21" s="204">
        <f t="shared" si="3"/>
        <v>0</v>
      </c>
      <c r="BS21" s="194">
        <v>1.92</v>
      </c>
      <c r="BT21" s="216">
        <f t="shared" si="5"/>
        <v>199.68</v>
      </c>
      <c r="BU21" s="217">
        <v>157759</v>
      </c>
      <c r="BV21" s="245">
        <f t="shared" si="6"/>
        <v>31501317.120000001</v>
      </c>
    </row>
    <row r="22" spans="1:74" ht="22.5" customHeight="1" x14ac:dyDescent="0.25">
      <c r="A22" s="364"/>
      <c r="B22" s="244" t="s">
        <v>12259</v>
      </c>
      <c r="C22" s="217">
        <v>104</v>
      </c>
      <c r="D22" s="217">
        <f t="shared" si="4"/>
        <v>104</v>
      </c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204">
        <f t="shared" si="3"/>
        <v>0</v>
      </c>
      <c r="BR22" s="204">
        <f t="shared" si="3"/>
        <v>0</v>
      </c>
      <c r="BS22" s="194">
        <v>1.92</v>
      </c>
      <c r="BT22" s="216">
        <f t="shared" si="5"/>
        <v>199.68</v>
      </c>
      <c r="BU22" s="217">
        <v>157759</v>
      </c>
      <c r="BV22" s="245">
        <f t="shared" si="6"/>
        <v>31501317.120000001</v>
      </c>
    </row>
    <row r="23" spans="1:74" ht="22.5" customHeight="1" x14ac:dyDescent="0.25">
      <c r="A23" s="364"/>
      <c r="B23" s="244" t="s">
        <v>12260</v>
      </c>
      <c r="C23" s="217">
        <v>0</v>
      </c>
      <c r="D23" s="217">
        <f t="shared" si="4"/>
        <v>0</v>
      </c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204">
        <f t="shared" si="3"/>
        <v>0</v>
      </c>
      <c r="BR23" s="204">
        <f t="shared" si="3"/>
        <v>0</v>
      </c>
      <c r="BS23" s="194">
        <v>1.92</v>
      </c>
      <c r="BT23" s="216">
        <f t="shared" si="5"/>
        <v>0</v>
      </c>
      <c r="BU23" s="217"/>
      <c r="BV23" s="245">
        <f t="shared" si="6"/>
        <v>0</v>
      </c>
    </row>
    <row r="24" spans="1:74" ht="28.5" customHeight="1" x14ac:dyDescent="0.25">
      <c r="A24" s="364"/>
      <c r="B24" s="244" t="s">
        <v>12302</v>
      </c>
      <c r="C24" s="217">
        <v>0</v>
      </c>
      <c r="D24" s="217">
        <f t="shared" si="4"/>
        <v>140</v>
      </c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>
        <v>140</v>
      </c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204">
        <f t="shared" si="3"/>
        <v>140</v>
      </c>
      <c r="BR24" s="204">
        <f t="shared" si="3"/>
        <v>0</v>
      </c>
      <c r="BS24" s="194">
        <v>1.92</v>
      </c>
      <c r="BT24" s="216">
        <f t="shared" si="5"/>
        <v>268.8</v>
      </c>
      <c r="BU24" s="217"/>
      <c r="BV24" s="245">
        <f t="shared" si="6"/>
        <v>0</v>
      </c>
    </row>
    <row r="25" spans="1:74" ht="36" customHeight="1" x14ac:dyDescent="0.25">
      <c r="A25" s="364"/>
      <c r="B25" s="213" t="s">
        <v>12303</v>
      </c>
      <c r="C25" s="217">
        <v>0</v>
      </c>
      <c r="D25" s="217">
        <f t="shared" si="4"/>
        <v>112</v>
      </c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>
        <v>112</v>
      </c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204">
        <f t="shared" si="3"/>
        <v>112</v>
      </c>
      <c r="BR25" s="204">
        <f t="shared" si="3"/>
        <v>0</v>
      </c>
      <c r="BS25" s="194">
        <v>1.92</v>
      </c>
      <c r="BT25" s="216">
        <f t="shared" si="5"/>
        <v>215.04</v>
      </c>
      <c r="BU25" s="217"/>
      <c r="BV25" s="245">
        <f t="shared" si="6"/>
        <v>0</v>
      </c>
    </row>
    <row r="26" spans="1:74" ht="33.75" customHeight="1" x14ac:dyDescent="0.25">
      <c r="A26" s="364"/>
      <c r="B26" s="244"/>
      <c r="C26" s="217">
        <v>0</v>
      </c>
      <c r="D26" s="217">
        <f t="shared" si="4"/>
        <v>0</v>
      </c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204">
        <f t="shared" si="3"/>
        <v>0</v>
      </c>
      <c r="BR26" s="204">
        <f t="shared" si="3"/>
        <v>0</v>
      </c>
      <c r="BS26" s="194">
        <v>1.92</v>
      </c>
      <c r="BT26" s="216">
        <f t="shared" si="5"/>
        <v>0</v>
      </c>
      <c r="BU26" s="217"/>
      <c r="BV26" s="245">
        <f t="shared" si="6"/>
        <v>0</v>
      </c>
    </row>
    <row r="27" spans="1:74" ht="32.25" customHeight="1" x14ac:dyDescent="0.25">
      <c r="A27" s="364"/>
      <c r="B27" s="244"/>
      <c r="C27" s="217">
        <v>0</v>
      </c>
      <c r="D27" s="217">
        <f t="shared" si="4"/>
        <v>0</v>
      </c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4"/>
      <c r="BA27" s="194"/>
      <c r="BB27" s="194"/>
      <c r="BC27" s="194"/>
      <c r="BD27" s="194"/>
      <c r="BE27" s="194"/>
      <c r="BF27" s="194"/>
      <c r="BG27" s="194"/>
      <c r="BH27" s="194"/>
      <c r="BI27" s="194"/>
      <c r="BJ27" s="194"/>
      <c r="BK27" s="194"/>
      <c r="BL27" s="194"/>
      <c r="BM27" s="194"/>
      <c r="BN27" s="194"/>
      <c r="BO27" s="194"/>
      <c r="BP27" s="194"/>
      <c r="BQ27" s="204">
        <f t="shared" si="3"/>
        <v>0</v>
      </c>
      <c r="BR27" s="204">
        <f t="shared" si="3"/>
        <v>0</v>
      </c>
      <c r="BS27" s="194">
        <v>1.92</v>
      </c>
      <c r="BT27" s="216">
        <f t="shared" si="5"/>
        <v>0</v>
      </c>
      <c r="BU27" s="217"/>
      <c r="BV27" s="245">
        <f t="shared" si="6"/>
        <v>0</v>
      </c>
    </row>
    <row r="28" spans="1:74" ht="57" customHeight="1" x14ac:dyDescent="0.25">
      <c r="A28" s="364"/>
      <c r="B28" s="244"/>
      <c r="C28" s="217">
        <v>0</v>
      </c>
      <c r="D28" s="217">
        <f t="shared" si="4"/>
        <v>0</v>
      </c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  <c r="BO28" s="194"/>
      <c r="BP28" s="194"/>
      <c r="BQ28" s="204">
        <f t="shared" si="3"/>
        <v>0</v>
      </c>
      <c r="BR28" s="204">
        <f t="shared" si="3"/>
        <v>0</v>
      </c>
      <c r="BS28" s="194">
        <v>1.92</v>
      </c>
      <c r="BT28" s="216">
        <f t="shared" si="5"/>
        <v>0</v>
      </c>
      <c r="BU28" s="217"/>
      <c r="BV28" s="245">
        <f t="shared" si="6"/>
        <v>0</v>
      </c>
    </row>
    <row r="29" spans="1:74" ht="22.5" customHeight="1" x14ac:dyDescent="0.25">
      <c r="A29" s="363" t="s">
        <v>12250</v>
      </c>
      <c r="B29" s="244" t="s">
        <v>12261</v>
      </c>
      <c r="C29" s="217">
        <v>104</v>
      </c>
      <c r="D29" s="217">
        <f t="shared" si="4"/>
        <v>272</v>
      </c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4">
        <v>168</v>
      </c>
      <c r="BD29" s="194"/>
      <c r="BE29" s="194"/>
      <c r="BF29" s="194"/>
      <c r="BG29" s="194"/>
      <c r="BH29" s="194"/>
      <c r="BI29" s="194"/>
      <c r="BJ29" s="194"/>
      <c r="BK29" s="194"/>
      <c r="BL29" s="194"/>
      <c r="BM29" s="194"/>
      <c r="BN29" s="194"/>
      <c r="BO29" s="194"/>
      <c r="BP29" s="194"/>
      <c r="BQ29" s="204">
        <f t="shared" si="3"/>
        <v>168</v>
      </c>
      <c r="BR29" s="204">
        <f t="shared" si="3"/>
        <v>0</v>
      </c>
      <c r="BS29" s="194">
        <v>1.92</v>
      </c>
      <c r="BT29" s="216">
        <f t="shared" si="5"/>
        <v>522.24</v>
      </c>
      <c r="BU29" s="217">
        <v>181440</v>
      </c>
      <c r="BV29" s="245">
        <f t="shared" si="6"/>
        <v>94755225.600000009</v>
      </c>
    </row>
    <row r="30" spans="1:74" ht="22.5" customHeight="1" x14ac:dyDescent="0.25">
      <c r="A30" s="364"/>
      <c r="B30" s="244"/>
      <c r="C30" s="217">
        <v>0</v>
      </c>
      <c r="D30" s="217">
        <f t="shared" si="4"/>
        <v>0</v>
      </c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204">
        <f t="shared" si="3"/>
        <v>0</v>
      </c>
      <c r="BR30" s="204">
        <f t="shared" si="3"/>
        <v>0</v>
      </c>
      <c r="BS30" s="194">
        <v>1.92</v>
      </c>
      <c r="BT30" s="216">
        <f t="shared" si="5"/>
        <v>0</v>
      </c>
      <c r="BU30" s="217"/>
      <c r="BV30" s="245">
        <f t="shared" si="6"/>
        <v>0</v>
      </c>
    </row>
    <row r="31" spans="1:74" ht="22.5" hidden="1" customHeight="1" x14ac:dyDescent="0.25">
      <c r="A31" s="364"/>
      <c r="B31" s="244"/>
      <c r="C31" s="217">
        <v>0</v>
      </c>
      <c r="D31" s="217">
        <f t="shared" si="4"/>
        <v>0</v>
      </c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204">
        <f t="shared" si="3"/>
        <v>0</v>
      </c>
      <c r="BR31" s="204">
        <f t="shared" si="3"/>
        <v>0</v>
      </c>
      <c r="BS31" s="194"/>
      <c r="BT31" s="216">
        <f t="shared" si="5"/>
        <v>0</v>
      </c>
      <c r="BU31" s="217"/>
      <c r="BV31" s="245">
        <f t="shared" si="6"/>
        <v>0</v>
      </c>
    </row>
    <row r="32" spans="1:74" ht="22.5" hidden="1" customHeight="1" x14ac:dyDescent="0.25">
      <c r="A32" s="364"/>
      <c r="B32" s="244"/>
      <c r="C32" s="217">
        <v>0</v>
      </c>
      <c r="D32" s="217">
        <f t="shared" si="4"/>
        <v>0</v>
      </c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204">
        <f t="shared" si="3"/>
        <v>0</v>
      </c>
      <c r="BR32" s="204">
        <f t="shared" si="3"/>
        <v>0</v>
      </c>
      <c r="BS32" s="194"/>
      <c r="BT32" s="216">
        <f t="shared" si="5"/>
        <v>0</v>
      </c>
      <c r="BU32" s="217"/>
      <c r="BV32" s="245">
        <f t="shared" si="6"/>
        <v>0</v>
      </c>
    </row>
    <row r="33" spans="1:74" ht="22.5" hidden="1" customHeight="1" x14ac:dyDescent="0.25">
      <c r="A33" s="365"/>
      <c r="B33" s="244"/>
      <c r="C33" s="217">
        <v>0</v>
      </c>
      <c r="D33" s="217">
        <f t="shared" si="4"/>
        <v>0</v>
      </c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204">
        <f t="shared" si="3"/>
        <v>0</v>
      </c>
      <c r="BR33" s="204">
        <f t="shared" si="3"/>
        <v>0</v>
      </c>
      <c r="BS33" s="194"/>
      <c r="BT33" s="216">
        <f t="shared" si="5"/>
        <v>0</v>
      </c>
      <c r="BU33" s="217"/>
      <c r="BV33" s="245">
        <f t="shared" si="6"/>
        <v>0</v>
      </c>
    </row>
    <row r="34" spans="1:74" ht="22.5" hidden="1" customHeight="1" x14ac:dyDescent="0.25">
      <c r="A34" s="366" t="s">
        <v>12251</v>
      </c>
      <c r="B34" s="244"/>
      <c r="C34" s="217">
        <v>0</v>
      </c>
      <c r="D34" s="217">
        <f t="shared" si="4"/>
        <v>0</v>
      </c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204">
        <f t="shared" si="3"/>
        <v>0</v>
      </c>
      <c r="BR34" s="204">
        <f t="shared" si="3"/>
        <v>0</v>
      </c>
      <c r="BS34" s="194"/>
      <c r="BT34" s="216">
        <f t="shared" si="5"/>
        <v>0</v>
      </c>
      <c r="BU34" s="217"/>
      <c r="BV34" s="245">
        <f t="shared" si="6"/>
        <v>0</v>
      </c>
    </row>
    <row r="35" spans="1:74" ht="22.5" hidden="1" customHeight="1" x14ac:dyDescent="0.25">
      <c r="A35" s="367"/>
      <c r="B35" s="244"/>
      <c r="C35" s="217">
        <v>0</v>
      </c>
      <c r="D35" s="217">
        <f t="shared" si="4"/>
        <v>0</v>
      </c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/>
      <c r="BC35" s="194"/>
      <c r="BD35" s="194"/>
      <c r="BE35" s="194"/>
      <c r="BF35" s="194"/>
      <c r="BG35" s="194"/>
      <c r="BH35" s="194"/>
      <c r="BI35" s="194"/>
      <c r="BJ35" s="194"/>
      <c r="BK35" s="194"/>
      <c r="BL35" s="194"/>
      <c r="BM35" s="194"/>
      <c r="BN35" s="194"/>
      <c r="BO35" s="194"/>
      <c r="BP35" s="194"/>
      <c r="BQ35" s="204">
        <f t="shared" si="3"/>
        <v>0</v>
      </c>
      <c r="BR35" s="204">
        <f t="shared" si="3"/>
        <v>0</v>
      </c>
      <c r="BS35" s="194"/>
      <c r="BT35" s="216">
        <f t="shared" si="5"/>
        <v>0</v>
      </c>
      <c r="BU35" s="217"/>
      <c r="BV35" s="245">
        <f t="shared" si="6"/>
        <v>0</v>
      </c>
    </row>
    <row r="36" spans="1:74" ht="22.5" hidden="1" customHeight="1" x14ac:dyDescent="0.25">
      <c r="A36" s="367"/>
      <c r="B36" s="244"/>
      <c r="C36" s="217">
        <v>0</v>
      </c>
      <c r="D36" s="217">
        <f t="shared" si="4"/>
        <v>0</v>
      </c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4"/>
      <c r="BD36" s="194"/>
      <c r="BE36" s="194"/>
      <c r="BF36" s="194"/>
      <c r="BG36" s="194"/>
      <c r="BH36" s="194"/>
      <c r="BI36" s="194"/>
      <c r="BJ36" s="194"/>
      <c r="BK36" s="194"/>
      <c r="BL36" s="194"/>
      <c r="BM36" s="194"/>
      <c r="BN36" s="194"/>
      <c r="BO36" s="194"/>
      <c r="BP36" s="194"/>
      <c r="BQ36" s="204">
        <f t="shared" si="3"/>
        <v>0</v>
      </c>
      <c r="BR36" s="204">
        <f t="shared" si="3"/>
        <v>0</v>
      </c>
      <c r="BS36" s="194"/>
      <c r="BT36" s="216">
        <f t="shared" si="5"/>
        <v>0</v>
      </c>
      <c r="BU36" s="217"/>
      <c r="BV36" s="245">
        <f t="shared" si="6"/>
        <v>0</v>
      </c>
    </row>
    <row r="37" spans="1:74" ht="22.5" hidden="1" customHeight="1" x14ac:dyDescent="0.25">
      <c r="A37" s="367"/>
      <c r="B37" s="244"/>
      <c r="C37" s="217">
        <v>0</v>
      </c>
      <c r="D37" s="217">
        <f t="shared" si="4"/>
        <v>0</v>
      </c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  <c r="BB37" s="194"/>
      <c r="BC37" s="194"/>
      <c r="BD37" s="194"/>
      <c r="BE37" s="194"/>
      <c r="BF37" s="194"/>
      <c r="BG37" s="194"/>
      <c r="BH37" s="194"/>
      <c r="BI37" s="194"/>
      <c r="BJ37" s="194"/>
      <c r="BK37" s="194"/>
      <c r="BL37" s="194"/>
      <c r="BM37" s="194"/>
      <c r="BN37" s="194"/>
      <c r="BO37" s="194"/>
      <c r="BP37" s="194"/>
      <c r="BQ37" s="204">
        <f t="shared" si="3"/>
        <v>0</v>
      </c>
      <c r="BR37" s="204">
        <f t="shared" si="3"/>
        <v>0</v>
      </c>
      <c r="BS37" s="194"/>
      <c r="BT37" s="216">
        <f t="shared" si="5"/>
        <v>0</v>
      </c>
      <c r="BU37" s="217"/>
      <c r="BV37" s="245">
        <f t="shared" si="6"/>
        <v>0</v>
      </c>
    </row>
    <row r="38" spans="1:74" ht="22.5" hidden="1" customHeight="1" x14ac:dyDescent="0.25">
      <c r="A38" s="367"/>
      <c r="B38" s="244"/>
      <c r="C38" s="217">
        <v>0</v>
      </c>
      <c r="D38" s="217">
        <f t="shared" si="4"/>
        <v>0</v>
      </c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194"/>
      <c r="AY38" s="194"/>
      <c r="AZ38" s="194"/>
      <c r="BA38" s="194"/>
      <c r="BB38" s="194"/>
      <c r="BC38" s="194"/>
      <c r="BD38" s="194"/>
      <c r="BE38" s="194"/>
      <c r="BF38" s="194"/>
      <c r="BG38" s="194"/>
      <c r="BH38" s="194"/>
      <c r="BI38" s="194"/>
      <c r="BJ38" s="194"/>
      <c r="BK38" s="194"/>
      <c r="BL38" s="194"/>
      <c r="BM38" s="194"/>
      <c r="BN38" s="194"/>
      <c r="BO38" s="194"/>
      <c r="BP38" s="194"/>
      <c r="BQ38" s="204">
        <f t="shared" si="3"/>
        <v>0</v>
      </c>
      <c r="BR38" s="204">
        <f t="shared" si="3"/>
        <v>0</v>
      </c>
      <c r="BS38" s="194"/>
      <c r="BT38" s="216">
        <f t="shared" si="5"/>
        <v>0</v>
      </c>
      <c r="BU38" s="217"/>
      <c r="BV38" s="245">
        <f t="shared" si="6"/>
        <v>0</v>
      </c>
    </row>
    <row r="39" spans="1:74" ht="22.5" hidden="1" customHeight="1" x14ac:dyDescent="0.25">
      <c r="A39" s="367"/>
      <c r="B39" s="244"/>
      <c r="C39" s="217">
        <v>0</v>
      </c>
      <c r="D39" s="217">
        <f t="shared" si="4"/>
        <v>0</v>
      </c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4"/>
      <c r="AY39" s="194"/>
      <c r="AZ39" s="194"/>
      <c r="BA39" s="194"/>
      <c r="BB39" s="194"/>
      <c r="BC39" s="194"/>
      <c r="BD39" s="194"/>
      <c r="BE39" s="194"/>
      <c r="BF39" s="194"/>
      <c r="BG39" s="194"/>
      <c r="BH39" s="194"/>
      <c r="BI39" s="194"/>
      <c r="BJ39" s="194"/>
      <c r="BK39" s="194"/>
      <c r="BL39" s="194"/>
      <c r="BM39" s="194"/>
      <c r="BN39" s="194"/>
      <c r="BO39" s="194"/>
      <c r="BP39" s="194"/>
      <c r="BQ39" s="204">
        <f t="shared" si="3"/>
        <v>0</v>
      </c>
      <c r="BR39" s="204">
        <f t="shared" si="3"/>
        <v>0</v>
      </c>
      <c r="BS39" s="194"/>
      <c r="BT39" s="216">
        <f t="shared" si="5"/>
        <v>0</v>
      </c>
      <c r="BU39" s="217"/>
      <c r="BV39" s="245">
        <f t="shared" si="6"/>
        <v>0</v>
      </c>
    </row>
    <row r="40" spans="1:74" ht="22.5" hidden="1" customHeight="1" x14ac:dyDescent="0.25">
      <c r="A40" s="367"/>
      <c r="B40" s="244"/>
      <c r="C40" s="217">
        <v>0</v>
      </c>
      <c r="D40" s="217">
        <f t="shared" si="4"/>
        <v>0</v>
      </c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94"/>
      <c r="BA40" s="194"/>
      <c r="BB40" s="194"/>
      <c r="BC40" s="194"/>
      <c r="BD40" s="194"/>
      <c r="BE40" s="194"/>
      <c r="BF40" s="194"/>
      <c r="BG40" s="194"/>
      <c r="BH40" s="194"/>
      <c r="BI40" s="194"/>
      <c r="BJ40" s="194"/>
      <c r="BK40" s="194"/>
      <c r="BL40" s="194"/>
      <c r="BM40" s="194"/>
      <c r="BN40" s="194"/>
      <c r="BO40" s="194"/>
      <c r="BP40" s="194"/>
      <c r="BQ40" s="204">
        <f t="shared" si="3"/>
        <v>0</v>
      </c>
      <c r="BR40" s="204">
        <f t="shared" si="3"/>
        <v>0</v>
      </c>
      <c r="BS40" s="194"/>
      <c r="BT40" s="216">
        <f t="shared" si="5"/>
        <v>0</v>
      </c>
      <c r="BU40" s="217"/>
      <c r="BV40" s="245">
        <f t="shared" si="6"/>
        <v>0</v>
      </c>
    </row>
    <row r="41" spans="1:74" ht="22.5" hidden="1" customHeight="1" x14ac:dyDescent="0.25">
      <c r="A41" s="368"/>
      <c r="B41" s="244"/>
      <c r="C41" s="217">
        <v>0</v>
      </c>
      <c r="D41" s="217">
        <f t="shared" si="4"/>
        <v>0</v>
      </c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4"/>
      <c r="AX41" s="194"/>
      <c r="AY41" s="194"/>
      <c r="AZ41" s="194"/>
      <c r="BA41" s="194"/>
      <c r="BB41" s="194"/>
      <c r="BC41" s="194"/>
      <c r="BD41" s="194"/>
      <c r="BE41" s="194"/>
      <c r="BF41" s="194"/>
      <c r="BG41" s="194"/>
      <c r="BH41" s="194"/>
      <c r="BI41" s="194"/>
      <c r="BJ41" s="194"/>
      <c r="BK41" s="194"/>
      <c r="BL41" s="194"/>
      <c r="BM41" s="194"/>
      <c r="BN41" s="194"/>
      <c r="BO41" s="194"/>
      <c r="BP41" s="194"/>
      <c r="BQ41" s="204">
        <f t="shared" si="3"/>
        <v>0</v>
      </c>
      <c r="BR41" s="204">
        <f t="shared" si="3"/>
        <v>0</v>
      </c>
      <c r="BS41" s="194"/>
      <c r="BT41" s="216">
        <f t="shared" si="5"/>
        <v>0</v>
      </c>
      <c r="BU41" s="217"/>
      <c r="BV41" s="245">
        <f t="shared" si="6"/>
        <v>0</v>
      </c>
    </row>
    <row r="42" spans="1:74" ht="22.5" hidden="1" customHeight="1" x14ac:dyDescent="0.25">
      <c r="A42" s="366" t="s">
        <v>12252</v>
      </c>
      <c r="B42" s="244"/>
      <c r="C42" s="217">
        <v>0</v>
      </c>
      <c r="D42" s="217">
        <f t="shared" si="4"/>
        <v>0</v>
      </c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204">
        <f t="shared" si="3"/>
        <v>0</v>
      </c>
      <c r="BR42" s="204">
        <f t="shared" si="3"/>
        <v>0</v>
      </c>
      <c r="BS42" s="194"/>
      <c r="BT42" s="216">
        <f t="shared" si="5"/>
        <v>0</v>
      </c>
      <c r="BU42" s="217"/>
      <c r="BV42" s="245">
        <f t="shared" si="6"/>
        <v>0</v>
      </c>
    </row>
    <row r="43" spans="1:74" ht="22.5" hidden="1" customHeight="1" x14ac:dyDescent="0.25">
      <c r="A43" s="367"/>
      <c r="B43" s="244"/>
      <c r="C43" s="217">
        <v>0</v>
      </c>
      <c r="D43" s="217">
        <f t="shared" si="4"/>
        <v>0</v>
      </c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  <c r="BP43" s="194"/>
      <c r="BQ43" s="204">
        <f t="shared" si="3"/>
        <v>0</v>
      </c>
      <c r="BR43" s="204">
        <f t="shared" si="3"/>
        <v>0</v>
      </c>
      <c r="BS43" s="194"/>
      <c r="BT43" s="216">
        <f t="shared" si="5"/>
        <v>0</v>
      </c>
      <c r="BU43" s="217"/>
      <c r="BV43" s="245">
        <f t="shared" si="6"/>
        <v>0</v>
      </c>
    </row>
    <row r="44" spans="1:74" ht="22.5" hidden="1" customHeight="1" x14ac:dyDescent="0.25">
      <c r="A44" s="367"/>
      <c r="B44" s="244"/>
      <c r="C44" s="217">
        <v>0</v>
      </c>
      <c r="D44" s="217">
        <f t="shared" si="4"/>
        <v>0</v>
      </c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4"/>
      <c r="AX44" s="194"/>
      <c r="AY44" s="194"/>
      <c r="AZ44" s="194"/>
      <c r="BA44" s="194"/>
      <c r="BB44" s="194"/>
      <c r="BC44" s="194"/>
      <c r="BD44" s="194"/>
      <c r="BE44" s="194"/>
      <c r="BF44" s="194"/>
      <c r="BG44" s="194"/>
      <c r="BH44" s="194"/>
      <c r="BI44" s="194"/>
      <c r="BJ44" s="194"/>
      <c r="BK44" s="194"/>
      <c r="BL44" s="194"/>
      <c r="BM44" s="194"/>
      <c r="BN44" s="194"/>
      <c r="BO44" s="194"/>
      <c r="BP44" s="194"/>
      <c r="BQ44" s="204">
        <f t="shared" si="3"/>
        <v>0</v>
      </c>
      <c r="BR44" s="204">
        <f t="shared" si="3"/>
        <v>0</v>
      </c>
      <c r="BS44" s="194"/>
      <c r="BT44" s="216">
        <f t="shared" si="5"/>
        <v>0</v>
      </c>
      <c r="BU44" s="217"/>
      <c r="BV44" s="245">
        <f t="shared" si="6"/>
        <v>0</v>
      </c>
    </row>
    <row r="45" spans="1:74" ht="22.5" hidden="1" customHeight="1" x14ac:dyDescent="0.25">
      <c r="A45" s="367"/>
      <c r="B45" s="244"/>
      <c r="C45" s="217">
        <v>0</v>
      </c>
      <c r="D45" s="217">
        <f t="shared" si="4"/>
        <v>0</v>
      </c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  <c r="BB45" s="194"/>
      <c r="BC45" s="194"/>
      <c r="BD45" s="194"/>
      <c r="BE45" s="194"/>
      <c r="BF45" s="194"/>
      <c r="BG45" s="194"/>
      <c r="BH45" s="194"/>
      <c r="BI45" s="194"/>
      <c r="BJ45" s="194"/>
      <c r="BK45" s="194"/>
      <c r="BL45" s="194"/>
      <c r="BM45" s="194"/>
      <c r="BN45" s="194"/>
      <c r="BO45" s="194"/>
      <c r="BP45" s="194"/>
      <c r="BQ45" s="204">
        <f t="shared" si="3"/>
        <v>0</v>
      </c>
      <c r="BR45" s="204">
        <f t="shared" si="3"/>
        <v>0</v>
      </c>
      <c r="BS45" s="194"/>
      <c r="BT45" s="216">
        <f t="shared" si="5"/>
        <v>0</v>
      </c>
      <c r="BU45" s="217"/>
      <c r="BV45" s="245">
        <f t="shared" si="6"/>
        <v>0</v>
      </c>
    </row>
    <row r="46" spans="1:74" ht="22.5" hidden="1" customHeight="1" x14ac:dyDescent="0.25">
      <c r="A46" s="367"/>
      <c r="B46" s="194"/>
      <c r="C46" s="217">
        <v>0</v>
      </c>
      <c r="D46" s="217">
        <f t="shared" si="4"/>
        <v>0</v>
      </c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194"/>
      <c r="AY46" s="194"/>
      <c r="AZ46" s="194"/>
      <c r="BA46" s="194"/>
      <c r="BB46" s="194"/>
      <c r="BC46" s="194"/>
      <c r="BD46" s="194"/>
      <c r="BE46" s="194"/>
      <c r="BF46" s="194"/>
      <c r="BG46" s="194"/>
      <c r="BH46" s="194"/>
      <c r="BI46" s="194"/>
      <c r="BJ46" s="194"/>
      <c r="BK46" s="194"/>
      <c r="BL46" s="194"/>
      <c r="BM46" s="194"/>
      <c r="BN46" s="194"/>
      <c r="BO46" s="194"/>
      <c r="BP46" s="194"/>
      <c r="BQ46" s="204">
        <f t="shared" si="3"/>
        <v>0</v>
      </c>
      <c r="BR46" s="204">
        <f t="shared" si="3"/>
        <v>0</v>
      </c>
      <c r="BS46" s="194"/>
      <c r="BT46" s="216">
        <f t="shared" si="5"/>
        <v>0</v>
      </c>
      <c r="BU46" s="217"/>
      <c r="BV46" s="245">
        <f t="shared" si="6"/>
        <v>0</v>
      </c>
    </row>
    <row r="47" spans="1:74" ht="22.5" hidden="1" customHeight="1" x14ac:dyDescent="0.25">
      <c r="A47" s="368"/>
      <c r="B47" s="194"/>
      <c r="C47" s="217">
        <v>0</v>
      </c>
      <c r="D47" s="217">
        <f t="shared" si="4"/>
        <v>0</v>
      </c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4"/>
      <c r="AX47" s="194"/>
      <c r="AY47" s="194"/>
      <c r="AZ47" s="194"/>
      <c r="BA47" s="194"/>
      <c r="BB47" s="194"/>
      <c r="BC47" s="194"/>
      <c r="BD47" s="194"/>
      <c r="BE47" s="194"/>
      <c r="BF47" s="194"/>
      <c r="BG47" s="194"/>
      <c r="BH47" s="194"/>
      <c r="BI47" s="194"/>
      <c r="BJ47" s="194"/>
      <c r="BK47" s="194"/>
      <c r="BL47" s="194"/>
      <c r="BM47" s="194"/>
      <c r="BN47" s="194"/>
      <c r="BO47" s="194"/>
      <c r="BP47" s="194"/>
      <c r="BQ47" s="204">
        <f t="shared" si="3"/>
        <v>0</v>
      </c>
      <c r="BR47" s="204">
        <f t="shared" si="3"/>
        <v>0</v>
      </c>
      <c r="BS47" s="194"/>
      <c r="BT47" s="216">
        <f t="shared" si="5"/>
        <v>0</v>
      </c>
      <c r="BU47" s="217"/>
      <c r="BV47" s="245">
        <f t="shared" si="6"/>
        <v>0</v>
      </c>
    </row>
    <row r="48" spans="1:74" ht="22.5" hidden="1" customHeight="1" x14ac:dyDescent="0.25">
      <c r="A48" s="366" t="s">
        <v>12255</v>
      </c>
      <c r="B48" s="194"/>
      <c r="C48" s="217">
        <v>0</v>
      </c>
      <c r="D48" s="217">
        <f t="shared" si="4"/>
        <v>0</v>
      </c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94"/>
      <c r="AY48" s="194"/>
      <c r="AZ48" s="194"/>
      <c r="BA48" s="194"/>
      <c r="BB48" s="194"/>
      <c r="BC48" s="194"/>
      <c r="BD48" s="194"/>
      <c r="BE48" s="194"/>
      <c r="BF48" s="194"/>
      <c r="BG48" s="194"/>
      <c r="BH48" s="194"/>
      <c r="BI48" s="194"/>
      <c r="BJ48" s="194"/>
      <c r="BK48" s="194"/>
      <c r="BL48" s="194"/>
      <c r="BM48" s="194"/>
      <c r="BN48" s="194"/>
      <c r="BO48" s="194"/>
      <c r="BP48" s="194"/>
      <c r="BQ48" s="204">
        <f t="shared" si="3"/>
        <v>0</v>
      </c>
      <c r="BR48" s="204">
        <f t="shared" si="3"/>
        <v>0</v>
      </c>
      <c r="BS48" s="194"/>
      <c r="BT48" s="216">
        <f t="shared" si="5"/>
        <v>0</v>
      </c>
      <c r="BU48" s="217"/>
      <c r="BV48" s="245">
        <f t="shared" si="6"/>
        <v>0</v>
      </c>
    </row>
    <row r="49" spans="1:74" ht="22.5" hidden="1" customHeight="1" x14ac:dyDescent="0.25">
      <c r="A49" s="367"/>
      <c r="B49" s="194"/>
      <c r="C49" s="217">
        <v>0</v>
      </c>
      <c r="D49" s="217">
        <f t="shared" si="4"/>
        <v>0</v>
      </c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  <c r="BO49" s="194"/>
      <c r="BP49" s="194"/>
      <c r="BQ49" s="204">
        <f t="shared" si="3"/>
        <v>0</v>
      </c>
      <c r="BR49" s="204">
        <f t="shared" si="3"/>
        <v>0</v>
      </c>
      <c r="BS49" s="194"/>
      <c r="BT49" s="216">
        <f t="shared" si="5"/>
        <v>0</v>
      </c>
      <c r="BU49" s="217"/>
      <c r="BV49" s="245">
        <f t="shared" si="6"/>
        <v>0</v>
      </c>
    </row>
    <row r="50" spans="1:74" ht="22.5" hidden="1" customHeight="1" x14ac:dyDescent="0.25">
      <c r="A50" s="367"/>
      <c r="B50" s="194"/>
      <c r="C50" s="217">
        <v>0</v>
      </c>
      <c r="D50" s="217">
        <f t="shared" si="4"/>
        <v>0</v>
      </c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  <c r="BB50" s="194"/>
      <c r="BC50" s="194"/>
      <c r="BD50" s="194"/>
      <c r="BE50" s="194"/>
      <c r="BF50" s="194"/>
      <c r="BG50" s="194"/>
      <c r="BH50" s="194"/>
      <c r="BI50" s="194"/>
      <c r="BJ50" s="194"/>
      <c r="BK50" s="194"/>
      <c r="BL50" s="194"/>
      <c r="BM50" s="194"/>
      <c r="BN50" s="194"/>
      <c r="BO50" s="194"/>
      <c r="BP50" s="194"/>
      <c r="BQ50" s="204">
        <f t="shared" si="3"/>
        <v>0</v>
      </c>
      <c r="BR50" s="204">
        <f t="shared" si="3"/>
        <v>0</v>
      </c>
      <c r="BS50" s="194"/>
      <c r="BT50" s="216">
        <f t="shared" si="5"/>
        <v>0</v>
      </c>
      <c r="BU50" s="217"/>
      <c r="BV50" s="245">
        <f t="shared" si="6"/>
        <v>0</v>
      </c>
    </row>
    <row r="51" spans="1:74" ht="22.5" hidden="1" customHeight="1" x14ac:dyDescent="0.25">
      <c r="A51" s="367"/>
      <c r="B51" s="194"/>
      <c r="C51" s="217">
        <v>0</v>
      </c>
      <c r="D51" s="217">
        <f t="shared" si="4"/>
        <v>0</v>
      </c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4"/>
      <c r="BA51" s="194"/>
      <c r="BB51" s="194"/>
      <c r="BC51" s="194"/>
      <c r="BD51" s="194"/>
      <c r="BE51" s="194"/>
      <c r="BF51" s="194"/>
      <c r="BG51" s="194"/>
      <c r="BH51" s="194"/>
      <c r="BI51" s="194"/>
      <c r="BJ51" s="194"/>
      <c r="BK51" s="194"/>
      <c r="BL51" s="194"/>
      <c r="BM51" s="194"/>
      <c r="BN51" s="194"/>
      <c r="BO51" s="194"/>
      <c r="BP51" s="194"/>
      <c r="BQ51" s="204">
        <f t="shared" si="3"/>
        <v>0</v>
      </c>
      <c r="BR51" s="204">
        <f t="shared" si="3"/>
        <v>0</v>
      </c>
      <c r="BS51" s="194"/>
      <c r="BT51" s="216">
        <f t="shared" si="5"/>
        <v>0</v>
      </c>
      <c r="BU51" s="217"/>
      <c r="BV51" s="245">
        <f t="shared" si="6"/>
        <v>0</v>
      </c>
    </row>
    <row r="52" spans="1:74" ht="22.5" hidden="1" customHeight="1" x14ac:dyDescent="0.25">
      <c r="A52" s="367"/>
      <c r="B52" s="194"/>
      <c r="C52" s="217">
        <v>0</v>
      </c>
      <c r="D52" s="217">
        <f t="shared" si="4"/>
        <v>0</v>
      </c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204">
        <f t="shared" si="3"/>
        <v>0</v>
      </c>
      <c r="BR52" s="204">
        <f t="shared" si="3"/>
        <v>0</v>
      </c>
      <c r="BS52" s="194"/>
      <c r="BT52" s="216">
        <f t="shared" si="5"/>
        <v>0</v>
      </c>
      <c r="BU52" s="217"/>
      <c r="BV52" s="245">
        <f t="shared" si="6"/>
        <v>0</v>
      </c>
    </row>
    <row r="53" spans="1:74" ht="22.5" hidden="1" customHeight="1" x14ac:dyDescent="0.25">
      <c r="A53" s="367"/>
      <c r="B53" s="194"/>
      <c r="C53" s="217">
        <v>0</v>
      </c>
      <c r="D53" s="217">
        <f t="shared" si="4"/>
        <v>0</v>
      </c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204">
        <f t="shared" si="3"/>
        <v>0</v>
      </c>
      <c r="BR53" s="204">
        <f t="shared" si="3"/>
        <v>0</v>
      </c>
      <c r="BS53" s="194"/>
      <c r="BT53" s="216">
        <f t="shared" si="5"/>
        <v>0</v>
      </c>
      <c r="BU53" s="217"/>
      <c r="BV53" s="245">
        <f t="shared" si="6"/>
        <v>0</v>
      </c>
    </row>
    <row r="54" spans="1:74" ht="22.5" hidden="1" customHeight="1" x14ac:dyDescent="0.25">
      <c r="A54" s="367"/>
      <c r="B54" s="194"/>
      <c r="C54" s="217">
        <v>0</v>
      </c>
      <c r="D54" s="217">
        <f t="shared" si="4"/>
        <v>0</v>
      </c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204">
        <f t="shared" si="3"/>
        <v>0</v>
      </c>
      <c r="BR54" s="204">
        <f t="shared" si="3"/>
        <v>0</v>
      </c>
      <c r="BS54" s="194"/>
      <c r="BT54" s="216">
        <f t="shared" si="5"/>
        <v>0</v>
      </c>
      <c r="BU54" s="217"/>
      <c r="BV54" s="245">
        <f t="shared" si="6"/>
        <v>0</v>
      </c>
    </row>
    <row r="55" spans="1:74" ht="22.5" hidden="1" customHeight="1" x14ac:dyDescent="0.25">
      <c r="A55" s="367"/>
      <c r="B55" s="194"/>
      <c r="C55" s="217">
        <v>0</v>
      </c>
      <c r="D55" s="217">
        <f t="shared" si="4"/>
        <v>0</v>
      </c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204">
        <f t="shared" si="3"/>
        <v>0</v>
      </c>
      <c r="BR55" s="204">
        <f t="shared" si="3"/>
        <v>0</v>
      </c>
      <c r="BS55" s="194"/>
      <c r="BT55" s="216">
        <f t="shared" si="5"/>
        <v>0</v>
      </c>
      <c r="BU55" s="217"/>
      <c r="BV55" s="245">
        <f t="shared" si="6"/>
        <v>0</v>
      </c>
    </row>
    <row r="56" spans="1:74" ht="22.5" hidden="1" customHeight="1" x14ac:dyDescent="0.25">
      <c r="A56" s="367"/>
      <c r="B56" s="194"/>
      <c r="C56" s="217">
        <v>0</v>
      </c>
      <c r="D56" s="217">
        <f t="shared" si="4"/>
        <v>0</v>
      </c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204">
        <f t="shared" si="3"/>
        <v>0</v>
      </c>
      <c r="BR56" s="204">
        <f t="shared" si="3"/>
        <v>0</v>
      </c>
      <c r="BS56" s="194"/>
      <c r="BT56" s="216">
        <f t="shared" si="5"/>
        <v>0</v>
      </c>
      <c r="BU56" s="217"/>
      <c r="BV56" s="245">
        <f t="shared" si="6"/>
        <v>0</v>
      </c>
    </row>
    <row r="57" spans="1:74" ht="22.5" hidden="1" customHeight="1" x14ac:dyDescent="0.25">
      <c r="A57" s="367"/>
      <c r="B57" s="194"/>
      <c r="C57" s="217">
        <v>0</v>
      </c>
      <c r="D57" s="217">
        <f t="shared" si="4"/>
        <v>0</v>
      </c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204">
        <f t="shared" si="3"/>
        <v>0</v>
      </c>
      <c r="BR57" s="204">
        <f t="shared" si="3"/>
        <v>0</v>
      </c>
      <c r="BS57" s="194"/>
      <c r="BT57" s="216">
        <f t="shared" si="5"/>
        <v>0</v>
      </c>
      <c r="BU57" s="217"/>
      <c r="BV57" s="245">
        <f t="shared" si="6"/>
        <v>0</v>
      </c>
    </row>
    <row r="58" spans="1:74" ht="22.5" hidden="1" customHeight="1" x14ac:dyDescent="0.25">
      <c r="A58" s="367"/>
      <c r="B58" s="194"/>
      <c r="C58" s="217">
        <v>0</v>
      </c>
      <c r="D58" s="217">
        <f t="shared" si="4"/>
        <v>0</v>
      </c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204">
        <f t="shared" si="3"/>
        <v>0</v>
      </c>
      <c r="BR58" s="204">
        <f t="shared" si="3"/>
        <v>0</v>
      </c>
      <c r="BS58" s="194"/>
      <c r="BT58" s="216">
        <f t="shared" si="5"/>
        <v>0</v>
      </c>
      <c r="BU58" s="217"/>
      <c r="BV58" s="245">
        <f t="shared" si="6"/>
        <v>0</v>
      </c>
    </row>
    <row r="59" spans="1:74" ht="22.5" hidden="1" customHeight="1" x14ac:dyDescent="0.25">
      <c r="A59" s="367"/>
      <c r="B59" s="194"/>
      <c r="C59" s="217">
        <v>0</v>
      </c>
      <c r="D59" s="217">
        <f t="shared" si="4"/>
        <v>0</v>
      </c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194"/>
      <c r="BE59" s="194"/>
      <c r="BF59" s="194"/>
      <c r="BG59" s="194"/>
      <c r="BH59" s="194"/>
      <c r="BI59" s="194"/>
      <c r="BJ59" s="194"/>
      <c r="BK59" s="194"/>
      <c r="BL59" s="194"/>
      <c r="BM59" s="194"/>
      <c r="BN59" s="194"/>
      <c r="BO59" s="194"/>
      <c r="BP59" s="194"/>
      <c r="BQ59" s="204">
        <f t="shared" si="3"/>
        <v>0</v>
      </c>
      <c r="BR59" s="204">
        <f t="shared" si="3"/>
        <v>0</v>
      </c>
      <c r="BS59" s="194"/>
      <c r="BT59" s="216">
        <f t="shared" si="5"/>
        <v>0</v>
      </c>
      <c r="BU59" s="217"/>
      <c r="BV59" s="245">
        <f t="shared" si="6"/>
        <v>0</v>
      </c>
    </row>
    <row r="60" spans="1:74" ht="22.5" hidden="1" customHeight="1" x14ac:dyDescent="0.25">
      <c r="A60" s="367"/>
      <c r="B60" s="194"/>
      <c r="C60" s="217">
        <v>0</v>
      </c>
      <c r="D60" s="217">
        <f t="shared" si="4"/>
        <v>0</v>
      </c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194"/>
      <c r="BG60" s="194"/>
      <c r="BH60" s="194"/>
      <c r="BI60" s="194"/>
      <c r="BJ60" s="194"/>
      <c r="BK60" s="194"/>
      <c r="BL60" s="194"/>
      <c r="BM60" s="194"/>
      <c r="BN60" s="194"/>
      <c r="BO60" s="194"/>
      <c r="BP60" s="194"/>
      <c r="BQ60" s="204">
        <f t="shared" si="3"/>
        <v>0</v>
      </c>
      <c r="BR60" s="204">
        <f t="shared" si="3"/>
        <v>0</v>
      </c>
      <c r="BS60" s="194"/>
      <c r="BT60" s="216">
        <f t="shared" si="5"/>
        <v>0</v>
      </c>
      <c r="BU60" s="217"/>
      <c r="BV60" s="245">
        <f t="shared" si="6"/>
        <v>0</v>
      </c>
    </row>
    <row r="61" spans="1:74" ht="22.5" hidden="1" customHeight="1" x14ac:dyDescent="0.25">
      <c r="A61" s="367"/>
      <c r="B61" s="194"/>
      <c r="C61" s="217">
        <v>0</v>
      </c>
      <c r="D61" s="217">
        <f t="shared" si="4"/>
        <v>0</v>
      </c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204">
        <f t="shared" si="3"/>
        <v>0</v>
      </c>
      <c r="BR61" s="204">
        <f t="shared" si="3"/>
        <v>0</v>
      </c>
      <c r="BS61" s="194"/>
      <c r="BT61" s="216">
        <f t="shared" si="5"/>
        <v>0</v>
      </c>
      <c r="BU61" s="217"/>
      <c r="BV61" s="245">
        <f t="shared" si="6"/>
        <v>0</v>
      </c>
    </row>
    <row r="62" spans="1:74" ht="22.5" hidden="1" customHeight="1" x14ac:dyDescent="0.25">
      <c r="A62" s="367"/>
      <c r="B62" s="194"/>
      <c r="C62" s="217">
        <v>0</v>
      </c>
      <c r="D62" s="217">
        <f t="shared" si="4"/>
        <v>0</v>
      </c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/>
      <c r="BO62" s="194"/>
      <c r="BP62" s="194"/>
      <c r="BQ62" s="204">
        <f t="shared" si="3"/>
        <v>0</v>
      </c>
      <c r="BR62" s="204">
        <f t="shared" si="3"/>
        <v>0</v>
      </c>
      <c r="BS62" s="194"/>
      <c r="BT62" s="216">
        <f t="shared" si="5"/>
        <v>0</v>
      </c>
      <c r="BU62" s="217"/>
      <c r="BV62" s="245">
        <f t="shared" si="6"/>
        <v>0</v>
      </c>
    </row>
    <row r="63" spans="1:74" ht="22.5" customHeight="1" x14ac:dyDescent="0.25">
      <c r="A63" s="369" t="s">
        <v>12256</v>
      </c>
      <c r="B63" s="194" t="s">
        <v>12262</v>
      </c>
      <c r="C63" s="217">
        <v>174</v>
      </c>
      <c r="D63" s="217">
        <f t="shared" si="4"/>
        <v>174</v>
      </c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204">
        <f t="shared" si="3"/>
        <v>0</v>
      </c>
      <c r="BR63" s="204">
        <f t="shared" si="3"/>
        <v>0</v>
      </c>
      <c r="BS63" s="194">
        <v>1.28</v>
      </c>
      <c r="BT63" s="216">
        <f t="shared" si="5"/>
        <v>222.72</v>
      </c>
      <c r="BU63" s="217">
        <v>131465</v>
      </c>
      <c r="BV63" s="245">
        <f t="shared" si="6"/>
        <v>29279884.800000001</v>
      </c>
    </row>
    <row r="64" spans="1:74" ht="22.5" customHeight="1" x14ac:dyDescent="0.25">
      <c r="A64" s="369"/>
      <c r="B64" s="194" t="s">
        <v>12263</v>
      </c>
      <c r="C64" s="217">
        <v>118</v>
      </c>
      <c r="D64" s="217">
        <f t="shared" si="4"/>
        <v>0</v>
      </c>
      <c r="E64" s="194"/>
      <c r="F64" s="194"/>
      <c r="G64" s="194"/>
      <c r="H64" s="194"/>
      <c r="I64" s="194"/>
      <c r="J64" s="194"/>
      <c r="K64" s="194"/>
      <c r="L64" s="194"/>
      <c r="M64" s="194"/>
      <c r="N64" s="194">
        <v>40</v>
      </c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>
        <v>78</v>
      </c>
      <c r="BI64" s="194"/>
      <c r="BJ64" s="194"/>
      <c r="BK64" s="194"/>
      <c r="BL64" s="194"/>
      <c r="BM64" s="194"/>
      <c r="BN64" s="194"/>
      <c r="BO64" s="194"/>
      <c r="BP64" s="194"/>
      <c r="BQ64" s="204">
        <f t="shared" si="3"/>
        <v>0</v>
      </c>
      <c r="BR64" s="204">
        <f t="shared" si="3"/>
        <v>118</v>
      </c>
      <c r="BS64" s="194">
        <v>1.28</v>
      </c>
      <c r="BT64" s="216">
        <f t="shared" si="5"/>
        <v>0</v>
      </c>
      <c r="BU64" s="217">
        <v>185461</v>
      </c>
      <c r="BV64" s="245">
        <f t="shared" si="6"/>
        <v>0</v>
      </c>
    </row>
    <row r="65" spans="1:74" ht="22.5" customHeight="1" x14ac:dyDescent="0.25">
      <c r="A65" s="369"/>
      <c r="B65" s="194" t="s">
        <v>12264</v>
      </c>
      <c r="C65" s="217">
        <v>196</v>
      </c>
      <c r="D65" s="217">
        <f t="shared" si="4"/>
        <v>166</v>
      </c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>
        <v>30</v>
      </c>
      <c r="BK65" s="194"/>
      <c r="BL65" s="194"/>
      <c r="BM65" s="194"/>
      <c r="BN65" s="194"/>
      <c r="BO65" s="194"/>
      <c r="BP65" s="194"/>
      <c r="BQ65" s="204">
        <f t="shared" si="3"/>
        <v>0</v>
      </c>
      <c r="BR65" s="204">
        <f t="shared" si="3"/>
        <v>30</v>
      </c>
      <c r="BS65" s="194">
        <v>1.28</v>
      </c>
      <c r="BT65" s="216">
        <f t="shared" si="5"/>
        <v>212.48000000000002</v>
      </c>
      <c r="BU65" s="217">
        <v>185461</v>
      </c>
      <c r="BV65" s="245">
        <f t="shared" si="6"/>
        <v>39406753.280000001</v>
      </c>
    </row>
    <row r="66" spans="1:74" ht="22.5" customHeight="1" x14ac:dyDescent="0.25">
      <c r="A66" s="369"/>
      <c r="B66" s="194"/>
      <c r="C66" s="217">
        <v>0</v>
      </c>
      <c r="D66" s="217">
        <f t="shared" si="4"/>
        <v>0</v>
      </c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204">
        <f t="shared" si="3"/>
        <v>0</v>
      </c>
      <c r="BR66" s="204">
        <f t="shared" si="3"/>
        <v>0</v>
      </c>
      <c r="BS66" s="194"/>
      <c r="BT66" s="216">
        <f t="shared" si="5"/>
        <v>0</v>
      </c>
      <c r="BU66" s="217"/>
      <c r="BV66" s="245">
        <f t="shared" si="6"/>
        <v>0</v>
      </c>
    </row>
    <row r="67" spans="1:74" ht="22.5" hidden="1" customHeight="1" x14ac:dyDescent="0.25">
      <c r="A67" s="369"/>
      <c r="B67" s="194"/>
      <c r="C67" s="217">
        <v>0</v>
      </c>
      <c r="D67" s="217">
        <f t="shared" si="4"/>
        <v>0</v>
      </c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204">
        <f t="shared" si="3"/>
        <v>0</v>
      </c>
      <c r="BR67" s="204">
        <f t="shared" si="3"/>
        <v>0</v>
      </c>
      <c r="BS67" s="194"/>
      <c r="BT67" s="216">
        <f t="shared" si="5"/>
        <v>0</v>
      </c>
      <c r="BU67" s="217"/>
      <c r="BV67" s="245">
        <f t="shared" si="6"/>
        <v>0</v>
      </c>
    </row>
    <row r="68" spans="1:74" ht="22.5" hidden="1" customHeight="1" x14ac:dyDescent="0.25">
      <c r="A68" s="369"/>
      <c r="B68" s="194"/>
      <c r="C68" s="217">
        <v>0</v>
      </c>
      <c r="D68" s="217">
        <f t="shared" si="4"/>
        <v>0</v>
      </c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204">
        <f t="shared" si="3"/>
        <v>0</v>
      </c>
      <c r="BR68" s="204">
        <f t="shared" si="3"/>
        <v>0</v>
      </c>
      <c r="BS68" s="194"/>
      <c r="BT68" s="216">
        <f t="shared" si="5"/>
        <v>0</v>
      </c>
      <c r="BU68" s="217"/>
      <c r="BV68" s="245">
        <f t="shared" si="6"/>
        <v>0</v>
      </c>
    </row>
    <row r="69" spans="1:74" ht="22.5" hidden="1" customHeight="1" x14ac:dyDescent="0.25">
      <c r="A69" s="369"/>
      <c r="B69" s="194"/>
      <c r="C69" s="217">
        <v>0</v>
      </c>
      <c r="D69" s="217">
        <f t="shared" si="4"/>
        <v>0</v>
      </c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204">
        <f t="shared" si="3"/>
        <v>0</v>
      </c>
      <c r="BR69" s="204">
        <f t="shared" si="3"/>
        <v>0</v>
      </c>
      <c r="BS69" s="194"/>
      <c r="BT69" s="216">
        <f t="shared" si="5"/>
        <v>0</v>
      </c>
      <c r="BU69" s="217"/>
      <c r="BV69" s="245">
        <f t="shared" si="6"/>
        <v>0</v>
      </c>
    </row>
    <row r="70" spans="1:74" ht="22.5" hidden="1" customHeight="1" x14ac:dyDescent="0.25">
      <c r="A70" s="369"/>
      <c r="B70" s="194"/>
      <c r="C70" s="217">
        <v>0</v>
      </c>
      <c r="D70" s="217">
        <f t="shared" ref="D70:D72" si="7">C70+BQ70-BR70</f>
        <v>0</v>
      </c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204">
        <f t="shared" si="3"/>
        <v>0</v>
      </c>
      <c r="BR70" s="204">
        <f t="shared" si="3"/>
        <v>0</v>
      </c>
      <c r="BS70" s="194"/>
      <c r="BT70" s="216">
        <f t="shared" ref="BT70:BT72" si="8">+BS70*D70</f>
        <v>0</v>
      </c>
      <c r="BU70" s="217"/>
      <c r="BV70" s="245">
        <f t="shared" ref="BV70:BV72" si="9">+BU70*BT70</f>
        <v>0</v>
      </c>
    </row>
    <row r="71" spans="1:74" ht="22.5" hidden="1" customHeight="1" x14ac:dyDescent="0.25">
      <c r="A71" s="369"/>
      <c r="B71" s="194"/>
      <c r="C71" s="217">
        <v>0</v>
      </c>
      <c r="D71" s="217">
        <f t="shared" si="7"/>
        <v>0</v>
      </c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204">
        <f t="shared" si="3"/>
        <v>0</v>
      </c>
      <c r="BR71" s="204">
        <f t="shared" si="3"/>
        <v>0</v>
      </c>
      <c r="BS71" s="194"/>
      <c r="BT71" s="216">
        <f t="shared" si="8"/>
        <v>0</v>
      </c>
      <c r="BU71" s="217"/>
      <c r="BV71" s="245">
        <f t="shared" si="9"/>
        <v>0</v>
      </c>
    </row>
    <row r="72" spans="1:74" ht="22.5" customHeight="1" x14ac:dyDescent="0.25">
      <c r="A72" s="369"/>
      <c r="B72" s="194"/>
      <c r="C72" s="217">
        <v>0</v>
      </c>
      <c r="D72" s="217">
        <f t="shared" si="7"/>
        <v>0</v>
      </c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204">
        <f t="shared" si="3"/>
        <v>0</v>
      </c>
      <c r="BR72" s="204">
        <f t="shared" si="3"/>
        <v>0</v>
      </c>
      <c r="BS72" s="194"/>
      <c r="BT72" s="216">
        <f t="shared" si="8"/>
        <v>0</v>
      </c>
      <c r="BU72" s="217"/>
      <c r="BV72" s="245">
        <f t="shared" si="9"/>
        <v>0</v>
      </c>
    </row>
  </sheetData>
  <mergeCells count="46">
    <mergeCell ref="G1:H1"/>
    <mergeCell ref="A1:A2"/>
    <mergeCell ref="B1:B2"/>
    <mergeCell ref="C1:C2"/>
    <mergeCell ref="D1:D2"/>
    <mergeCell ref="E1:F1"/>
    <mergeCell ref="AE1:AF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BC1:BD1"/>
    <mergeCell ref="AG1:AH1"/>
    <mergeCell ref="AI1:AJ1"/>
    <mergeCell ref="AK1:AL1"/>
    <mergeCell ref="AM1:AN1"/>
    <mergeCell ref="AO1:AP1"/>
    <mergeCell ref="AQ1:AR1"/>
    <mergeCell ref="A63:A72"/>
    <mergeCell ref="BQ1:BR1"/>
    <mergeCell ref="A3:B3"/>
    <mergeCell ref="A20:A28"/>
    <mergeCell ref="A29:A33"/>
    <mergeCell ref="BE1:BF1"/>
    <mergeCell ref="BG1:BH1"/>
    <mergeCell ref="BI1:BJ1"/>
    <mergeCell ref="BK1:BL1"/>
    <mergeCell ref="BM1:BN1"/>
    <mergeCell ref="BO1:BP1"/>
    <mergeCell ref="AS1:AT1"/>
    <mergeCell ref="AU1:AV1"/>
    <mergeCell ref="AW1:AX1"/>
    <mergeCell ref="AY1:AZ1"/>
    <mergeCell ref="BA1:BB1"/>
    <mergeCell ref="A5:A12"/>
    <mergeCell ref="A13:A19"/>
    <mergeCell ref="A34:A41"/>
    <mergeCell ref="A42:A47"/>
    <mergeCell ref="A48:A62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topLeftCell="A13" workbookViewId="0">
      <selection activeCell="J50" sqref="J50"/>
    </sheetView>
  </sheetViews>
  <sheetFormatPr defaultRowHeight="15" x14ac:dyDescent="0.25"/>
  <cols>
    <col min="1" max="1" width="6" customWidth="1"/>
    <col min="2" max="2" width="22.42578125" customWidth="1"/>
    <col min="3" max="3" width="54.28515625" customWidth="1"/>
    <col min="4" max="4" width="26.42578125" customWidth="1"/>
    <col min="5" max="5" width="22.85546875" customWidth="1"/>
  </cols>
  <sheetData>
    <row r="1" spans="1:6" ht="27" customHeight="1" x14ac:dyDescent="0.35">
      <c r="A1" s="380" t="s">
        <v>12269</v>
      </c>
      <c r="B1" s="380"/>
      <c r="C1" s="380"/>
      <c r="D1" s="380"/>
      <c r="E1" s="380"/>
      <c r="F1" s="268"/>
    </row>
    <row r="2" spans="1:6" ht="22.5" customHeight="1" x14ac:dyDescent="0.3">
      <c r="A2" s="273" t="s">
        <v>497</v>
      </c>
      <c r="B2" s="273" t="s">
        <v>12270</v>
      </c>
      <c r="C2" s="273" t="s">
        <v>12271</v>
      </c>
      <c r="D2" s="273" t="s">
        <v>12272</v>
      </c>
      <c r="E2" s="273" t="s">
        <v>12273</v>
      </c>
    </row>
    <row r="3" spans="1:6" ht="24" customHeight="1" x14ac:dyDescent="0.3">
      <c r="A3" s="270">
        <v>1</v>
      </c>
      <c r="B3" s="269">
        <v>45219</v>
      </c>
      <c r="C3" s="151" t="s">
        <v>12274</v>
      </c>
      <c r="D3" s="151">
        <v>10000000</v>
      </c>
      <c r="E3" s="381">
        <f>+D3+D4+D5+D6+D7+D8</f>
        <v>162563000</v>
      </c>
    </row>
    <row r="4" spans="1:6" ht="24" customHeight="1" x14ac:dyDescent="0.3">
      <c r="A4" s="271"/>
      <c r="B4" s="269">
        <v>45233</v>
      </c>
      <c r="C4" s="151" t="s">
        <v>12277</v>
      </c>
      <c r="D4" s="151">
        <v>115000000</v>
      </c>
      <c r="E4" s="382"/>
    </row>
    <row r="5" spans="1:6" ht="24" customHeight="1" x14ac:dyDescent="0.3">
      <c r="A5" s="271"/>
      <c r="B5" s="269">
        <v>45259</v>
      </c>
      <c r="C5" s="151" t="s">
        <v>12275</v>
      </c>
      <c r="D5" s="151">
        <v>9353000</v>
      </c>
      <c r="E5" s="382"/>
    </row>
    <row r="6" spans="1:6" ht="24" customHeight="1" x14ac:dyDescent="0.3">
      <c r="A6" s="272"/>
      <c r="B6" s="269">
        <v>45254</v>
      </c>
      <c r="C6" s="151" t="s">
        <v>12276</v>
      </c>
      <c r="D6" s="151">
        <v>15000000</v>
      </c>
      <c r="E6" s="382"/>
    </row>
    <row r="7" spans="1:6" ht="24" customHeight="1" x14ac:dyDescent="0.3">
      <c r="A7" s="272"/>
      <c r="B7" s="269">
        <v>45748</v>
      </c>
      <c r="C7" s="151" t="s">
        <v>12279</v>
      </c>
      <c r="D7" s="151">
        <v>6500000</v>
      </c>
      <c r="E7" s="382"/>
    </row>
    <row r="8" spans="1:6" ht="24" customHeight="1" x14ac:dyDescent="0.3">
      <c r="A8" s="272"/>
      <c r="B8" s="269">
        <v>46099</v>
      </c>
      <c r="C8" s="151" t="s">
        <v>12279</v>
      </c>
      <c r="D8" s="151">
        <v>6710000</v>
      </c>
      <c r="E8" s="383"/>
    </row>
    <row r="9" spans="1:6" ht="24" customHeight="1" x14ac:dyDescent="0.3">
      <c r="A9" s="151">
        <v>2</v>
      </c>
      <c r="B9" s="269">
        <v>45275</v>
      </c>
      <c r="C9" s="151" t="s">
        <v>12278</v>
      </c>
      <c r="D9" s="151">
        <v>15755052</v>
      </c>
      <c r="E9" s="381">
        <f>SUM(D9:D44)</f>
        <v>533864832</v>
      </c>
    </row>
    <row r="10" spans="1:6" ht="24" customHeight="1" x14ac:dyDescent="0.3">
      <c r="A10" s="151"/>
      <c r="B10" s="269">
        <v>45306</v>
      </c>
      <c r="C10" s="151" t="s">
        <v>12278</v>
      </c>
      <c r="D10" s="151">
        <v>17452643</v>
      </c>
      <c r="E10" s="382"/>
    </row>
    <row r="11" spans="1:6" ht="24" customHeight="1" x14ac:dyDescent="0.3">
      <c r="A11" s="151"/>
      <c r="B11" s="269">
        <v>45328</v>
      </c>
      <c r="C11" s="151" t="s">
        <v>12278</v>
      </c>
      <c r="D11" s="151">
        <v>17500000</v>
      </c>
      <c r="E11" s="382"/>
    </row>
    <row r="12" spans="1:6" ht="24" customHeight="1" x14ac:dyDescent="0.3">
      <c r="A12" s="151"/>
      <c r="B12" s="269">
        <v>45366</v>
      </c>
      <c r="C12" s="151" t="s">
        <v>12278</v>
      </c>
      <c r="D12" s="151">
        <v>17025000</v>
      </c>
      <c r="E12" s="382"/>
    </row>
    <row r="13" spans="1:6" ht="24" customHeight="1" x14ac:dyDescent="0.3">
      <c r="A13" s="151"/>
      <c r="B13" s="269">
        <v>45397</v>
      </c>
      <c r="C13" s="151" t="s">
        <v>12278</v>
      </c>
      <c r="D13" s="151">
        <v>17143000</v>
      </c>
      <c r="E13" s="382"/>
    </row>
    <row r="14" spans="1:6" ht="24" customHeight="1" x14ac:dyDescent="0.3">
      <c r="A14" s="151"/>
      <c r="B14" s="269">
        <v>45427</v>
      </c>
      <c r="C14" s="151" t="s">
        <v>12278</v>
      </c>
      <c r="D14" s="151">
        <v>16936000</v>
      </c>
      <c r="E14" s="382"/>
    </row>
    <row r="15" spans="1:6" ht="24" customHeight="1" x14ac:dyDescent="0.3">
      <c r="A15" s="151"/>
      <c r="B15" s="269">
        <v>45458</v>
      </c>
      <c r="C15" s="151" t="s">
        <v>12278</v>
      </c>
      <c r="D15" s="151">
        <v>17136000</v>
      </c>
      <c r="E15" s="382"/>
    </row>
    <row r="16" spans="1:6" ht="24" customHeight="1" x14ac:dyDescent="0.3">
      <c r="A16" s="151"/>
      <c r="B16" s="269">
        <v>45488</v>
      </c>
      <c r="C16" s="151" t="s">
        <v>12278</v>
      </c>
      <c r="D16" s="151">
        <v>16542118</v>
      </c>
      <c r="E16" s="382"/>
    </row>
    <row r="17" spans="1:5" ht="24" customHeight="1" x14ac:dyDescent="0.3">
      <c r="A17" s="151"/>
      <c r="B17" s="269">
        <v>45519</v>
      </c>
      <c r="C17" s="151" t="s">
        <v>12278</v>
      </c>
      <c r="D17" s="151">
        <v>16729000</v>
      </c>
      <c r="E17" s="382"/>
    </row>
    <row r="18" spans="1:5" ht="24" customHeight="1" x14ac:dyDescent="0.3">
      <c r="A18" s="151"/>
      <c r="B18" s="269">
        <v>45550</v>
      </c>
      <c r="C18" s="151" t="s">
        <v>12278</v>
      </c>
      <c r="D18" s="151">
        <v>16715500</v>
      </c>
      <c r="E18" s="382"/>
    </row>
    <row r="19" spans="1:5" ht="24" customHeight="1" x14ac:dyDescent="0.3">
      <c r="A19" s="151"/>
      <c r="B19" s="269">
        <v>45580</v>
      </c>
      <c r="C19" s="151" t="s">
        <v>12278</v>
      </c>
      <c r="D19" s="151">
        <v>16349000</v>
      </c>
      <c r="E19" s="382"/>
    </row>
    <row r="20" spans="1:5" ht="24" customHeight="1" x14ac:dyDescent="0.3">
      <c r="A20" s="151"/>
      <c r="B20" s="269">
        <v>45614</v>
      </c>
      <c r="C20" s="151" t="s">
        <v>12278</v>
      </c>
      <c r="D20" s="151">
        <v>16419000</v>
      </c>
      <c r="E20" s="382"/>
    </row>
    <row r="21" spans="1:5" ht="24" customHeight="1" x14ac:dyDescent="0.3">
      <c r="A21" s="151"/>
      <c r="B21" s="269">
        <v>45642</v>
      </c>
      <c r="C21" s="151" t="s">
        <v>12278</v>
      </c>
      <c r="D21" s="151">
        <v>16856492</v>
      </c>
      <c r="E21" s="382"/>
    </row>
    <row r="22" spans="1:5" ht="24" customHeight="1" x14ac:dyDescent="0.3">
      <c r="A22" s="151"/>
      <c r="B22" s="269">
        <v>45674</v>
      </c>
      <c r="C22" s="151" t="s">
        <v>12278</v>
      </c>
      <c r="D22" s="151">
        <v>17050447</v>
      </c>
      <c r="E22" s="382"/>
    </row>
    <row r="23" spans="1:5" ht="24" customHeight="1" x14ac:dyDescent="0.3">
      <c r="A23" s="151"/>
      <c r="B23" s="269">
        <v>45702</v>
      </c>
      <c r="C23" s="151" t="s">
        <v>12278</v>
      </c>
      <c r="D23" s="151">
        <v>17218000</v>
      </c>
      <c r="E23" s="382"/>
    </row>
    <row r="24" spans="1:5" ht="24" customHeight="1" x14ac:dyDescent="0.3">
      <c r="A24" s="151"/>
      <c r="B24" s="269">
        <v>45733</v>
      </c>
      <c r="C24" s="151" t="s">
        <v>12278</v>
      </c>
      <c r="D24" s="151">
        <v>16574953</v>
      </c>
      <c r="E24" s="382"/>
    </row>
    <row r="25" spans="1:5" ht="24" customHeight="1" x14ac:dyDescent="0.3">
      <c r="A25" s="151"/>
      <c r="B25" s="269">
        <v>45761</v>
      </c>
      <c r="C25" s="151" t="s">
        <v>12278</v>
      </c>
      <c r="D25" s="151">
        <v>16537649</v>
      </c>
      <c r="E25" s="382"/>
    </row>
    <row r="26" spans="1:5" ht="24" customHeight="1" x14ac:dyDescent="0.3">
      <c r="A26" s="151"/>
      <c r="B26" s="269">
        <v>45792</v>
      </c>
      <c r="C26" s="151" t="s">
        <v>12278</v>
      </c>
      <c r="D26" s="151">
        <v>16491000</v>
      </c>
      <c r="E26" s="382"/>
    </row>
    <row r="27" spans="1:5" ht="24" customHeight="1" x14ac:dyDescent="0.3">
      <c r="A27" s="151"/>
      <c r="B27" s="269">
        <v>45824</v>
      </c>
      <c r="C27" s="151" t="s">
        <v>12278</v>
      </c>
      <c r="D27" s="151">
        <v>16518978</v>
      </c>
      <c r="E27" s="382"/>
    </row>
    <row r="28" spans="1:5" ht="24" customHeight="1" x14ac:dyDescent="0.3">
      <c r="A28" s="151"/>
      <c r="B28" s="269">
        <v>45853</v>
      </c>
      <c r="C28" s="151" t="s">
        <v>12278</v>
      </c>
      <c r="D28" s="151">
        <v>16132000</v>
      </c>
      <c r="E28" s="382"/>
    </row>
    <row r="29" spans="1:5" ht="24" customHeight="1" x14ac:dyDescent="0.3">
      <c r="A29" s="151"/>
      <c r="B29" s="269">
        <v>45884</v>
      </c>
      <c r="C29" s="151" t="s">
        <v>12278</v>
      </c>
      <c r="D29" s="151">
        <v>16200000</v>
      </c>
      <c r="E29" s="382"/>
    </row>
    <row r="30" spans="1:5" ht="24" customHeight="1" x14ac:dyDescent="0.3">
      <c r="A30" s="151"/>
      <c r="B30" s="269">
        <v>45915</v>
      </c>
      <c r="C30" s="151" t="s">
        <v>12278</v>
      </c>
      <c r="D30" s="151">
        <v>16050000</v>
      </c>
      <c r="E30" s="382"/>
    </row>
    <row r="31" spans="1:5" ht="24" customHeight="1" x14ac:dyDescent="0.3">
      <c r="A31" s="151"/>
      <c r="B31" s="269">
        <v>45946</v>
      </c>
      <c r="C31" s="151" t="s">
        <v>12278</v>
      </c>
      <c r="D31" s="151">
        <v>15520000</v>
      </c>
      <c r="E31" s="382"/>
    </row>
    <row r="32" spans="1:5" ht="24" customHeight="1" x14ac:dyDescent="0.3">
      <c r="A32" s="151"/>
      <c r="B32" s="269">
        <v>45976</v>
      </c>
      <c r="C32" s="151" t="s">
        <v>12278</v>
      </c>
      <c r="D32" s="151">
        <v>15712000</v>
      </c>
      <c r="E32" s="382"/>
    </row>
    <row r="33" spans="1:5" ht="24" customHeight="1" x14ac:dyDescent="0.3">
      <c r="A33" s="151"/>
      <c r="B33" s="269">
        <v>46007</v>
      </c>
      <c r="C33" s="151" t="s">
        <v>12278</v>
      </c>
      <c r="D33" s="151">
        <v>15712000</v>
      </c>
      <c r="E33" s="382"/>
    </row>
    <row r="34" spans="1:5" ht="24" customHeight="1" x14ac:dyDescent="0.3">
      <c r="A34" s="151"/>
      <c r="B34" s="269">
        <v>46038</v>
      </c>
      <c r="C34" s="151" t="s">
        <v>12278</v>
      </c>
      <c r="D34" s="151">
        <v>15423000</v>
      </c>
      <c r="E34" s="382"/>
    </row>
    <row r="35" spans="1:5" ht="24" customHeight="1" x14ac:dyDescent="0.3">
      <c r="A35" s="151"/>
      <c r="B35" s="269">
        <v>46065</v>
      </c>
      <c r="C35" s="151" t="s">
        <v>12278</v>
      </c>
      <c r="D35" s="151">
        <v>15279000</v>
      </c>
      <c r="E35" s="382"/>
    </row>
    <row r="36" spans="1:5" ht="24" customHeight="1" x14ac:dyDescent="0.3">
      <c r="A36" s="151"/>
      <c r="B36" s="269">
        <v>46097</v>
      </c>
      <c r="C36" s="151" t="s">
        <v>12278</v>
      </c>
      <c r="D36" s="151">
        <v>15032000</v>
      </c>
      <c r="E36" s="382"/>
    </row>
    <row r="37" spans="1:5" ht="24" customHeight="1" x14ac:dyDescent="0.3">
      <c r="A37" s="151"/>
      <c r="B37" s="269">
        <v>46126</v>
      </c>
      <c r="C37" s="151" t="s">
        <v>12278</v>
      </c>
      <c r="D37" s="151">
        <v>15037000</v>
      </c>
      <c r="E37" s="382"/>
    </row>
    <row r="38" spans="1:5" ht="24" customHeight="1" x14ac:dyDescent="0.3">
      <c r="A38" s="151"/>
      <c r="B38" s="269">
        <v>46157</v>
      </c>
      <c r="C38" s="151" t="s">
        <v>12278</v>
      </c>
      <c r="D38" s="151">
        <v>14853000</v>
      </c>
      <c r="E38" s="382"/>
    </row>
    <row r="39" spans="1:5" ht="24" customHeight="1" x14ac:dyDescent="0.3">
      <c r="A39" s="151"/>
      <c r="B39" s="269">
        <v>46188</v>
      </c>
      <c r="C39" s="151" t="s">
        <v>12278</v>
      </c>
      <c r="D39" s="151">
        <v>14790000</v>
      </c>
      <c r="E39" s="382"/>
    </row>
    <row r="40" spans="1:5" ht="24" customHeight="1" x14ac:dyDescent="0.3">
      <c r="A40" s="151"/>
      <c r="B40" s="269">
        <v>46217</v>
      </c>
      <c r="C40" s="151" t="s">
        <v>12278</v>
      </c>
      <c r="D40" s="151">
        <v>14659000</v>
      </c>
      <c r="E40" s="382"/>
    </row>
    <row r="41" spans="1:5" ht="24" customHeight="1" x14ac:dyDescent="0.3">
      <c r="A41" s="151"/>
      <c r="B41" s="269">
        <v>46248</v>
      </c>
      <c r="C41" s="151" t="s">
        <v>12278</v>
      </c>
      <c r="D41" s="151">
        <v>14516000</v>
      </c>
      <c r="E41" s="382"/>
    </row>
    <row r="42" spans="1:5" ht="24" customHeight="1" x14ac:dyDescent="0.3">
      <c r="A42" s="151"/>
      <c r="B42" s="269">
        <v>46280</v>
      </c>
      <c r="C42" s="151" t="s">
        <v>12278</v>
      </c>
      <c r="D42" s="151"/>
      <c r="E42" s="382"/>
    </row>
    <row r="43" spans="1:5" ht="24" customHeight="1" x14ac:dyDescent="0.3">
      <c r="A43" s="151"/>
      <c r="B43" s="269">
        <v>46310</v>
      </c>
      <c r="C43" s="151" t="s">
        <v>12278</v>
      </c>
      <c r="D43" s="151"/>
      <c r="E43" s="382"/>
    </row>
    <row r="44" spans="1:5" ht="24" customHeight="1" x14ac:dyDescent="0.3">
      <c r="A44" s="151"/>
      <c r="B44" s="269">
        <v>46341</v>
      </c>
      <c r="C44" s="151" t="s">
        <v>12278</v>
      </c>
      <c r="D44" s="151"/>
      <c r="E44" s="383"/>
    </row>
    <row r="45" spans="1:5" ht="24" customHeight="1" x14ac:dyDescent="0.3">
      <c r="A45" s="384" t="s">
        <v>412</v>
      </c>
      <c r="B45" s="385"/>
      <c r="C45" s="386"/>
      <c r="D45" s="151">
        <f>SUM(D3:D44)</f>
        <v>696427832</v>
      </c>
      <c r="E45" s="151">
        <f>+E3+E9</f>
        <v>696427832</v>
      </c>
    </row>
  </sheetData>
  <mergeCells count="4">
    <mergeCell ref="A1:E1"/>
    <mergeCell ref="E3:E8"/>
    <mergeCell ref="E9:E44"/>
    <mergeCell ref="A45:C45"/>
  </mergeCells>
  <pageMargins left="0.2" right="0.2" top="0.16" bottom="0.24" header="0.3" footer="0.3"/>
  <pageSetup paperSize="9" scale="75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H5" sqref="H5"/>
    </sheetView>
  </sheetViews>
  <sheetFormatPr defaultRowHeight="15" x14ac:dyDescent="0.25"/>
  <cols>
    <col min="1" max="1" width="30.5703125" style="74" customWidth="1"/>
    <col min="2" max="2" width="30.5703125" style="104" customWidth="1"/>
    <col min="3" max="16384" width="9.140625" style="74"/>
  </cols>
  <sheetData>
    <row r="1" spans="1:2" ht="33" customHeight="1" x14ac:dyDescent="0.35">
      <c r="A1" s="286" t="s">
        <v>12270</v>
      </c>
      <c r="B1" s="288" t="s">
        <v>12308</v>
      </c>
    </row>
    <row r="2" spans="1:2" ht="33" customHeight="1" x14ac:dyDescent="0.25">
      <c r="A2" s="287">
        <v>46383</v>
      </c>
      <c r="B2" s="104">
        <v>302000000</v>
      </c>
    </row>
    <row r="3" spans="1:2" ht="33" customHeight="1" x14ac:dyDescent="0.25">
      <c r="A3" s="287">
        <v>46391</v>
      </c>
      <c r="B3" s="104">
        <v>170000000</v>
      </c>
    </row>
    <row r="4" spans="1:2" ht="33" customHeight="1" x14ac:dyDescent="0.25">
      <c r="A4" s="287">
        <v>46395</v>
      </c>
      <c r="B4" s="104">
        <v>235000000</v>
      </c>
    </row>
    <row r="5" spans="1:2" ht="33" customHeight="1" x14ac:dyDescent="0.25">
      <c r="A5" s="74">
        <v>15</v>
      </c>
      <c r="B5" s="104">
        <v>429000000</v>
      </c>
    </row>
    <row r="6" spans="1:2" ht="33" customHeight="1" x14ac:dyDescent="0.25">
      <c r="A6" s="74">
        <v>22</v>
      </c>
      <c r="B6" s="104">
        <v>393000000</v>
      </c>
    </row>
    <row r="7" spans="1:2" ht="33" customHeight="1" x14ac:dyDescent="0.25">
      <c r="A7" s="287">
        <v>46424</v>
      </c>
      <c r="B7" s="104">
        <v>372000000</v>
      </c>
    </row>
    <row r="8" spans="1:2" ht="33" customHeight="1" x14ac:dyDescent="0.25">
      <c r="A8" s="289">
        <v>46065</v>
      </c>
      <c r="B8" s="104">
        <v>221000000</v>
      </c>
    </row>
    <row r="9" spans="1:2" ht="33" customHeight="1" x14ac:dyDescent="0.25">
      <c r="A9" s="287">
        <v>46439</v>
      </c>
      <c r="B9" s="104">
        <v>894000000</v>
      </c>
    </row>
    <row r="10" spans="1:2" ht="33" customHeight="1" x14ac:dyDescent="0.25">
      <c r="A10" s="287">
        <v>46446</v>
      </c>
      <c r="B10" s="104">
        <v>484000000</v>
      </c>
    </row>
    <row r="11" spans="1:2" ht="33" customHeight="1" x14ac:dyDescent="0.25">
      <c r="B11" s="104">
        <f>SUM(B2:B10)</f>
        <v>3500000000</v>
      </c>
    </row>
    <row r="12" spans="1:2" ht="33" customHeight="1" x14ac:dyDescent="0.25"/>
    <row r="13" spans="1:2" ht="33" customHeight="1" x14ac:dyDescent="0.2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TK 14 NHÃN</vt:lpstr>
      <vt:lpstr>H.HÀ</vt:lpstr>
      <vt:lpstr>NISE</vt:lpstr>
      <vt:lpstr>NICE</vt:lpstr>
      <vt:lpstr>RA+AD</vt:lpstr>
      <vt:lpstr>TAKAO</vt:lpstr>
      <vt:lpstr>TOKO</vt:lpstr>
      <vt:lpstr>VĨNH THẮNG</vt:lpstr>
      <vt:lpstr>DMAX+MIRA</vt:lpstr>
      <vt:lpstr>TK TỔNG 6.4.2026</vt:lpstr>
      <vt:lpstr>TỔNG HỢP TK</vt:lpstr>
      <vt:lpstr>ROYAL+ẤN</vt:lpstr>
      <vt:lpstr>TOKO,</vt:lpstr>
      <vt:lpstr>Á Mỹ</vt:lpstr>
      <vt:lpstr>Sheet1</vt:lpstr>
      <vt:lpstr>Sheet2</vt:lpstr>
      <vt:lpstr>A</vt:lpstr>
      <vt:lpstr>'DMAX+MIRA'!Print_Area</vt:lpstr>
      <vt:lpstr>NISE!Print_Area</vt:lpstr>
      <vt:lpstr>'RA+AD'!Print_Area</vt:lpstr>
      <vt:lpstr>TAKAO!Print_Area</vt:lpstr>
      <vt:lpstr>TOKO!Print_Area</vt:lpstr>
      <vt:lpstr>'VĨNH THẮNG'!Print_Area</vt:lpstr>
      <vt:lpstr>H.HÀ!Print_Titles</vt:lpstr>
      <vt:lpstr>NISE!Print_Titles</vt:lpstr>
      <vt:lpstr>'RA+AD'!Print_Titles</vt:lpstr>
      <vt:lpstr>TAKAO!Print_Titles</vt:lpstr>
      <vt:lpstr>TOKO!Print_Titles</vt:lpstr>
      <vt:lpstr>'VĨNH THẮNG'!Print_Titles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2026-09-25T01:12:46Z</cp:lastPrinted>
  <dcterms:created xsi:type="dcterms:W3CDTF">2025-06-05T07:38:50Z</dcterms:created>
  <dcterms:modified xsi:type="dcterms:W3CDTF">2026-10-09T04:02:11Z</dcterms:modified>
</cp:coreProperties>
</file>